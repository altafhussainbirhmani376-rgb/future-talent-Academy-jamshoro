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er October Fees" sheetId="1" state="visible" r:id="rId3"/>
  </sheets>
  <definedNames>
    <definedName function="false" hidden="false" localSheetId="0" name="_xlnm.Print_Titles" vbProcedure="false">'Computer October Fees'!$15:$15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Fixed computer class fee is Rs 2,000 (from you). For students who pay less, choose 1500 or 1000 in their Fee cell.</t>
        </r>
      </text>
    </comment>
  </commentList>
</comments>
</file>

<file path=xl/sharedStrings.xml><?xml version="1.0" encoding="utf-8"?>
<sst xmlns="http://schemas.openxmlformats.org/spreadsheetml/2006/main" count="38" uniqueCount="35">
  <si>
    <t xml:space="preserve">Future Talent Academy Jamshoro — Computer Class Fee Sheet</t>
  </si>
  <si>
    <t xml:space="preserve">Fixed fee Rs 2,000 fills in automatically. For students who pay Rs 1,500 or Rs 1,000, choose it in the Fee column. Yellow cells are for you to fill in.</t>
  </si>
  <si>
    <t xml:space="preserve">Month:</t>
  </si>
  <si>
    <t xml:space="preserve">October 2026</t>
  </si>
  <si>
    <t xml:space="preserve">Subject:</t>
  </si>
  <si>
    <t xml:space="preserve">Computer</t>
  </si>
  <si>
    <t xml:space="preserve">Teacher Name:</t>
  </si>
  <si>
    <t xml:space="preserve">Sir Nazeer Ahmed Jamali</t>
  </si>
  <si>
    <t xml:space="preserve">Fixed Fee:</t>
  </si>
  <si>
    <t xml:space="preserve">Teacher Share %:</t>
  </si>
  <si>
    <t xml:space="preserve">Academy Share %:</t>
  </si>
  <si>
    <t xml:space="preserve">TEACHER SECTION</t>
  </si>
  <si>
    <t xml:space="preserve">ACADEMY SECTION</t>
  </si>
  <si>
    <t xml:space="preserve">Name</t>
  </si>
  <si>
    <t xml:space="preserve">Future Talent Academy Jamshoro</t>
  </si>
  <si>
    <t xml:space="preserve">Share %</t>
  </si>
  <si>
    <t xml:space="preserve">Amount to Receive</t>
  </si>
  <si>
    <t xml:space="preserve">FEE SUMMARY</t>
  </si>
  <si>
    <t xml:space="preserve">Total Students</t>
  </si>
  <si>
    <t xml:space="preserve">Fees Paid</t>
  </si>
  <si>
    <t xml:space="preserve">Fees Unpaid</t>
  </si>
  <si>
    <t xml:space="preserve">Total Fee Due</t>
  </si>
  <si>
    <t xml:space="preserve">Total Collected</t>
  </si>
  <si>
    <t xml:space="preserve">Pending Fees</t>
  </si>
  <si>
    <t xml:space="preserve">Serial No</t>
  </si>
  <si>
    <t xml:space="preserve">Student Name</t>
  </si>
  <si>
    <t xml:space="preserve">Subject</t>
  </si>
  <si>
    <t xml:space="preserve">Fee (Rs)</t>
  </si>
  <si>
    <t xml:space="preserve">Paid / Unpaid</t>
  </si>
  <si>
    <t xml:space="preserve">Amount Received</t>
  </si>
  <si>
    <t xml:space="preserve">Teacher Share</t>
  </si>
  <si>
    <t xml:space="preserve">Academy Share</t>
  </si>
  <si>
    <t xml:space="preserve">Ali Ahmed (example)</t>
  </si>
  <si>
    <t xml:space="preserve">Paid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</si>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</sst>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s &quot;#,##0;&quot;-Rs &quot;#,##0;\-"/>
    <numFmt numFmtId="166" formatCode="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7D32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6666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4"/>
      <c r="H3" s="4"/>
    </row>
    <row r="4" customFormat="false" ht="15" hidden="false" customHeight="false" outlineLevel="0" collapsed="false">
      <c r="A4" s="3" t="s">
        <v>8</v>
      </c>
      <c r="B4" s="5" t="n">
        <v>2000</v>
      </c>
      <c r="C4" s="3" t="s">
        <v>9</v>
      </c>
      <c r="D4" s="6" t="n">
        <v>0.5</v>
      </c>
      <c r="E4" s="3" t="s">
        <v>10</v>
      </c>
      <c r="F4" s="7" t="n">
        <f aca="false">1-D4</f>
        <v>0.5</v>
      </c>
    </row>
    <row r="6" customFormat="false" ht="15" hidden="false" customHeight="false" outlineLevel="0" collapsed="false">
      <c r="A6" s="8" t="s">
        <v>11</v>
      </c>
      <c r="B6" s="8"/>
      <c r="C6" s="8"/>
      <c r="E6" s="9" t="s">
        <v>12</v>
      </c>
      <c r="F6" s="9"/>
      <c r="G6" s="9"/>
      <c r="H6" s="9"/>
    </row>
    <row r="7" customFormat="false" ht="15" hidden="false" customHeight="false" outlineLevel="0" collapsed="false">
      <c r="A7" s="3" t="s">
        <v>13</v>
      </c>
      <c r="B7" s="10" t="str">
        <f aca="false">IF(F3="","(enter teacher name)",F3)</f>
        <v>Sir Nazeer Ahmed Jamali</v>
      </c>
      <c r="C7" s="10"/>
      <c r="E7" s="3" t="s">
        <v>13</v>
      </c>
      <c r="F7" s="10" t="s">
        <v>14</v>
      </c>
      <c r="G7" s="10"/>
      <c r="H7" s="10"/>
    </row>
    <row r="8" customFormat="false" ht="15" hidden="false" customHeight="false" outlineLevel="0" collapsed="false">
      <c r="A8" s="3" t="s">
        <v>15</v>
      </c>
      <c r="B8" s="11" t="n">
        <f aca="false">D4</f>
        <v>0.5</v>
      </c>
      <c r="C8" s="11"/>
      <c r="E8" s="3" t="s">
        <v>15</v>
      </c>
      <c r="F8" s="11" t="n">
        <f aca="false">F4</f>
        <v>0.5</v>
      </c>
      <c r="G8" s="11"/>
      <c r="H8" s="11"/>
    </row>
    <row r="9" customFormat="false" ht="15" hidden="false" customHeight="false" outlineLevel="0" collapsed="false">
      <c r="A9" s="3" t="s">
        <v>16</v>
      </c>
      <c r="B9" s="12" t="n">
        <f aca="false">G66</f>
        <v>750</v>
      </c>
      <c r="C9" s="12"/>
      <c r="E9" s="3" t="s">
        <v>16</v>
      </c>
      <c r="F9" s="12" t="n">
        <f aca="false">H66</f>
        <v>750</v>
      </c>
      <c r="G9" s="12"/>
      <c r="H9" s="12"/>
    </row>
    <row r="11" customFormat="false" ht="15" hidden="false" customHeight="false" outlineLevel="0" collapsed="false">
      <c r="A11" s="13" t="s">
        <v>17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3" t="s">
        <v>18</v>
      </c>
      <c r="B12" s="14" t="n">
        <f aca="false">COUNTA(B16:B65)</f>
        <v>1</v>
      </c>
      <c r="C12" s="3" t="s">
        <v>19</v>
      </c>
      <c r="D12" s="15" t="n">
        <f aca="false">COUNTIF(E16:E65,"Paid")</f>
        <v>1</v>
      </c>
      <c r="E12" s="3" t="s">
        <v>20</v>
      </c>
      <c r="F12" s="16" t="n">
        <f aca="false">COUNTIF(E16:E65,"Unpaid")</f>
        <v>0</v>
      </c>
      <c r="G12" s="16"/>
      <c r="H12" s="16"/>
    </row>
    <row r="13" customFormat="false" ht="15" hidden="false" customHeight="false" outlineLevel="0" collapsed="false">
      <c r="A13" s="3" t="s">
        <v>21</v>
      </c>
      <c r="B13" s="17" t="n">
        <f aca="false">D66</f>
        <v>1500</v>
      </c>
      <c r="C13" s="3" t="s">
        <v>22</v>
      </c>
      <c r="D13" s="18" t="n">
        <f aca="false">F66</f>
        <v>1500</v>
      </c>
      <c r="E13" s="3" t="s">
        <v>23</v>
      </c>
      <c r="F13" s="19" t="n">
        <f aca="false">B13-D13</f>
        <v>0</v>
      </c>
      <c r="G13" s="19"/>
      <c r="H13" s="19"/>
    </row>
    <row r="15" customFormat="false" ht="30" hidden="false" customHeight="true" outlineLevel="0" collapsed="false">
      <c r="A15" s="20" t="s">
        <v>24</v>
      </c>
      <c r="B15" s="20" t="s">
        <v>25</v>
      </c>
      <c r="C15" s="20" t="s">
        <v>26</v>
      </c>
      <c r="D15" s="20" t="s">
        <v>27</v>
      </c>
      <c r="E15" s="20" t="s">
        <v>28</v>
      </c>
      <c r="F15" s="20" t="s">
        <v>29</v>
      </c>
      <c r="G15" s="20" t="s">
        <v>30</v>
      </c>
      <c r="H15" s="20" t="s">
        <v>31</v>
      </c>
    </row>
    <row r="16" customFormat="false" ht="15" hidden="false" customHeight="false" outlineLevel="0" collapsed="false">
      <c r="A16" s="21" t="n">
        <v>1</v>
      </c>
      <c r="B16" s="22" t="s">
        <v>32</v>
      </c>
      <c r="C16" s="21" t="str">
        <f aca="false">IF(B16="","",$D$3)</f>
        <v>Computer</v>
      </c>
      <c r="D16" s="23" t="n">
        <v>1500</v>
      </c>
      <c r="E16" s="24" t="s">
        <v>33</v>
      </c>
      <c r="F16" s="25" t="n">
        <f aca="false">IF(E16="Paid",N(D16),0)</f>
        <v>1500</v>
      </c>
      <c r="G16" s="25" t="n">
        <f aca="false">F16*$D$4</f>
        <v>750</v>
      </c>
      <c r="H16" s="25" t="n">
        <f aca="false">F16*$F$4</f>
        <v>750</v>
      </c>
    </row>
    <row r="17" customFormat="false" ht="15" hidden="false" customHeight="false" outlineLevel="0" collapsed="false">
      <c r="A17" s="21" t="n">
        <v>2</v>
      </c>
      <c r="B17" s="26"/>
      <c r="C17" s="21" t="str">
        <f aca="false">IF(B17="","",$D$3)</f>
        <v/>
      </c>
      <c r="D17" s="27" t="str">
        <f aca="false">IF(B17="","",$B$4)</f>
        <v/>
      </c>
      <c r="E17" s="28"/>
      <c r="F17" s="25" t="n">
        <f aca="false">IF(E17="Paid",N(D17),0)</f>
        <v>0</v>
      </c>
      <c r="G17" s="25" t="n">
        <f aca="false">F17*$D$4</f>
        <v>0</v>
      </c>
      <c r="H17" s="25" t="n">
        <f aca="false">F17*$F$4</f>
        <v>0</v>
      </c>
    </row>
    <row r="18" customFormat="false" ht="15" hidden="false" customHeight="false" outlineLevel="0" collapsed="false">
      <c r="A18" s="21" t="n">
        <v>3</v>
      </c>
      <c r="B18" s="26"/>
      <c r="C18" s="21" t="str">
        <f aca="false">IF(B18="","",$D$3)</f>
        <v/>
      </c>
      <c r="D18" s="27" t="str">
        <f aca="false">IF(B18="","",$B$4)</f>
        <v/>
      </c>
      <c r="E18" s="28"/>
      <c r="F18" s="25" t="n">
        <f aca="false">IF(E18="Paid",N(D18),0)</f>
        <v>0</v>
      </c>
      <c r="G18" s="25" t="n">
        <f aca="false">F18*$D$4</f>
        <v>0</v>
      </c>
      <c r="H18" s="25" t="n">
        <f aca="false">F18*$F$4</f>
        <v>0</v>
      </c>
    </row>
    <row r="19" customFormat="false" ht="15" hidden="false" customHeight="false" outlineLevel="0" collapsed="false">
      <c r="A19" s="21" t="n">
        <v>4</v>
      </c>
      <c r="B19" s="26"/>
      <c r="C19" s="21" t="str">
        <f aca="false">IF(B19="","",$D$3)</f>
        <v/>
      </c>
      <c r="D19" s="27" t="str">
        <f aca="false">IF(B19="","",$B$4)</f>
        <v/>
      </c>
      <c r="E19" s="28"/>
      <c r="F19" s="25" t="n">
        <f aca="false">IF(E19="Paid",N(D19),0)</f>
        <v>0</v>
      </c>
      <c r="G19" s="25" t="n">
        <f aca="false">F19*$D$4</f>
        <v>0</v>
      </c>
      <c r="H19" s="25" t="n">
        <f aca="false">F19*$F$4</f>
        <v>0</v>
      </c>
    </row>
    <row r="20" customFormat="false" ht="15" hidden="false" customHeight="false" outlineLevel="0" collapsed="false">
      <c r="A20" s="21" t="n">
        <v>5</v>
      </c>
      <c r="B20" s="26"/>
      <c r="C20" s="21" t="str">
        <f aca="false">IF(B20="","",$D$3)</f>
        <v/>
      </c>
      <c r="D20" s="27" t="str">
        <f aca="false">IF(B20="","",$B$4)</f>
        <v/>
      </c>
      <c r="E20" s="28"/>
      <c r="F20" s="25" t="n">
        <f aca="false">IF(E20="Paid",N(D20),0)</f>
        <v>0</v>
      </c>
      <c r="G20" s="25" t="n">
        <f aca="false">F20*$D$4</f>
        <v>0</v>
      </c>
      <c r="H20" s="25" t="n">
        <f aca="false">F20*$F$4</f>
        <v>0</v>
      </c>
    </row>
    <row r="21" customFormat="false" ht="15" hidden="false" customHeight="false" outlineLevel="0" collapsed="false">
      <c r="A21" s="21" t="n">
        <v>6</v>
      </c>
      <c r="B21" s="26"/>
      <c r="C21" s="21" t="str">
        <f aca="false">IF(B21="","",$D$3)</f>
        <v/>
      </c>
      <c r="D21" s="27" t="str">
        <f aca="false">IF(B21="","",$B$4)</f>
        <v/>
      </c>
      <c r="E21" s="28"/>
      <c r="F21" s="25" t="n">
        <f aca="false">IF(E21="Paid",N(D21),0)</f>
        <v>0</v>
      </c>
      <c r="G21" s="25" t="n">
        <f aca="false">F21*$D$4</f>
        <v>0</v>
      </c>
      <c r="H21" s="25" t="n">
        <f aca="false">F21*$F$4</f>
        <v>0</v>
      </c>
    </row>
    <row r="22" customFormat="false" ht="15" hidden="false" customHeight="false" outlineLevel="0" collapsed="false">
      <c r="A22" s="21" t="n">
        <v>7</v>
      </c>
      <c r="B22" s="26"/>
      <c r="C22" s="21" t="str">
        <f aca="false">IF(B22="","",$D$3)</f>
        <v/>
      </c>
      <c r="D22" s="27" t="str">
        <f aca="false">IF(B22="","",$B$4)</f>
        <v/>
      </c>
      <c r="E22" s="28"/>
      <c r="F22" s="25" t="n">
        <f aca="false">IF(E22="Paid",N(D22),0)</f>
        <v>0</v>
      </c>
      <c r="G22" s="25" t="n">
        <f aca="false">F22*$D$4</f>
        <v>0</v>
      </c>
      <c r="H22" s="25" t="n">
        <f aca="false">F22*$F$4</f>
        <v>0</v>
      </c>
    </row>
    <row r="23" customFormat="false" ht="15" hidden="false" customHeight="false" outlineLevel="0" collapsed="false">
      <c r="A23" s="21" t="n">
        <v>8</v>
      </c>
      <c r="B23" s="26"/>
      <c r="C23" s="21" t="str">
        <f aca="false">IF(B23="","",$D$3)</f>
        <v/>
      </c>
      <c r="D23" s="27" t="str">
        <f aca="false">IF(B23="","",$B$4)</f>
        <v/>
      </c>
      <c r="E23" s="28"/>
      <c r="F23" s="25" t="n">
        <f aca="false">IF(E23="Paid",N(D23),0)</f>
        <v>0</v>
      </c>
      <c r="G23" s="25" t="n">
        <f aca="false">F23*$D$4</f>
        <v>0</v>
      </c>
      <c r="H23" s="25" t="n">
        <f aca="false">F23*$F$4</f>
        <v>0</v>
      </c>
    </row>
    <row r="24" customFormat="false" ht="15" hidden="false" customHeight="false" outlineLevel="0" collapsed="false">
      <c r="A24" s="21" t="n">
        <v>9</v>
      </c>
      <c r="B24" s="26"/>
      <c r="C24" s="21" t="str">
        <f aca="false">IF(B24="","",$D$3)</f>
        <v/>
      </c>
      <c r="D24" s="27" t="str">
        <f aca="false">IF(B24="","",$B$4)</f>
        <v/>
      </c>
      <c r="E24" s="28"/>
      <c r="F24" s="25" t="n">
        <f aca="false">IF(E24="Paid",N(D24),0)</f>
        <v>0</v>
      </c>
      <c r="G24" s="25" t="n">
        <f aca="false">F24*$D$4</f>
        <v>0</v>
      </c>
      <c r="H24" s="25" t="n">
        <f aca="false">F24*$F$4</f>
        <v>0</v>
      </c>
    </row>
    <row r="25" customFormat="false" ht="15" hidden="false" customHeight="false" outlineLevel="0" collapsed="false">
      <c r="A25" s="21" t="n">
        <v>10</v>
      </c>
      <c r="B25" s="26"/>
      <c r="C25" s="21" t="str">
        <f aca="false">IF(B25="","",$D$3)</f>
        <v/>
      </c>
      <c r="D25" s="27" t="str">
        <f aca="false">IF(B25="","",$B$4)</f>
        <v/>
      </c>
      <c r="E25" s="28"/>
      <c r="F25" s="25" t="n">
        <f aca="false">IF(E25="Paid",N(D25),0)</f>
        <v>0</v>
      </c>
      <c r="G25" s="25" t="n">
        <f aca="false">F25*$D$4</f>
        <v>0</v>
      </c>
      <c r="H25" s="25" t="n">
        <f aca="false">F25*$F$4</f>
        <v>0</v>
      </c>
    </row>
    <row r="26" customFormat="false" ht="15" hidden="false" customHeight="false" outlineLevel="0" collapsed="false">
      <c r="A26" s="21" t="n">
        <v>11</v>
      </c>
      <c r="B26" s="26"/>
      <c r="C26" s="21" t="str">
        <f aca="false">IF(B26="","",$D$3)</f>
        <v/>
      </c>
      <c r="D26" s="27" t="str">
        <f aca="false">IF(B26="","",$B$4)</f>
        <v/>
      </c>
      <c r="E26" s="28"/>
      <c r="F26" s="25" t="n">
        <f aca="false">IF(E26="Paid",N(D26),0)</f>
        <v>0</v>
      </c>
      <c r="G26" s="25" t="n">
        <f aca="false">F26*$D$4</f>
        <v>0</v>
      </c>
      <c r="H26" s="25" t="n">
        <f aca="false">F26*$F$4</f>
        <v>0</v>
      </c>
    </row>
    <row r="27" customFormat="false" ht="15" hidden="false" customHeight="false" outlineLevel="0" collapsed="false">
      <c r="A27" s="21" t="n">
        <v>12</v>
      </c>
      <c r="B27" s="26"/>
      <c r="C27" s="21" t="str">
        <f aca="false">IF(B27="","",$D$3)</f>
        <v/>
      </c>
      <c r="D27" s="27" t="str">
        <f aca="false">IF(B27="","",$B$4)</f>
        <v/>
      </c>
      <c r="E27" s="28"/>
      <c r="F27" s="25" t="n">
        <f aca="false">IF(E27="Paid",N(D27),0)</f>
        <v>0</v>
      </c>
      <c r="G27" s="25" t="n">
        <f aca="false">F27*$D$4</f>
        <v>0</v>
      </c>
      <c r="H27" s="25" t="n">
        <f aca="false">F27*$F$4</f>
        <v>0</v>
      </c>
    </row>
    <row r="28" customFormat="false" ht="15" hidden="false" customHeight="false" outlineLevel="0" collapsed="false">
      <c r="A28" s="21" t="n">
        <v>13</v>
      </c>
      <c r="B28" s="26"/>
      <c r="C28" s="21" t="str">
        <f aca="false">IF(B28="","",$D$3)</f>
        <v/>
      </c>
      <c r="D28" s="27" t="str">
        <f aca="false">IF(B28="","",$B$4)</f>
        <v/>
      </c>
      <c r="E28" s="28"/>
      <c r="F28" s="25" t="n">
        <f aca="false">IF(E28="Paid",N(D28),0)</f>
        <v>0</v>
      </c>
      <c r="G28" s="25" t="n">
        <f aca="false">F28*$D$4</f>
        <v>0</v>
      </c>
      <c r="H28" s="25" t="n">
        <f aca="false">F28*$F$4</f>
        <v>0</v>
      </c>
    </row>
    <row r="29" customFormat="false" ht="15" hidden="false" customHeight="false" outlineLevel="0" collapsed="false">
      <c r="A29" s="21" t="n">
        <v>14</v>
      </c>
      <c r="B29" s="26"/>
      <c r="C29" s="21" t="str">
        <f aca="false">IF(B29="","",$D$3)</f>
        <v/>
      </c>
      <c r="D29" s="27" t="str">
        <f aca="false">IF(B29="","",$B$4)</f>
        <v/>
      </c>
      <c r="E29" s="28"/>
      <c r="F29" s="25" t="n">
        <f aca="false">IF(E29="Paid",N(D29),0)</f>
        <v>0</v>
      </c>
      <c r="G29" s="25" t="n">
        <f aca="false">F29*$D$4</f>
        <v>0</v>
      </c>
      <c r="H29" s="25" t="n">
        <f aca="false">F29*$F$4</f>
        <v>0</v>
      </c>
    </row>
    <row r="30" customFormat="false" ht="15" hidden="false" customHeight="false" outlineLevel="0" collapsed="false">
      <c r="A30" s="21" t="n">
        <v>15</v>
      </c>
      <c r="B30" s="26"/>
      <c r="C30" s="21" t="str">
        <f aca="false">IF(B30="","",$D$3)</f>
        <v/>
      </c>
      <c r="D30" s="27" t="str">
        <f aca="false">IF(B30="","",$B$4)</f>
        <v/>
      </c>
      <c r="E30" s="28"/>
      <c r="F30" s="25" t="n">
        <f aca="false">IF(E30="Paid",N(D30),0)</f>
        <v>0</v>
      </c>
      <c r="G30" s="25" t="n">
        <f aca="false">F30*$D$4</f>
        <v>0</v>
      </c>
      <c r="H30" s="25" t="n">
        <f aca="false">F30*$F$4</f>
        <v>0</v>
      </c>
    </row>
    <row r="31" customFormat="false" ht="15" hidden="false" customHeight="false" outlineLevel="0" collapsed="false">
      <c r="A31" s="21" t="n">
        <v>16</v>
      </c>
      <c r="B31" s="26"/>
      <c r="C31" s="21" t="str">
        <f aca="false">IF(B31="","",$D$3)</f>
        <v/>
      </c>
      <c r="D31" s="27" t="str">
        <f aca="false">IF(B31="","",$B$4)</f>
        <v/>
      </c>
      <c r="E31" s="28"/>
      <c r="F31" s="25" t="n">
        <f aca="false">IF(E31="Paid",N(D31),0)</f>
        <v>0</v>
      </c>
      <c r="G31" s="25" t="n">
        <f aca="false">F31*$D$4</f>
        <v>0</v>
      </c>
      <c r="H31" s="25" t="n">
        <f aca="false">F31*$F$4</f>
        <v>0</v>
      </c>
    </row>
    <row r="32" customFormat="false" ht="15" hidden="false" customHeight="false" outlineLevel="0" collapsed="false">
      <c r="A32" s="21" t="n">
        <v>17</v>
      </c>
      <c r="B32" s="26"/>
      <c r="C32" s="21" t="str">
        <f aca="false">IF(B32="","",$D$3)</f>
        <v/>
      </c>
      <c r="D32" s="27" t="str">
        <f aca="false">IF(B32="","",$B$4)</f>
        <v/>
      </c>
      <c r="E32" s="28"/>
      <c r="F32" s="25" t="n">
        <f aca="false">IF(E32="Paid",N(D32),0)</f>
        <v>0</v>
      </c>
      <c r="G32" s="25" t="n">
        <f aca="false">F32*$D$4</f>
        <v>0</v>
      </c>
      <c r="H32" s="25" t="n">
        <f aca="false">F32*$F$4</f>
        <v>0</v>
      </c>
    </row>
    <row r="33" customFormat="false" ht="15" hidden="false" customHeight="false" outlineLevel="0" collapsed="false">
      <c r="A33" s="21" t="n">
        <v>18</v>
      </c>
      <c r="B33" s="26"/>
      <c r="C33" s="21" t="str">
        <f aca="false">IF(B33="","",$D$3)</f>
        <v/>
      </c>
      <c r="D33" s="27" t="str">
        <f aca="false">IF(B33="","",$B$4)</f>
        <v/>
      </c>
      <c r="E33" s="28"/>
      <c r="F33" s="25" t="n">
        <f aca="false">IF(E33="Paid",N(D33),0)</f>
        <v>0</v>
      </c>
      <c r="G33" s="25" t="n">
        <f aca="false">F33*$D$4</f>
        <v>0</v>
      </c>
      <c r="H33" s="25" t="n">
        <f aca="false">F33*$F$4</f>
        <v>0</v>
      </c>
    </row>
    <row r="34" customFormat="false" ht="15" hidden="false" customHeight="false" outlineLevel="0" collapsed="false">
      <c r="A34" s="21" t="n">
        <v>19</v>
      </c>
      <c r="B34" s="26"/>
      <c r="C34" s="21" t="str">
        <f aca="false">IF(B34="","",$D$3)</f>
        <v/>
      </c>
      <c r="D34" s="27" t="str">
        <f aca="false">IF(B34="","",$B$4)</f>
        <v/>
      </c>
      <c r="E34" s="28"/>
      <c r="F34" s="25" t="n">
        <f aca="false">IF(E34="Paid",N(D34),0)</f>
        <v>0</v>
      </c>
      <c r="G34" s="25" t="n">
        <f aca="false">F34*$D$4</f>
        <v>0</v>
      </c>
      <c r="H34" s="25" t="n">
        <f aca="false">F34*$F$4</f>
        <v>0</v>
      </c>
    </row>
    <row r="35" customFormat="false" ht="15" hidden="false" customHeight="false" outlineLevel="0" collapsed="false">
      <c r="A35" s="21" t="n">
        <v>20</v>
      </c>
      <c r="B35" s="26"/>
      <c r="C35" s="21" t="str">
        <f aca="false">IF(B35="","",$D$3)</f>
        <v/>
      </c>
      <c r="D35" s="27" t="str">
        <f aca="false">IF(B35="","",$B$4)</f>
        <v/>
      </c>
      <c r="E35" s="28"/>
      <c r="F35" s="25" t="n">
        <f aca="false">IF(E35="Paid",N(D35),0)</f>
        <v>0</v>
      </c>
      <c r="G35" s="25" t="n">
        <f aca="false">F35*$D$4</f>
        <v>0</v>
      </c>
      <c r="H35" s="25" t="n">
        <f aca="false">F35*$F$4</f>
        <v>0</v>
      </c>
    </row>
    <row r="36" customFormat="false" ht="15" hidden="false" customHeight="false" outlineLevel="0" collapsed="false">
      <c r="A36" s="21" t="n">
        <v>21</v>
      </c>
      <c r="B36" s="26"/>
      <c r="C36" s="21" t="str">
        <f aca="false">IF(B36="","",$D$3)</f>
        <v/>
      </c>
      <c r="D36" s="27" t="str">
        <f aca="false">IF(B36="","",$B$4)</f>
        <v/>
      </c>
      <c r="E36" s="28"/>
      <c r="F36" s="25" t="n">
        <f aca="false">IF(E36="Paid",N(D36),0)</f>
        <v>0</v>
      </c>
      <c r="G36" s="25" t="n">
        <f aca="false">F36*$D$4</f>
        <v>0</v>
      </c>
      <c r="H36" s="25" t="n">
        <f aca="false">F36*$F$4</f>
        <v>0</v>
      </c>
    </row>
    <row r="37" customFormat="false" ht="15" hidden="false" customHeight="false" outlineLevel="0" collapsed="false">
      <c r="A37" s="21" t="n">
        <v>22</v>
      </c>
      <c r="B37" s="26"/>
      <c r="C37" s="21" t="str">
        <f aca="false">IF(B37="","",$D$3)</f>
        <v/>
      </c>
      <c r="D37" s="27" t="str">
        <f aca="false">IF(B37="","",$B$4)</f>
        <v/>
      </c>
      <c r="E37" s="28"/>
      <c r="F37" s="25" t="n">
        <f aca="false">IF(E37="Paid",N(D37),0)</f>
        <v>0</v>
      </c>
      <c r="G37" s="25" t="n">
        <f aca="false">F37*$D$4</f>
        <v>0</v>
      </c>
      <c r="H37" s="25" t="n">
        <f aca="false">F37*$F$4</f>
        <v>0</v>
      </c>
    </row>
    <row r="38" customFormat="false" ht="15" hidden="false" customHeight="false" outlineLevel="0" collapsed="false">
      <c r="A38" s="21" t="n">
        <v>23</v>
      </c>
      <c r="B38" s="26"/>
      <c r="C38" s="21" t="str">
        <f aca="false">IF(B38="","",$D$3)</f>
        <v/>
      </c>
      <c r="D38" s="27" t="str">
        <f aca="false">IF(B38="","",$B$4)</f>
        <v/>
      </c>
      <c r="E38" s="28"/>
      <c r="F38" s="25" t="n">
        <f aca="false">IF(E38="Paid",N(D38),0)</f>
        <v>0</v>
      </c>
      <c r="G38" s="25" t="n">
        <f aca="false">F38*$D$4</f>
        <v>0</v>
      </c>
      <c r="H38" s="25" t="n">
        <f aca="false">F38*$F$4</f>
        <v>0</v>
      </c>
    </row>
    <row r="39" customFormat="false" ht="15" hidden="false" customHeight="false" outlineLevel="0" collapsed="false">
      <c r="A39" s="21" t="n">
        <v>24</v>
      </c>
      <c r="B39" s="26"/>
      <c r="C39" s="21" t="str">
        <f aca="false">IF(B39="","",$D$3)</f>
        <v/>
      </c>
      <c r="D39" s="27" t="str">
        <f aca="false">IF(B39="","",$B$4)</f>
        <v/>
      </c>
      <c r="E39" s="28"/>
      <c r="F39" s="25" t="n">
        <f aca="false">IF(E39="Paid",N(D39),0)</f>
        <v>0</v>
      </c>
      <c r="G39" s="25" t="n">
        <f aca="false">F39*$D$4</f>
        <v>0</v>
      </c>
      <c r="H39" s="25" t="n">
        <f aca="false">F39*$F$4</f>
        <v>0</v>
      </c>
    </row>
    <row r="40" customFormat="false" ht="15" hidden="false" customHeight="false" outlineLevel="0" collapsed="false">
      <c r="A40" s="21" t="n">
        <v>25</v>
      </c>
      <c r="B40" s="26"/>
      <c r="C40" s="21" t="str">
        <f aca="false">IF(B40="","",$D$3)</f>
        <v/>
      </c>
      <c r="D40" s="27" t="str">
        <f aca="false">IF(B40="","",$B$4)</f>
        <v/>
      </c>
      <c r="E40" s="28"/>
      <c r="F40" s="25" t="n">
        <f aca="false">IF(E40="Paid",N(D40),0)</f>
        <v>0</v>
      </c>
      <c r="G40" s="25" t="n">
        <f aca="false">F40*$D$4</f>
        <v>0</v>
      </c>
      <c r="H40" s="25" t="n">
        <f aca="false">F40*$F$4</f>
        <v>0</v>
      </c>
    </row>
    <row r="41" customFormat="false" ht="15" hidden="false" customHeight="false" outlineLevel="0" collapsed="false">
      <c r="A41" s="21" t="n">
        <v>26</v>
      </c>
      <c r="B41" s="26"/>
      <c r="C41" s="21" t="str">
        <f aca="false">IF(B41="","",$D$3)</f>
        <v/>
      </c>
      <c r="D41" s="27" t="str">
        <f aca="false">IF(B41="","",$B$4)</f>
        <v/>
      </c>
      <c r="E41" s="28"/>
      <c r="F41" s="25" t="n">
        <f aca="false">IF(E41="Paid",N(D41),0)</f>
        <v>0</v>
      </c>
      <c r="G41" s="25" t="n">
        <f aca="false">F41*$D$4</f>
        <v>0</v>
      </c>
      <c r="H41" s="25" t="n">
        <f aca="false">F41*$F$4</f>
        <v>0</v>
      </c>
    </row>
    <row r="42" customFormat="false" ht="15" hidden="false" customHeight="false" outlineLevel="0" collapsed="false">
      <c r="A42" s="21" t="n">
        <v>27</v>
      </c>
      <c r="B42" s="26"/>
      <c r="C42" s="21" t="str">
        <f aca="false">IF(B42="","",$D$3)</f>
        <v/>
      </c>
      <c r="D42" s="27" t="str">
        <f aca="false">IF(B42="","",$B$4)</f>
        <v/>
      </c>
      <c r="E42" s="28"/>
      <c r="F42" s="25" t="n">
        <f aca="false">IF(E42="Paid",N(D42),0)</f>
        <v>0</v>
      </c>
      <c r="G42" s="25" t="n">
        <f aca="false">F42*$D$4</f>
        <v>0</v>
      </c>
      <c r="H42" s="25" t="n">
        <f aca="false">F42*$F$4</f>
        <v>0</v>
      </c>
    </row>
    <row r="43" customFormat="false" ht="15" hidden="false" customHeight="false" outlineLevel="0" collapsed="false">
      <c r="A43" s="21" t="n">
        <v>28</v>
      </c>
      <c r="B43" s="26"/>
      <c r="C43" s="21" t="str">
        <f aca="false">IF(B43="","",$D$3)</f>
        <v/>
      </c>
      <c r="D43" s="27" t="str">
        <f aca="false">IF(B43="","",$B$4)</f>
        <v/>
      </c>
      <c r="E43" s="28"/>
      <c r="F43" s="25" t="n">
        <f aca="false">IF(E43="Paid",N(D43),0)</f>
        <v>0</v>
      </c>
      <c r="G43" s="25" t="n">
        <f aca="false">F43*$D$4</f>
        <v>0</v>
      </c>
      <c r="H43" s="25" t="n">
        <f aca="false">F43*$F$4</f>
        <v>0</v>
      </c>
    </row>
    <row r="44" customFormat="false" ht="15" hidden="false" customHeight="false" outlineLevel="0" collapsed="false">
      <c r="A44" s="21" t="n">
        <v>29</v>
      </c>
      <c r="B44" s="26"/>
      <c r="C44" s="21" t="str">
        <f aca="false">IF(B44="","",$D$3)</f>
        <v/>
      </c>
      <c r="D44" s="27" t="str">
        <f aca="false">IF(B44="","",$B$4)</f>
        <v/>
      </c>
      <c r="E44" s="28"/>
      <c r="F44" s="25" t="n">
        <f aca="false">IF(E44="Paid",N(D44),0)</f>
        <v>0</v>
      </c>
      <c r="G44" s="25" t="n">
        <f aca="false">F44*$D$4</f>
        <v>0</v>
      </c>
      <c r="H44" s="25" t="n">
        <f aca="false">F44*$F$4</f>
        <v>0</v>
      </c>
    </row>
    <row r="45" customFormat="false" ht="15" hidden="false" customHeight="false" outlineLevel="0" collapsed="false">
      <c r="A45" s="21" t="n">
        <v>30</v>
      </c>
      <c r="B45" s="26"/>
      <c r="C45" s="21" t="str">
        <f aca="false">IF(B45="","",$D$3)</f>
        <v/>
      </c>
      <c r="D45" s="27" t="str">
        <f aca="false">IF(B45="","",$B$4)</f>
        <v/>
      </c>
      <c r="E45" s="28"/>
      <c r="F45" s="25" t="n">
        <f aca="false">IF(E45="Paid",N(D45),0)</f>
        <v>0</v>
      </c>
      <c r="G45" s="25" t="n">
        <f aca="false">F45*$D$4</f>
        <v>0</v>
      </c>
      <c r="H45" s="25" t="n">
        <f aca="false">F45*$F$4</f>
        <v>0</v>
      </c>
    </row>
    <row r="46" customFormat="false" ht="15" hidden="false" customHeight="false" outlineLevel="0" collapsed="false">
      <c r="A46" s="21" t="n">
        <v>31</v>
      </c>
      <c r="B46" s="26"/>
      <c r="C46" s="21" t="str">
        <f aca="false">IF(B46="","",$D$3)</f>
        <v/>
      </c>
      <c r="D46" s="27" t="str">
        <f aca="false">IF(B46="","",$B$4)</f>
        <v/>
      </c>
      <c r="E46" s="28"/>
      <c r="F46" s="25" t="n">
        <f aca="false">IF(E46="Paid",N(D46),0)</f>
        <v>0</v>
      </c>
      <c r="G46" s="25" t="n">
        <f aca="false">F46*$D$4</f>
        <v>0</v>
      </c>
      <c r="H46" s="25" t="n">
        <f aca="false">F46*$F$4</f>
        <v>0</v>
      </c>
    </row>
    <row r="47" customFormat="false" ht="15" hidden="false" customHeight="false" outlineLevel="0" collapsed="false">
      <c r="A47" s="21" t="n">
        <v>32</v>
      </c>
      <c r="B47" s="26"/>
      <c r="C47" s="21" t="str">
        <f aca="false">IF(B47="","",$D$3)</f>
        <v/>
      </c>
      <c r="D47" s="27" t="str">
        <f aca="false">IF(B47="","",$B$4)</f>
        <v/>
      </c>
      <c r="E47" s="28"/>
      <c r="F47" s="25" t="n">
        <f aca="false">IF(E47="Paid",N(D47),0)</f>
        <v>0</v>
      </c>
      <c r="G47" s="25" t="n">
        <f aca="false">F47*$D$4</f>
        <v>0</v>
      </c>
      <c r="H47" s="25" t="n">
        <f aca="false">F47*$F$4</f>
        <v>0</v>
      </c>
    </row>
    <row r="48" customFormat="false" ht="15" hidden="false" customHeight="false" outlineLevel="0" collapsed="false">
      <c r="A48" s="21" t="n">
        <v>33</v>
      </c>
      <c r="B48" s="26"/>
      <c r="C48" s="21" t="str">
        <f aca="false">IF(B48="","",$D$3)</f>
        <v/>
      </c>
      <c r="D48" s="27" t="str">
        <f aca="false">IF(B48="","",$B$4)</f>
        <v/>
      </c>
      <c r="E48" s="28"/>
      <c r="F48" s="25" t="n">
        <f aca="false">IF(E48="Paid",N(D48),0)</f>
        <v>0</v>
      </c>
      <c r="G48" s="25" t="n">
        <f aca="false">F48*$D$4</f>
        <v>0</v>
      </c>
      <c r="H48" s="25" t="n">
        <f aca="false">F48*$F$4</f>
        <v>0</v>
      </c>
    </row>
    <row r="49" customFormat="false" ht="15" hidden="false" customHeight="false" outlineLevel="0" collapsed="false">
      <c r="A49" s="21" t="n">
        <v>34</v>
      </c>
      <c r="B49" s="26"/>
      <c r="C49" s="21" t="str">
        <f aca="false">IF(B49="","",$D$3)</f>
        <v/>
      </c>
      <c r="D49" s="27" t="str">
        <f aca="false">IF(B49="","",$B$4)</f>
        <v/>
      </c>
      <c r="E49" s="28"/>
      <c r="F49" s="25" t="n">
        <f aca="false">IF(E49="Paid",N(D49),0)</f>
        <v>0</v>
      </c>
      <c r="G49" s="25" t="n">
        <f aca="false">F49*$D$4</f>
        <v>0</v>
      </c>
      <c r="H49" s="25" t="n">
        <f aca="false">F49*$F$4</f>
        <v>0</v>
      </c>
    </row>
    <row r="50" customFormat="false" ht="15" hidden="false" customHeight="false" outlineLevel="0" collapsed="false">
      <c r="A50" s="21" t="n">
        <v>35</v>
      </c>
      <c r="B50" s="26"/>
      <c r="C50" s="21" t="str">
        <f aca="false">IF(B50="","",$D$3)</f>
        <v/>
      </c>
      <c r="D50" s="27" t="str">
        <f aca="false">IF(B50="","",$B$4)</f>
        <v/>
      </c>
      <c r="E50" s="28"/>
      <c r="F50" s="25" t="n">
        <f aca="false">IF(E50="Paid",N(D50),0)</f>
        <v>0</v>
      </c>
      <c r="G50" s="25" t="n">
        <f aca="false">F50*$D$4</f>
        <v>0</v>
      </c>
      <c r="H50" s="25" t="n">
        <f aca="false">F50*$F$4</f>
        <v>0</v>
      </c>
    </row>
    <row r="51" customFormat="false" ht="15" hidden="false" customHeight="false" outlineLevel="0" collapsed="false">
      <c r="A51" s="21" t="n">
        <v>36</v>
      </c>
      <c r="B51" s="26"/>
      <c r="C51" s="21" t="str">
        <f aca="false">IF(B51="","",$D$3)</f>
        <v/>
      </c>
      <c r="D51" s="27" t="str">
        <f aca="false">IF(B51="","",$B$4)</f>
        <v/>
      </c>
      <c r="E51" s="28"/>
      <c r="F51" s="25" t="n">
        <f aca="false">IF(E51="Paid",N(D51),0)</f>
        <v>0</v>
      </c>
      <c r="G51" s="25" t="n">
        <f aca="false">F51*$D$4</f>
        <v>0</v>
      </c>
      <c r="H51" s="25" t="n">
        <f aca="false">F51*$F$4</f>
        <v>0</v>
      </c>
    </row>
    <row r="52" customFormat="false" ht="15" hidden="false" customHeight="false" outlineLevel="0" collapsed="false">
      <c r="A52" s="21" t="n">
        <v>37</v>
      </c>
      <c r="B52" s="26"/>
      <c r="C52" s="21" t="str">
        <f aca="false">IF(B52="","",$D$3)</f>
        <v/>
      </c>
      <c r="D52" s="27" t="str">
        <f aca="false">IF(B52="","",$B$4)</f>
        <v/>
      </c>
      <c r="E52" s="28"/>
      <c r="F52" s="25" t="n">
        <f aca="false">IF(E52="Paid",N(D52),0)</f>
        <v>0</v>
      </c>
      <c r="G52" s="25" t="n">
        <f aca="false">F52*$D$4</f>
        <v>0</v>
      </c>
      <c r="H52" s="25" t="n">
        <f aca="false">F52*$F$4</f>
        <v>0</v>
      </c>
    </row>
    <row r="53" customFormat="false" ht="15" hidden="false" customHeight="false" outlineLevel="0" collapsed="false">
      <c r="A53" s="21" t="n">
        <v>38</v>
      </c>
      <c r="B53" s="26"/>
      <c r="C53" s="21" t="str">
        <f aca="false">IF(B53="","",$D$3)</f>
        <v/>
      </c>
      <c r="D53" s="27" t="str">
        <f aca="false">IF(B53="","",$B$4)</f>
        <v/>
      </c>
      <c r="E53" s="28"/>
      <c r="F53" s="25" t="n">
        <f aca="false">IF(E53="Paid",N(D53),0)</f>
        <v>0</v>
      </c>
      <c r="G53" s="25" t="n">
        <f aca="false">F53*$D$4</f>
        <v>0</v>
      </c>
      <c r="H53" s="25" t="n">
        <f aca="false">F53*$F$4</f>
        <v>0</v>
      </c>
    </row>
    <row r="54" customFormat="false" ht="15" hidden="false" customHeight="false" outlineLevel="0" collapsed="false">
      <c r="A54" s="21" t="n">
        <v>39</v>
      </c>
      <c r="B54" s="26"/>
      <c r="C54" s="21" t="str">
        <f aca="false">IF(B54="","",$D$3)</f>
        <v/>
      </c>
      <c r="D54" s="27" t="str">
        <f aca="false">IF(B54="","",$B$4)</f>
        <v/>
      </c>
      <c r="E54" s="28"/>
      <c r="F54" s="25" t="n">
        <f aca="false">IF(E54="Paid",N(D54),0)</f>
        <v>0</v>
      </c>
      <c r="G54" s="25" t="n">
        <f aca="false">F54*$D$4</f>
        <v>0</v>
      </c>
      <c r="H54" s="25" t="n">
        <f aca="false">F54*$F$4</f>
        <v>0</v>
      </c>
    </row>
    <row r="55" customFormat="false" ht="15" hidden="false" customHeight="false" outlineLevel="0" collapsed="false">
      <c r="A55" s="21" t="n">
        <v>40</v>
      </c>
      <c r="B55" s="26"/>
      <c r="C55" s="21" t="str">
        <f aca="false">IF(B55="","",$D$3)</f>
        <v/>
      </c>
      <c r="D55" s="27" t="str">
        <f aca="false">IF(B55="","",$B$4)</f>
        <v/>
      </c>
      <c r="E55" s="28"/>
      <c r="F55" s="25" t="n">
        <f aca="false">IF(E55="Paid",N(D55),0)</f>
        <v>0</v>
      </c>
      <c r="G55" s="25" t="n">
        <f aca="false">F55*$D$4</f>
        <v>0</v>
      </c>
      <c r="H55" s="25" t="n">
        <f aca="false">F55*$F$4</f>
        <v>0</v>
      </c>
    </row>
    <row r="56" customFormat="false" ht="15" hidden="false" customHeight="false" outlineLevel="0" collapsed="false">
      <c r="A56" s="21" t="n">
        <v>41</v>
      </c>
      <c r="B56" s="26"/>
      <c r="C56" s="21" t="str">
        <f aca="false">IF(B56="","",$D$3)</f>
        <v/>
      </c>
      <c r="D56" s="27" t="str">
        <f aca="false">IF(B56="","",$B$4)</f>
        <v/>
      </c>
      <c r="E56" s="28"/>
      <c r="F56" s="25" t="n">
        <f aca="false">IF(E56="Paid",N(D56),0)</f>
        <v>0</v>
      </c>
      <c r="G56" s="25" t="n">
        <f aca="false">F56*$D$4</f>
        <v>0</v>
      </c>
      <c r="H56" s="25" t="n">
        <f aca="false">F56*$F$4</f>
        <v>0</v>
      </c>
    </row>
    <row r="57" customFormat="false" ht="15" hidden="false" customHeight="false" outlineLevel="0" collapsed="false">
      <c r="A57" s="21" t="n">
        <v>42</v>
      </c>
      <c r="B57" s="26"/>
      <c r="C57" s="21" t="str">
        <f aca="false">IF(B57="","",$D$3)</f>
        <v/>
      </c>
      <c r="D57" s="27" t="str">
        <f aca="false">IF(B57="","",$B$4)</f>
        <v/>
      </c>
      <c r="E57" s="28"/>
      <c r="F57" s="25" t="n">
        <f aca="false">IF(E57="Paid",N(D57),0)</f>
        <v>0</v>
      </c>
      <c r="G57" s="25" t="n">
        <f aca="false">F57*$D$4</f>
        <v>0</v>
      </c>
      <c r="H57" s="25" t="n">
        <f aca="false">F57*$F$4</f>
        <v>0</v>
      </c>
    </row>
    <row r="58" customFormat="false" ht="15" hidden="false" customHeight="false" outlineLevel="0" collapsed="false">
      <c r="A58" s="21" t="n">
        <v>43</v>
      </c>
      <c r="B58" s="26"/>
      <c r="C58" s="21" t="str">
        <f aca="false">IF(B58="","",$D$3)</f>
        <v/>
      </c>
      <c r="D58" s="27" t="str">
        <f aca="false">IF(B58="","",$B$4)</f>
        <v/>
      </c>
      <c r="E58" s="28"/>
      <c r="F58" s="25" t="n">
        <f aca="false">IF(E58="Paid",N(D58),0)</f>
        <v>0</v>
      </c>
      <c r="G58" s="25" t="n">
        <f aca="false">F58*$D$4</f>
        <v>0</v>
      </c>
      <c r="H58" s="25" t="n">
        <f aca="false">F58*$F$4</f>
        <v>0</v>
      </c>
    </row>
    <row r="59" customFormat="false" ht="15" hidden="false" customHeight="false" outlineLevel="0" collapsed="false">
      <c r="A59" s="21" t="n">
        <v>44</v>
      </c>
      <c r="B59" s="26"/>
      <c r="C59" s="21" t="str">
        <f aca="false">IF(B59="","",$D$3)</f>
        <v/>
      </c>
      <c r="D59" s="27" t="str">
        <f aca="false">IF(B59="","",$B$4)</f>
        <v/>
      </c>
      <c r="E59" s="28"/>
      <c r="F59" s="25" t="n">
        <f aca="false">IF(E59="Paid",N(D59),0)</f>
        <v>0</v>
      </c>
      <c r="G59" s="25" t="n">
        <f aca="false">F59*$D$4</f>
        <v>0</v>
      </c>
      <c r="H59" s="25" t="n">
        <f aca="false">F59*$F$4</f>
        <v>0</v>
      </c>
    </row>
    <row r="60" customFormat="false" ht="15" hidden="false" customHeight="false" outlineLevel="0" collapsed="false">
      <c r="A60" s="21" t="n">
        <v>45</v>
      </c>
      <c r="B60" s="26"/>
      <c r="C60" s="21" t="str">
        <f aca="false">IF(B60="","",$D$3)</f>
        <v/>
      </c>
      <c r="D60" s="27" t="str">
        <f aca="false">IF(B60="","",$B$4)</f>
        <v/>
      </c>
      <c r="E60" s="28"/>
      <c r="F60" s="25" t="n">
        <f aca="false">IF(E60="Paid",N(D60),0)</f>
        <v>0</v>
      </c>
      <c r="G60" s="25" t="n">
        <f aca="false">F60*$D$4</f>
        <v>0</v>
      </c>
      <c r="H60" s="25" t="n">
        <f aca="false">F60*$F$4</f>
        <v>0</v>
      </c>
    </row>
    <row r="61" customFormat="false" ht="15" hidden="false" customHeight="false" outlineLevel="0" collapsed="false">
      <c r="A61" s="21" t="n">
        <v>46</v>
      </c>
      <c r="B61" s="26"/>
      <c r="C61" s="21" t="str">
        <f aca="false">IF(B61="","",$D$3)</f>
        <v/>
      </c>
      <c r="D61" s="27" t="str">
        <f aca="false">IF(B61="","",$B$4)</f>
        <v/>
      </c>
      <c r="E61" s="28"/>
      <c r="F61" s="25" t="n">
        <f aca="false">IF(E61="Paid",N(D61),0)</f>
        <v>0</v>
      </c>
      <c r="G61" s="25" t="n">
        <f aca="false">F61*$D$4</f>
        <v>0</v>
      </c>
      <c r="H61" s="25" t="n">
        <f aca="false">F61*$F$4</f>
        <v>0</v>
      </c>
    </row>
    <row r="62" customFormat="false" ht="15" hidden="false" customHeight="false" outlineLevel="0" collapsed="false">
      <c r="A62" s="21" t="n">
        <v>47</v>
      </c>
      <c r="B62" s="26"/>
      <c r="C62" s="21" t="str">
        <f aca="false">IF(B62="","",$D$3)</f>
        <v/>
      </c>
      <c r="D62" s="27" t="str">
        <f aca="false">IF(B62="","",$B$4)</f>
        <v/>
      </c>
      <c r="E62" s="28"/>
      <c r="F62" s="25" t="n">
        <f aca="false">IF(E62="Paid",N(D62),0)</f>
        <v>0</v>
      </c>
      <c r="G62" s="25" t="n">
        <f aca="false">F62*$D$4</f>
        <v>0</v>
      </c>
      <c r="H62" s="25" t="n">
        <f aca="false">F62*$F$4</f>
        <v>0</v>
      </c>
    </row>
    <row r="63" customFormat="false" ht="15" hidden="false" customHeight="false" outlineLevel="0" collapsed="false">
      <c r="A63" s="21" t="n">
        <v>48</v>
      </c>
      <c r="B63" s="26"/>
      <c r="C63" s="21" t="str">
        <f aca="false">IF(B63="","",$D$3)</f>
        <v/>
      </c>
      <c r="D63" s="27" t="str">
        <f aca="false">IF(B63="","",$B$4)</f>
        <v/>
      </c>
      <c r="E63" s="28"/>
      <c r="F63" s="25" t="n">
        <f aca="false">IF(E63="Paid",N(D63),0)</f>
        <v>0</v>
      </c>
      <c r="G63" s="25" t="n">
        <f aca="false">F63*$D$4</f>
        <v>0</v>
      </c>
      <c r="H63" s="25" t="n">
        <f aca="false">F63*$F$4</f>
        <v>0</v>
      </c>
    </row>
    <row r="64" customFormat="false" ht="15" hidden="false" customHeight="false" outlineLevel="0" collapsed="false">
      <c r="A64" s="21" t="n">
        <v>49</v>
      </c>
      <c r="B64" s="26"/>
      <c r="C64" s="21" t="str">
        <f aca="false">IF(B64="","",$D$3)</f>
        <v/>
      </c>
      <c r="D64" s="27" t="str">
        <f aca="false">IF(B64="","",$B$4)</f>
        <v/>
      </c>
      <c r="E64" s="28"/>
      <c r="F64" s="25" t="n">
        <f aca="false">IF(E64="Paid",N(D64),0)</f>
        <v>0</v>
      </c>
      <c r="G64" s="25" t="n">
        <f aca="false">F64*$D$4</f>
        <v>0</v>
      </c>
      <c r="H64" s="25" t="n">
        <f aca="false">F64*$F$4</f>
        <v>0</v>
      </c>
    </row>
    <row r="65" customFormat="false" ht="15" hidden="false" customHeight="false" outlineLevel="0" collapsed="false">
      <c r="A65" s="21" t="n">
        <v>50</v>
      </c>
      <c r="B65" s="26"/>
      <c r="C65" s="21" t="str">
        <f aca="false">IF(B65="","",$D$3)</f>
        <v/>
      </c>
      <c r="D65" s="27" t="str">
        <f aca="false">IF(B65="","",$B$4)</f>
        <v/>
      </c>
      <c r="E65" s="28"/>
      <c r="F65" s="25" t="n">
        <f aca="false">IF(E65="Paid",N(D65),0)</f>
        <v>0</v>
      </c>
      <c r="G65" s="25" t="n">
        <f aca="false">F65*$D$4</f>
        <v>0</v>
      </c>
      <c r="H65" s="25" t="n">
        <f aca="false">F65*$F$4</f>
        <v>0</v>
      </c>
    </row>
    <row r="66" customFormat="false" ht="15" hidden="false" customHeight="false" outlineLevel="0" collapsed="false">
      <c r="A66" s="29"/>
      <c r="B66" s="30" t="s">
        <v>34</v>
      </c>
      <c r="C66" s="31"/>
      <c r="D66" s="31" t="n">
        <f aca="false">SUM(D16:D65)</f>
        <v>1500</v>
      </c>
      <c r="E66" s="31"/>
      <c r="F66" s="31" t="n">
        <f aca="false">SUM(F16:F65)</f>
        <v>1500</v>
      </c>
      <c r="G66" s="31" t="n">
        <f aca="false">SUM(G16:G65)</f>
        <v>750</v>
      </c>
      <c r="H66" s="31" t="n">
        <f aca="false">SUM(H16:H65)</f>
        <v>750</v>
      </c>
    </row>
  </sheetData>
  <mergeCells count="14">
    <mergeCell ref="A1:H1"/>
    <mergeCell ref="A2:H2"/>
    <mergeCell ref="F3:H3"/>
    <mergeCell ref="A6:C6"/>
    <mergeCell ref="E6:H6"/>
    <mergeCell ref="B7:C7"/>
    <mergeCell ref="F7:H7"/>
    <mergeCell ref="B8:C8"/>
    <mergeCell ref="F8:H8"/>
    <mergeCell ref="B9:C9"/>
    <mergeCell ref="F9:H9"/>
    <mergeCell ref="A11:H11"/>
    <mergeCell ref="F12:H12"/>
    <mergeCell ref="F13:H13"/>
  </mergeCells>
  <conditionalFormatting sqref="E16:E65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"Unpaid"</formula>
    </cfRule>
  </conditionalFormatting>
  <dataValidations count="2">
    <dataValidation allowBlank="true" errorStyle="stop" operator="between" showDropDown="false" showErrorMessage="false" showInputMessage="false" sqref="E16:E65" type="list">
      <formula1>"Paid,Unpaid"</formula1>
      <formula2>0</formula2>
    </dataValidation>
    <dataValidation allowBlank="true" errorStyle="stop" operator="between" prompt="Fixed fee is 2000. Choose 1500 or 1000 for students who pay less (or type another amount)." showDropDown="false" showErrorMessage="false" showInputMessage="true" sqref="D16:D65" type="list">
      <formula1>"2000,1500,1000"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2026-10-08T06:54:17Z</dcterms:created>
  <dc:creator>openpyxl</dc:creator>
  <dc:description/>
  <dc:language>en-US</dc:language>
  <cp:lastModifiedBy/>
  <dcterms:modified xsi:type="dcterms:W3CDTF">2026-10-08T06:54:17Z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