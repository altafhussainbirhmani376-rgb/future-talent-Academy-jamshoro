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up" sheetId="1" state="visible" r:id="rId3"/>
    <sheet name="Students" sheetId="2" state="visible" r:id="rId4"/>
    <sheet name="Oct 2026" sheetId="3" state="visible" r:id="rId5"/>
    <sheet name="Nov 2026" sheetId="4" state="visible" r:id="rId6"/>
    <sheet name="Dec 2026" sheetId="5" state="visible" r:id="rId7"/>
    <sheet name="Jan 2027" sheetId="6" state="visible" r:id="rId8"/>
    <sheet name="Feb 2027" sheetId="7" state="visible" r:id="rId9"/>
    <sheet name="Mar 2027" sheetId="8" state="visible" r:id="rId10"/>
    <sheet name="Apr 2027" sheetId="9" state="visible" r:id="rId11"/>
    <sheet name="May 2027" sheetId="10" state="visible" r:id="rId12"/>
    <sheet name="Jun 2027" sheetId="11" state="visible" r:id="rId13"/>
    <sheet name="Jul 2027" sheetId="12" state="visible" r:id="rId14"/>
    <sheet name="Aug 2027" sheetId="13" state="visible" r:id="rId15"/>
    <sheet name="Sep 2027" sheetId="14" state="visible" r:id="rId16"/>
  </sheets>
  <definedNames>
    <definedName function="false" hidden="false" localSheetId="8" name="_xlnm.Print_Titles" vbProcedure="false">'Apr 2027'!$15:$15</definedName>
    <definedName function="false" hidden="false" localSheetId="12" name="_xlnm.Print_Titles" vbProcedure="false">'Aug 2027'!$15:$15</definedName>
    <definedName function="false" hidden="false" localSheetId="4" name="_xlnm.Print_Titles" vbProcedure="false">'Dec 2026'!$15:$15</definedName>
    <definedName function="false" hidden="false" localSheetId="6" name="_xlnm.Print_Titles" vbProcedure="false">'Feb 2027'!$15:$15</definedName>
    <definedName function="false" hidden="false" localSheetId="5" name="_xlnm.Print_Titles" vbProcedure="false">'Jan 2027'!$15:$15</definedName>
    <definedName function="false" hidden="false" localSheetId="11" name="_xlnm.Print_Titles" vbProcedure="false">'Jul 2027'!$15:$15</definedName>
    <definedName function="false" hidden="false" localSheetId="10" name="_xlnm.Print_Titles" vbProcedure="false">'Jun 2027'!$15:$15</definedName>
    <definedName function="false" hidden="false" localSheetId="7" name="_xlnm.Print_Titles" vbProcedure="false">'Mar 2027'!$15:$15</definedName>
    <definedName function="false" hidden="false" localSheetId="9" name="_xlnm.Print_Titles" vbProcedure="false">'May 2027'!$15:$15</definedName>
    <definedName function="false" hidden="false" localSheetId="3" name="_xlnm.Print_Titles" vbProcedure="false">'Nov 2026'!$15:$15</definedName>
    <definedName function="false" hidden="false" localSheetId="2" name="_xlnm.Print_Titles" vbProcedure="false">'Oct 2026'!$15:$15</definedName>
    <definedName function="false" hidden="false" localSheetId="13" name="_xlnm.Print_Titles" vbProcedure="false">'Sep 2027'!$15:$15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Placeholder: type the real class name.</t>
        </r>
      </text>
    </comment>
    <comment ref="B9" authorId="0">
      <text>
        <r>
          <rPr>
            <sz val="10"/>
            <rFont val="Arial"/>
            <family val="2"/>
          </rPr>
          <t xml:space="preserve">Placeholder: type the real class name.</t>
        </r>
      </text>
    </comment>
    <comment ref="B12" authorId="0">
      <text>
        <r>
          <rPr>
            <sz val="10"/>
            <rFont val="Arial"/>
            <family val="2"/>
          </rPr>
          <t xml:space="preserve">50% to the teacher, 50% to the academy (from you).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Example fee only. Each child's fee is different: type the real amount.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  <comment ref="K15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<sst xmlns="http://schemas.openxmlformats.org/spreadsheetml/2006/main" count="454" uniqueCount="56">
  <si>
    <t xml:space="preserve">Kids Coaching — Setup</t>
  </si>
  <si>
    <t xml:space="preserve">Fill in the yellow cells once. Every month sheet uses these values.</t>
  </si>
  <si>
    <t xml:space="preserve">Academy Name</t>
  </si>
  <si>
    <t xml:space="preserve">Future Talent Academy Jamshoro</t>
  </si>
  <si>
    <t xml:space="preserve">Class 1 Name</t>
  </si>
  <si>
    <t xml:space="preserve">Kids Class 1</t>
  </si>
  <si>
    <t xml:space="preserve">Class 1 Teacher</t>
  </si>
  <si>
    <t xml:space="preserve">Miss Farzana</t>
  </si>
  <si>
    <t xml:space="preserve">Class 2 Name</t>
  </si>
  <si>
    <t xml:space="preserve">Kids Class 2</t>
  </si>
  <si>
    <t xml:space="preserve">Class 2 Teacher</t>
  </si>
  <si>
    <t xml:space="preserve">Miss Fozia</t>
  </si>
  <si>
    <t xml:space="preserve">Teacher Share</t>
  </si>
  <si>
    <t xml:space="preserve">Academy Share</t>
  </si>
  <si>
    <t xml:space="preserve">How it works</t>
  </si>
  <si>
    <t xml:space="preserve">1. Students sheet: write each child's name and their own monthly fee (fees are different for each child).</t>
  </si>
  <si>
    <t xml:space="preserve">2. Each month sheet shows both classes on the same page, side by side.</t>
  </si>
  <si>
    <t xml:space="preserve">3. Each month, type only the AMOUNT the child paid.</t>
  </si>
  <si>
    <t xml:space="preserve">4. Any unpaid fee carries forward to next month's 'Previous Due' automatically.</t>
  </si>
  <si>
    <t xml:space="preserve">5. No certificate or test fees: monthly fee only.</t>
  </si>
  <si>
    <t xml:space="preserve">Kids Coaching — Student List &amp; Monthly Fees</t>
  </si>
  <si>
    <t xml:space="preserve">Write each child's name and their monthly fee. Keep the order the same; add new children at the bottom.</t>
  </si>
  <si>
    <t xml:space="preserve">Serial No</t>
  </si>
  <si>
    <t xml:space="preserve">Student Name</t>
  </si>
  <si>
    <t xml:space="preserve">Father Name</t>
  </si>
  <si>
    <t xml:space="preserve">Monthly Fee</t>
  </si>
  <si>
    <t xml:space="preserve">Sara (example)</t>
  </si>
  <si>
    <t xml:space="preserve">Imran Ali</t>
  </si>
  <si>
    <t xml:space="preserve">Hamza (example)</t>
  </si>
  <si>
    <t xml:space="preserve">Abdul Rehman</t>
  </si>
  <si>
    <t xml:space="preserve">Future Talent Academy Jamshoro — Kids Coaching Fees: October 2026</t>
  </si>
  <si>
    <t xml:space="preserve">Yellow cells: type the amount each child paid. Previous dues come from last month automatically.</t>
  </si>
  <si>
    <t xml:space="preserve">TEACHER SECTION</t>
  </si>
  <si>
    <t xml:space="preserve">Teacher Name</t>
  </si>
  <si>
    <t xml:space="preserve">Fee Collected</t>
  </si>
  <si>
    <t xml:space="preserve">Pending Fees</t>
  </si>
  <si>
    <t xml:space="preserve">ACADEMY SECTION (both classes)</t>
  </si>
  <si>
    <t xml:space="preserve">Total Collected</t>
  </si>
  <si>
    <t xml:space="preserve">Teachers' Share</t>
  </si>
  <si>
    <t xml:space="preserve">Pending (both)</t>
  </si>
  <si>
    <t xml:space="preserve">Previous Due</t>
  </si>
  <si>
    <t xml:space="preserve">Paid</t>
  </si>
  <si>
    <t xml:space="preserve">Balance</t>
  </si>
  <si>
    <t xml:space="preserve">Status</t>
  </si>
  <si>
    <t xml:space="preserve">TOTAL</t>
  </si>
  <si>
    <t xml:space="preserve">Future Talent Academy Jamshoro — Kids Coaching Fees: November 2026</t>
  </si>
  <si>
    <t xml:space="preserve">Future Talent Academy Jamshoro — Kids Coaching Fees: December 2026</t>
  </si>
  <si>
    <t xml:space="preserve">Future Talent Academy Jamshoro — Kids Coaching Fees: January 2027</t>
  </si>
  <si>
    <t xml:space="preserve">Future Talent Academy Jamshoro — Kids Coaching Fees: February 2027</t>
  </si>
  <si>
    <t xml:space="preserve">Future Talent Academy Jamshoro — Kids Coaching Fees: March 2027</t>
  </si>
  <si>
    <t xml:space="preserve">Future Talent Academy Jamshoro — Kids Coaching Fees: April 2027</t>
  </si>
  <si>
    <t xml:space="preserve">Future Talent Academy Jamshoro — Kids Coaching Fees: May 2027</t>
  </si>
  <si>
    <t xml:space="preserve">Future Talent Academy Jamshoro — Kids Coaching Fees: June 2027</t>
  </si>
  <si>
    <t xml:space="preserve">Future Talent Academy Jamshoro — Kids Coaching Fees: July 2027</t>
  </si>
  <si>
    <t xml:space="preserve">Future Talent Academy Jamshoro — Kids Coaching Fees: August 2027</t>
  </si>
  <si>
    <t xml:space="preserve">Future Talent Academy Jamshoro — Kids Coaching Fees: September 2027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</si>
</sst>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Rs &quot;#,##0;&quot;-Rs &quot;#,##0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AD1457"/>
      <name val="Arial"/>
      <family val="0"/>
      <charset val="1"/>
    </font>
    <font>
      <b val="true"/>
      <sz val="10"/>
      <color rgb="FF00695C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AD1457"/>
        <bgColor rgb="FF993366"/>
      </patternFill>
    </fill>
    <fill>
      <patternFill patternType="solid">
        <fgColor rgb="FF00695C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6A1B9A"/>
        <bgColor rgb="FF800080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6A1B9A"/>
      <rgbColor rgb="FF00695C"/>
      <rgbColor rgb="FFC0C0C0"/>
      <rgbColor rgb="FF808080"/>
      <rgbColor rgb="FF9999FF"/>
      <rgbColor rgb="FFAD1457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</cols>
  <sheetData>
    <row r="1" customFormat="false" ht="18.55" hidden="false" customHeight="true" outlineLevel="0" collapsed="false">
      <c r="A1" s="1" t="s">
        <v>0</v>
      </c>
      <c r="B1" s="1"/>
    </row>
    <row r="2" customFormat="false" ht="35.0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9" customFormat="false" ht="15" hidden="false" customHeight="false" outlineLevel="0" collapsed="false">
      <c r="A9" s="3" t="s">
        <v>8</v>
      </c>
      <c r="B9" s="4" t="s">
        <v>9</v>
      </c>
    </row>
    <row r="10" customFormat="false" ht="15" hidden="false" customHeight="false" outlineLevel="0" collapsed="false">
      <c r="A10" s="3" t="s">
        <v>10</v>
      </c>
      <c r="B10" s="4" t="s">
        <v>11</v>
      </c>
    </row>
    <row r="12" customFormat="false" ht="15" hidden="false" customHeight="false" outlineLevel="0" collapsed="false">
      <c r="A12" s="3" t="s">
        <v>12</v>
      </c>
      <c r="B12" s="5" t="n">
        <v>0.5</v>
      </c>
    </row>
    <row r="13" customFormat="false" ht="15" hidden="false" customHeight="false" outlineLevel="0" collapsed="false">
      <c r="A13" s="3" t="s">
        <v>13</v>
      </c>
      <c r="B13" s="6" t="n">
        <f aca="false">1-B12</f>
        <v>0.5</v>
      </c>
    </row>
    <row r="15" customFormat="false" ht="15" hidden="false" customHeight="false" outlineLevel="0" collapsed="false">
      <c r="A15" s="7" t="s">
        <v>14</v>
      </c>
    </row>
    <row r="16" customFormat="false" ht="46.25" hidden="false" customHeight="false" outlineLevel="0" collapsed="false">
      <c r="A16" s="8" t="s">
        <v>15</v>
      </c>
    </row>
    <row r="17" customFormat="false" ht="35.05" hidden="false" customHeight="false" outlineLevel="0" collapsed="false">
      <c r="A17" s="8" t="s">
        <v>16</v>
      </c>
    </row>
    <row r="18" customFormat="false" ht="23.85" hidden="false" customHeight="false" outlineLevel="0" collapsed="false">
      <c r="A18" s="8" t="s">
        <v>17</v>
      </c>
    </row>
    <row r="19" customFormat="false" ht="35.05" hidden="false" customHeight="false" outlineLevel="0" collapsed="false">
      <c r="A19" s="8" t="s">
        <v>18</v>
      </c>
    </row>
    <row r="20" customFormat="false" ht="23.85" hidden="false" customHeight="false" outlineLevel="0" collapsed="false">
      <c r="A20" s="8" t="s">
        <v>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13"/>
  </cols>
  <sheetData>
    <row r="1" customFormat="false" ht="18.5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</row>
    <row r="2" customFormat="false" ht="147" hidden="false" customHeight="false" outlineLevel="0" collapsed="false">
      <c r="A2" s="2" t="s">
        <v>21</v>
      </c>
    </row>
    <row r="3" customFormat="false" ht="15" hidden="false" customHeight="false" outlineLevel="0" collapsed="false">
      <c r="A3" s="9" t="str">
        <f aca="false">Setup!B6&amp;" — "&amp;Setup!B7</f>
        <v>Kids Class 1 — Miss Farzana</v>
      </c>
      <c r="B3" s="9"/>
      <c r="C3" s="9"/>
      <c r="D3" s="9"/>
      <c r="F3" s="10" t="str">
        <f aca="false">Setup!B9&amp;" — "&amp;Setup!B10</f>
        <v>Kids Class 2 — Miss Fozia</v>
      </c>
      <c r="G3" s="10"/>
      <c r="H3" s="10"/>
      <c r="I3" s="10"/>
    </row>
    <row r="4" customFormat="false" ht="15" hidden="false" customHeight="false" outlineLevel="0" collapsed="false">
      <c r="A4" s="11" t="s">
        <v>22</v>
      </c>
      <c r="B4" s="11" t="s">
        <v>23</v>
      </c>
      <c r="C4" s="11" t="s">
        <v>24</v>
      </c>
      <c r="D4" s="11" t="s">
        <v>25</v>
      </c>
      <c r="F4" s="12" t="s">
        <v>22</v>
      </c>
      <c r="G4" s="12" t="s">
        <v>23</v>
      </c>
      <c r="H4" s="12" t="s">
        <v>24</v>
      </c>
      <c r="I4" s="12" t="s">
        <v>25</v>
      </c>
    </row>
    <row r="5" customFormat="false" ht="15" hidden="false" customHeight="false" outlineLevel="0" collapsed="false">
      <c r="A5" s="13" t="n">
        <v>1</v>
      </c>
      <c r="B5" s="14" t="s">
        <v>26</v>
      </c>
      <c r="C5" s="14" t="s">
        <v>27</v>
      </c>
      <c r="D5" s="15" t="n">
        <v>1000</v>
      </c>
      <c r="F5" s="13" t="n">
        <v>1</v>
      </c>
      <c r="G5" s="14" t="s">
        <v>28</v>
      </c>
      <c r="H5" s="14" t="s">
        <v>29</v>
      </c>
      <c r="I5" s="15" t="n">
        <v>1500</v>
      </c>
    </row>
    <row r="6" customFormat="false" ht="15" hidden="false" customHeight="false" outlineLevel="0" collapsed="false">
      <c r="A6" s="13" t="n">
        <v>2</v>
      </c>
      <c r="B6" s="14"/>
      <c r="C6" s="14"/>
      <c r="D6" s="15"/>
      <c r="F6" s="13" t="n">
        <v>2</v>
      </c>
      <c r="G6" s="14"/>
      <c r="H6" s="14"/>
      <c r="I6" s="15"/>
    </row>
    <row r="7" customFormat="false" ht="15" hidden="false" customHeight="false" outlineLevel="0" collapsed="false">
      <c r="A7" s="13" t="n">
        <v>3</v>
      </c>
      <c r="B7" s="14"/>
      <c r="C7" s="14"/>
      <c r="D7" s="15"/>
      <c r="F7" s="13" t="n">
        <v>3</v>
      </c>
      <c r="G7" s="14"/>
      <c r="H7" s="14"/>
      <c r="I7" s="15"/>
    </row>
    <row r="8" customFormat="false" ht="15" hidden="false" customHeight="false" outlineLevel="0" collapsed="false">
      <c r="A8" s="13" t="n">
        <v>4</v>
      </c>
      <c r="B8" s="14"/>
      <c r="C8" s="14"/>
      <c r="D8" s="15"/>
      <c r="F8" s="13" t="n">
        <v>4</v>
      </c>
      <c r="G8" s="14"/>
      <c r="H8" s="14"/>
      <c r="I8" s="15"/>
    </row>
    <row r="9" customFormat="false" ht="15" hidden="false" customHeight="false" outlineLevel="0" collapsed="false">
      <c r="A9" s="13" t="n">
        <v>5</v>
      </c>
      <c r="B9" s="14"/>
      <c r="C9" s="14"/>
      <c r="D9" s="15"/>
      <c r="F9" s="13" t="n">
        <v>5</v>
      </c>
      <c r="G9" s="14"/>
      <c r="H9" s="14"/>
      <c r="I9" s="15"/>
    </row>
    <row r="10" customFormat="false" ht="15" hidden="false" customHeight="false" outlineLevel="0" collapsed="false">
      <c r="A10" s="13" t="n">
        <v>6</v>
      </c>
      <c r="B10" s="14"/>
      <c r="C10" s="14"/>
      <c r="D10" s="15"/>
      <c r="F10" s="13" t="n">
        <v>6</v>
      </c>
      <c r="G10" s="14"/>
      <c r="H10" s="14"/>
      <c r="I10" s="15"/>
    </row>
    <row r="11" customFormat="false" ht="15" hidden="false" customHeight="false" outlineLevel="0" collapsed="false">
      <c r="A11" s="13" t="n">
        <v>7</v>
      </c>
      <c r="B11" s="14"/>
      <c r="C11" s="14"/>
      <c r="D11" s="15"/>
      <c r="F11" s="13" t="n">
        <v>7</v>
      </c>
      <c r="G11" s="14"/>
      <c r="H11" s="14"/>
      <c r="I11" s="15"/>
    </row>
    <row r="12" customFormat="false" ht="15" hidden="false" customHeight="false" outlineLevel="0" collapsed="false">
      <c r="A12" s="13" t="n">
        <v>8</v>
      </c>
      <c r="B12" s="14"/>
      <c r="C12" s="14"/>
      <c r="D12" s="15"/>
      <c r="F12" s="13" t="n">
        <v>8</v>
      </c>
      <c r="G12" s="14"/>
      <c r="H12" s="14"/>
      <c r="I12" s="15"/>
    </row>
    <row r="13" customFormat="false" ht="15" hidden="false" customHeight="false" outlineLevel="0" collapsed="false">
      <c r="A13" s="13" t="n">
        <v>9</v>
      </c>
      <c r="B13" s="14"/>
      <c r="C13" s="14"/>
      <c r="D13" s="15"/>
      <c r="F13" s="13" t="n">
        <v>9</v>
      </c>
      <c r="G13" s="14"/>
      <c r="H13" s="14"/>
      <c r="I13" s="15"/>
    </row>
    <row r="14" customFormat="false" ht="15" hidden="false" customHeight="false" outlineLevel="0" collapsed="false">
      <c r="A14" s="13" t="n">
        <v>10</v>
      </c>
      <c r="B14" s="14"/>
      <c r="C14" s="14"/>
      <c r="D14" s="15"/>
      <c r="F14" s="13" t="n">
        <v>10</v>
      </c>
      <c r="G14" s="14"/>
      <c r="H14" s="14"/>
      <c r="I14" s="15"/>
    </row>
    <row r="15" customFormat="false" ht="15" hidden="false" customHeight="false" outlineLevel="0" collapsed="false">
      <c r="A15" s="13" t="n">
        <v>11</v>
      </c>
      <c r="B15" s="14"/>
      <c r="C15" s="14"/>
      <c r="D15" s="15"/>
      <c r="F15" s="13" t="n">
        <v>11</v>
      </c>
      <c r="G15" s="14"/>
      <c r="H15" s="14"/>
      <c r="I15" s="15"/>
    </row>
    <row r="16" customFormat="false" ht="15" hidden="false" customHeight="false" outlineLevel="0" collapsed="false">
      <c r="A16" s="13" t="n">
        <v>12</v>
      </c>
      <c r="B16" s="14"/>
      <c r="C16" s="14"/>
      <c r="D16" s="15"/>
      <c r="F16" s="13" t="n">
        <v>12</v>
      </c>
      <c r="G16" s="14"/>
      <c r="H16" s="14"/>
      <c r="I16" s="15"/>
    </row>
    <row r="17" customFormat="false" ht="15" hidden="false" customHeight="false" outlineLevel="0" collapsed="false">
      <c r="A17" s="13" t="n">
        <v>13</v>
      </c>
      <c r="B17" s="14"/>
      <c r="C17" s="14"/>
      <c r="D17" s="15"/>
      <c r="F17" s="13" t="n">
        <v>13</v>
      </c>
      <c r="G17" s="14"/>
      <c r="H17" s="14"/>
      <c r="I17" s="15"/>
    </row>
    <row r="18" customFormat="false" ht="15" hidden="false" customHeight="false" outlineLevel="0" collapsed="false">
      <c r="A18" s="13" t="n">
        <v>14</v>
      </c>
      <c r="B18" s="14"/>
      <c r="C18" s="14"/>
      <c r="D18" s="15"/>
      <c r="F18" s="13" t="n">
        <v>14</v>
      </c>
      <c r="G18" s="14"/>
      <c r="H18" s="14"/>
      <c r="I18" s="15"/>
    </row>
    <row r="19" customFormat="false" ht="15" hidden="false" customHeight="false" outlineLevel="0" collapsed="false">
      <c r="A19" s="13" t="n">
        <v>15</v>
      </c>
      <c r="B19" s="14"/>
      <c r="C19" s="14"/>
      <c r="D19" s="15"/>
      <c r="F19" s="13" t="n">
        <v>15</v>
      </c>
      <c r="G19" s="14"/>
      <c r="H19" s="14"/>
      <c r="I19" s="15"/>
    </row>
    <row r="20" customFormat="false" ht="15" hidden="false" customHeight="false" outlineLevel="0" collapsed="false">
      <c r="A20" s="13" t="n">
        <v>16</v>
      </c>
      <c r="B20" s="14"/>
      <c r="C20" s="14"/>
      <c r="D20" s="15"/>
      <c r="F20" s="13" t="n">
        <v>16</v>
      </c>
      <c r="G20" s="14"/>
      <c r="H20" s="14"/>
      <c r="I20" s="15"/>
    </row>
    <row r="21" customFormat="false" ht="15" hidden="false" customHeight="false" outlineLevel="0" collapsed="false">
      <c r="A21" s="13" t="n">
        <v>17</v>
      </c>
      <c r="B21" s="14"/>
      <c r="C21" s="14"/>
      <c r="D21" s="15"/>
      <c r="F21" s="13" t="n">
        <v>17</v>
      </c>
      <c r="G21" s="14"/>
      <c r="H21" s="14"/>
      <c r="I21" s="15"/>
    </row>
    <row r="22" customFormat="false" ht="15" hidden="false" customHeight="false" outlineLevel="0" collapsed="false">
      <c r="A22" s="13" t="n">
        <v>18</v>
      </c>
      <c r="B22" s="14"/>
      <c r="C22" s="14"/>
      <c r="D22" s="15"/>
      <c r="F22" s="13" t="n">
        <v>18</v>
      </c>
      <c r="G22" s="14"/>
      <c r="H22" s="14"/>
      <c r="I22" s="15"/>
    </row>
    <row r="23" customFormat="false" ht="15" hidden="false" customHeight="false" outlineLevel="0" collapsed="false">
      <c r="A23" s="13" t="n">
        <v>19</v>
      </c>
      <c r="B23" s="14"/>
      <c r="C23" s="14"/>
      <c r="D23" s="15"/>
      <c r="F23" s="13" t="n">
        <v>19</v>
      </c>
      <c r="G23" s="14"/>
      <c r="H23" s="14"/>
      <c r="I23" s="15"/>
    </row>
    <row r="24" customFormat="false" ht="15" hidden="false" customHeight="false" outlineLevel="0" collapsed="false">
      <c r="A24" s="13" t="n">
        <v>20</v>
      </c>
      <c r="B24" s="14"/>
      <c r="C24" s="14"/>
      <c r="D24" s="15"/>
      <c r="F24" s="13" t="n">
        <v>20</v>
      </c>
      <c r="G24" s="14"/>
      <c r="H24" s="14"/>
      <c r="I24" s="15"/>
    </row>
    <row r="25" customFormat="false" ht="15" hidden="false" customHeight="false" outlineLevel="0" collapsed="false">
      <c r="A25" s="13" t="n">
        <v>21</v>
      </c>
      <c r="B25" s="14"/>
      <c r="C25" s="14"/>
      <c r="D25" s="15"/>
      <c r="F25" s="13" t="n">
        <v>21</v>
      </c>
      <c r="G25" s="14"/>
      <c r="H25" s="14"/>
      <c r="I25" s="15"/>
    </row>
    <row r="26" customFormat="false" ht="15" hidden="false" customHeight="false" outlineLevel="0" collapsed="false">
      <c r="A26" s="13" t="n">
        <v>22</v>
      </c>
      <c r="B26" s="14"/>
      <c r="C26" s="14"/>
      <c r="D26" s="15"/>
      <c r="F26" s="13" t="n">
        <v>22</v>
      </c>
      <c r="G26" s="14"/>
      <c r="H26" s="14"/>
      <c r="I26" s="15"/>
    </row>
    <row r="27" customFormat="false" ht="15" hidden="false" customHeight="false" outlineLevel="0" collapsed="false">
      <c r="A27" s="13" t="n">
        <v>23</v>
      </c>
      <c r="B27" s="14"/>
      <c r="C27" s="14"/>
      <c r="D27" s="15"/>
      <c r="F27" s="13" t="n">
        <v>23</v>
      </c>
      <c r="G27" s="14"/>
      <c r="H27" s="14"/>
      <c r="I27" s="15"/>
    </row>
    <row r="28" customFormat="false" ht="15" hidden="false" customHeight="false" outlineLevel="0" collapsed="false">
      <c r="A28" s="13" t="n">
        <v>24</v>
      </c>
      <c r="B28" s="14"/>
      <c r="C28" s="14"/>
      <c r="D28" s="15"/>
      <c r="F28" s="13" t="n">
        <v>24</v>
      </c>
      <c r="G28" s="14"/>
      <c r="H28" s="14"/>
      <c r="I28" s="15"/>
    </row>
    <row r="29" customFormat="false" ht="15" hidden="false" customHeight="false" outlineLevel="0" collapsed="false">
      <c r="A29" s="13" t="n">
        <v>25</v>
      </c>
      <c r="B29" s="14"/>
      <c r="C29" s="14"/>
      <c r="D29" s="15"/>
      <c r="F29" s="13" t="n">
        <v>25</v>
      </c>
      <c r="G29" s="14"/>
      <c r="H29" s="14"/>
      <c r="I29" s="15"/>
    </row>
    <row r="30" customFormat="false" ht="15" hidden="false" customHeight="false" outlineLevel="0" collapsed="false">
      <c r="A30" s="13" t="n">
        <v>26</v>
      </c>
      <c r="B30" s="14"/>
      <c r="C30" s="14"/>
      <c r="D30" s="15"/>
      <c r="F30" s="13" t="n">
        <v>26</v>
      </c>
      <c r="G30" s="14"/>
      <c r="H30" s="14"/>
      <c r="I30" s="15"/>
    </row>
    <row r="31" customFormat="false" ht="15" hidden="false" customHeight="false" outlineLevel="0" collapsed="false">
      <c r="A31" s="13" t="n">
        <v>27</v>
      </c>
      <c r="B31" s="14"/>
      <c r="C31" s="14"/>
      <c r="D31" s="15"/>
      <c r="F31" s="13" t="n">
        <v>27</v>
      </c>
      <c r="G31" s="14"/>
      <c r="H31" s="14"/>
      <c r="I31" s="15"/>
    </row>
    <row r="32" customFormat="false" ht="15" hidden="false" customHeight="false" outlineLevel="0" collapsed="false">
      <c r="A32" s="13" t="n">
        <v>28</v>
      </c>
      <c r="B32" s="14"/>
      <c r="C32" s="14"/>
      <c r="D32" s="15"/>
      <c r="F32" s="13" t="n">
        <v>28</v>
      </c>
      <c r="G32" s="14"/>
      <c r="H32" s="14"/>
      <c r="I32" s="15"/>
    </row>
    <row r="33" customFormat="false" ht="15" hidden="false" customHeight="false" outlineLevel="0" collapsed="false">
      <c r="A33" s="13" t="n">
        <v>29</v>
      </c>
      <c r="B33" s="14"/>
      <c r="C33" s="14"/>
      <c r="D33" s="15"/>
      <c r="F33" s="13" t="n">
        <v>29</v>
      </c>
      <c r="G33" s="14"/>
      <c r="H33" s="14"/>
      <c r="I33" s="15"/>
    </row>
    <row r="34" customFormat="false" ht="15" hidden="false" customHeight="false" outlineLevel="0" collapsed="false">
      <c r="A34" s="13" t="n">
        <v>30</v>
      </c>
      <c r="B34" s="14"/>
      <c r="C34" s="14"/>
      <c r="D34" s="15"/>
      <c r="F34" s="13" t="n">
        <v>30</v>
      </c>
      <c r="G34" s="14"/>
      <c r="H34" s="14"/>
      <c r="I34" s="15"/>
    </row>
    <row r="35" customFormat="false" ht="15" hidden="false" customHeight="false" outlineLevel="0" collapsed="false">
      <c r="A35" s="13" t="n">
        <v>31</v>
      </c>
      <c r="B35" s="14"/>
      <c r="C35" s="14"/>
      <c r="D35" s="15"/>
      <c r="F35" s="13" t="n">
        <v>31</v>
      </c>
      <c r="G35" s="14"/>
      <c r="H35" s="14"/>
      <c r="I35" s="15"/>
    </row>
    <row r="36" customFormat="false" ht="15" hidden="false" customHeight="false" outlineLevel="0" collapsed="false">
      <c r="A36" s="13" t="n">
        <v>32</v>
      </c>
      <c r="B36" s="14"/>
      <c r="C36" s="14"/>
      <c r="D36" s="15"/>
      <c r="F36" s="13" t="n">
        <v>32</v>
      </c>
      <c r="G36" s="14"/>
      <c r="H36" s="14"/>
      <c r="I36" s="15"/>
    </row>
    <row r="37" customFormat="false" ht="15" hidden="false" customHeight="false" outlineLevel="0" collapsed="false">
      <c r="A37" s="13" t="n">
        <v>33</v>
      </c>
      <c r="B37" s="14"/>
      <c r="C37" s="14"/>
      <c r="D37" s="15"/>
      <c r="F37" s="13" t="n">
        <v>33</v>
      </c>
      <c r="G37" s="14"/>
      <c r="H37" s="14"/>
      <c r="I37" s="15"/>
    </row>
    <row r="38" customFormat="false" ht="15" hidden="false" customHeight="false" outlineLevel="0" collapsed="false">
      <c r="A38" s="13" t="n">
        <v>34</v>
      </c>
      <c r="B38" s="14"/>
      <c r="C38" s="14"/>
      <c r="D38" s="15"/>
      <c r="F38" s="13" t="n">
        <v>34</v>
      </c>
      <c r="G38" s="14"/>
      <c r="H38" s="14"/>
      <c r="I38" s="15"/>
    </row>
    <row r="39" customFormat="false" ht="15" hidden="false" customHeight="false" outlineLevel="0" collapsed="false">
      <c r="A39" s="13" t="n">
        <v>35</v>
      </c>
      <c r="B39" s="14"/>
      <c r="C39" s="14"/>
      <c r="D39" s="15"/>
      <c r="F39" s="13" t="n">
        <v>35</v>
      </c>
      <c r="G39" s="14"/>
      <c r="H39" s="14"/>
      <c r="I39" s="15"/>
    </row>
    <row r="40" customFormat="false" ht="15" hidden="false" customHeight="false" outlineLevel="0" collapsed="false">
      <c r="A40" s="13" t="n">
        <v>36</v>
      </c>
      <c r="B40" s="14"/>
      <c r="C40" s="14"/>
      <c r="D40" s="15"/>
      <c r="F40" s="13" t="n">
        <v>36</v>
      </c>
      <c r="G40" s="14"/>
      <c r="H40" s="14"/>
      <c r="I40" s="15"/>
    </row>
    <row r="41" customFormat="false" ht="15" hidden="false" customHeight="false" outlineLevel="0" collapsed="false">
      <c r="A41" s="13" t="n">
        <v>37</v>
      </c>
      <c r="B41" s="14"/>
      <c r="C41" s="14"/>
      <c r="D41" s="15"/>
      <c r="F41" s="13" t="n">
        <v>37</v>
      </c>
      <c r="G41" s="14"/>
      <c r="H41" s="14"/>
      <c r="I41" s="15"/>
    </row>
    <row r="42" customFormat="false" ht="15" hidden="false" customHeight="false" outlineLevel="0" collapsed="false">
      <c r="A42" s="13" t="n">
        <v>38</v>
      </c>
      <c r="B42" s="14"/>
      <c r="C42" s="14"/>
      <c r="D42" s="15"/>
      <c r="F42" s="13" t="n">
        <v>38</v>
      </c>
      <c r="G42" s="14"/>
      <c r="H42" s="14"/>
      <c r="I42" s="15"/>
    </row>
    <row r="43" customFormat="false" ht="15" hidden="false" customHeight="false" outlineLevel="0" collapsed="false">
      <c r="A43" s="13" t="n">
        <v>39</v>
      </c>
      <c r="B43" s="14"/>
      <c r="C43" s="14"/>
      <c r="D43" s="15"/>
      <c r="F43" s="13" t="n">
        <v>39</v>
      </c>
      <c r="G43" s="14"/>
      <c r="H43" s="14"/>
      <c r="I43" s="15"/>
    </row>
    <row r="44" customFormat="false" ht="15" hidden="false" customHeight="false" outlineLevel="0" collapsed="false">
      <c r="A44" s="13" t="n">
        <v>40</v>
      </c>
      <c r="B44" s="14"/>
      <c r="C44" s="14"/>
      <c r="D44" s="15"/>
      <c r="F44" s="13" t="n">
        <v>40</v>
      </c>
      <c r="G44" s="14"/>
      <c r="H44" s="14"/>
      <c r="I44" s="15"/>
    </row>
    <row r="45" customFormat="false" ht="15" hidden="false" customHeight="false" outlineLevel="0" collapsed="false">
      <c r="A45" s="13" t="n">
        <v>41</v>
      </c>
      <c r="B45" s="14"/>
      <c r="C45" s="14"/>
      <c r="D45" s="15"/>
      <c r="F45" s="13" t="n">
        <v>41</v>
      </c>
      <c r="G45" s="14"/>
      <c r="H45" s="14"/>
      <c r="I45" s="15"/>
    </row>
    <row r="46" customFormat="false" ht="15" hidden="false" customHeight="false" outlineLevel="0" collapsed="false">
      <c r="A46" s="13" t="n">
        <v>42</v>
      </c>
      <c r="B46" s="14"/>
      <c r="C46" s="14"/>
      <c r="D46" s="15"/>
      <c r="F46" s="13" t="n">
        <v>42</v>
      </c>
      <c r="G46" s="14"/>
      <c r="H46" s="14"/>
      <c r="I46" s="15"/>
    </row>
    <row r="47" customFormat="false" ht="15" hidden="false" customHeight="false" outlineLevel="0" collapsed="false">
      <c r="A47" s="13" t="n">
        <v>43</v>
      </c>
      <c r="B47" s="14"/>
      <c r="C47" s="14"/>
      <c r="D47" s="15"/>
      <c r="F47" s="13" t="n">
        <v>43</v>
      </c>
      <c r="G47" s="14"/>
      <c r="H47" s="14"/>
      <c r="I47" s="15"/>
    </row>
    <row r="48" customFormat="false" ht="15" hidden="false" customHeight="false" outlineLevel="0" collapsed="false">
      <c r="A48" s="13" t="n">
        <v>44</v>
      </c>
      <c r="B48" s="14"/>
      <c r="C48" s="14"/>
      <c r="D48" s="15"/>
      <c r="F48" s="13" t="n">
        <v>44</v>
      </c>
      <c r="G48" s="14"/>
      <c r="H48" s="14"/>
      <c r="I48" s="15"/>
    </row>
    <row r="49" customFormat="false" ht="15" hidden="false" customHeight="false" outlineLevel="0" collapsed="false">
      <c r="A49" s="13" t="n">
        <v>45</v>
      </c>
      <c r="B49" s="14"/>
      <c r="C49" s="14"/>
      <c r="D49" s="15"/>
      <c r="F49" s="13" t="n">
        <v>45</v>
      </c>
      <c r="G49" s="14"/>
      <c r="H49" s="14"/>
      <c r="I49" s="15"/>
    </row>
    <row r="50" customFormat="false" ht="15" hidden="false" customHeight="false" outlineLevel="0" collapsed="false">
      <c r="A50" s="13" t="n">
        <v>46</v>
      </c>
      <c r="B50" s="14"/>
      <c r="C50" s="14"/>
      <c r="D50" s="15"/>
      <c r="F50" s="13" t="n">
        <v>46</v>
      </c>
      <c r="G50" s="14"/>
      <c r="H50" s="14"/>
      <c r="I50" s="15"/>
    </row>
    <row r="51" customFormat="false" ht="15" hidden="false" customHeight="false" outlineLevel="0" collapsed="false">
      <c r="A51" s="13" t="n">
        <v>47</v>
      </c>
      <c r="B51" s="14"/>
      <c r="C51" s="14"/>
      <c r="D51" s="15"/>
      <c r="F51" s="13" t="n">
        <v>47</v>
      </c>
      <c r="G51" s="14"/>
      <c r="H51" s="14"/>
      <c r="I51" s="15"/>
    </row>
    <row r="52" customFormat="false" ht="15" hidden="false" customHeight="false" outlineLevel="0" collapsed="false">
      <c r="A52" s="13" t="n">
        <v>48</v>
      </c>
      <c r="B52" s="14"/>
      <c r="C52" s="14"/>
      <c r="D52" s="15"/>
      <c r="F52" s="13" t="n">
        <v>48</v>
      </c>
      <c r="G52" s="14"/>
      <c r="H52" s="14"/>
      <c r="I52" s="15"/>
    </row>
    <row r="53" customFormat="false" ht="15" hidden="false" customHeight="false" outlineLevel="0" collapsed="false">
      <c r="A53" s="13" t="n">
        <v>49</v>
      </c>
      <c r="B53" s="14"/>
      <c r="C53" s="14"/>
      <c r="D53" s="15"/>
      <c r="F53" s="13" t="n">
        <v>49</v>
      </c>
      <c r="G53" s="14"/>
      <c r="H53" s="14"/>
      <c r="I53" s="15"/>
    </row>
    <row r="54" customFormat="false" ht="15" hidden="false" customHeight="false" outlineLevel="0" collapsed="false">
      <c r="A54" s="13" t="n">
        <v>50</v>
      </c>
      <c r="B54" s="14"/>
      <c r="C54" s="14"/>
      <c r="D54" s="15"/>
      <c r="F54" s="13" t="n">
        <v>50</v>
      </c>
      <c r="G54" s="14"/>
      <c r="H54" s="14"/>
      <c r="I54" s="15"/>
    </row>
  </sheetData>
  <mergeCells count="3">
    <mergeCell ref="A1:I1"/>
    <mergeCell ref="A3:D3"/>
    <mergeCell ref="F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1000</v>
      </c>
      <c r="E7" s="23"/>
      <c r="F7" s="23"/>
      <c r="G7" s="23"/>
      <c r="I7" s="3" t="s">
        <v>34</v>
      </c>
      <c r="J7" s="3"/>
      <c r="K7" s="3"/>
      <c r="L7" s="23" t="n">
        <f aca="false">M66</f>
        <v>500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500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250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500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250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0</v>
      </c>
      <c r="E10" s="25"/>
      <c r="F10" s="25"/>
      <c r="G10" s="25"/>
      <c r="I10" s="3" t="s">
        <v>35</v>
      </c>
      <c r="J10" s="3"/>
      <c r="K10" s="3"/>
      <c r="L10" s="25" t="n">
        <f aca="false">N66</f>
        <v>1000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1500</v>
      </c>
      <c r="D13" s="24"/>
      <c r="E13" s="3" t="s">
        <v>38</v>
      </c>
      <c r="F13" s="3"/>
      <c r="G13" s="24" t="n">
        <f aca="false">D8+L8</f>
        <v>750</v>
      </c>
      <c r="H13" s="24"/>
      <c r="I13" s="3" t="s">
        <v>13</v>
      </c>
      <c r="J13" s="3"/>
      <c r="K13" s="24" t="n">
        <f aca="false">D9+L9</f>
        <v>750</v>
      </c>
      <c r="L13" s="24"/>
      <c r="M13" s="3" t="s">
        <v>39</v>
      </c>
      <c r="N13" s="3"/>
      <c r="O13" s="27" t="n">
        <f aca="false">F66+N66</f>
        <v>1000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15"/>
      <c r="D16" s="29" t="n">
        <f aca="false">IF(B16="",0,N(Students!D5))</f>
        <v>1000</v>
      </c>
      <c r="E16" s="15" t="n">
        <v>1000</v>
      </c>
      <c r="F16" s="30" t="n">
        <f aca="false">N(C16)+N(D16)-N(E16)</f>
        <v>0</v>
      </c>
      <c r="G16" s="13" t="str">
        <f aca="false">IF(B16="","",IF(F16&lt;=0,"Clear",IF(N(E16)&gt;0,"Partial","Due")))</f>
        <v>Clear</v>
      </c>
      <c r="I16" s="13" t="n">
        <v>1</v>
      </c>
      <c r="J16" s="28" t="str">
        <f aca="false">IF(Students!G5="","",Students!G5)</f>
        <v>Hamza (example)</v>
      </c>
      <c r="K16" s="15"/>
      <c r="L16" s="29" t="n">
        <f aca="false">IF(J16="",0,N(Students!I5))</f>
        <v>1500</v>
      </c>
      <c r="M16" s="15" t="n">
        <v>500</v>
      </c>
      <c r="N16" s="30" t="n">
        <f aca="false">N(K16)+N(L16)-N(M16)</f>
        <v>1000</v>
      </c>
      <c r="O16" s="13" t="str">
        <f aca="false">IF(J16="","",IF(N16&lt;=0,"Clear",IF(N(M16)&gt;0,"Partial","Due")))</f>
        <v>Partial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15"/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15"/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15"/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15"/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15"/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15"/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15"/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15"/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15"/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15"/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15"/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15"/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15"/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15"/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15"/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15"/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15"/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15"/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15"/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15"/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15"/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15"/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15"/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15"/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15"/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15"/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15"/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15"/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15"/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15"/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15"/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15"/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15"/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15"/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15"/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15"/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15"/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15"/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15"/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15"/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15"/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15"/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15"/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15"/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15"/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15"/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15"/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15"/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15"/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15"/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15"/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15"/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15"/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15"/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15"/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15"/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15"/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15"/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15"/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15"/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15"/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15"/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15"/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15"/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15"/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15"/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15"/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15"/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15"/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15"/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15"/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15"/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15"/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15"/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15"/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15"/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15"/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15"/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15"/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15"/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15"/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15"/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15"/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15"/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15"/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15"/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15"/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15"/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15"/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15"/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15"/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15"/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15"/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15"/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15"/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15"/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15"/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15"/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0</v>
      </c>
      <c r="D66" s="32" t="n">
        <f aca="false">SUM(D16:D65)</f>
        <v>1000</v>
      </c>
      <c r="E66" s="32" t="n">
        <f aca="false">SUM(E16:E65)</f>
        <v>1000</v>
      </c>
      <c r="F66" s="32" t="n">
        <f aca="false">SUM(F16:F65)</f>
        <v>0</v>
      </c>
      <c r="G66" s="31" t="str">
        <f aca="false">(COUNTIF(G16:G65,"Due")+COUNTIF(G16:G65,"Partial"))&amp;" with dues"</f>
        <v>0 with dues</v>
      </c>
      <c r="I66" s="31" t="s">
        <v>44</v>
      </c>
      <c r="J66" s="31"/>
      <c r="K66" s="32" t="n">
        <f aca="false">SUM(K16:K65)</f>
        <v>0</v>
      </c>
      <c r="L66" s="32" t="n">
        <f aca="false">SUM(L16:L65)</f>
        <v>1500</v>
      </c>
      <c r="M66" s="32" t="n">
        <f aca="false">SUM(M16:M65)</f>
        <v>500</v>
      </c>
      <c r="N66" s="32" t="n">
        <f aca="false">SUM(N16:N65)</f>
        <v>1000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1000</v>
      </c>
      <c r="E10" s="25"/>
      <c r="F10" s="25"/>
      <c r="G10" s="25"/>
      <c r="I10" s="3" t="s">
        <v>35</v>
      </c>
      <c r="J10" s="3"/>
      <c r="K10" s="3"/>
      <c r="L10" s="25" t="n">
        <f aca="false">N66</f>
        <v>2500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3500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'Oct 2026'!F16</f>
        <v>0</v>
      </c>
      <c r="D16" s="29" t="n">
        <f aca="false">IF(B16="",0,N(Students!D5))</f>
        <v>1000</v>
      </c>
      <c r="E16" s="15"/>
      <c r="F16" s="30" t="n">
        <f aca="false">N(C16)+N(D16)-N(E16)</f>
        <v>1000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'Oct 2026'!N16</f>
        <v>1000</v>
      </c>
      <c r="L16" s="29" t="n">
        <f aca="false">IF(J16="",0,N(Students!I5))</f>
        <v>1500</v>
      </c>
      <c r="M16" s="15"/>
      <c r="N16" s="30" t="n">
        <f aca="false">N(K16)+N(L16)-N(M16)</f>
        <v>2500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'Oct 2026'!F17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'Oct 2026'!N17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'Oct 2026'!F18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'Oct 2026'!N18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'Oct 2026'!F19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'Oct 2026'!N19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'Oct 2026'!F20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'Oct 2026'!N20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'Oct 2026'!F21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'Oct 2026'!N21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'Oct 2026'!F22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'Oct 2026'!N22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'Oct 2026'!F23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'Oct 2026'!N23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'Oct 2026'!F24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'Oct 2026'!N24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'Oct 2026'!F25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'Oct 2026'!N25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'Oct 2026'!F26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'Oct 2026'!N26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'Oct 2026'!F27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'Oct 2026'!N27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'Oct 2026'!F28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'Oct 2026'!N28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'Oct 2026'!F29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'Oct 2026'!N29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'Oct 2026'!F30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'Oct 2026'!N30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'Oct 2026'!F31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'Oct 2026'!N31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'Oct 2026'!F32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'Oct 2026'!N32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'Oct 2026'!F33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'Oct 2026'!N33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'Oct 2026'!F34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'Oct 2026'!N34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'Oct 2026'!F35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'Oct 2026'!N35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'Oct 2026'!F36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'Oct 2026'!N36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'Oct 2026'!F37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'Oct 2026'!N37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'Oct 2026'!F38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'Oct 2026'!N38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'Oct 2026'!F39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'Oct 2026'!N39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'Oct 2026'!F40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'Oct 2026'!N40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'Oct 2026'!F41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'Oct 2026'!N41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'Oct 2026'!F42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'Oct 2026'!N42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'Oct 2026'!F43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'Oct 2026'!N43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'Oct 2026'!F44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'Oct 2026'!N44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'Oct 2026'!F45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'Oct 2026'!N45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'Oct 2026'!F46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'Oct 2026'!N46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'Oct 2026'!F47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'Oct 2026'!N47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'Oct 2026'!F48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'Oct 2026'!N48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'Oct 2026'!F49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'Oct 2026'!N49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'Oct 2026'!F50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'Oct 2026'!N50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'Oct 2026'!F51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'Oct 2026'!N51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'Oct 2026'!F52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'Oct 2026'!N52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'Oct 2026'!F53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'Oct 2026'!N53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'Oct 2026'!F54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'Oct 2026'!N54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'Oct 2026'!F55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'Oct 2026'!N55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'Oct 2026'!F56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'Oct 2026'!N56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'Oct 2026'!F57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'Oct 2026'!N57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'Oct 2026'!F58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'Oct 2026'!N58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'Oct 2026'!F59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'Oct 2026'!N59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'Oct 2026'!F60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'Oct 2026'!N60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'Oct 2026'!F61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'Oct 2026'!N61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'Oct 2026'!F62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'Oct 2026'!N62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'Oct 2026'!F63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'Oct 2026'!N63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'Oct 2026'!F64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'Oct 2026'!N64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'Oct 2026'!F65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'Oct 2026'!N65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1000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1000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2500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2000</v>
      </c>
      <c r="E10" s="25"/>
      <c r="F10" s="25"/>
      <c r="G10" s="25"/>
      <c r="I10" s="3" t="s">
        <v>35</v>
      </c>
      <c r="J10" s="3"/>
      <c r="K10" s="3"/>
      <c r="L10" s="25" t="n">
        <f aca="false">N66</f>
        <v>4000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6000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'Nov 2026'!F16</f>
        <v>1000</v>
      </c>
      <c r="D16" s="29" t="n">
        <f aca="false">IF(B16="",0,N(Students!D5))</f>
        <v>1000</v>
      </c>
      <c r="E16" s="15"/>
      <c r="F16" s="30" t="n">
        <f aca="false">N(C16)+N(D16)-N(E16)</f>
        <v>2000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'Nov 2026'!N16</f>
        <v>2500</v>
      </c>
      <c r="L16" s="29" t="n">
        <f aca="false">IF(J16="",0,N(Students!I5))</f>
        <v>1500</v>
      </c>
      <c r="M16" s="15"/>
      <c r="N16" s="30" t="n">
        <f aca="false">N(K16)+N(L16)-N(M16)</f>
        <v>4000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'Nov 2026'!F17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'Nov 2026'!N17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'Nov 2026'!F18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'Nov 2026'!N18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'Nov 2026'!F19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'Nov 2026'!N19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'Nov 2026'!F20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'Nov 2026'!N20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'Nov 2026'!F21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'Nov 2026'!N21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'Nov 2026'!F22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'Nov 2026'!N22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'Nov 2026'!F23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'Nov 2026'!N23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'Nov 2026'!F24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'Nov 2026'!N24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'Nov 2026'!F25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'Nov 2026'!N25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'Nov 2026'!F26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'Nov 2026'!N26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'Nov 2026'!F27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'Nov 2026'!N27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'Nov 2026'!F28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'Nov 2026'!N28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'Nov 2026'!F29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'Nov 2026'!N29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'Nov 2026'!F30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'Nov 2026'!N30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'Nov 2026'!F31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'Nov 2026'!N31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'Nov 2026'!F32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'Nov 2026'!N32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'Nov 2026'!F33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'Nov 2026'!N33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'Nov 2026'!F34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'Nov 2026'!N34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'Nov 2026'!F35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'Nov 2026'!N35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'Nov 2026'!F36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'Nov 2026'!N36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'Nov 2026'!F37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'Nov 2026'!N37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'Nov 2026'!F38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'Nov 2026'!N38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'Nov 2026'!F39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'Nov 2026'!N39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'Nov 2026'!F40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'Nov 2026'!N40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'Nov 2026'!F41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'Nov 2026'!N41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'Nov 2026'!F42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'Nov 2026'!N42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'Nov 2026'!F43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'Nov 2026'!N43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'Nov 2026'!F44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'Nov 2026'!N44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'Nov 2026'!F45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'Nov 2026'!N45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'Nov 2026'!F46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'Nov 2026'!N46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'Nov 2026'!F47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'Nov 2026'!N47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'Nov 2026'!F48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'Nov 2026'!N48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'Nov 2026'!F49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'Nov 2026'!N49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'Nov 2026'!F50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'Nov 2026'!N50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'Nov 2026'!F51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'Nov 2026'!N51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'Nov 2026'!F52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'Nov 2026'!N52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'Nov 2026'!F53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'Nov 2026'!N53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'Nov 2026'!F54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'Nov 2026'!N54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'Nov 2026'!F55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'Nov 2026'!N55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'Nov 2026'!F56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'Nov 2026'!N56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'Nov 2026'!F57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'Nov 2026'!N57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'Nov 2026'!F58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'Nov 2026'!N58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'Nov 2026'!F59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'Nov 2026'!N59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'Nov 2026'!F60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'Nov 2026'!N60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'Nov 2026'!F61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'Nov 2026'!N61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'Nov 2026'!F62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'Nov 2026'!N62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'Nov 2026'!F63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'Nov 2026'!N63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'Nov 2026'!F64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'Nov 2026'!N64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'Nov 2026'!F65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'Nov 2026'!N65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1000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2000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2500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4000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3000</v>
      </c>
      <c r="E10" s="25"/>
      <c r="F10" s="25"/>
      <c r="G10" s="25"/>
      <c r="I10" s="3" t="s">
        <v>35</v>
      </c>
      <c r="J10" s="3"/>
      <c r="K10" s="3"/>
      <c r="L10" s="25" t="n">
        <f aca="false">N66</f>
        <v>5500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8500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'Dec 2026'!F16</f>
        <v>2000</v>
      </c>
      <c r="D16" s="29" t="n">
        <f aca="false">IF(B16="",0,N(Students!D5))</f>
        <v>1000</v>
      </c>
      <c r="E16" s="15"/>
      <c r="F16" s="30" t="n">
        <f aca="false">N(C16)+N(D16)-N(E16)</f>
        <v>3000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'Dec 2026'!N16</f>
        <v>4000</v>
      </c>
      <c r="L16" s="29" t="n">
        <f aca="false">IF(J16="",0,N(Students!I5))</f>
        <v>1500</v>
      </c>
      <c r="M16" s="15"/>
      <c r="N16" s="30" t="n">
        <f aca="false">N(K16)+N(L16)-N(M16)</f>
        <v>5500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'Dec 2026'!F17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'Dec 2026'!N17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'Dec 2026'!F18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'Dec 2026'!N18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'Dec 2026'!F19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'Dec 2026'!N19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'Dec 2026'!F20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'Dec 2026'!N20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'Dec 2026'!F21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'Dec 2026'!N21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'Dec 2026'!F22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'Dec 2026'!N22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'Dec 2026'!F23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'Dec 2026'!N23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'Dec 2026'!F24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'Dec 2026'!N24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'Dec 2026'!F25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'Dec 2026'!N25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'Dec 2026'!F26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'Dec 2026'!N26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'Dec 2026'!F27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'Dec 2026'!N27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'Dec 2026'!F28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'Dec 2026'!N28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'Dec 2026'!F29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'Dec 2026'!N29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'Dec 2026'!F30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'Dec 2026'!N30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'Dec 2026'!F31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'Dec 2026'!N31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'Dec 2026'!F32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'Dec 2026'!N32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'Dec 2026'!F33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'Dec 2026'!N33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'Dec 2026'!F34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'Dec 2026'!N34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'Dec 2026'!F35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'Dec 2026'!N35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'Dec 2026'!F36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'Dec 2026'!N36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'Dec 2026'!F37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'Dec 2026'!N37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'Dec 2026'!F38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'Dec 2026'!N38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'Dec 2026'!F39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'Dec 2026'!N39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'Dec 2026'!F40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'Dec 2026'!N40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'Dec 2026'!F41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'Dec 2026'!N41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'Dec 2026'!F42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'Dec 2026'!N42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'Dec 2026'!F43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'Dec 2026'!N43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'Dec 2026'!F44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'Dec 2026'!N44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'Dec 2026'!F45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'Dec 2026'!N45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'Dec 2026'!F46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'Dec 2026'!N46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'Dec 2026'!F47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'Dec 2026'!N47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'Dec 2026'!F48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'Dec 2026'!N48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'Dec 2026'!F49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'Dec 2026'!N49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'Dec 2026'!F50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'Dec 2026'!N50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'Dec 2026'!F51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'Dec 2026'!N51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'Dec 2026'!F52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'Dec 2026'!N52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'Dec 2026'!F53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'Dec 2026'!N53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'Dec 2026'!F54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'Dec 2026'!N54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'Dec 2026'!F55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'Dec 2026'!N55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'Dec 2026'!F56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'Dec 2026'!N56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'Dec 2026'!F57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'Dec 2026'!N57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'Dec 2026'!F58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'Dec 2026'!N58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'Dec 2026'!F59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'Dec 2026'!N59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'Dec 2026'!F60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'Dec 2026'!N60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'Dec 2026'!F61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'Dec 2026'!N61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'Dec 2026'!F62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'Dec 2026'!N62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'Dec 2026'!F63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'Dec 2026'!N63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'Dec 2026'!F64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'Dec 2026'!N64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'Dec 2026'!F65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'Dec 2026'!N65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2000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3000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4000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5500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48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4000</v>
      </c>
      <c r="E10" s="25"/>
      <c r="F10" s="25"/>
      <c r="G10" s="25"/>
      <c r="I10" s="3" t="s">
        <v>35</v>
      </c>
      <c r="J10" s="3"/>
      <c r="K10" s="3"/>
      <c r="L10" s="25" t="n">
        <f aca="false">N66</f>
        <v>7000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11000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'Jan 2027'!F16</f>
        <v>3000</v>
      </c>
      <c r="D16" s="29" t="n">
        <f aca="false">IF(B16="",0,N(Students!D5))</f>
        <v>1000</v>
      </c>
      <c r="E16" s="15"/>
      <c r="F16" s="30" t="n">
        <f aca="false">N(C16)+N(D16)-N(E16)</f>
        <v>4000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'Jan 2027'!N16</f>
        <v>5500</v>
      </c>
      <c r="L16" s="29" t="n">
        <f aca="false">IF(J16="",0,N(Students!I5))</f>
        <v>1500</v>
      </c>
      <c r="M16" s="15"/>
      <c r="N16" s="30" t="n">
        <f aca="false">N(K16)+N(L16)-N(M16)</f>
        <v>7000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'Jan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'Jan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'Jan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'Jan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'Jan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'Jan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'Jan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'Jan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'Jan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'Jan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'Jan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'Jan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'Jan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'Jan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'Jan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'Jan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'Jan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'Jan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'Jan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'Jan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'Jan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'Jan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'Jan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'Jan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'Jan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'Jan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'Jan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'Jan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'Jan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'Jan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'Jan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'Jan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'Jan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'Jan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'Jan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'Jan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'Jan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'Jan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'Jan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'Jan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'Jan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'Jan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'Jan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'Jan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'Jan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'Jan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'Jan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'Jan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'Jan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'Jan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'Jan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'Jan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'Jan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'Jan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'Jan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'Jan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'Jan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'Jan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'Jan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'Jan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'Jan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'Jan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'Jan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'Jan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'Jan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'Jan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'Jan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'Jan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'Jan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'Jan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'Jan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'Jan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'Jan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'Jan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'Jan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'Jan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'Jan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'Jan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'Jan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'Jan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'Jan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'Jan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'Jan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'Jan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'Jan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'Jan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'Jan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'Jan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'Jan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'Jan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'Jan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'Jan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'Jan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'Jan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'Jan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'Jan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'Jan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'Jan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3000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4000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5500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7000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49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5000</v>
      </c>
      <c r="E10" s="25"/>
      <c r="F10" s="25"/>
      <c r="G10" s="25"/>
      <c r="I10" s="3" t="s">
        <v>35</v>
      </c>
      <c r="J10" s="3"/>
      <c r="K10" s="3"/>
      <c r="L10" s="25" t="n">
        <f aca="false">N66</f>
        <v>8500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13500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'Feb 2027'!F16</f>
        <v>4000</v>
      </c>
      <c r="D16" s="29" t="n">
        <f aca="false">IF(B16="",0,N(Students!D5))</f>
        <v>1000</v>
      </c>
      <c r="E16" s="15"/>
      <c r="F16" s="30" t="n">
        <f aca="false">N(C16)+N(D16)-N(E16)</f>
        <v>5000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'Feb 2027'!N16</f>
        <v>7000</v>
      </c>
      <c r="L16" s="29" t="n">
        <f aca="false">IF(J16="",0,N(Students!I5))</f>
        <v>1500</v>
      </c>
      <c r="M16" s="15"/>
      <c r="N16" s="30" t="n">
        <f aca="false">N(K16)+N(L16)-N(M16)</f>
        <v>8500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'Feb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'Feb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'Feb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'Feb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'Feb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'Feb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'Feb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'Feb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'Feb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'Feb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'Feb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'Feb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'Feb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'Feb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'Feb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'Feb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'Feb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'Feb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'Feb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'Feb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'Feb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'Feb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'Feb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'Feb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'Feb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'Feb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'Feb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'Feb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'Feb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'Feb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'Feb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'Feb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'Feb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'Feb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'Feb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'Feb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'Feb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'Feb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'Feb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'Feb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'Feb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'Feb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'Feb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'Feb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'Feb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'Feb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'Feb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'Feb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'Feb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'Feb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'Feb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'Feb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'Feb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'Feb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'Feb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'Feb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'Feb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'Feb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'Feb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'Feb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'Feb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'Feb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'Feb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'Feb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'Feb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'Feb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'Feb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'Feb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'Feb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'Feb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'Feb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'Feb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'Feb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'Feb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'Feb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'Feb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'Feb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'Feb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'Feb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'Feb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'Feb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'Feb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'Feb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'Feb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'Feb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'Feb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'Feb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'Feb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'Feb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'Feb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'Feb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'Feb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'Feb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'Feb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'Feb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'Feb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'Feb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'Feb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4000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5000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7000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8500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50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6000</v>
      </c>
      <c r="E10" s="25"/>
      <c r="F10" s="25"/>
      <c r="G10" s="25"/>
      <c r="I10" s="3" t="s">
        <v>35</v>
      </c>
      <c r="J10" s="3"/>
      <c r="K10" s="3"/>
      <c r="L10" s="25" t="n">
        <f aca="false">N66</f>
        <v>10000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16000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'Mar 2027'!F16</f>
        <v>5000</v>
      </c>
      <c r="D16" s="29" t="n">
        <f aca="false">IF(B16="",0,N(Students!D5))</f>
        <v>1000</v>
      </c>
      <c r="E16" s="15"/>
      <c r="F16" s="30" t="n">
        <f aca="false">N(C16)+N(D16)-N(E16)</f>
        <v>6000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'Mar 2027'!N16</f>
        <v>8500</v>
      </c>
      <c r="L16" s="29" t="n">
        <f aca="false">IF(J16="",0,N(Students!I5))</f>
        <v>1500</v>
      </c>
      <c r="M16" s="15"/>
      <c r="N16" s="30" t="n">
        <f aca="false">N(K16)+N(L16)-N(M16)</f>
        <v>10000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'Mar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'Mar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'Mar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'Mar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'Mar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'Mar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'Mar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'Mar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'Mar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'Mar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'Mar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'Mar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'Mar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'Mar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'Mar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'Mar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'Mar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'Mar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'Mar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'Mar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'Mar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'Mar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'Mar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'Mar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'Mar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'Mar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'Mar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'Mar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'Mar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'Mar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'Mar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'Mar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'Mar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'Mar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'Mar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'Mar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'Mar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'Mar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'Mar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'Mar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'Mar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'Mar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'Mar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'Mar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'Mar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'Mar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'Mar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'Mar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'Mar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'Mar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'Mar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'Mar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'Mar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'Mar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'Mar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'Mar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'Mar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'Mar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'Mar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'Mar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'Mar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'Mar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'Mar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'Mar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'Mar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'Mar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'Mar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'Mar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'Mar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'Mar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'Mar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'Mar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'Mar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'Mar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'Mar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'Mar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'Mar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'Mar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'Mar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'Mar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'Mar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'Mar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'Mar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'Mar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'Mar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'Mar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'Mar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'Mar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'Mar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'Mar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'Mar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'Mar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'Mar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'Mar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'Mar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'Mar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'Mar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'Mar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5000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6000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8500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10000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51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7000</v>
      </c>
      <c r="E10" s="25"/>
      <c r="F10" s="25"/>
      <c r="G10" s="25"/>
      <c r="I10" s="3" t="s">
        <v>35</v>
      </c>
      <c r="J10" s="3"/>
      <c r="K10" s="3"/>
      <c r="L10" s="25" t="n">
        <f aca="false">N66</f>
        <v>11500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18500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'Apr 2027'!F16</f>
        <v>6000</v>
      </c>
      <c r="D16" s="29" t="n">
        <f aca="false">IF(B16="",0,N(Students!D5))</f>
        <v>1000</v>
      </c>
      <c r="E16" s="15"/>
      <c r="F16" s="30" t="n">
        <f aca="false">N(C16)+N(D16)-N(E16)</f>
        <v>7000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'Apr 2027'!N16</f>
        <v>10000</v>
      </c>
      <c r="L16" s="29" t="n">
        <f aca="false">IF(J16="",0,N(Students!I5))</f>
        <v>1500</v>
      </c>
      <c r="M16" s="15"/>
      <c r="N16" s="30" t="n">
        <f aca="false">N(K16)+N(L16)-N(M16)</f>
        <v>11500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'Apr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'Apr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'Apr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'Apr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'Apr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'Apr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'Apr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'Apr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'Apr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'Apr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'Apr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'Apr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'Apr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'Apr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'Apr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'Apr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'Apr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'Apr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'Apr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'Apr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'Apr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'Apr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'Apr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'Apr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'Apr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'Apr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'Apr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'Apr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'Apr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'Apr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'Apr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'Apr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'Apr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'Apr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'Apr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'Apr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'Apr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'Apr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'Apr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'Apr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'Apr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'Apr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'Apr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'Apr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'Apr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'Apr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'Apr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'Apr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'Apr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'Apr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'Apr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'Apr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'Apr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'Apr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'Apr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'Apr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'Apr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'Apr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'Apr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'Apr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'Apr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'Apr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'Apr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'Apr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'Apr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'Apr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'Apr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'Apr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'Apr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'Apr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'Apr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'Apr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'Apr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'Apr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'Apr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'Apr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'Apr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'Apr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'Apr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'Apr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'Apr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'Apr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'Apr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'Apr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'Apr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'Apr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'Apr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'Apr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'Apr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'Apr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'Apr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'Apr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'Apr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'Apr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'Apr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'Apr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'Apr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'Apr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6000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7000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10000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11500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52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8000</v>
      </c>
      <c r="E10" s="25"/>
      <c r="F10" s="25"/>
      <c r="G10" s="25"/>
      <c r="I10" s="3" t="s">
        <v>35</v>
      </c>
      <c r="J10" s="3"/>
      <c r="K10" s="3"/>
      <c r="L10" s="25" t="n">
        <f aca="false">N66</f>
        <v>13000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21000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'May 2027'!F16</f>
        <v>7000</v>
      </c>
      <c r="D16" s="29" t="n">
        <f aca="false">IF(B16="",0,N(Students!D5))</f>
        <v>1000</v>
      </c>
      <c r="E16" s="15"/>
      <c r="F16" s="30" t="n">
        <f aca="false">N(C16)+N(D16)-N(E16)</f>
        <v>8000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'May 2027'!N16</f>
        <v>11500</v>
      </c>
      <c r="L16" s="29" t="n">
        <f aca="false">IF(J16="",0,N(Students!I5))</f>
        <v>1500</v>
      </c>
      <c r="M16" s="15"/>
      <c r="N16" s="30" t="n">
        <f aca="false">N(K16)+N(L16)-N(M16)</f>
        <v>13000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'May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'May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'May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'May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'May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'May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'May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'May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'May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'May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'May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'May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'May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'May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'May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'May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'May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'May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'May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'May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'May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'May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'May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'May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'May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'May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'May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'May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'May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'May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'May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'May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'May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'May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'May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'May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'May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'May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'May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'May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'May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'May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'May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'May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'May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'May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'May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'May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'May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'May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'May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'May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'May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'May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'May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'May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'May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'May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'May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'May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'May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'May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'May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'May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'May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'May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'May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'May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'May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'May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'May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'May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'May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'May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'May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'May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'May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'May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'May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'May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'May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'May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'May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'May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'May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'May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'May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'May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'May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'May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'May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'May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'May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'May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'May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'May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'May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'May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7000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8000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11500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13000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9000</v>
      </c>
      <c r="E10" s="25"/>
      <c r="F10" s="25"/>
      <c r="G10" s="25"/>
      <c r="I10" s="3" t="s">
        <v>35</v>
      </c>
      <c r="J10" s="3"/>
      <c r="K10" s="3"/>
      <c r="L10" s="25" t="n">
        <f aca="false">N66</f>
        <v>14500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23500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'Jun 2027'!F16</f>
        <v>8000</v>
      </c>
      <c r="D16" s="29" t="n">
        <f aca="false">IF(B16="",0,N(Students!D5))</f>
        <v>1000</v>
      </c>
      <c r="E16" s="15"/>
      <c r="F16" s="30" t="n">
        <f aca="false">N(C16)+N(D16)-N(E16)</f>
        <v>9000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'Jun 2027'!N16</f>
        <v>13000</v>
      </c>
      <c r="L16" s="29" t="n">
        <f aca="false">IF(J16="",0,N(Students!I5))</f>
        <v>1500</v>
      </c>
      <c r="M16" s="15"/>
      <c r="N16" s="30" t="n">
        <f aca="false">N(K16)+N(L16)-N(M16)</f>
        <v>14500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'Jun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'Jun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'Jun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'Jun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'Jun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'Jun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'Jun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'Jun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'Jun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'Jun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'Jun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'Jun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'Jun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'Jun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'Jun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'Jun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'Jun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'Jun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'Jun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'Jun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'Jun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'Jun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'Jun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'Jun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'Jun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'Jun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'Jun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'Jun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'Jun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'Jun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'Jun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'Jun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'Jun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'Jun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'Jun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'Jun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'Jun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'Jun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'Jun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'Jun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'Jun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'Jun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'Jun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'Jun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'Jun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'Jun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'Jun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'Jun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'Jun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'Jun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'Jun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'Jun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'Jun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'Jun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'Jun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'Jun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'Jun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'Jun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'Jun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'Jun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'Jun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'Jun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'Jun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'Jun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'Jun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'Jun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'Jun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'Jun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'Jun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'Jun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'Jun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'Jun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'Jun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'Jun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'Jun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'Jun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'Jun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'Jun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'Jun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'Jun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'Jun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'Jun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'Jun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'Jun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'Jun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'Jun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'Jun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'Jun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'Jun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'Jun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'Jun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'Jun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'Jun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'Jun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'Jun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'Jun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'Jun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'Jun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8000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9000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13000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14500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54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10000</v>
      </c>
      <c r="E10" s="25"/>
      <c r="F10" s="25"/>
      <c r="G10" s="25"/>
      <c r="I10" s="3" t="s">
        <v>35</v>
      </c>
      <c r="J10" s="3"/>
      <c r="K10" s="3"/>
      <c r="L10" s="25" t="n">
        <f aca="false">N66</f>
        <v>16000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26000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'Jul 2027'!F16</f>
        <v>9000</v>
      </c>
      <c r="D16" s="29" t="n">
        <f aca="false">IF(B16="",0,N(Students!D5))</f>
        <v>1000</v>
      </c>
      <c r="E16" s="15"/>
      <c r="F16" s="30" t="n">
        <f aca="false">N(C16)+N(D16)-N(E16)</f>
        <v>10000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'Jul 2027'!N16</f>
        <v>14500</v>
      </c>
      <c r="L16" s="29" t="n">
        <f aca="false">IF(J16="",0,N(Students!I5))</f>
        <v>1500</v>
      </c>
      <c r="M16" s="15"/>
      <c r="N16" s="30" t="n">
        <f aca="false">N(K16)+N(L16)-N(M16)</f>
        <v>16000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'Jul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'Jul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'Jul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'Jul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'Jul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'Jul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'Jul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'Jul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'Jul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'Jul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'Jul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'Jul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'Jul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'Jul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'Jul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'Jul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'Jul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'Jul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'Jul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'Jul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'Jul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'Jul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'Jul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'Jul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'Jul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'Jul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'Jul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'Jul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'Jul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'Jul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'Jul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'Jul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'Jul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'Jul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'Jul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'Jul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'Jul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'Jul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'Jul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'Jul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'Jul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'Jul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'Jul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'Jul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'Jul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'Jul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'Jul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'Jul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'Jul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'Jul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'Jul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'Jul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'Jul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'Jul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'Jul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'Jul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'Jul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'Jul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'Jul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'Jul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'Jul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'Jul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'Jul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'Jul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'Jul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'Jul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'Jul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'Jul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'Jul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'Jul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'Jul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'Jul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'Jul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'Jul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'Jul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'Jul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'Jul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'Jul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'Jul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'Jul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'Jul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'Jul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'Jul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'Jul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'Jul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'Jul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'Jul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'Jul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'Jul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'Jul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'Jul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'Jul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'Jul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'Jul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'Jul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'Jul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'Jul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'Jul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9000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10000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14500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16000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true" outlineLevel="0" collapsed="false">
      <c r="A1" s="16" t="s">
        <v>55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" hidden="false" customHeight="true" outlineLevel="0" collapsed="false">
      <c r="A2" s="17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customFormat="false" ht="15" hidden="false" customHeight="false" outlineLevel="0" collapsed="false">
      <c r="A4" s="18" t="str">
        <f aca="false">UPPER(Setup!B6)</f>
        <v>KIDS CLASS 1</v>
      </c>
      <c r="B4" s="18"/>
      <c r="C4" s="18"/>
      <c r="D4" s="18"/>
      <c r="E4" s="18"/>
      <c r="F4" s="18"/>
      <c r="G4" s="18"/>
      <c r="I4" s="19" t="str">
        <f aca="false">UPPER(Setup!B9)</f>
        <v>KIDS CLASS 2</v>
      </c>
      <c r="J4" s="19"/>
      <c r="K4" s="19"/>
      <c r="L4" s="19"/>
      <c r="M4" s="19"/>
      <c r="N4" s="19"/>
      <c r="O4" s="19"/>
    </row>
    <row r="5" customFormat="false" ht="15" hidden="false" customHeight="true" outlineLevel="0" collapsed="false">
      <c r="A5" s="20" t="s">
        <v>32</v>
      </c>
      <c r="B5" s="20"/>
      <c r="C5" s="20"/>
      <c r="D5" s="20"/>
      <c r="E5" s="20"/>
      <c r="F5" s="20"/>
      <c r="G5" s="20"/>
      <c r="I5" s="21" t="s">
        <v>32</v>
      </c>
      <c r="J5" s="21"/>
      <c r="K5" s="21"/>
      <c r="L5" s="21"/>
      <c r="M5" s="21"/>
      <c r="N5" s="21"/>
      <c r="O5" s="21"/>
    </row>
    <row r="6" customFormat="false" ht="15" hidden="false" customHeight="true" outlineLevel="0" collapsed="false">
      <c r="A6" s="3" t="s">
        <v>33</v>
      </c>
      <c r="B6" s="3"/>
      <c r="C6" s="3"/>
      <c r="D6" s="22" t="str">
        <f aca="false">Setup!B7</f>
        <v>Miss Farzana</v>
      </c>
      <c r="E6" s="22"/>
      <c r="F6" s="22"/>
      <c r="G6" s="22"/>
      <c r="I6" s="3" t="s">
        <v>33</v>
      </c>
      <c r="J6" s="3"/>
      <c r="K6" s="3"/>
      <c r="L6" s="22" t="str">
        <f aca="false">Setup!B10</f>
        <v>Miss Fozia</v>
      </c>
      <c r="M6" s="22"/>
      <c r="N6" s="22"/>
      <c r="O6" s="22"/>
    </row>
    <row r="7" customFormat="false" ht="15" hidden="false" customHeight="true" outlineLevel="0" collapsed="false">
      <c r="A7" s="3" t="s">
        <v>34</v>
      </c>
      <c r="B7" s="3"/>
      <c r="C7" s="3"/>
      <c r="D7" s="23" t="n">
        <f aca="false">E66</f>
        <v>0</v>
      </c>
      <c r="E7" s="23"/>
      <c r="F7" s="23"/>
      <c r="G7" s="23"/>
      <c r="I7" s="3" t="s">
        <v>34</v>
      </c>
      <c r="J7" s="3"/>
      <c r="K7" s="3"/>
      <c r="L7" s="23" t="n">
        <f aca="false">M66</f>
        <v>0</v>
      </c>
      <c r="M7" s="23"/>
      <c r="N7" s="23"/>
      <c r="O7" s="23"/>
    </row>
    <row r="8" customFormat="false" ht="15" hidden="false" customHeight="true" outlineLevel="0" collapsed="false">
      <c r="A8" s="3" t="s">
        <v>12</v>
      </c>
      <c r="B8" s="3"/>
      <c r="C8" s="3"/>
      <c r="D8" s="24" t="n">
        <f aca="false">E66*Setup!$B$12</f>
        <v>0</v>
      </c>
      <c r="E8" s="24"/>
      <c r="F8" s="24"/>
      <c r="G8" s="24"/>
      <c r="I8" s="3" t="s">
        <v>12</v>
      </c>
      <c r="J8" s="3"/>
      <c r="K8" s="3"/>
      <c r="L8" s="24" t="n">
        <f aca="false">M66*Setup!$B$12</f>
        <v>0</v>
      </c>
      <c r="M8" s="24"/>
      <c r="N8" s="24"/>
      <c r="O8" s="24"/>
    </row>
    <row r="9" customFormat="false" ht="15" hidden="false" customHeight="true" outlineLevel="0" collapsed="false">
      <c r="A9" s="3" t="s">
        <v>13</v>
      </c>
      <c r="B9" s="3"/>
      <c r="C9" s="3"/>
      <c r="D9" s="24" t="n">
        <f aca="false">E66*Setup!$B$13</f>
        <v>0</v>
      </c>
      <c r="E9" s="24"/>
      <c r="F9" s="24"/>
      <c r="G9" s="24"/>
      <c r="I9" s="3" t="s">
        <v>13</v>
      </c>
      <c r="J9" s="3"/>
      <c r="K9" s="3"/>
      <c r="L9" s="24" t="n">
        <f aca="false">M66*Setup!$B$13</f>
        <v>0</v>
      </c>
      <c r="M9" s="24"/>
      <c r="N9" s="24"/>
      <c r="O9" s="24"/>
    </row>
    <row r="10" customFormat="false" ht="15" hidden="false" customHeight="true" outlineLevel="0" collapsed="false">
      <c r="A10" s="3" t="s">
        <v>35</v>
      </c>
      <c r="B10" s="3"/>
      <c r="C10" s="3"/>
      <c r="D10" s="25" t="n">
        <f aca="false">F66</f>
        <v>11000</v>
      </c>
      <c r="E10" s="25"/>
      <c r="F10" s="25"/>
      <c r="G10" s="25"/>
      <c r="I10" s="3" t="s">
        <v>35</v>
      </c>
      <c r="J10" s="3"/>
      <c r="K10" s="3"/>
      <c r="L10" s="25" t="n">
        <f aca="false">N66</f>
        <v>17500</v>
      </c>
      <c r="M10" s="25"/>
      <c r="N10" s="25"/>
      <c r="O10" s="25"/>
    </row>
    <row r="12" customFormat="false" ht="15" hidden="false" customHeight="true" outlineLevel="0" collapsed="false">
      <c r="A12" s="26" t="s">
        <v>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5" hidden="false" customHeight="true" outlineLevel="0" collapsed="false">
      <c r="A13" s="3" t="s">
        <v>37</v>
      </c>
      <c r="B13" s="3"/>
      <c r="C13" s="24" t="n">
        <f aca="false">E66+M66</f>
        <v>0</v>
      </c>
      <c r="D13" s="24"/>
      <c r="E13" s="3" t="s">
        <v>38</v>
      </c>
      <c r="F13" s="3"/>
      <c r="G13" s="24" t="n">
        <f aca="false">D8+L8</f>
        <v>0</v>
      </c>
      <c r="H13" s="24"/>
      <c r="I13" s="3" t="s">
        <v>13</v>
      </c>
      <c r="J13" s="3"/>
      <c r="K13" s="24" t="n">
        <f aca="false">D9+L9</f>
        <v>0</v>
      </c>
      <c r="L13" s="24"/>
      <c r="M13" s="3" t="s">
        <v>39</v>
      </c>
      <c r="N13" s="3"/>
      <c r="O13" s="27" t="n">
        <f aca="false">F66+N66</f>
        <v>28500</v>
      </c>
    </row>
    <row r="15" customFormat="false" ht="30" hidden="false" customHeight="true" outlineLevel="0" collapsed="false">
      <c r="A15" s="11" t="s">
        <v>22</v>
      </c>
      <c r="B15" s="11" t="s">
        <v>23</v>
      </c>
      <c r="C15" s="11" t="s">
        <v>40</v>
      </c>
      <c r="D15" s="11" t="s">
        <v>25</v>
      </c>
      <c r="E15" s="11" t="s">
        <v>41</v>
      </c>
      <c r="F15" s="11" t="s">
        <v>42</v>
      </c>
      <c r="G15" s="11" t="s">
        <v>43</v>
      </c>
      <c r="I15" s="12" t="s">
        <v>22</v>
      </c>
      <c r="J15" s="12" t="s">
        <v>23</v>
      </c>
      <c r="K15" s="12" t="s">
        <v>40</v>
      </c>
      <c r="L15" s="12" t="s">
        <v>25</v>
      </c>
      <c r="M15" s="12" t="s">
        <v>41</v>
      </c>
      <c r="N15" s="12" t="s">
        <v>42</v>
      </c>
      <c r="O15" s="12" t="s">
        <v>43</v>
      </c>
    </row>
    <row r="16" customFormat="false" ht="15" hidden="false" customHeight="false" outlineLevel="0" collapsed="false">
      <c r="A16" s="13" t="n">
        <v>1</v>
      </c>
      <c r="B16" s="28" t="str">
        <f aca="false">IF(Students!B5="","",Students!B5)</f>
        <v>Sara (example)</v>
      </c>
      <c r="C16" s="29" t="n">
        <f aca="false">'Aug 2027'!F16</f>
        <v>10000</v>
      </c>
      <c r="D16" s="29" t="n">
        <f aca="false">IF(B16="",0,N(Students!D5))</f>
        <v>1000</v>
      </c>
      <c r="E16" s="15"/>
      <c r="F16" s="30" t="n">
        <f aca="false">N(C16)+N(D16)-N(E16)</f>
        <v>11000</v>
      </c>
      <c r="G16" s="13" t="str">
        <f aca="false">IF(B16="","",IF(F16&lt;=0,"Clear",IF(N(E16)&gt;0,"Partial","Due")))</f>
        <v>Due</v>
      </c>
      <c r="I16" s="13" t="n">
        <v>1</v>
      </c>
      <c r="J16" s="28" t="str">
        <f aca="false">IF(Students!G5="","",Students!G5)</f>
        <v>Hamza (example)</v>
      </c>
      <c r="K16" s="29" t="n">
        <f aca="false">'Aug 2027'!N16</f>
        <v>16000</v>
      </c>
      <c r="L16" s="29" t="n">
        <f aca="false">IF(J16="",0,N(Students!I5))</f>
        <v>1500</v>
      </c>
      <c r="M16" s="15"/>
      <c r="N16" s="30" t="n">
        <f aca="false">N(K16)+N(L16)-N(M16)</f>
        <v>17500</v>
      </c>
      <c r="O16" s="13" t="str">
        <f aca="false">IF(J16="","",IF(N16&lt;=0,"Clear",IF(N(M16)&gt;0,"Partial","Due")))</f>
        <v>Due</v>
      </c>
    </row>
    <row r="17" customFormat="false" ht="15" hidden="false" customHeight="false" outlineLevel="0" collapsed="false">
      <c r="A17" s="13" t="n">
        <v>2</v>
      </c>
      <c r="B17" s="28" t="str">
        <f aca="false">IF(Students!B6="","",Students!B6)</f>
        <v/>
      </c>
      <c r="C17" s="29" t="n">
        <f aca="false">'Aug 2027'!F17</f>
        <v>0</v>
      </c>
      <c r="D17" s="29" t="n">
        <f aca="false">IF(B17="",0,N(Students!D6))</f>
        <v>0</v>
      </c>
      <c r="E17" s="15"/>
      <c r="F17" s="30" t="n">
        <f aca="false">N(C17)+N(D17)-N(E17)</f>
        <v>0</v>
      </c>
      <c r="G17" s="13" t="str">
        <f aca="false">IF(B17="","",IF(F17&lt;=0,"Clear",IF(N(E17)&gt;0,"Partial","Due")))</f>
        <v/>
      </c>
      <c r="I17" s="13" t="n">
        <v>2</v>
      </c>
      <c r="J17" s="28" t="str">
        <f aca="false">IF(Students!G6="","",Students!G6)</f>
        <v/>
      </c>
      <c r="K17" s="29" t="n">
        <f aca="false">'Aug 2027'!N17</f>
        <v>0</v>
      </c>
      <c r="L17" s="29" t="n">
        <f aca="false">IF(J17="",0,N(Students!I6))</f>
        <v>0</v>
      </c>
      <c r="M17" s="15"/>
      <c r="N17" s="30" t="n">
        <f aca="false">N(K17)+N(L17)-N(M17)</f>
        <v>0</v>
      </c>
      <c r="O17" s="13" t="str">
        <f aca="false">IF(J17="","",IF(N17&lt;=0,"Clear",IF(N(M17)&gt;0,"Partial","Due")))</f>
        <v/>
      </c>
    </row>
    <row r="18" customFormat="false" ht="15" hidden="false" customHeight="false" outlineLevel="0" collapsed="false">
      <c r="A18" s="13" t="n">
        <v>3</v>
      </c>
      <c r="B18" s="28" t="str">
        <f aca="false">IF(Students!B7="","",Students!B7)</f>
        <v/>
      </c>
      <c r="C18" s="29" t="n">
        <f aca="false">'Aug 2027'!F18</f>
        <v>0</v>
      </c>
      <c r="D18" s="29" t="n">
        <f aca="false">IF(B18="",0,N(Students!D7))</f>
        <v>0</v>
      </c>
      <c r="E18" s="15"/>
      <c r="F18" s="30" t="n">
        <f aca="false">N(C18)+N(D18)-N(E18)</f>
        <v>0</v>
      </c>
      <c r="G18" s="13" t="str">
        <f aca="false">IF(B18="","",IF(F18&lt;=0,"Clear",IF(N(E18)&gt;0,"Partial","Due")))</f>
        <v/>
      </c>
      <c r="I18" s="13" t="n">
        <v>3</v>
      </c>
      <c r="J18" s="28" t="str">
        <f aca="false">IF(Students!G7="","",Students!G7)</f>
        <v/>
      </c>
      <c r="K18" s="29" t="n">
        <f aca="false">'Aug 2027'!N18</f>
        <v>0</v>
      </c>
      <c r="L18" s="29" t="n">
        <f aca="false">IF(J18="",0,N(Students!I7))</f>
        <v>0</v>
      </c>
      <c r="M18" s="15"/>
      <c r="N18" s="30" t="n">
        <f aca="false">N(K18)+N(L18)-N(M18)</f>
        <v>0</v>
      </c>
      <c r="O18" s="13" t="str">
        <f aca="false">IF(J18="","",IF(N18&lt;=0,"Clear",IF(N(M18)&gt;0,"Partial","Due")))</f>
        <v/>
      </c>
    </row>
    <row r="19" customFormat="false" ht="15" hidden="false" customHeight="false" outlineLevel="0" collapsed="false">
      <c r="A19" s="13" t="n">
        <v>4</v>
      </c>
      <c r="B19" s="28" t="str">
        <f aca="false">IF(Students!B8="","",Students!B8)</f>
        <v/>
      </c>
      <c r="C19" s="29" t="n">
        <f aca="false">'Aug 2027'!F19</f>
        <v>0</v>
      </c>
      <c r="D19" s="29" t="n">
        <f aca="false">IF(B19="",0,N(Students!D8))</f>
        <v>0</v>
      </c>
      <c r="E19" s="15"/>
      <c r="F19" s="30" t="n">
        <f aca="false">N(C19)+N(D19)-N(E19)</f>
        <v>0</v>
      </c>
      <c r="G19" s="13" t="str">
        <f aca="false">IF(B19="","",IF(F19&lt;=0,"Clear",IF(N(E19)&gt;0,"Partial","Due")))</f>
        <v/>
      </c>
      <c r="I19" s="13" t="n">
        <v>4</v>
      </c>
      <c r="J19" s="28" t="str">
        <f aca="false">IF(Students!G8="","",Students!G8)</f>
        <v/>
      </c>
      <c r="K19" s="29" t="n">
        <f aca="false">'Aug 2027'!N19</f>
        <v>0</v>
      </c>
      <c r="L19" s="29" t="n">
        <f aca="false">IF(J19="",0,N(Students!I8))</f>
        <v>0</v>
      </c>
      <c r="M19" s="15"/>
      <c r="N19" s="30" t="n">
        <f aca="false">N(K19)+N(L19)-N(M19)</f>
        <v>0</v>
      </c>
      <c r="O19" s="13" t="str">
        <f aca="false">IF(J19="","",IF(N19&lt;=0,"Clear",IF(N(M19)&gt;0,"Partial","Due")))</f>
        <v/>
      </c>
    </row>
    <row r="20" customFormat="false" ht="15" hidden="false" customHeight="false" outlineLevel="0" collapsed="false">
      <c r="A20" s="13" t="n">
        <v>5</v>
      </c>
      <c r="B20" s="28" t="str">
        <f aca="false">IF(Students!B9="","",Students!B9)</f>
        <v/>
      </c>
      <c r="C20" s="29" t="n">
        <f aca="false">'Aug 2027'!F20</f>
        <v>0</v>
      </c>
      <c r="D20" s="29" t="n">
        <f aca="false">IF(B20="",0,N(Students!D9))</f>
        <v>0</v>
      </c>
      <c r="E20" s="15"/>
      <c r="F20" s="30" t="n">
        <f aca="false">N(C20)+N(D20)-N(E20)</f>
        <v>0</v>
      </c>
      <c r="G20" s="13" t="str">
        <f aca="false">IF(B20="","",IF(F20&lt;=0,"Clear",IF(N(E20)&gt;0,"Partial","Due")))</f>
        <v/>
      </c>
      <c r="I20" s="13" t="n">
        <v>5</v>
      </c>
      <c r="J20" s="28" t="str">
        <f aca="false">IF(Students!G9="","",Students!G9)</f>
        <v/>
      </c>
      <c r="K20" s="29" t="n">
        <f aca="false">'Aug 2027'!N20</f>
        <v>0</v>
      </c>
      <c r="L20" s="29" t="n">
        <f aca="false">IF(J20="",0,N(Students!I9))</f>
        <v>0</v>
      </c>
      <c r="M20" s="15"/>
      <c r="N20" s="30" t="n">
        <f aca="false">N(K20)+N(L20)-N(M20)</f>
        <v>0</v>
      </c>
      <c r="O20" s="13" t="str">
        <f aca="false">IF(J20="","",IF(N20&lt;=0,"Clear",IF(N(M20)&gt;0,"Partial","Due")))</f>
        <v/>
      </c>
    </row>
    <row r="21" customFormat="false" ht="15" hidden="false" customHeight="false" outlineLevel="0" collapsed="false">
      <c r="A21" s="13" t="n">
        <v>6</v>
      </c>
      <c r="B21" s="28" t="str">
        <f aca="false">IF(Students!B10="","",Students!B10)</f>
        <v/>
      </c>
      <c r="C21" s="29" t="n">
        <f aca="false">'Aug 2027'!F21</f>
        <v>0</v>
      </c>
      <c r="D21" s="29" t="n">
        <f aca="false">IF(B21="",0,N(Students!D10))</f>
        <v>0</v>
      </c>
      <c r="E21" s="15"/>
      <c r="F21" s="30" t="n">
        <f aca="false">N(C21)+N(D21)-N(E21)</f>
        <v>0</v>
      </c>
      <c r="G21" s="13" t="str">
        <f aca="false">IF(B21="","",IF(F21&lt;=0,"Clear",IF(N(E21)&gt;0,"Partial","Due")))</f>
        <v/>
      </c>
      <c r="I21" s="13" t="n">
        <v>6</v>
      </c>
      <c r="J21" s="28" t="str">
        <f aca="false">IF(Students!G10="","",Students!G10)</f>
        <v/>
      </c>
      <c r="K21" s="29" t="n">
        <f aca="false">'Aug 2027'!N21</f>
        <v>0</v>
      </c>
      <c r="L21" s="29" t="n">
        <f aca="false">IF(J21="",0,N(Students!I10))</f>
        <v>0</v>
      </c>
      <c r="M21" s="15"/>
      <c r="N21" s="30" t="n">
        <f aca="false">N(K21)+N(L21)-N(M21)</f>
        <v>0</v>
      </c>
      <c r="O21" s="13" t="str">
        <f aca="false">IF(J21="","",IF(N21&lt;=0,"Clear",IF(N(M21)&gt;0,"Partial","Due")))</f>
        <v/>
      </c>
    </row>
    <row r="22" customFormat="false" ht="15" hidden="false" customHeight="false" outlineLevel="0" collapsed="false">
      <c r="A22" s="13" t="n">
        <v>7</v>
      </c>
      <c r="B22" s="28" t="str">
        <f aca="false">IF(Students!B11="","",Students!B11)</f>
        <v/>
      </c>
      <c r="C22" s="29" t="n">
        <f aca="false">'Aug 2027'!F22</f>
        <v>0</v>
      </c>
      <c r="D22" s="29" t="n">
        <f aca="false">IF(B22="",0,N(Students!D11))</f>
        <v>0</v>
      </c>
      <c r="E22" s="15"/>
      <c r="F22" s="30" t="n">
        <f aca="false">N(C22)+N(D22)-N(E22)</f>
        <v>0</v>
      </c>
      <c r="G22" s="13" t="str">
        <f aca="false">IF(B22="","",IF(F22&lt;=0,"Clear",IF(N(E22)&gt;0,"Partial","Due")))</f>
        <v/>
      </c>
      <c r="I22" s="13" t="n">
        <v>7</v>
      </c>
      <c r="J22" s="28" t="str">
        <f aca="false">IF(Students!G11="","",Students!G11)</f>
        <v/>
      </c>
      <c r="K22" s="29" t="n">
        <f aca="false">'Aug 2027'!N22</f>
        <v>0</v>
      </c>
      <c r="L22" s="29" t="n">
        <f aca="false">IF(J22="",0,N(Students!I11))</f>
        <v>0</v>
      </c>
      <c r="M22" s="15"/>
      <c r="N22" s="30" t="n">
        <f aca="false">N(K22)+N(L22)-N(M22)</f>
        <v>0</v>
      </c>
      <c r="O22" s="13" t="str">
        <f aca="false">IF(J22="","",IF(N22&lt;=0,"Clear",IF(N(M22)&gt;0,"Partial","Due")))</f>
        <v/>
      </c>
    </row>
    <row r="23" customFormat="false" ht="15" hidden="false" customHeight="false" outlineLevel="0" collapsed="false">
      <c r="A23" s="13" t="n">
        <v>8</v>
      </c>
      <c r="B23" s="28" t="str">
        <f aca="false">IF(Students!B12="","",Students!B12)</f>
        <v/>
      </c>
      <c r="C23" s="29" t="n">
        <f aca="false">'Aug 2027'!F23</f>
        <v>0</v>
      </c>
      <c r="D23" s="29" t="n">
        <f aca="false">IF(B23="",0,N(Students!D12))</f>
        <v>0</v>
      </c>
      <c r="E23" s="15"/>
      <c r="F23" s="30" t="n">
        <f aca="false">N(C23)+N(D23)-N(E23)</f>
        <v>0</v>
      </c>
      <c r="G23" s="13" t="str">
        <f aca="false">IF(B23="","",IF(F23&lt;=0,"Clear",IF(N(E23)&gt;0,"Partial","Due")))</f>
        <v/>
      </c>
      <c r="I23" s="13" t="n">
        <v>8</v>
      </c>
      <c r="J23" s="28" t="str">
        <f aca="false">IF(Students!G12="","",Students!G12)</f>
        <v/>
      </c>
      <c r="K23" s="29" t="n">
        <f aca="false">'Aug 2027'!N23</f>
        <v>0</v>
      </c>
      <c r="L23" s="29" t="n">
        <f aca="false">IF(J23="",0,N(Students!I12))</f>
        <v>0</v>
      </c>
      <c r="M23" s="15"/>
      <c r="N23" s="30" t="n">
        <f aca="false">N(K23)+N(L23)-N(M23)</f>
        <v>0</v>
      </c>
      <c r="O23" s="13" t="str">
        <f aca="false">IF(J23="","",IF(N23&lt;=0,"Clear",IF(N(M23)&gt;0,"Partial","Due")))</f>
        <v/>
      </c>
    </row>
    <row r="24" customFormat="false" ht="15" hidden="false" customHeight="false" outlineLevel="0" collapsed="false">
      <c r="A24" s="13" t="n">
        <v>9</v>
      </c>
      <c r="B24" s="28" t="str">
        <f aca="false">IF(Students!B13="","",Students!B13)</f>
        <v/>
      </c>
      <c r="C24" s="29" t="n">
        <f aca="false">'Aug 2027'!F24</f>
        <v>0</v>
      </c>
      <c r="D24" s="29" t="n">
        <f aca="false">IF(B24="",0,N(Students!D13))</f>
        <v>0</v>
      </c>
      <c r="E24" s="15"/>
      <c r="F24" s="30" t="n">
        <f aca="false">N(C24)+N(D24)-N(E24)</f>
        <v>0</v>
      </c>
      <c r="G24" s="13" t="str">
        <f aca="false">IF(B24="","",IF(F24&lt;=0,"Clear",IF(N(E24)&gt;0,"Partial","Due")))</f>
        <v/>
      </c>
      <c r="I24" s="13" t="n">
        <v>9</v>
      </c>
      <c r="J24" s="28" t="str">
        <f aca="false">IF(Students!G13="","",Students!G13)</f>
        <v/>
      </c>
      <c r="K24" s="29" t="n">
        <f aca="false">'Aug 2027'!N24</f>
        <v>0</v>
      </c>
      <c r="L24" s="29" t="n">
        <f aca="false">IF(J24="",0,N(Students!I13))</f>
        <v>0</v>
      </c>
      <c r="M24" s="15"/>
      <c r="N24" s="30" t="n">
        <f aca="false">N(K24)+N(L24)-N(M24)</f>
        <v>0</v>
      </c>
      <c r="O24" s="13" t="str">
        <f aca="false">IF(J24="","",IF(N24&lt;=0,"Clear",IF(N(M24)&gt;0,"Partial","Due")))</f>
        <v/>
      </c>
    </row>
    <row r="25" customFormat="false" ht="15" hidden="false" customHeight="false" outlineLevel="0" collapsed="false">
      <c r="A25" s="13" t="n">
        <v>10</v>
      </c>
      <c r="B25" s="28" t="str">
        <f aca="false">IF(Students!B14="","",Students!B14)</f>
        <v/>
      </c>
      <c r="C25" s="29" t="n">
        <f aca="false">'Aug 2027'!F25</f>
        <v>0</v>
      </c>
      <c r="D25" s="29" t="n">
        <f aca="false">IF(B25="",0,N(Students!D14))</f>
        <v>0</v>
      </c>
      <c r="E25" s="15"/>
      <c r="F25" s="30" t="n">
        <f aca="false">N(C25)+N(D25)-N(E25)</f>
        <v>0</v>
      </c>
      <c r="G25" s="13" t="str">
        <f aca="false">IF(B25="","",IF(F25&lt;=0,"Clear",IF(N(E25)&gt;0,"Partial","Due")))</f>
        <v/>
      </c>
      <c r="I25" s="13" t="n">
        <v>10</v>
      </c>
      <c r="J25" s="28" t="str">
        <f aca="false">IF(Students!G14="","",Students!G14)</f>
        <v/>
      </c>
      <c r="K25" s="29" t="n">
        <f aca="false">'Aug 2027'!N25</f>
        <v>0</v>
      </c>
      <c r="L25" s="29" t="n">
        <f aca="false">IF(J25="",0,N(Students!I14))</f>
        <v>0</v>
      </c>
      <c r="M25" s="15"/>
      <c r="N25" s="30" t="n">
        <f aca="false">N(K25)+N(L25)-N(M25)</f>
        <v>0</v>
      </c>
      <c r="O25" s="13" t="str">
        <f aca="false">IF(J25="","",IF(N25&lt;=0,"Clear",IF(N(M25)&gt;0,"Partial","Due")))</f>
        <v/>
      </c>
    </row>
    <row r="26" customFormat="false" ht="15" hidden="false" customHeight="false" outlineLevel="0" collapsed="false">
      <c r="A26" s="13" t="n">
        <v>11</v>
      </c>
      <c r="B26" s="28" t="str">
        <f aca="false">IF(Students!B15="","",Students!B15)</f>
        <v/>
      </c>
      <c r="C26" s="29" t="n">
        <f aca="false">'Aug 2027'!F26</f>
        <v>0</v>
      </c>
      <c r="D26" s="29" t="n">
        <f aca="false">IF(B26="",0,N(Students!D15))</f>
        <v>0</v>
      </c>
      <c r="E26" s="15"/>
      <c r="F26" s="30" t="n">
        <f aca="false">N(C26)+N(D26)-N(E26)</f>
        <v>0</v>
      </c>
      <c r="G26" s="13" t="str">
        <f aca="false">IF(B26="","",IF(F26&lt;=0,"Clear",IF(N(E26)&gt;0,"Partial","Due")))</f>
        <v/>
      </c>
      <c r="I26" s="13" t="n">
        <v>11</v>
      </c>
      <c r="J26" s="28" t="str">
        <f aca="false">IF(Students!G15="","",Students!G15)</f>
        <v/>
      </c>
      <c r="K26" s="29" t="n">
        <f aca="false">'Aug 2027'!N26</f>
        <v>0</v>
      </c>
      <c r="L26" s="29" t="n">
        <f aca="false">IF(J26="",0,N(Students!I15))</f>
        <v>0</v>
      </c>
      <c r="M26" s="15"/>
      <c r="N26" s="30" t="n">
        <f aca="false">N(K26)+N(L26)-N(M26)</f>
        <v>0</v>
      </c>
      <c r="O26" s="13" t="str">
        <f aca="false">IF(J26="","",IF(N26&lt;=0,"Clear",IF(N(M26)&gt;0,"Partial","Due")))</f>
        <v/>
      </c>
    </row>
    <row r="27" customFormat="false" ht="15" hidden="false" customHeight="false" outlineLevel="0" collapsed="false">
      <c r="A27" s="13" t="n">
        <v>12</v>
      </c>
      <c r="B27" s="28" t="str">
        <f aca="false">IF(Students!B16="","",Students!B16)</f>
        <v/>
      </c>
      <c r="C27" s="29" t="n">
        <f aca="false">'Aug 2027'!F27</f>
        <v>0</v>
      </c>
      <c r="D27" s="29" t="n">
        <f aca="false">IF(B27="",0,N(Students!D16))</f>
        <v>0</v>
      </c>
      <c r="E27" s="15"/>
      <c r="F27" s="30" t="n">
        <f aca="false">N(C27)+N(D27)-N(E27)</f>
        <v>0</v>
      </c>
      <c r="G27" s="13" t="str">
        <f aca="false">IF(B27="","",IF(F27&lt;=0,"Clear",IF(N(E27)&gt;0,"Partial","Due")))</f>
        <v/>
      </c>
      <c r="I27" s="13" t="n">
        <v>12</v>
      </c>
      <c r="J27" s="28" t="str">
        <f aca="false">IF(Students!G16="","",Students!G16)</f>
        <v/>
      </c>
      <c r="K27" s="29" t="n">
        <f aca="false">'Aug 2027'!N27</f>
        <v>0</v>
      </c>
      <c r="L27" s="29" t="n">
        <f aca="false">IF(J27="",0,N(Students!I16))</f>
        <v>0</v>
      </c>
      <c r="M27" s="15"/>
      <c r="N27" s="30" t="n">
        <f aca="false">N(K27)+N(L27)-N(M27)</f>
        <v>0</v>
      </c>
      <c r="O27" s="13" t="str">
        <f aca="false">IF(J27="","",IF(N27&lt;=0,"Clear",IF(N(M27)&gt;0,"Partial","Due")))</f>
        <v/>
      </c>
    </row>
    <row r="28" customFormat="false" ht="15" hidden="false" customHeight="false" outlineLevel="0" collapsed="false">
      <c r="A28" s="13" t="n">
        <v>13</v>
      </c>
      <c r="B28" s="28" t="str">
        <f aca="false">IF(Students!B17="","",Students!B17)</f>
        <v/>
      </c>
      <c r="C28" s="29" t="n">
        <f aca="false">'Aug 2027'!F28</f>
        <v>0</v>
      </c>
      <c r="D28" s="29" t="n">
        <f aca="false">IF(B28="",0,N(Students!D17))</f>
        <v>0</v>
      </c>
      <c r="E28" s="15"/>
      <c r="F28" s="30" t="n">
        <f aca="false">N(C28)+N(D28)-N(E28)</f>
        <v>0</v>
      </c>
      <c r="G28" s="13" t="str">
        <f aca="false">IF(B28="","",IF(F28&lt;=0,"Clear",IF(N(E28)&gt;0,"Partial","Due")))</f>
        <v/>
      </c>
      <c r="I28" s="13" t="n">
        <v>13</v>
      </c>
      <c r="J28" s="28" t="str">
        <f aca="false">IF(Students!G17="","",Students!G17)</f>
        <v/>
      </c>
      <c r="K28" s="29" t="n">
        <f aca="false">'Aug 2027'!N28</f>
        <v>0</v>
      </c>
      <c r="L28" s="29" t="n">
        <f aca="false">IF(J28="",0,N(Students!I17))</f>
        <v>0</v>
      </c>
      <c r="M28" s="15"/>
      <c r="N28" s="30" t="n">
        <f aca="false">N(K28)+N(L28)-N(M28)</f>
        <v>0</v>
      </c>
      <c r="O28" s="13" t="str">
        <f aca="false">IF(J28="","",IF(N28&lt;=0,"Clear",IF(N(M28)&gt;0,"Partial","Due")))</f>
        <v/>
      </c>
    </row>
    <row r="29" customFormat="false" ht="15" hidden="false" customHeight="false" outlineLevel="0" collapsed="false">
      <c r="A29" s="13" t="n">
        <v>14</v>
      </c>
      <c r="B29" s="28" t="str">
        <f aca="false">IF(Students!B18="","",Students!B18)</f>
        <v/>
      </c>
      <c r="C29" s="29" t="n">
        <f aca="false">'Aug 2027'!F29</f>
        <v>0</v>
      </c>
      <c r="D29" s="29" t="n">
        <f aca="false">IF(B29="",0,N(Students!D18))</f>
        <v>0</v>
      </c>
      <c r="E29" s="15"/>
      <c r="F29" s="30" t="n">
        <f aca="false">N(C29)+N(D29)-N(E29)</f>
        <v>0</v>
      </c>
      <c r="G29" s="13" t="str">
        <f aca="false">IF(B29="","",IF(F29&lt;=0,"Clear",IF(N(E29)&gt;0,"Partial","Due")))</f>
        <v/>
      </c>
      <c r="I29" s="13" t="n">
        <v>14</v>
      </c>
      <c r="J29" s="28" t="str">
        <f aca="false">IF(Students!G18="","",Students!G18)</f>
        <v/>
      </c>
      <c r="K29" s="29" t="n">
        <f aca="false">'Aug 2027'!N29</f>
        <v>0</v>
      </c>
      <c r="L29" s="29" t="n">
        <f aca="false">IF(J29="",0,N(Students!I18))</f>
        <v>0</v>
      </c>
      <c r="M29" s="15"/>
      <c r="N29" s="30" t="n">
        <f aca="false">N(K29)+N(L29)-N(M29)</f>
        <v>0</v>
      </c>
      <c r="O29" s="13" t="str">
        <f aca="false">IF(J29="","",IF(N29&lt;=0,"Clear",IF(N(M29)&gt;0,"Partial","Due")))</f>
        <v/>
      </c>
    </row>
    <row r="30" customFormat="false" ht="15" hidden="false" customHeight="false" outlineLevel="0" collapsed="false">
      <c r="A30" s="13" t="n">
        <v>15</v>
      </c>
      <c r="B30" s="28" t="str">
        <f aca="false">IF(Students!B19="","",Students!B19)</f>
        <v/>
      </c>
      <c r="C30" s="29" t="n">
        <f aca="false">'Aug 2027'!F30</f>
        <v>0</v>
      </c>
      <c r="D30" s="29" t="n">
        <f aca="false">IF(B30="",0,N(Students!D19))</f>
        <v>0</v>
      </c>
      <c r="E30" s="15"/>
      <c r="F30" s="30" t="n">
        <f aca="false">N(C30)+N(D30)-N(E30)</f>
        <v>0</v>
      </c>
      <c r="G30" s="13" t="str">
        <f aca="false">IF(B30="","",IF(F30&lt;=0,"Clear",IF(N(E30)&gt;0,"Partial","Due")))</f>
        <v/>
      </c>
      <c r="I30" s="13" t="n">
        <v>15</v>
      </c>
      <c r="J30" s="28" t="str">
        <f aca="false">IF(Students!G19="","",Students!G19)</f>
        <v/>
      </c>
      <c r="K30" s="29" t="n">
        <f aca="false">'Aug 2027'!N30</f>
        <v>0</v>
      </c>
      <c r="L30" s="29" t="n">
        <f aca="false">IF(J30="",0,N(Students!I19))</f>
        <v>0</v>
      </c>
      <c r="M30" s="15"/>
      <c r="N30" s="30" t="n">
        <f aca="false">N(K30)+N(L30)-N(M30)</f>
        <v>0</v>
      </c>
      <c r="O30" s="13" t="str">
        <f aca="false">IF(J30="","",IF(N30&lt;=0,"Clear",IF(N(M30)&gt;0,"Partial","Due")))</f>
        <v/>
      </c>
    </row>
    <row r="31" customFormat="false" ht="15" hidden="false" customHeight="false" outlineLevel="0" collapsed="false">
      <c r="A31" s="13" t="n">
        <v>16</v>
      </c>
      <c r="B31" s="28" t="str">
        <f aca="false">IF(Students!B20="","",Students!B20)</f>
        <v/>
      </c>
      <c r="C31" s="29" t="n">
        <f aca="false">'Aug 2027'!F31</f>
        <v>0</v>
      </c>
      <c r="D31" s="29" t="n">
        <f aca="false">IF(B31="",0,N(Students!D20))</f>
        <v>0</v>
      </c>
      <c r="E31" s="15"/>
      <c r="F31" s="30" t="n">
        <f aca="false">N(C31)+N(D31)-N(E31)</f>
        <v>0</v>
      </c>
      <c r="G31" s="13" t="str">
        <f aca="false">IF(B31="","",IF(F31&lt;=0,"Clear",IF(N(E31)&gt;0,"Partial","Due")))</f>
        <v/>
      </c>
      <c r="I31" s="13" t="n">
        <v>16</v>
      </c>
      <c r="J31" s="28" t="str">
        <f aca="false">IF(Students!G20="","",Students!G20)</f>
        <v/>
      </c>
      <c r="K31" s="29" t="n">
        <f aca="false">'Aug 2027'!N31</f>
        <v>0</v>
      </c>
      <c r="L31" s="29" t="n">
        <f aca="false">IF(J31="",0,N(Students!I20))</f>
        <v>0</v>
      </c>
      <c r="M31" s="15"/>
      <c r="N31" s="30" t="n">
        <f aca="false">N(K31)+N(L31)-N(M31)</f>
        <v>0</v>
      </c>
      <c r="O31" s="13" t="str">
        <f aca="false">IF(J31="","",IF(N31&lt;=0,"Clear",IF(N(M31)&gt;0,"Partial","Due")))</f>
        <v/>
      </c>
    </row>
    <row r="32" customFormat="false" ht="15" hidden="false" customHeight="false" outlineLevel="0" collapsed="false">
      <c r="A32" s="13" t="n">
        <v>17</v>
      </c>
      <c r="B32" s="28" t="str">
        <f aca="false">IF(Students!B21="","",Students!B21)</f>
        <v/>
      </c>
      <c r="C32" s="29" t="n">
        <f aca="false">'Aug 2027'!F32</f>
        <v>0</v>
      </c>
      <c r="D32" s="29" t="n">
        <f aca="false">IF(B32="",0,N(Students!D21))</f>
        <v>0</v>
      </c>
      <c r="E32" s="15"/>
      <c r="F32" s="30" t="n">
        <f aca="false">N(C32)+N(D32)-N(E32)</f>
        <v>0</v>
      </c>
      <c r="G32" s="13" t="str">
        <f aca="false">IF(B32="","",IF(F32&lt;=0,"Clear",IF(N(E32)&gt;0,"Partial","Due")))</f>
        <v/>
      </c>
      <c r="I32" s="13" t="n">
        <v>17</v>
      </c>
      <c r="J32" s="28" t="str">
        <f aca="false">IF(Students!G21="","",Students!G21)</f>
        <v/>
      </c>
      <c r="K32" s="29" t="n">
        <f aca="false">'Aug 2027'!N32</f>
        <v>0</v>
      </c>
      <c r="L32" s="29" t="n">
        <f aca="false">IF(J32="",0,N(Students!I21))</f>
        <v>0</v>
      </c>
      <c r="M32" s="15"/>
      <c r="N32" s="30" t="n">
        <f aca="false">N(K32)+N(L32)-N(M32)</f>
        <v>0</v>
      </c>
      <c r="O32" s="13" t="str">
        <f aca="false">IF(J32="","",IF(N32&lt;=0,"Clear",IF(N(M32)&gt;0,"Partial","Due")))</f>
        <v/>
      </c>
    </row>
    <row r="33" customFormat="false" ht="15" hidden="false" customHeight="false" outlineLevel="0" collapsed="false">
      <c r="A33" s="13" t="n">
        <v>18</v>
      </c>
      <c r="B33" s="28" t="str">
        <f aca="false">IF(Students!B22="","",Students!B22)</f>
        <v/>
      </c>
      <c r="C33" s="29" t="n">
        <f aca="false">'Aug 2027'!F33</f>
        <v>0</v>
      </c>
      <c r="D33" s="29" t="n">
        <f aca="false">IF(B33="",0,N(Students!D22))</f>
        <v>0</v>
      </c>
      <c r="E33" s="15"/>
      <c r="F33" s="30" t="n">
        <f aca="false">N(C33)+N(D33)-N(E33)</f>
        <v>0</v>
      </c>
      <c r="G33" s="13" t="str">
        <f aca="false">IF(B33="","",IF(F33&lt;=0,"Clear",IF(N(E33)&gt;0,"Partial","Due")))</f>
        <v/>
      </c>
      <c r="I33" s="13" t="n">
        <v>18</v>
      </c>
      <c r="J33" s="28" t="str">
        <f aca="false">IF(Students!G22="","",Students!G22)</f>
        <v/>
      </c>
      <c r="K33" s="29" t="n">
        <f aca="false">'Aug 2027'!N33</f>
        <v>0</v>
      </c>
      <c r="L33" s="29" t="n">
        <f aca="false">IF(J33="",0,N(Students!I22))</f>
        <v>0</v>
      </c>
      <c r="M33" s="15"/>
      <c r="N33" s="30" t="n">
        <f aca="false">N(K33)+N(L33)-N(M33)</f>
        <v>0</v>
      </c>
      <c r="O33" s="13" t="str">
        <f aca="false">IF(J33="","",IF(N33&lt;=0,"Clear",IF(N(M33)&gt;0,"Partial","Due")))</f>
        <v/>
      </c>
    </row>
    <row r="34" customFormat="false" ht="15" hidden="false" customHeight="false" outlineLevel="0" collapsed="false">
      <c r="A34" s="13" t="n">
        <v>19</v>
      </c>
      <c r="B34" s="28" t="str">
        <f aca="false">IF(Students!B23="","",Students!B23)</f>
        <v/>
      </c>
      <c r="C34" s="29" t="n">
        <f aca="false">'Aug 2027'!F34</f>
        <v>0</v>
      </c>
      <c r="D34" s="29" t="n">
        <f aca="false">IF(B34="",0,N(Students!D23))</f>
        <v>0</v>
      </c>
      <c r="E34" s="15"/>
      <c r="F34" s="30" t="n">
        <f aca="false">N(C34)+N(D34)-N(E34)</f>
        <v>0</v>
      </c>
      <c r="G34" s="13" t="str">
        <f aca="false">IF(B34="","",IF(F34&lt;=0,"Clear",IF(N(E34)&gt;0,"Partial","Due")))</f>
        <v/>
      </c>
      <c r="I34" s="13" t="n">
        <v>19</v>
      </c>
      <c r="J34" s="28" t="str">
        <f aca="false">IF(Students!G23="","",Students!G23)</f>
        <v/>
      </c>
      <c r="K34" s="29" t="n">
        <f aca="false">'Aug 2027'!N34</f>
        <v>0</v>
      </c>
      <c r="L34" s="29" t="n">
        <f aca="false">IF(J34="",0,N(Students!I23))</f>
        <v>0</v>
      </c>
      <c r="M34" s="15"/>
      <c r="N34" s="30" t="n">
        <f aca="false">N(K34)+N(L34)-N(M34)</f>
        <v>0</v>
      </c>
      <c r="O34" s="13" t="str">
        <f aca="false">IF(J34="","",IF(N34&lt;=0,"Clear",IF(N(M34)&gt;0,"Partial","Due")))</f>
        <v/>
      </c>
    </row>
    <row r="35" customFormat="false" ht="15" hidden="false" customHeight="false" outlineLevel="0" collapsed="false">
      <c r="A35" s="13" t="n">
        <v>20</v>
      </c>
      <c r="B35" s="28" t="str">
        <f aca="false">IF(Students!B24="","",Students!B24)</f>
        <v/>
      </c>
      <c r="C35" s="29" t="n">
        <f aca="false">'Aug 2027'!F35</f>
        <v>0</v>
      </c>
      <c r="D35" s="29" t="n">
        <f aca="false">IF(B35="",0,N(Students!D24))</f>
        <v>0</v>
      </c>
      <c r="E35" s="15"/>
      <c r="F35" s="30" t="n">
        <f aca="false">N(C35)+N(D35)-N(E35)</f>
        <v>0</v>
      </c>
      <c r="G35" s="13" t="str">
        <f aca="false">IF(B35="","",IF(F35&lt;=0,"Clear",IF(N(E35)&gt;0,"Partial","Due")))</f>
        <v/>
      </c>
      <c r="I35" s="13" t="n">
        <v>20</v>
      </c>
      <c r="J35" s="28" t="str">
        <f aca="false">IF(Students!G24="","",Students!G24)</f>
        <v/>
      </c>
      <c r="K35" s="29" t="n">
        <f aca="false">'Aug 2027'!N35</f>
        <v>0</v>
      </c>
      <c r="L35" s="29" t="n">
        <f aca="false">IF(J35="",0,N(Students!I24))</f>
        <v>0</v>
      </c>
      <c r="M35" s="15"/>
      <c r="N35" s="30" t="n">
        <f aca="false">N(K35)+N(L35)-N(M35)</f>
        <v>0</v>
      </c>
      <c r="O35" s="13" t="str">
        <f aca="false">IF(J35="","",IF(N35&lt;=0,"Clear",IF(N(M35)&gt;0,"Partial","Due")))</f>
        <v/>
      </c>
    </row>
    <row r="36" customFormat="false" ht="15" hidden="false" customHeight="false" outlineLevel="0" collapsed="false">
      <c r="A36" s="13" t="n">
        <v>21</v>
      </c>
      <c r="B36" s="28" t="str">
        <f aca="false">IF(Students!B25="","",Students!B25)</f>
        <v/>
      </c>
      <c r="C36" s="29" t="n">
        <f aca="false">'Aug 2027'!F36</f>
        <v>0</v>
      </c>
      <c r="D36" s="29" t="n">
        <f aca="false">IF(B36="",0,N(Students!D25))</f>
        <v>0</v>
      </c>
      <c r="E36" s="15"/>
      <c r="F36" s="30" t="n">
        <f aca="false">N(C36)+N(D36)-N(E36)</f>
        <v>0</v>
      </c>
      <c r="G36" s="13" t="str">
        <f aca="false">IF(B36="","",IF(F36&lt;=0,"Clear",IF(N(E36)&gt;0,"Partial","Due")))</f>
        <v/>
      </c>
      <c r="I36" s="13" t="n">
        <v>21</v>
      </c>
      <c r="J36" s="28" t="str">
        <f aca="false">IF(Students!G25="","",Students!G25)</f>
        <v/>
      </c>
      <c r="K36" s="29" t="n">
        <f aca="false">'Aug 2027'!N36</f>
        <v>0</v>
      </c>
      <c r="L36" s="29" t="n">
        <f aca="false">IF(J36="",0,N(Students!I25))</f>
        <v>0</v>
      </c>
      <c r="M36" s="15"/>
      <c r="N36" s="30" t="n">
        <f aca="false">N(K36)+N(L36)-N(M36)</f>
        <v>0</v>
      </c>
      <c r="O36" s="13" t="str">
        <f aca="false">IF(J36="","",IF(N36&lt;=0,"Clear",IF(N(M36)&gt;0,"Partial","Due")))</f>
        <v/>
      </c>
    </row>
    <row r="37" customFormat="false" ht="15" hidden="false" customHeight="false" outlineLevel="0" collapsed="false">
      <c r="A37" s="13" t="n">
        <v>22</v>
      </c>
      <c r="B37" s="28" t="str">
        <f aca="false">IF(Students!B26="","",Students!B26)</f>
        <v/>
      </c>
      <c r="C37" s="29" t="n">
        <f aca="false">'Aug 2027'!F37</f>
        <v>0</v>
      </c>
      <c r="D37" s="29" t="n">
        <f aca="false">IF(B37="",0,N(Students!D26))</f>
        <v>0</v>
      </c>
      <c r="E37" s="15"/>
      <c r="F37" s="30" t="n">
        <f aca="false">N(C37)+N(D37)-N(E37)</f>
        <v>0</v>
      </c>
      <c r="G37" s="13" t="str">
        <f aca="false">IF(B37="","",IF(F37&lt;=0,"Clear",IF(N(E37)&gt;0,"Partial","Due")))</f>
        <v/>
      </c>
      <c r="I37" s="13" t="n">
        <v>22</v>
      </c>
      <c r="J37" s="28" t="str">
        <f aca="false">IF(Students!G26="","",Students!G26)</f>
        <v/>
      </c>
      <c r="K37" s="29" t="n">
        <f aca="false">'Aug 2027'!N37</f>
        <v>0</v>
      </c>
      <c r="L37" s="29" t="n">
        <f aca="false">IF(J37="",0,N(Students!I26))</f>
        <v>0</v>
      </c>
      <c r="M37" s="15"/>
      <c r="N37" s="30" t="n">
        <f aca="false">N(K37)+N(L37)-N(M37)</f>
        <v>0</v>
      </c>
      <c r="O37" s="13" t="str">
        <f aca="false">IF(J37="","",IF(N37&lt;=0,"Clear",IF(N(M37)&gt;0,"Partial","Due")))</f>
        <v/>
      </c>
    </row>
    <row r="38" customFormat="false" ht="15" hidden="false" customHeight="false" outlineLevel="0" collapsed="false">
      <c r="A38" s="13" t="n">
        <v>23</v>
      </c>
      <c r="B38" s="28" t="str">
        <f aca="false">IF(Students!B27="","",Students!B27)</f>
        <v/>
      </c>
      <c r="C38" s="29" t="n">
        <f aca="false">'Aug 2027'!F38</f>
        <v>0</v>
      </c>
      <c r="D38" s="29" t="n">
        <f aca="false">IF(B38="",0,N(Students!D27))</f>
        <v>0</v>
      </c>
      <c r="E38" s="15"/>
      <c r="F38" s="30" t="n">
        <f aca="false">N(C38)+N(D38)-N(E38)</f>
        <v>0</v>
      </c>
      <c r="G38" s="13" t="str">
        <f aca="false">IF(B38="","",IF(F38&lt;=0,"Clear",IF(N(E38)&gt;0,"Partial","Due")))</f>
        <v/>
      </c>
      <c r="I38" s="13" t="n">
        <v>23</v>
      </c>
      <c r="J38" s="28" t="str">
        <f aca="false">IF(Students!G27="","",Students!G27)</f>
        <v/>
      </c>
      <c r="K38" s="29" t="n">
        <f aca="false">'Aug 2027'!N38</f>
        <v>0</v>
      </c>
      <c r="L38" s="29" t="n">
        <f aca="false">IF(J38="",0,N(Students!I27))</f>
        <v>0</v>
      </c>
      <c r="M38" s="15"/>
      <c r="N38" s="30" t="n">
        <f aca="false">N(K38)+N(L38)-N(M38)</f>
        <v>0</v>
      </c>
      <c r="O38" s="13" t="str">
        <f aca="false">IF(J38="","",IF(N38&lt;=0,"Clear",IF(N(M38)&gt;0,"Partial","Due")))</f>
        <v/>
      </c>
    </row>
    <row r="39" customFormat="false" ht="15" hidden="false" customHeight="false" outlineLevel="0" collapsed="false">
      <c r="A39" s="13" t="n">
        <v>24</v>
      </c>
      <c r="B39" s="28" t="str">
        <f aca="false">IF(Students!B28="","",Students!B28)</f>
        <v/>
      </c>
      <c r="C39" s="29" t="n">
        <f aca="false">'Aug 2027'!F39</f>
        <v>0</v>
      </c>
      <c r="D39" s="29" t="n">
        <f aca="false">IF(B39="",0,N(Students!D28))</f>
        <v>0</v>
      </c>
      <c r="E39" s="15"/>
      <c r="F39" s="30" t="n">
        <f aca="false">N(C39)+N(D39)-N(E39)</f>
        <v>0</v>
      </c>
      <c r="G39" s="13" t="str">
        <f aca="false">IF(B39="","",IF(F39&lt;=0,"Clear",IF(N(E39)&gt;0,"Partial","Due")))</f>
        <v/>
      </c>
      <c r="I39" s="13" t="n">
        <v>24</v>
      </c>
      <c r="J39" s="28" t="str">
        <f aca="false">IF(Students!G28="","",Students!G28)</f>
        <v/>
      </c>
      <c r="K39" s="29" t="n">
        <f aca="false">'Aug 2027'!N39</f>
        <v>0</v>
      </c>
      <c r="L39" s="29" t="n">
        <f aca="false">IF(J39="",0,N(Students!I28))</f>
        <v>0</v>
      </c>
      <c r="M39" s="15"/>
      <c r="N39" s="30" t="n">
        <f aca="false">N(K39)+N(L39)-N(M39)</f>
        <v>0</v>
      </c>
      <c r="O39" s="13" t="str">
        <f aca="false">IF(J39="","",IF(N39&lt;=0,"Clear",IF(N(M39)&gt;0,"Partial","Due")))</f>
        <v/>
      </c>
    </row>
    <row r="40" customFormat="false" ht="15" hidden="false" customHeight="false" outlineLevel="0" collapsed="false">
      <c r="A40" s="13" t="n">
        <v>25</v>
      </c>
      <c r="B40" s="28" t="str">
        <f aca="false">IF(Students!B29="","",Students!B29)</f>
        <v/>
      </c>
      <c r="C40" s="29" t="n">
        <f aca="false">'Aug 2027'!F40</f>
        <v>0</v>
      </c>
      <c r="D40" s="29" t="n">
        <f aca="false">IF(B40="",0,N(Students!D29))</f>
        <v>0</v>
      </c>
      <c r="E40" s="15"/>
      <c r="F40" s="30" t="n">
        <f aca="false">N(C40)+N(D40)-N(E40)</f>
        <v>0</v>
      </c>
      <c r="G40" s="13" t="str">
        <f aca="false">IF(B40="","",IF(F40&lt;=0,"Clear",IF(N(E40)&gt;0,"Partial","Due")))</f>
        <v/>
      </c>
      <c r="I40" s="13" t="n">
        <v>25</v>
      </c>
      <c r="J40" s="28" t="str">
        <f aca="false">IF(Students!G29="","",Students!G29)</f>
        <v/>
      </c>
      <c r="K40" s="29" t="n">
        <f aca="false">'Aug 2027'!N40</f>
        <v>0</v>
      </c>
      <c r="L40" s="29" t="n">
        <f aca="false">IF(J40="",0,N(Students!I29))</f>
        <v>0</v>
      </c>
      <c r="M40" s="15"/>
      <c r="N40" s="30" t="n">
        <f aca="false">N(K40)+N(L40)-N(M40)</f>
        <v>0</v>
      </c>
      <c r="O40" s="13" t="str">
        <f aca="false">IF(J40="","",IF(N40&lt;=0,"Clear",IF(N(M40)&gt;0,"Partial","Due")))</f>
        <v/>
      </c>
    </row>
    <row r="41" customFormat="false" ht="15" hidden="false" customHeight="false" outlineLevel="0" collapsed="false">
      <c r="A41" s="13" t="n">
        <v>26</v>
      </c>
      <c r="B41" s="28" t="str">
        <f aca="false">IF(Students!B30="","",Students!B30)</f>
        <v/>
      </c>
      <c r="C41" s="29" t="n">
        <f aca="false">'Aug 2027'!F41</f>
        <v>0</v>
      </c>
      <c r="D41" s="29" t="n">
        <f aca="false">IF(B41="",0,N(Students!D30))</f>
        <v>0</v>
      </c>
      <c r="E41" s="15"/>
      <c r="F41" s="30" t="n">
        <f aca="false">N(C41)+N(D41)-N(E41)</f>
        <v>0</v>
      </c>
      <c r="G41" s="13" t="str">
        <f aca="false">IF(B41="","",IF(F41&lt;=0,"Clear",IF(N(E41)&gt;0,"Partial","Due")))</f>
        <v/>
      </c>
      <c r="I41" s="13" t="n">
        <v>26</v>
      </c>
      <c r="J41" s="28" t="str">
        <f aca="false">IF(Students!G30="","",Students!G30)</f>
        <v/>
      </c>
      <c r="K41" s="29" t="n">
        <f aca="false">'Aug 2027'!N41</f>
        <v>0</v>
      </c>
      <c r="L41" s="29" t="n">
        <f aca="false">IF(J41="",0,N(Students!I30))</f>
        <v>0</v>
      </c>
      <c r="M41" s="15"/>
      <c r="N41" s="30" t="n">
        <f aca="false">N(K41)+N(L41)-N(M41)</f>
        <v>0</v>
      </c>
      <c r="O41" s="13" t="str">
        <f aca="false">IF(J41="","",IF(N41&lt;=0,"Clear",IF(N(M41)&gt;0,"Partial","Due")))</f>
        <v/>
      </c>
    </row>
    <row r="42" customFormat="false" ht="15" hidden="false" customHeight="false" outlineLevel="0" collapsed="false">
      <c r="A42" s="13" t="n">
        <v>27</v>
      </c>
      <c r="B42" s="28" t="str">
        <f aca="false">IF(Students!B31="","",Students!B31)</f>
        <v/>
      </c>
      <c r="C42" s="29" t="n">
        <f aca="false">'Aug 2027'!F42</f>
        <v>0</v>
      </c>
      <c r="D42" s="29" t="n">
        <f aca="false">IF(B42="",0,N(Students!D31))</f>
        <v>0</v>
      </c>
      <c r="E42" s="15"/>
      <c r="F42" s="30" t="n">
        <f aca="false">N(C42)+N(D42)-N(E42)</f>
        <v>0</v>
      </c>
      <c r="G42" s="13" t="str">
        <f aca="false">IF(B42="","",IF(F42&lt;=0,"Clear",IF(N(E42)&gt;0,"Partial","Due")))</f>
        <v/>
      </c>
      <c r="I42" s="13" t="n">
        <v>27</v>
      </c>
      <c r="J42" s="28" t="str">
        <f aca="false">IF(Students!G31="","",Students!G31)</f>
        <v/>
      </c>
      <c r="K42" s="29" t="n">
        <f aca="false">'Aug 2027'!N42</f>
        <v>0</v>
      </c>
      <c r="L42" s="29" t="n">
        <f aca="false">IF(J42="",0,N(Students!I31))</f>
        <v>0</v>
      </c>
      <c r="M42" s="15"/>
      <c r="N42" s="30" t="n">
        <f aca="false">N(K42)+N(L42)-N(M42)</f>
        <v>0</v>
      </c>
      <c r="O42" s="13" t="str">
        <f aca="false">IF(J42="","",IF(N42&lt;=0,"Clear",IF(N(M42)&gt;0,"Partial","Due")))</f>
        <v/>
      </c>
    </row>
    <row r="43" customFormat="false" ht="15" hidden="false" customHeight="false" outlineLevel="0" collapsed="false">
      <c r="A43" s="13" t="n">
        <v>28</v>
      </c>
      <c r="B43" s="28" t="str">
        <f aca="false">IF(Students!B32="","",Students!B32)</f>
        <v/>
      </c>
      <c r="C43" s="29" t="n">
        <f aca="false">'Aug 2027'!F43</f>
        <v>0</v>
      </c>
      <c r="D43" s="29" t="n">
        <f aca="false">IF(B43="",0,N(Students!D32))</f>
        <v>0</v>
      </c>
      <c r="E43" s="15"/>
      <c r="F43" s="30" t="n">
        <f aca="false">N(C43)+N(D43)-N(E43)</f>
        <v>0</v>
      </c>
      <c r="G43" s="13" t="str">
        <f aca="false">IF(B43="","",IF(F43&lt;=0,"Clear",IF(N(E43)&gt;0,"Partial","Due")))</f>
        <v/>
      </c>
      <c r="I43" s="13" t="n">
        <v>28</v>
      </c>
      <c r="J43" s="28" t="str">
        <f aca="false">IF(Students!G32="","",Students!G32)</f>
        <v/>
      </c>
      <c r="K43" s="29" t="n">
        <f aca="false">'Aug 2027'!N43</f>
        <v>0</v>
      </c>
      <c r="L43" s="29" t="n">
        <f aca="false">IF(J43="",0,N(Students!I32))</f>
        <v>0</v>
      </c>
      <c r="M43" s="15"/>
      <c r="N43" s="30" t="n">
        <f aca="false">N(K43)+N(L43)-N(M43)</f>
        <v>0</v>
      </c>
      <c r="O43" s="13" t="str">
        <f aca="false">IF(J43="","",IF(N43&lt;=0,"Clear",IF(N(M43)&gt;0,"Partial","Due")))</f>
        <v/>
      </c>
    </row>
    <row r="44" customFormat="false" ht="15" hidden="false" customHeight="false" outlineLevel="0" collapsed="false">
      <c r="A44" s="13" t="n">
        <v>29</v>
      </c>
      <c r="B44" s="28" t="str">
        <f aca="false">IF(Students!B33="","",Students!B33)</f>
        <v/>
      </c>
      <c r="C44" s="29" t="n">
        <f aca="false">'Aug 2027'!F44</f>
        <v>0</v>
      </c>
      <c r="D44" s="29" t="n">
        <f aca="false">IF(B44="",0,N(Students!D33))</f>
        <v>0</v>
      </c>
      <c r="E44" s="15"/>
      <c r="F44" s="30" t="n">
        <f aca="false">N(C44)+N(D44)-N(E44)</f>
        <v>0</v>
      </c>
      <c r="G44" s="13" t="str">
        <f aca="false">IF(B44="","",IF(F44&lt;=0,"Clear",IF(N(E44)&gt;0,"Partial","Due")))</f>
        <v/>
      </c>
      <c r="I44" s="13" t="n">
        <v>29</v>
      </c>
      <c r="J44" s="28" t="str">
        <f aca="false">IF(Students!G33="","",Students!G33)</f>
        <v/>
      </c>
      <c r="K44" s="29" t="n">
        <f aca="false">'Aug 2027'!N44</f>
        <v>0</v>
      </c>
      <c r="L44" s="29" t="n">
        <f aca="false">IF(J44="",0,N(Students!I33))</f>
        <v>0</v>
      </c>
      <c r="M44" s="15"/>
      <c r="N44" s="30" t="n">
        <f aca="false">N(K44)+N(L44)-N(M44)</f>
        <v>0</v>
      </c>
      <c r="O44" s="13" t="str">
        <f aca="false">IF(J44="","",IF(N44&lt;=0,"Clear",IF(N(M44)&gt;0,"Partial","Due")))</f>
        <v/>
      </c>
    </row>
    <row r="45" customFormat="false" ht="15" hidden="false" customHeight="false" outlineLevel="0" collapsed="false">
      <c r="A45" s="13" t="n">
        <v>30</v>
      </c>
      <c r="B45" s="28" t="str">
        <f aca="false">IF(Students!B34="","",Students!B34)</f>
        <v/>
      </c>
      <c r="C45" s="29" t="n">
        <f aca="false">'Aug 2027'!F45</f>
        <v>0</v>
      </c>
      <c r="D45" s="29" t="n">
        <f aca="false">IF(B45="",0,N(Students!D34))</f>
        <v>0</v>
      </c>
      <c r="E45" s="15"/>
      <c r="F45" s="30" t="n">
        <f aca="false">N(C45)+N(D45)-N(E45)</f>
        <v>0</v>
      </c>
      <c r="G45" s="13" t="str">
        <f aca="false">IF(B45="","",IF(F45&lt;=0,"Clear",IF(N(E45)&gt;0,"Partial","Due")))</f>
        <v/>
      </c>
      <c r="I45" s="13" t="n">
        <v>30</v>
      </c>
      <c r="J45" s="28" t="str">
        <f aca="false">IF(Students!G34="","",Students!G34)</f>
        <v/>
      </c>
      <c r="K45" s="29" t="n">
        <f aca="false">'Aug 2027'!N45</f>
        <v>0</v>
      </c>
      <c r="L45" s="29" t="n">
        <f aca="false">IF(J45="",0,N(Students!I34))</f>
        <v>0</v>
      </c>
      <c r="M45" s="15"/>
      <c r="N45" s="30" t="n">
        <f aca="false">N(K45)+N(L45)-N(M45)</f>
        <v>0</v>
      </c>
      <c r="O45" s="13" t="str">
        <f aca="false">IF(J45="","",IF(N45&lt;=0,"Clear",IF(N(M45)&gt;0,"Partial","Due")))</f>
        <v/>
      </c>
    </row>
    <row r="46" customFormat="false" ht="15" hidden="false" customHeight="false" outlineLevel="0" collapsed="false">
      <c r="A46" s="13" t="n">
        <v>31</v>
      </c>
      <c r="B46" s="28" t="str">
        <f aca="false">IF(Students!B35="","",Students!B35)</f>
        <v/>
      </c>
      <c r="C46" s="29" t="n">
        <f aca="false">'Aug 2027'!F46</f>
        <v>0</v>
      </c>
      <c r="D46" s="29" t="n">
        <f aca="false">IF(B46="",0,N(Students!D35))</f>
        <v>0</v>
      </c>
      <c r="E46" s="15"/>
      <c r="F46" s="30" t="n">
        <f aca="false">N(C46)+N(D46)-N(E46)</f>
        <v>0</v>
      </c>
      <c r="G46" s="13" t="str">
        <f aca="false">IF(B46="","",IF(F46&lt;=0,"Clear",IF(N(E46)&gt;0,"Partial","Due")))</f>
        <v/>
      </c>
      <c r="I46" s="13" t="n">
        <v>31</v>
      </c>
      <c r="J46" s="28" t="str">
        <f aca="false">IF(Students!G35="","",Students!G35)</f>
        <v/>
      </c>
      <c r="K46" s="29" t="n">
        <f aca="false">'Aug 2027'!N46</f>
        <v>0</v>
      </c>
      <c r="L46" s="29" t="n">
        <f aca="false">IF(J46="",0,N(Students!I35))</f>
        <v>0</v>
      </c>
      <c r="M46" s="15"/>
      <c r="N46" s="30" t="n">
        <f aca="false">N(K46)+N(L46)-N(M46)</f>
        <v>0</v>
      </c>
      <c r="O46" s="13" t="str">
        <f aca="false">IF(J46="","",IF(N46&lt;=0,"Clear",IF(N(M46)&gt;0,"Partial","Due")))</f>
        <v/>
      </c>
    </row>
    <row r="47" customFormat="false" ht="15" hidden="false" customHeight="false" outlineLevel="0" collapsed="false">
      <c r="A47" s="13" t="n">
        <v>32</v>
      </c>
      <c r="B47" s="28" t="str">
        <f aca="false">IF(Students!B36="","",Students!B36)</f>
        <v/>
      </c>
      <c r="C47" s="29" t="n">
        <f aca="false">'Aug 2027'!F47</f>
        <v>0</v>
      </c>
      <c r="D47" s="29" t="n">
        <f aca="false">IF(B47="",0,N(Students!D36))</f>
        <v>0</v>
      </c>
      <c r="E47" s="15"/>
      <c r="F47" s="30" t="n">
        <f aca="false">N(C47)+N(D47)-N(E47)</f>
        <v>0</v>
      </c>
      <c r="G47" s="13" t="str">
        <f aca="false">IF(B47="","",IF(F47&lt;=0,"Clear",IF(N(E47)&gt;0,"Partial","Due")))</f>
        <v/>
      </c>
      <c r="I47" s="13" t="n">
        <v>32</v>
      </c>
      <c r="J47" s="28" t="str">
        <f aca="false">IF(Students!G36="","",Students!G36)</f>
        <v/>
      </c>
      <c r="K47" s="29" t="n">
        <f aca="false">'Aug 2027'!N47</f>
        <v>0</v>
      </c>
      <c r="L47" s="29" t="n">
        <f aca="false">IF(J47="",0,N(Students!I36))</f>
        <v>0</v>
      </c>
      <c r="M47" s="15"/>
      <c r="N47" s="30" t="n">
        <f aca="false">N(K47)+N(L47)-N(M47)</f>
        <v>0</v>
      </c>
      <c r="O47" s="13" t="str">
        <f aca="false">IF(J47="","",IF(N47&lt;=0,"Clear",IF(N(M47)&gt;0,"Partial","Due")))</f>
        <v/>
      </c>
    </row>
    <row r="48" customFormat="false" ht="15" hidden="false" customHeight="false" outlineLevel="0" collapsed="false">
      <c r="A48" s="13" t="n">
        <v>33</v>
      </c>
      <c r="B48" s="28" t="str">
        <f aca="false">IF(Students!B37="","",Students!B37)</f>
        <v/>
      </c>
      <c r="C48" s="29" t="n">
        <f aca="false">'Aug 2027'!F48</f>
        <v>0</v>
      </c>
      <c r="D48" s="29" t="n">
        <f aca="false">IF(B48="",0,N(Students!D37))</f>
        <v>0</v>
      </c>
      <c r="E48" s="15"/>
      <c r="F48" s="30" t="n">
        <f aca="false">N(C48)+N(D48)-N(E48)</f>
        <v>0</v>
      </c>
      <c r="G48" s="13" t="str">
        <f aca="false">IF(B48="","",IF(F48&lt;=0,"Clear",IF(N(E48)&gt;0,"Partial","Due")))</f>
        <v/>
      </c>
      <c r="I48" s="13" t="n">
        <v>33</v>
      </c>
      <c r="J48" s="28" t="str">
        <f aca="false">IF(Students!G37="","",Students!G37)</f>
        <v/>
      </c>
      <c r="K48" s="29" t="n">
        <f aca="false">'Aug 2027'!N48</f>
        <v>0</v>
      </c>
      <c r="L48" s="29" t="n">
        <f aca="false">IF(J48="",0,N(Students!I37))</f>
        <v>0</v>
      </c>
      <c r="M48" s="15"/>
      <c r="N48" s="30" t="n">
        <f aca="false">N(K48)+N(L48)-N(M48)</f>
        <v>0</v>
      </c>
      <c r="O48" s="13" t="str">
        <f aca="false">IF(J48="","",IF(N48&lt;=0,"Clear",IF(N(M48)&gt;0,"Partial","Due")))</f>
        <v/>
      </c>
    </row>
    <row r="49" customFormat="false" ht="15" hidden="false" customHeight="false" outlineLevel="0" collapsed="false">
      <c r="A49" s="13" t="n">
        <v>34</v>
      </c>
      <c r="B49" s="28" t="str">
        <f aca="false">IF(Students!B38="","",Students!B38)</f>
        <v/>
      </c>
      <c r="C49" s="29" t="n">
        <f aca="false">'Aug 2027'!F49</f>
        <v>0</v>
      </c>
      <c r="D49" s="29" t="n">
        <f aca="false">IF(B49="",0,N(Students!D38))</f>
        <v>0</v>
      </c>
      <c r="E49" s="15"/>
      <c r="F49" s="30" t="n">
        <f aca="false">N(C49)+N(D49)-N(E49)</f>
        <v>0</v>
      </c>
      <c r="G49" s="13" t="str">
        <f aca="false">IF(B49="","",IF(F49&lt;=0,"Clear",IF(N(E49)&gt;0,"Partial","Due")))</f>
        <v/>
      </c>
      <c r="I49" s="13" t="n">
        <v>34</v>
      </c>
      <c r="J49" s="28" t="str">
        <f aca="false">IF(Students!G38="","",Students!G38)</f>
        <v/>
      </c>
      <c r="K49" s="29" t="n">
        <f aca="false">'Aug 2027'!N49</f>
        <v>0</v>
      </c>
      <c r="L49" s="29" t="n">
        <f aca="false">IF(J49="",0,N(Students!I38))</f>
        <v>0</v>
      </c>
      <c r="M49" s="15"/>
      <c r="N49" s="30" t="n">
        <f aca="false">N(K49)+N(L49)-N(M49)</f>
        <v>0</v>
      </c>
      <c r="O49" s="13" t="str">
        <f aca="false">IF(J49="","",IF(N49&lt;=0,"Clear",IF(N(M49)&gt;0,"Partial","Due")))</f>
        <v/>
      </c>
    </row>
    <row r="50" customFormat="false" ht="15" hidden="false" customHeight="false" outlineLevel="0" collapsed="false">
      <c r="A50" s="13" t="n">
        <v>35</v>
      </c>
      <c r="B50" s="28" t="str">
        <f aca="false">IF(Students!B39="","",Students!B39)</f>
        <v/>
      </c>
      <c r="C50" s="29" t="n">
        <f aca="false">'Aug 2027'!F50</f>
        <v>0</v>
      </c>
      <c r="D50" s="29" t="n">
        <f aca="false">IF(B50="",0,N(Students!D39))</f>
        <v>0</v>
      </c>
      <c r="E50" s="15"/>
      <c r="F50" s="30" t="n">
        <f aca="false">N(C50)+N(D50)-N(E50)</f>
        <v>0</v>
      </c>
      <c r="G50" s="13" t="str">
        <f aca="false">IF(B50="","",IF(F50&lt;=0,"Clear",IF(N(E50)&gt;0,"Partial","Due")))</f>
        <v/>
      </c>
      <c r="I50" s="13" t="n">
        <v>35</v>
      </c>
      <c r="J50" s="28" t="str">
        <f aca="false">IF(Students!G39="","",Students!G39)</f>
        <v/>
      </c>
      <c r="K50" s="29" t="n">
        <f aca="false">'Aug 2027'!N50</f>
        <v>0</v>
      </c>
      <c r="L50" s="29" t="n">
        <f aca="false">IF(J50="",0,N(Students!I39))</f>
        <v>0</v>
      </c>
      <c r="M50" s="15"/>
      <c r="N50" s="30" t="n">
        <f aca="false">N(K50)+N(L50)-N(M50)</f>
        <v>0</v>
      </c>
      <c r="O50" s="13" t="str">
        <f aca="false">IF(J50="","",IF(N50&lt;=0,"Clear",IF(N(M50)&gt;0,"Partial","Due")))</f>
        <v/>
      </c>
    </row>
    <row r="51" customFormat="false" ht="15" hidden="false" customHeight="false" outlineLevel="0" collapsed="false">
      <c r="A51" s="13" t="n">
        <v>36</v>
      </c>
      <c r="B51" s="28" t="str">
        <f aca="false">IF(Students!B40="","",Students!B40)</f>
        <v/>
      </c>
      <c r="C51" s="29" t="n">
        <f aca="false">'Aug 2027'!F51</f>
        <v>0</v>
      </c>
      <c r="D51" s="29" t="n">
        <f aca="false">IF(B51="",0,N(Students!D40))</f>
        <v>0</v>
      </c>
      <c r="E51" s="15"/>
      <c r="F51" s="30" t="n">
        <f aca="false">N(C51)+N(D51)-N(E51)</f>
        <v>0</v>
      </c>
      <c r="G51" s="13" t="str">
        <f aca="false">IF(B51="","",IF(F51&lt;=0,"Clear",IF(N(E51)&gt;0,"Partial","Due")))</f>
        <v/>
      </c>
      <c r="I51" s="13" t="n">
        <v>36</v>
      </c>
      <c r="J51" s="28" t="str">
        <f aca="false">IF(Students!G40="","",Students!G40)</f>
        <v/>
      </c>
      <c r="K51" s="29" t="n">
        <f aca="false">'Aug 2027'!N51</f>
        <v>0</v>
      </c>
      <c r="L51" s="29" t="n">
        <f aca="false">IF(J51="",0,N(Students!I40))</f>
        <v>0</v>
      </c>
      <c r="M51" s="15"/>
      <c r="N51" s="30" t="n">
        <f aca="false">N(K51)+N(L51)-N(M51)</f>
        <v>0</v>
      </c>
      <c r="O51" s="13" t="str">
        <f aca="false">IF(J51="","",IF(N51&lt;=0,"Clear",IF(N(M51)&gt;0,"Partial","Due")))</f>
        <v/>
      </c>
    </row>
    <row r="52" customFormat="false" ht="15" hidden="false" customHeight="false" outlineLevel="0" collapsed="false">
      <c r="A52" s="13" t="n">
        <v>37</v>
      </c>
      <c r="B52" s="28" t="str">
        <f aca="false">IF(Students!B41="","",Students!B41)</f>
        <v/>
      </c>
      <c r="C52" s="29" t="n">
        <f aca="false">'Aug 2027'!F52</f>
        <v>0</v>
      </c>
      <c r="D52" s="29" t="n">
        <f aca="false">IF(B52="",0,N(Students!D41))</f>
        <v>0</v>
      </c>
      <c r="E52" s="15"/>
      <c r="F52" s="30" t="n">
        <f aca="false">N(C52)+N(D52)-N(E52)</f>
        <v>0</v>
      </c>
      <c r="G52" s="13" t="str">
        <f aca="false">IF(B52="","",IF(F52&lt;=0,"Clear",IF(N(E52)&gt;0,"Partial","Due")))</f>
        <v/>
      </c>
      <c r="I52" s="13" t="n">
        <v>37</v>
      </c>
      <c r="J52" s="28" t="str">
        <f aca="false">IF(Students!G41="","",Students!G41)</f>
        <v/>
      </c>
      <c r="K52" s="29" t="n">
        <f aca="false">'Aug 2027'!N52</f>
        <v>0</v>
      </c>
      <c r="L52" s="29" t="n">
        <f aca="false">IF(J52="",0,N(Students!I41))</f>
        <v>0</v>
      </c>
      <c r="M52" s="15"/>
      <c r="N52" s="30" t="n">
        <f aca="false">N(K52)+N(L52)-N(M52)</f>
        <v>0</v>
      </c>
      <c r="O52" s="13" t="str">
        <f aca="false">IF(J52="","",IF(N52&lt;=0,"Clear",IF(N(M52)&gt;0,"Partial","Due")))</f>
        <v/>
      </c>
    </row>
    <row r="53" customFormat="false" ht="15" hidden="false" customHeight="false" outlineLevel="0" collapsed="false">
      <c r="A53" s="13" t="n">
        <v>38</v>
      </c>
      <c r="B53" s="28" t="str">
        <f aca="false">IF(Students!B42="","",Students!B42)</f>
        <v/>
      </c>
      <c r="C53" s="29" t="n">
        <f aca="false">'Aug 2027'!F53</f>
        <v>0</v>
      </c>
      <c r="D53" s="29" t="n">
        <f aca="false">IF(B53="",0,N(Students!D42))</f>
        <v>0</v>
      </c>
      <c r="E53" s="15"/>
      <c r="F53" s="30" t="n">
        <f aca="false">N(C53)+N(D53)-N(E53)</f>
        <v>0</v>
      </c>
      <c r="G53" s="13" t="str">
        <f aca="false">IF(B53="","",IF(F53&lt;=0,"Clear",IF(N(E53)&gt;0,"Partial","Due")))</f>
        <v/>
      </c>
      <c r="I53" s="13" t="n">
        <v>38</v>
      </c>
      <c r="J53" s="28" t="str">
        <f aca="false">IF(Students!G42="","",Students!G42)</f>
        <v/>
      </c>
      <c r="K53" s="29" t="n">
        <f aca="false">'Aug 2027'!N53</f>
        <v>0</v>
      </c>
      <c r="L53" s="29" t="n">
        <f aca="false">IF(J53="",0,N(Students!I42))</f>
        <v>0</v>
      </c>
      <c r="M53" s="15"/>
      <c r="N53" s="30" t="n">
        <f aca="false">N(K53)+N(L53)-N(M53)</f>
        <v>0</v>
      </c>
      <c r="O53" s="13" t="str">
        <f aca="false">IF(J53="","",IF(N53&lt;=0,"Clear",IF(N(M53)&gt;0,"Partial","Due")))</f>
        <v/>
      </c>
    </row>
    <row r="54" customFormat="false" ht="15" hidden="false" customHeight="false" outlineLevel="0" collapsed="false">
      <c r="A54" s="13" t="n">
        <v>39</v>
      </c>
      <c r="B54" s="28" t="str">
        <f aca="false">IF(Students!B43="","",Students!B43)</f>
        <v/>
      </c>
      <c r="C54" s="29" t="n">
        <f aca="false">'Aug 2027'!F54</f>
        <v>0</v>
      </c>
      <c r="D54" s="29" t="n">
        <f aca="false">IF(B54="",0,N(Students!D43))</f>
        <v>0</v>
      </c>
      <c r="E54" s="15"/>
      <c r="F54" s="30" t="n">
        <f aca="false">N(C54)+N(D54)-N(E54)</f>
        <v>0</v>
      </c>
      <c r="G54" s="13" t="str">
        <f aca="false">IF(B54="","",IF(F54&lt;=0,"Clear",IF(N(E54)&gt;0,"Partial","Due")))</f>
        <v/>
      </c>
      <c r="I54" s="13" t="n">
        <v>39</v>
      </c>
      <c r="J54" s="28" t="str">
        <f aca="false">IF(Students!G43="","",Students!G43)</f>
        <v/>
      </c>
      <c r="K54" s="29" t="n">
        <f aca="false">'Aug 2027'!N54</f>
        <v>0</v>
      </c>
      <c r="L54" s="29" t="n">
        <f aca="false">IF(J54="",0,N(Students!I43))</f>
        <v>0</v>
      </c>
      <c r="M54" s="15"/>
      <c r="N54" s="30" t="n">
        <f aca="false">N(K54)+N(L54)-N(M54)</f>
        <v>0</v>
      </c>
      <c r="O54" s="13" t="str">
        <f aca="false">IF(J54="","",IF(N54&lt;=0,"Clear",IF(N(M54)&gt;0,"Partial","Due")))</f>
        <v/>
      </c>
    </row>
    <row r="55" customFormat="false" ht="15" hidden="false" customHeight="false" outlineLevel="0" collapsed="false">
      <c r="A55" s="13" t="n">
        <v>40</v>
      </c>
      <c r="B55" s="28" t="str">
        <f aca="false">IF(Students!B44="","",Students!B44)</f>
        <v/>
      </c>
      <c r="C55" s="29" t="n">
        <f aca="false">'Aug 2027'!F55</f>
        <v>0</v>
      </c>
      <c r="D55" s="29" t="n">
        <f aca="false">IF(B55="",0,N(Students!D44))</f>
        <v>0</v>
      </c>
      <c r="E55" s="15"/>
      <c r="F55" s="30" t="n">
        <f aca="false">N(C55)+N(D55)-N(E55)</f>
        <v>0</v>
      </c>
      <c r="G55" s="13" t="str">
        <f aca="false">IF(B55="","",IF(F55&lt;=0,"Clear",IF(N(E55)&gt;0,"Partial","Due")))</f>
        <v/>
      </c>
      <c r="I55" s="13" t="n">
        <v>40</v>
      </c>
      <c r="J55" s="28" t="str">
        <f aca="false">IF(Students!G44="","",Students!G44)</f>
        <v/>
      </c>
      <c r="K55" s="29" t="n">
        <f aca="false">'Aug 2027'!N55</f>
        <v>0</v>
      </c>
      <c r="L55" s="29" t="n">
        <f aca="false">IF(J55="",0,N(Students!I44))</f>
        <v>0</v>
      </c>
      <c r="M55" s="15"/>
      <c r="N55" s="30" t="n">
        <f aca="false">N(K55)+N(L55)-N(M55)</f>
        <v>0</v>
      </c>
      <c r="O55" s="13" t="str">
        <f aca="false">IF(J55="","",IF(N55&lt;=0,"Clear",IF(N(M55)&gt;0,"Partial","Due")))</f>
        <v/>
      </c>
    </row>
    <row r="56" customFormat="false" ht="15" hidden="false" customHeight="false" outlineLevel="0" collapsed="false">
      <c r="A56" s="13" t="n">
        <v>41</v>
      </c>
      <c r="B56" s="28" t="str">
        <f aca="false">IF(Students!B45="","",Students!B45)</f>
        <v/>
      </c>
      <c r="C56" s="29" t="n">
        <f aca="false">'Aug 2027'!F56</f>
        <v>0</v>
      </c>
      <c r="D56" s="29" t="n">
        <f aca="false">IF(B56="",0,N(Students!D45))</f>
        <v>0</v>
      </c>
      <c r="E56" s="15"/>
      <c r="F56" s="30" t="n">
        <f aca="false">N(C56)+N(D56)-N(E56)</f>
        <v>0</v>
      </c>
      <c r="G56" s="13" t="str">
        <f aca="false">IF(B56="","",IF(F56&lt;=0,"Clear",IF(N(E56)&gt;0,"Partial","Due")))</f>
        <v/>
      </c>
      <c r="I56" s="13" t="n">
        <v>41</v>
      </c>
      <c r="J56" s="28" t="str">
        <f aca="false">IF(Students!G45="","",Students!G45)</f>
        <v/>
      </c>
      <c r="K56" s="29" t="n">
        <f aca="false">'Aug 2027'!N56</f>
        <v>0</v>
      </c>
      <c r="L56" s="29" t="n">
        <f aca="false">IF(J56="",0,N(Students!I45))</f>
        <v>0</v>
      </c>
      <c r="M56" s="15"/>
      <c r="N56" s="30" t="n">
        <f aca="false">N(K56)+N(L56)-N(M56)</f>
        <v>0</v>
      </c>
      <c r="O56" s="13" t="str">
        <f aca="false">IF(J56="","",IF(N56&lt;=0,"Clear",IF(N(M56)&gt;0,"Partial","Due")))</f>
        <v/>
      </c>
    </row>
    <row r="57" customFormat="false" ht="15" hidden="false" customHeight="false" outlineLevel="0" collapsed="false">
      <c r="A57" s="13" t="n">
        <v>42</v>
      </c>
      <c r="B57" s="28" t="str">
        <f aca="false">IF(Students!B46="","",Students!B46)</f>
        <v/>
      </c>
      <c r="C57" s="29" t="n">
        <f aca="false">'Aug 2027'!F57</f>
        <v>0</v>
      </c>
      <c r="D57" s="29" t="n">
        <f aca="false">IF(B57="",0,N(Students!D46))</f>
        <v>0</v>
      </c>
      <c r="E57" s="15"/>
      <c r="F57" s="30" t="n">
        <f aca="false">N(C57)+N(D57)-N(E57)</f>
        <v>0</v>
      </c>
      <c r="G57" s="13" t="str">
        <f aca="false">IF(B57="","",IF(F57&lt;=0,"Clear",IF(N(E57)&gt;0,"Partial","Due")))</f>
        <v/>
      </c>
      <c r="I57" s="13" t="n">
        <v>42</v>
      </c>
      <c r="J57" s="28" t="str">
        <f aca="false">IF(Students!G46="","",Students!G46)</f>
        <v/>
      </c>
      <c r="K57" s="29" t="n">
        <f aca="false">'Aug 2027'!N57</f>
        <v>0</v>
      </c>
      <c r="L57" s="29" t="n">
        <f aca="false">IF(J57="",0,N(Students!I46))</f>
        <v>0</v>
      </c>
      <c r="M57" s="15"/>
      <c r="N57" s="30" t="n">
        <f aca="false">N(K57)+N(L57)-N(M57)</f>
        <v>0</v>
      </c>
      <c r="O57" s="13" t="str">
        <f aca="false">IF(J57="","",IF(N57&lt;=0,"Clear",IF(N(M57)&gt;0,"Partial","Due")))</f>
        <v/>
      </c>
    </row>
    <row r="58" customFormat="false" ht="15" hidden="false" customHeight="false" outlineLevel="0" collapsed="false">
      <c r="A58" s="13" t="n">
        <v>43</v>
      </c>
      <c r="B58" s="28" t="str">
        <f aca="false">IF(Students!B47="","",Students!B47)</f>
        <v/>
      </c>
      <c r="C58" s="29" t="n">
        <f aca="false">'Aug 2027'!F58</f>
        <v>0</v>
      </c>
      <c r="D58" s="29" t="n">
        <f aca="false">IF(B58="",0,N(Students!D47))</f>
        <v>0</v>
      </c>
      <c r="E58" s="15"/>
      <c r="F58" s="30" t="n">
        <f aca="false">N(C58)+N(D58)-N(E58)</f>
        <v>0</v>
      </c>
      <c r="G58" s="13" t="str">
        <f aca="false">IF(B58="","",IF(F58&lt;=0,"Clear",IF(N(E58)&gt;0,"Partial","Due")))</f>
        <v/>
      </c>
      <c r="I58" s="13" t="n">
        <v>43</v>
      </c>
      <c r="J58" s="28" t="str">
        <f aca="false">IF(Students!G47="","",Students!G47)</f>
        <v/>
      </c>
      <c r="K58" s="29" t="n">
        <f aca="false">'Aug 2027'!N58</f>
        <v>0</v>
      </c>
      <c r="L58" s="29" t="n">
        <f aca="false">IF(J58="",0,N(Students!I47))</f>
        <v>0</v>
      </c>
      <c r="M58" s="15"/>
      <c r="N58" s="30" t="n">
        <f aca="false">N(K58)+N(L58)-N(M58)</f>
        <v>0</v>
      </c>
      <c r="O58" s="13" t="str">
        <f aca="false">IF(J58="","",IF(N58&lt;=0,"Clear",IF(N(M58)&gt;0,"Partial","Due")))</f>
        <v/>
      </c>
    </row>
    <row r="59" customFormat="false" ht="15" hidden="false" customHeight="false" outlineLevel="0" collapsed="false">
      <c r="A59" s="13" t="n">
        <v>44</v>
      </c>
      <c r="B59" s="28" t="str">
        <f aca="false">IF(Students!B48="","",Students!B48)</f>
        <v/>
      </c>
      <c r="C59" s="29" t="n">
        <f aca="false">'Aug 2027'!F59</f>
        <v>0</v>
      </c>
      <c r="D59" s="29" t="n">
        <f aca="false">IF(B59="",0,N(Students!D48))</f>
        <v>0</v>
      </c>
      <c r="E59" s="15"/>
      <c r="F59" s="30" t="n">
        <f aca="false">N(C59)+N(D59)-N(E59)</f>
        <v>0</v>
      </c>
      <c r="G59" s="13" t="str">
        <f aca="false">IF(B59="","",IF(F59&lt;=0,"Clear",IF(N(E59)&gt;0,"Partial","Due")))</f>
        <v/>
      </c>
      <c r="I59" s="13" t="n">
        <v>44</v>
      </c>
      <c r="J59" s="28" t="str">
        <f aca="false">IF(Students!G48="","",Students!G48)</f>
        <v/>
      </c>
      <c r="K59" s="29" t="n">
        <f aca="false">'Aug 2027'!N59</f>
        <v>0</v>
      </c>
      <c r="L59" s="29" t="n">
        <f aca="false">IF(J59="",0,N(Students!I48))</f>
        <v>0</v>
      </c>
      <c r="M59" s="15"/>
      <c r="N59" s="30" t="n">
        <f aca="false">N(K59)+N(L59)-N(M59)</f>
        <v>0</v>
      </c>
      <c r="O59" s="13" t="str">
        <f aca="false">IF(J59="","",IF(N59&lt;=0,"Clear",IF(N(M59)&gt;0,"Partial","Due")))</f>
        <v/>
      </c>
    </row>
    <row r="60" customFormat="false" ht="15" hidden="false" customHeight="false" outlineLevel="0" collapsed="false">
      <c r="A60" s="13" t="n">
        <v>45</v>
      </c>
      <c r="B60" s="28" t="str">
        <f aca="false">IF(Students!B49="","",Students!B49)</f>
        <v/>
      </c>
      <c r="C60" s="29" t="n">
        <f aca="false">'Aug 2027'!F60</f>
        <v>0</v>
      </c>
      <c r="D60" s="29" t="n">
        <f aca="false">IF(B60="",0,N(Students!D49))</f>
        <v>0</v>
      </c>
      <c r="E60" s="15"/>
      <c r="F60" s="30" t="n">
        <f aca="false">N(C60)+N(D60)-N(E60)</f>
        <v>0</v>
      </c>
      <c r="G60" s="13" t="str">
        <f aca="false">IF(B60="","",IF(F60&lt;=0,"Clear",IF(N(E60)&gt;0,"Partial","Due")))</f>
        <v/>
      </c>
      <c r="I60" s="13" t="n">
        <v>45</v>
      </c>
      <c r="J60" s="28" t="str">
        <f aca="false">IF(Students!G49="","",Students!G49)</f>
        <v/>
      </c>
      <c r="K60" s="29" t="n">
        <f aca="false">'Aug 2027'!N60</f>
        <v>0</v>
      </c>
      <c r="L60" s="29" t="n">
        <f aca="false">IF(J60="",0,N(Students!I49))</f>
        <v>0</v>
      </c>
      <c r="M60" s="15"/>
      <c r="N60" s="30" t="n">
        <f aca="false">N(K60)+N(L60)-N(M60)</f>
        <v>0</v>
      </c>
      <c r="O60" s="13" t="str">
        <f aca="false">IF(J60="","",IF(N60&lt;=0,"Clear",IF(N(M60)&gt;0,"Partial","Due")))</f>
        <v/>
      </c>
    </row>
    <row r="61" customFormat="false" ht="15" hidden="false" customHeight="false" outlineLevel="0" collapsed="false">
      <c r="A61" s="13" t="n">
        <v>46</v>
      </c>
      <c r="B61" s="28" t="str">
        <f aca="false">IF(Students!B50="","",Students!B50)</f>
        <v/>
      </c>
      <c r="C61" s="29" t="n">
        <f aca="false">'Aug 2027'!F61</f>
        <v>0</v>
      </c>
      <c r="D61" s="29" t="n">
        <f aca="false">IF(B61="",0,N(Students!D50))</f>
        <v>0</v>
      </c>
      <c r="E61" s="15"/>
      <c r="F61" s="30" t="n">
        <f aca="false">N(C61)+N(D61)-N(E61)</f>
        <v>0</v>
      </c>
      <c r="G61" s="13" t="str">
        <f aca="false">IF(B61="","",IF(F61&lt;=0,"Clear",IF(N(E61)&gt;0,"Partial","Due")))</f>
        <v/>
      </c>
      <c r="I61" s="13" t="n">
        <v>46</v>
      </c>
      <c r="J61" s="28" t="str">
        <f aca="false">IF(Students!G50="","",Students!G50)</f>
        <v/>
      </c>
      <c r="K61" s="29" t="n">
        <f aca="false">'Aug 2027'!N61</f>
        <v>0</v>
      </c>
      <c r="L61" s="29" t="n">
        <f aca="false">IF(J61="",0,N(Students!I50))</f>
        <v>0</v>
      </c>
      <c r="M61" s="15"/>
      <c r="N61" s="30" t="n">
        <f aca="false">N(K61)+N(L61)-N(M61)</f>
        <v>0</v>
      </c>
      <c r="O61" s="13" t="str">
        <f aca="false">IF(J61="","",IF(N61&lt;=0,"Clear",IF(N(M61)&gt;0,"Partial","Due")))</f>
        <v/>
      </c>
    </row>
    <row r="62" customFormat="false" ht="15" hidden="false" customHeight="false" outlineLevel="0" collapsed="false">
      <c r="A62" s="13" t="n">
        <v>47</v>
      </c>
      <c r="B62" s="28" t="str">
        <f aca="false">IF(Students!B51="","",Students!B51)</f>
        <v/>
      </c>
      <c r="C62" s="29" t="n">
        <f aca="false">'Aug 2027'!F62</f>
        <v>0</v>
      </c>
      <c r="D62" s="29" t="n">
        <f aca="false">IF(B62="",0,N(Students!D51))</f>
        <v>0</v>
      </c>
      <c r="E62" s="15"/>
      <c r="F62" s="30" t="n">
        <f aca="false">N(C62)+N(D62)-N(E62)</f>
        <v>0</v>
      </c>
      <c r="G62" s="13" t="str">
        <f aca="false">IF(B62="","",IF(F62&lt;=0,"Clear",IF(N(E62)&gt;0,"Partial","Due")))</f>
        <v/>
      </c>
      <c r="I62" s="13" t="n">
        <v>47</v>
      </c>
      <c r="J62" s="28" t="str">
        <f aca="false">IF(Students!G51="","",Students!G51)</f>
        <v/>
      </c>
      <c r="K62" s="29" t="n">
        <f aca="false">'Aug 2027'!N62</f>
        <v>0</v>
      </c>
      <c r="L62" s="29" t="n">
        <f aca="false">IF(J62="",0,N(Students!I51))</f>
        <v>0</v>
      </c>
      <c r="M62" s="15"/>
      <c r="N62" s="30" t="n">
        <f aca="false">N(K62)+N(L62)-N(M62)</f>
        <v>0</v>
      </c>
      <c r="O62" s="13" t="str">
        <f aca="false">IF(J62="","",IF(N62&lt;=0,"Clear",IF(N(M62)&gt;0,"Partial","Due")))</f>
        <v/>
      </c>
    </row>
    <row r="63" customFormat="false" ht="15" hidden="false" customHeight="false" outlineLevel="0" collapsed="false">
      <c r="A63" s="13" t="n">
        <v>48</v>
      </c>
      <c r="B63" s="28" t="str">
        <f aca="false">IF(Students!B52="","",Students!B52)</f>
        <v/>
      </c>
      <c r="C63" s="29" t="n">
        <f aca="false">'Aug 2027'!F63</f>
        <v>0</v>
      </c>
      <c r="D63" s="29" t="n">
        <f aca="false">IF(B63="",0,N(Students!D52))</f>
        <v>0</v>
      </c>
      <c r="E63" s="15"/>
      <c r="F63" s="30" t="n">
        <f aca="false">N(C63)+N(D63)-N(E63)</f>
        <v>0</v>
      </c>
      <c r="G63" s="13" t="str">
        <f aca="false">IF(B63="","",IF(F63&lt;=0,"Clear",IF(N(E63)&gt;0,"Partial","Due")))</f>
        <v/>
      </c>
      <c r="I63" s="13" t="n">
        <v>48</v>
      </c>
      <c r="J63" s="28" t="str">
        <f aca="false">IF(Students!G52="","",Students!G52)</f>
        <v/>
      </c>
      <c r="K63" s="29" t="n">
        <f aca="false">'Aug 2027'!N63</f>
        <v>0</v>
      </c>
      <c r="L63" s="29" t="n">
        <f aca="false">IF(J63="",0,N(Students!I52))</f>
        <v>0</v>
      </c>
      <c r="M63" s="15"/>
      <c r="N63" s="30" t="n">
        <f aca="false">N(K63)+N(L63)-N(M63)</f>
        <v>0</v>
      </c>
      <c r="O63" s="13" t="str">
        <f aca="false">IF(J63="","",IF(N63&lt;=0,"Clear",IF(N(M63)&gt;0,"Partial","Due")))</f>
        <v/>
      </c>
    </row>
    <row r="64" customFormat="false" ht="15" hidden="false" customHeight="false" outlineLevel="0" collapsed="false">
      <c r="A64" s="13" t="n">
        <v>49</v>
      </c>
      <c r="B64" s="28" t="str">
        <f aca="false">IF(Students!B53="","",Students!B53)</f>
        <v/>
      </c>
      <c r="C64" s="29" t="n">
        <f aca="false">'Aug 2027'!F64</f>
        <v>0</v>
      </c>
      <c r="D64" s="29" t="n">
        <f aca="false">IF(B64="",0,N(Students!D53))</f>
        <v>0</v>
      </c>
      <c r="E64" s="15"/>
      <c r="F64" s="30" t="n">
        <f aca="false">N(C64)+N(D64)-N(E64)</f>
        <v>0</v>
      </c>
      <c r="G64" s="13" t="str">
        <f aca="false">IF(B64="","",IF(F64&lt;=0,"Clear",IF(N(E64)&gt;0,"Partial","Due")))</f>
        <v/>
      </c>
      <c r="I64" s="13" t="n">
        <v>49</v>
      </c>
      <c r="J64" s="28" t="str">
        <f aca="false">IF(Students!G53="","",Students!G53)</f>
        <v/>
      </c>
      <c r="K64" s="29" t="n">
        <f aca="false">'Aug 2027'!N64</f>
        <v>0</v>
      </c>
      <c r="L64" s="29" t="n">
        <f aca="false">IF(J64="",0,N(Students!I53))</f>
        <v>0</v>
      </c>
      <c r="M64" s="15"/>
      <c r="N64" s="30" t="n">
        <f aca="false">N(K64)+N(L64)-N(M64)</f>
        <v>0</v>
      </c>
      <c r="O64" s="13" t="str">
        <f aca="false">IF(J64="","",IF(N64&lt;=0,"Clear",IF(N(M64)&gt;0,"Partial","Due")))</f>
        <v/>
      </c>
    </row>
    <row r="65" customFormat="false" ht="15" hidden="false" customHeight="false" outlineLevel="0" collapsed="false">
      <c r="A65" s="13" t="n">
        <v>50</v>
      </c>
      <c r="B65" s="28" t="str">
        <f aca="false">IF(Students!B54="","",Students!B54)</f>
        <v/>
      </c>
      <c r="C65" s="29" t="n">
        <f aca="false">'Aug 2027'!F65</f>
        <v>0</v>
      </c>
      <c r="D65" s="29" t="n">
        <f aca="false">IF(B65="",0,N(Students!D54))</f>
        <v>0</v>
      </c>
      <c r="E65" s="15"/>
      <c r="F65" s="30" t="n">
        <f aca="false">N(C65)+N(D65)-N(E65)</f>
        <v>0</v>
      </c>
      <c r="G65" s="13" t="str">
        <f aca="false">IF(B65="","",IF(F65&lt;=0,"Clear",IF(N(E65)&gt;0,"Partial","Due")))</f>
        <v/>
      </c>
      <c r="I65" s="13" t="n">
        <v>50</v>
      </c>
      <c r="J65" s="28" t="str">
        <f aca="false">IF(Students!G54="","",Students!G54)</f>
        <v/>
      </c>
      <c r="K65" s="29" t="n">
        <f aca="false">'Aug 2027'!N65</f>
        <v>0</v>
      </c>
      <c r="L65" s="29" t="n">
        <f aca="false">IF(J65="",0,N(Students!I54))</f>
        <v>0</v>
      </c>
      <c r="M65" s="15"/>
      <c r="N65" s="30" t="n">
        <f aca="false">N(K65)+N(L65)-N(M65)</f>
        <v>0</v>
      </c>
      <c r="O65" s="13" t="str">
        <f aca="false">IF(J65="","",IF(N65&lt;=0,"Clear",IF(N(M65)&gt;0,"Partial","Due")))</f>
        <v/>
      </c>
    </row>
    <row r="66" customFormat="false" ht="23.85" hidden="false" customHeight="true" outlineLevel="0" collapsed="false">
      <c r="A66" s="31" t="s">
        <v>44</v>
      </c>
      <c r="B66" s="31"/>
      <c r="C66" s="32" t="n">
        <f aca="false">SUM(C16:C65)</f>
        <v>10000</v>
      </c>
      <c r="D66" s="32" t="n">
        <f aca="false">SUM(D16:D65)</f>
        <v>1000</v>
      </c>
      <c r="E66" s="32" t="n">
        <f aca="false">SUM(E16:E65)</f>
        <v>0</v>
      </c>
      <c r="F66" s="32" t="n">
        <f aca="false">SUM(F16:F65)</f>
        <v>11000</v>
      </c>
      <c r="G66" s="31" t="str">
        <f aca="false">(COUNTIF(G16:G65,"Due")+COUNTIF(G16:G65,"Partial"))&amp;" with dues"</f>
        <v>1 with dues</v>
      </c>
      <c r="I66" s="31" t="s">
        <v>44</v>
      </c>
      <c r="J66" s="31"/>
      <c r="K66" s="32" t="n">
        <f aca="false">SUM(K16:K65)</f>
        <v>16000</v>
      </c>
      <c r="L66" s="32" t="n">
        <f aca="false">SUM(L16:L65)</f>
        <v>1500</v>
      </c>
      <c r="M66" s="32" t="n">
        <f aca="false">SUM(M16:M65)</f>
        <v>0</v>
      </c>
      <c r="N66" s="32" t="n">
        <f aca="false">SUM(N16:N65)</f>
        <v>17500</v>
      </c>
      <c r="O66" s="31" t="str">
        <f aca="false">(COUNTIF(O16:O65,"Due")+COUNTIF(O16:O65,"Partial"))&amp;" with dues"</f>
        <v>1 with dues</v>
      </c>
    </row>
  </sheetData>
  <mergeCells count="36">
    <mergeCell ref="A1:O1"/>
    <mergeCell ref="A2:O2"/>
    <mergeCell ref="A4:G4"/>
    <mergeCell ref="I4:O4"/>
    <mergeCell ref="A5:G5"/>
    <mergeCell ref="I5:O5"/>
    <mergeCell ref="A6:C6"/>
    <mergeCell ref="D6:G6"/>
    <mergeCell ref="I6:K6"/>
    <mergeCell ref="L6:O6"/>
    <mergeCell ref="A7:C7"/>
    <mergeCell ref="D7:G7"/>
    <mergeCell ref="I7:K7"/>
    <mergeCell ref="L7:O7"/>
    <mergeCell ref="A8:C8"/>
    <mergeCell ref="D8:G8"/>
    <mergeCell ref="I8:K8"/>
    <mergeCell ref="L8:O8"/>
    <mergeCell ref="A9:C9"/>
    <mergeCell ref="D9:G9"/>
    <mergeCell ref="I9:K9"/>
    <mergeCell ref="L9:O9"/>
    <mergeCell ref="A10:C10"/>
    <mergeCell ref="D10:G10"/>
    <mergeCell ref="I10:K10"/>
    <mergeCell ref="L10:O10"/>
    <mergeCell ref="A12:O12"/>
    <mergeCell ref="A13:B13"/>
    <mergeCell ref="C13:D13"/>
    <mergeCell ref="E13:F13"/>
    <mergeCell ref="G13:H13"/>
    <mergeCell ref="I13:J13"/>
    <mergeCell ref="K13:L13"/>
    <mergeCell ref="M13:N13"/>
    <mergeCell ref="A66:B66"/>
    <mergeCell ref="I66:J66"/>
  </mergeCells>
  <conditionalFormatting sqref="G16:G65">
    <cfRule type="cellIs" priority="2" operator="equal" aboveAverage="0" equalAverage="0" bottom="0" percent="0" rank="0" text="" dxfId="0">
      <formula>"Clear"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"Due"</formula>
    </cfRule>
  </conditionalFormatting>
  <conditionalFormatting sqref="F16:F65">
    <cfRule type="cellIs" priority="5" operator="greaterThan" aboveAverage="0" equalAverage="0" bottom="0" percent="0" rank="0" text="" dxfId="3">
      <formula>0</formula>
    </cfRule>
  </conditionalFormatting>
  <conditionalFormatting sqref="O16:O65">
    <cfRule type="cellIs" priority="6" operator="equal" aboveAverage="0" equalAverage="0" bottom="0" percent="0" rank="0" text="" dxfId="0">
      <formula>"Clear"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2">
      <formula>"Due"</formula>
    </cfRule>
  </conditionalFormatting>
  <conditionalFormatting sqref="N16:N65">
    <cfRule type="cellIs" priority="9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2026-10-08T07:14:37Z</dcterms:created>
  <dc:creator>openpyxl</dc:creator>
  <dc:description/>
  <dc:language>en-US</dc:language>
  <cp:lastModifiedBy/>
  <dcterms:modified xsi:type="dcterms:W3CDTF">2026-10-08T07:14:38Z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