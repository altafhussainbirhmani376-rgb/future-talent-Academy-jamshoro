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etup" sheetId="1" state="visible" r:id="rId3"/>
    <sheet name="Students" sheetId="2" state="visible" r:id="rId4"/>
    <sheet name="Administration" sheetId="3" state="visible" r:id="rId5"/>
    <sheet name="Profit &amp; Loss" sheetId="4" state="visible" r:id="rId6"/>
    <sheet name="Oct 2026" sheetId="5" state="visible" r:id="rId7"/>
    <sheet name="Nov 2026" sheetId="6" state="visible" r:id="rId8"/>
    <sheet name="Dec 2026" sheetId="7" state="visible" r:id="rId9"/>
    <sheet name="Jan 2027" sheetId="8" state="visible" r:id="rId10"/>
    <sheet name="Feb 2027" sheetId="9" state="visible" r:id="rId11"/>
    <sheet name="Mar 2027" sheetId="10" state="visible" r:id="rId12"/>
    <sheet name="Apr 2027" sheetId="11" state="visible" r:id="rId13"/>
    <sheet name="May 2027" sheetId="12" state="visible" r:id="rId14"/>
    <sheet name="Jun 2027" sheetId="13" state="visible" r:id="rId15"/>
    <sheet name="Jul 2027" sheetId="14" state="visible" r:id="rId16"/>
    <sheet name="Aug 2027" sheetId="15" state="visible" r:id="rId17"/>
    <sheet name="Sep 2027" sheetId="16" state="visible" r:id="rId18"/>
  </sheets>
  <definedNames>
    <definedName function="false" hidden="false" localSheetId="10" name="_xlnm.Print_Titles" vbProcedure="false">'Apr 2027'!$14:$15</definedName>
    <definedName function="false" hidden="false" localSheetId="14" name="_xlnm.Print_Titles" vbProcedure="false">'Aug 2027'!$14:$15</definedName>
    <definedName function="false" hidden="false" localSheetId="6" name="_xlnm.Print_Titles" vbProcedure="false">'Dec 2026'!$14:$15</definedName>
    <definedName function="false" hidden="false" localSheetId="8" name="_xlnm.Print_Titles" vbProcedure="false">'Feb 2027'!$14:$15</definedName>
    <definedName function="false" hidden="false" localSheetId="7" name="_xlnm.Print_Titles" vbProcedure="false">'Jan 2027'!$14:$15</definedName>
    <definedName function="false" hidden="false" localSheetId="13" name="_xlnm.Print_Titles" vbProcedure="false">'Jul 2027'!$14:$15</definedName>
    <definedName function="false" hidden="false" localSheetId="12" name="_xlnm.Print_Titles" vbProcedure="false">'Jun 2027'!$14:$15</definedName>
    <definedName function="false" hidden="false" localSheetId="9" name="_xlnm.Print_Titles" vbProcedure="false">'Mar 2027'!$14:$15</definedName>
    <definedName function="false" hidden="false" localSheetId="11" name="_xlnm.Print_Titles" vbProcedure="false">'May 2027'!$14:$15</definedName>
    <definedName function="false" hidden="false" localSheetId="5" name="_xlnm.Print_Titles" vbProcedure="false">'Nov 2026'!$14:$15</definedName>
    <definedName function="false" hidden="false" localSheetId="4" name="_xlnm.Print_Titles" vbProcedure="false">'Oct 2026'!$14:$15</definedName>
    <definedName function="false" hidden="false" localSheetId="15" name="_xlnm.Print_Titles" vbProcedure="false">'Sep 2027'!$14:$15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50% to the teacher, 50% to the academy (from you). Change per subject if needed.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Example: Ali takes only Computer (2000) and Math (1500). Other subjects are blank. Delete this row's entries before use.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Example amounts only. Delete these two rows and enter your real expenses.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5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  <comment ref="G15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  <comment ref="K15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  <comment ref="O15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  <comment ref="S15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  <comment ref="W15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</commentList>
</comments>
</file>

<file path=xl/sharedStrings.xml><?xml version="1.0" encoding="utf-8"?>
<sst xmlns="http://schemas.openxmlformats.org/spreadsheetml/2006/main" count="713" uniqueCount="114">
  <si>
    <t xml:space="preserve">FUTURE TALENT ACADEMY JAMSHORO — SETUP</t>
  </si>
  <si>
    <t xml:space="preserve">Academy Name</t>
  </si>
  <si>
    <t xml:space="preserve">Future Talent Academy Jamshoro</t>
  </si>
  <si>
    <t xml:space="preserve">Subject / Class</t>
  </si>
  <si>
    <t xml:space="preserve">Teacher Name</t>
  </si>
  <si>
    <t xml:space="preserve">Teacher Share</t>
  </si>
  <si>
    <t xml:space="preserve">Academy Share</t>
  </si>
  <si>
    <t xml:space="preserve">English</t>
  </si>
  <si>
    <t xml:space="preserve">Sir Sajjad Ali Birhmani</t>
  </si>
  <si>
    <t xml:space="preserve">Computer</t>
  </si>
  <si>
    <t xml:space="preserve">Sir Nazeer Ahmed Jamali</t>
  </si>
  <si>
    <t xml:space="preserve">Biology</t>
  </si>
  <si>
    <t xml:space="preserve">Sir Azhar Ali Chandio</t>
  </si>
  <si>
    <t xml:space="preserve">Math</t>
  </si>
  <si>
    <t xml:space="preserve">Sir M. Faheem</t>
  </si>
  <si>
    <t xml:space="preserve">Kids Coaching (Class 1)</t>
  </si>
  <si>
    <t xml:space="preserve">Miss Farzana</t>
  </si>
  <si>
    <t xml:space="preserve">Kids Coaching (Class 2)</t>
  </si>
  <si>
    <t xml:space="preserve">Miss Fozia</t>
  </si>
  <si>
    <t xml:space="preserve">How it works</t>
  </si>
  <si>
    <t xml:space="preserve">1. Students: write each student ONCE. Under each subject, type that student's monthly fee. Leave blank if the student does not take that subject.</t>
  </si>
  <si>
    <t xml:space="preserve">   Example: Ali takes Computer (2000) and Math (1500) only, so only those two cells are filled.</t>
  </si>
  <si>
    <t xml:space="preserve">2. Month sheets (Oct 2026 …): type only the amount paid in each subject's 'Paid' column. Unpaid fees carry forward per subject.</t>
  </si>
  <si>
    <t xml:space="preserve">3. Administration: write every expense (rent, bills, salaries …), investment (furniture, computers …) and any other income, with its month.</t>
  </si>
  <si>
    <t xml:space="preserve">4. Each month sheet and the Profit &amp; Loss sheet show: Academy share of fees + other income − expenses − investment = NET PROFIT.</t>
  </si>
  <si>
    <t xml:space="preserve">5. Teacher shares are paid from collected fees only; expenses and investment are cut from the academy's share.</t>
  </si>
  <si>
    <t xml:space="preserve">STUDENT LIST — ONE ROW PER STUDENT</t>
  </si>
  <si>
    <t xml:space="preserve">Type the monthly fee under each subject the student takes. Leave blank for subjects the student does not take. Add new students at the bottom; keep the order the same.</t>
  </si>
  <si>
    <t xml:space="preserve">STUDENT</t>
  </si>
  <si>
    <t xml:space="preserve">MONTHLY FEE PER SUBJECT (blank = not enrolled)</t>
  </si>
  <si>
    <t xml:space="preserve">Serial No</t>
  </si>
  <si>
    <t xml:space="preserve">Student Name</t>
  </si>
  <si>
    <t xml:space="preserve">Father Name</t>
  </si>
  <si>
    <t xml:space="preserve">Phone No</t>
  </si>
  <si>
    <t xml:space="preserve">Total Monthly Fee</t>
  </si>
  <si>
    <t xml:space="preserve">Ali (example)</t>
  </si>
  <si>
    <t xml:space="preserve">Muhammad Aslam</t>
  </si>
  <si>
    <t xml:space="preserve">0300-0000000</t>
  </si>
  <si>
    <t xml:space="preserve">ADMINISTRATION — EXPENSES, INVESTMENT &amp; OTHER INCOME</t>
  </si>
  <si>
    <t xml:space="preserve">Write every payment the academy makes or receives (other than student fees). Choose the Month and Type. Totals flow to each month sheet and the Profit &amp; Loss sheet.</t>
  </si>
  <si>
    <t xml:space="preserve">Date</t>
  </si>
  <si>
    <t xml:space="preserve">Month</t>
  </si>
  <si>
    <t xml:space="preserve">Type</t>
  </si>
  <si>
    <t xml:space="preserve">Category</t>
  </si>
  <si>
    <t xml:space="preserve">Description</t>
  </si>
  <si>
    <t xml:space="preserve">Amount</t>
  </si>
  <si>
    <t xml:space="preserve">Notes</t>
  </si>
  <si>
    <t xml:space="preserve">Oct 2026</t>
  </si>
  <si>
    <t xml:space="preserve">Expense</t>
  </si>
  <si>
    <t xml:space="preserve">Rent</t>
  </si>
  <si>
    <t xml:space="preserve">Building rent (example)</t>
  </si>
  <si>
    <t xml:space="preserve">Investment</t>
  </si>
  <si>
    <t xml:space="preserve">Furniture</t>
  </si>
  <si>
    <t xml:space="preserve">10 chairs (example)</t>
  </si>
  <si>
    <t xml:space="preserve">Profit &amp; Loss  •  Year 2026-27  (Administration Summary)</t>
  </si>
  <si>
    <t xml:space="preserve">Fees Collected</t>
  </si>
  <si>
    <t xml:space="preserve">Teachers' Share</t>
  </si>
  <si>
    <t xml:space="preserve">Other Income</t>
  </si>
  <si>
    <t xml:space="preserve">Expenses</t>
  </si>
  <si>
    <t xml:space="preserve">NET PROFIT</t>
  </si>
  <si>
    <t xml:space="preserve">Pending Fees</t>
  </si>
  <si>
    <t xml:space="preserve">Students Enrolled</t>
  </si>
  <si>
    <t xml:space="preserve">October 2026</t>
  </si>
  <si>
    <t xml:space="preserve">November 2026</t>
  </si>
  <si>
    <t xml:space="preserve">December 2026</t>
  </si>
  <si>
    <t xml:space="preserve">January 2027</t>
  </si>
  <si>
    <t xml:space="preserve">February 2027</t>
  </si>
  <si>
    <t xml:space="preserve">March 2027</t>
  </si>
  <si>
    <t xml:space="preserve">April 2027</t>
  </si>
  <si>
    <t xml:space="preserve">May 2027</t>
  </si>
  <si>
    <t xml:space="preserve">June 2027</t>
  </si>
  <si>
    <t xml:space="preserve">July 2027</t>
  </si>
  <si>
    <t xml:space="preserve">August 2027</t>
  </si>
  <si>
    <t xml:space="preserve">September 2027</t>
  </si>
  <si>
    <t xml:space="preserve">YEAR TOTAL</t>
  </si>
  <si>
    <t xml:space="preserve">SUBJECT-WISE YEAR TOTAL</t>
  </si>
  <si>
    <t xml:space="preserve">Subject</t>
  </si>
  <si>
    <t xml:space="preserve">Teacher</t>
  </si>
  <si>
    <t xml:space="preserve">Pending (latest month)</t>
  </si>
  <si>
    <t xml:space="preserve">TOTAL</t>
  </si>
  <si>
    <t xml:space="preserve">Pending (latest month) shows dues as of the last sheet (Sep 2027); a month you have not filled in yet still carries the dues forward.</t>
  </si>
  <si>
    <t xml:space="preserve">Monthly Fee Register &amp; Profit  •  October 2026</t>
  </si>
  <si>
    <t xml:space="preserve">SUBJECT-WISE SUMMARY (Teacher &amp; Academy)</t>
  </si>
  <si>
    <t xml:space="preserve">ADMINISTRATION — ACADEMY PROFIT</t>
  </si>
  <si>
    <t xml:space="preserve">Fee Charged</t>
  </si>
  <si>
    <t xml:space="preserve">Collected</t>
  </si>
  <si>
    <t xml:space="preserve">Pending</t>
  </si>
  <si>
    <t xml:space="preserve">Academy Share of Fees</t>
  </si>
  <si>
    <t xml:space="preserve">FEES COLLECTED</t>
  </si>
  <si>
    <t xml:space="preserve">TEACHERS' SHARE</t>
  </si>
  <si>
    <t xml:space="preserve">PENDING FEES</t>
  </si>
  <si>
    <t xml:space="preserve">+ Other Income</t>
  </si>
  <si>
    <t xml:space="preserve">− Expenses</t>
  </si>
  <si>
    <t xml:space="preserve">− Investment</t>
  </si>
  <si>
    <t xml:space="preserve">Expenses &amp; investment come from the Administration sheet.</t>
  </si>
  <si>
    <t xml:space="preserve">ALL SUBJECTS</t>
  </si>
  <si>
    <t xml:space="preserve">Previous Due</t>
  </si>
  <si>
    <t xml:space="preserve">Monthly Fee</t>
  </si>
  <si>
    <t xml:space="preserve">Paid</t>
  </si>
  <si>
    <t xml:space="preserve">Balance</t>
  </si>
  <si>
    <t xml:space="preserve">Total Paid</t>
  </si>
  <si>
    <t xml:space="preserve">Total Due Now</t>
  </si>
  <si>
    <t xml:space="preserve">Status</t>
  </si>
  <si>
    <t xml:space="preserve">Monthly Fee Register &amp; Profit  •  November 2026</t>
  </si>
  <si>
    <t xml:space="preserve">Monthly Fee Register &amp; Profit  •  December 2026</t>
  </si>
  <si>
    <t xml:space="preserve">Monthly Fee Register &amp; Profit  •  January 2027</t>
  </si>
  <si>
    <t xml:space="preserve">Monthly Fee Register &amp; Profit  •  February 2027</t>
  </si>
  <si>
    <t xml:space="preserve">Monthly Fee Register &amp; Profit  •  March 2027</t>
  </si>
  <si>
    <t xml:space="preserve">Monthly Fee Register &amp; Profit  •  April 2027</t>
  </si>
  <si>
    <t xml:space="preserve">Monthly Fee Register &amp; Profit  •  May 2027</t>
  </si>
  <si>
    <t xml:space="preserve">Monthly Fee Register &amp; Profit  •  June 2027</t>
  </si>
  <si>
    <t xml:space="preserve">Monthly Fee Register &amp; Profit  •  July 2027</t>
  </si>
  <si>
    <t xml:space="preserve">Monthly Fee Register &amp; Profit  •  August 2027</t>
  </si>
  <si>
    <t xml:space="preserve">Monthly Fee Register &amp; Profit  •  September 2027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</si>
</sst>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&quot;Rs &quot;#,##0;&quot;-Rs &quot;#,##0;\-"/>
    <numFmt numFmtId="167" formatCode="dd\-mmm\-yy"/>
    <numFmt numFmtId="168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D3B6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0D3B66"/>
      <name val="Arial"/>
      <family val="0"/>
      <charset val="1"/>
    </font>
    <font>
      <b val="true"/>
      <sz val="11"/>
      <color rgb="FF4A23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C0392B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3"/>
      <color rgb="FF0D3B66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4A235A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0D3B66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D3B66"/>
        <bgColor rgb="FF1F4E78"/>
      </patternFill>
    </fill>
    <fill>
      <patternFill patternType="solid">
        <fgColor rgb="FFF1F6FB"/>
        <bgColor rgb="FFFFFFFF"/>
      </patternFill>
    </fill>
    <fill>
      <patternFill patternType="solid">
        <fgColor rgb="FFFFF8E1"/>
        <bgColor rgb="FFFFFFFF"/>
      </patternFill>
    </fill>
    <fill>
      <patternFill patternType="solid">
        <fgColor rgb="FFFFFFFF"/>
        <bgColor rgb="FFF1F6FB"/>
      </patternFill>
    </fill>
    <fill>
      <patternFill patternType="solid">
        <fgColor rgb="FFC77700"/>
        <bgColor rgb="FF9C5700"/>
      </patternFill>
    </fill>
    <fill>
      <patternFill patternType="solid">
        <fgColor rgb="FF1F4E78"/>
        <bgColor rgb="FF2F5D8A"/>
      </patternFill>
    </fill>
    <fill>
      <patternFill patternType="solid">
        <fgColor rgb="FF00796B"/>
        <bgColor rgb="FF008080"/>
      </patternFill>
    </fill>
    <fill>
      <patternFill patternType="solid">
        <fgColor rgb="FF2E7D32"/>
        <bgColor rgb="FF00796B"/>
      </patternFill>
    </fill>
    <fill>
      <patternFill patternType="solid">
        <fgColor rgb="FFAD1457"/>
        <bgColor rgb="FF993366"/>
      </patternFill>
    </fill>
    <fill>
      <patternFill patternType="solid">
        <fgColor rgb="FF5E548E"/>
        <bgColor rgb="FF666666"/>
      </patternFill>
    </fill>
    <fill>
      <patternFill patternType="solid">
        <fgColor rgb="FFC0392B"/>
        <bgColor rgb="FF993366"/>
      </patternFill>
    </fill>
    <fill>
      <patternFill patternType="solid">
        <fgColor rgb="FF4A235A"/>
        <bgColor rgb="FF660066"/>
      </patternFill>
    </fill>
    <fill>
      <patternFill patternType="solid">
        <fgColor rgb="FFDCE8F5"/>
        <bgColor rgb="FFF3E5F5"/>
      </patternFill>
    </fill>
    <fill>
      <patternFill patternType="solid">
        <fgColor rgb="FF2F5D8A"/>
        <bgColor rgb="FF1F4E78"/>
      </patternFill>
    </fill>
    <fill>
      <patternFill patternType="solid">
        <fgColor rgb="FFF3E5F5"/>
        <bgColor rgb="FFDCE8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C00000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C0392B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796B"/>
      <rgbColor rgb="FFBFBFBF"/>
      <rgbColor rgb="FF666666"/>
      <rgbColor rgb="FF9999FF"/>
      <rgbColor rgb="FFAD1457"/>
      <rgbColor rgb="FFFFF8E1"/>
      <rgbColor rgb="FFDCE8F5"/>
      <rgbColor rgb="FF660066"/>
      <rgbColor rgb="FFFF8080"/>
      <rgbColor rgb="FF2F5D8A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77700"/>
      <rgbColor rgb="FF5E548E"/>
      <rgbColor rgb="FF969696"/>
      <rgbColor rgb="FF0D3B66"/>
      <rgbColor rgb="FF2E7D32"/>
      <rgbColor rgb="FF003300"/>
      <rgbColor rgb="FF333300"/>
      <rgbColor rgb="FFC0392B"/>
      <rgbColor rgb="FF993366"/>
      <rgbColor rgb="FF1F4E78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700"/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/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6" t="n">
        <v>0.5</v>
      </c>
      <c r="D6" s="7" t="n">
        <f aca="false">1-C6</f>
        <v>0.5</v>
      </c>
    </row>
    <row r="7" customFormat="false" ht="15" hidden="false" customHeight="false" outlineLevel="0" collapsed="false">
      <c r="A7" s="5" t="s">
        <v>9</v>
      </c>
      <c r="B7" s="5" t="s">
        <v>10</v>
      </c>
      <c r="C7" s="6" t="n">
        <v>0.5</v>
      </c>
      <c r="D7" s="7" t="n">
        <f aca="false">1-C7</f>
        <v>0.5</v>
      </c>
    </row>
    <row r="8" customFormat="false" ht="15" hidden="false" customHeight="false" outlineLevel="0" collapsed="false">
      <c r="A8" s="5" t="s">
        <v>11</v>
      </c>
      <c r="B8" s="5" t="s">
        <v>12</v>
      </c>
      <c r="C8" s="6" t="n">
        <v>0.5</v>
      </c>
      <c r="D8" s="7" t="n">
        <f aca="false">1-C8</f>
        <v>0.5</v>
      </c>
    </row>
    <row r="9" customFormat="false" ht="15" hidden="false" customHeight="false" outlineLevel="0" collapsed="false">
      <c r="A9" s="5" t="s">
        <v>13</v>
      </c>
      <c r="B9" s="5" t="s">
        <v>14</v>
      </c>
      <c r="C9" s="6" t="n">
        <v>0.5</v>
      </c>
      <c r="D9" s="7" t="n">
        <f aca="false">1-C9</f>
        <v>0.5</v>
      </c>
    </row>
    <row r="10" customFormat="false" ht="15" hidden="false" customHeight="false" outlineLevel="0" collapsed="false">
      <c r="A10" s="5" t="s">
        <v>15</v>
      </c>
      <c r="B10" s="5" t="s">
        <v>16</v>
      </c>
      <c r="C10" s="6" t="n">
        <v>0.5</v>
      </c>
      <c r="D10" s="7" t="n">
        <f aca="false">1-C10</f>
        <v>0.5</v>
      </c>
    </row>
    <row r="11" customFormat="false" ht="15" hidden="false" customHeight="false" outlineLevel="0" collapsed="false">
      <c r="A11" s="5" t="s">
        <v>17</v>
      </c>
      <c r="B11" s="5" t="s">
        <v>18</v>
      </c>
      <c r="C11" s="6" t="n">
        <v>0.5</v>
      </c>
      <c r="D11" s="7" t="n">
        <f aca="false">1-C11</f>
        <v>0.5</v>
      </c>
    </row>
    <row r="13" customFormat="false" ht="15" hidden="false" customHeight="false" outlineLevel="0" collapsed="false">
      <c r="A13" s="8" t="s">
        <v>19</v>
      </c>
    </row>
    <row r="14" customFormat="false" ht="57.45" hidden="false" customHeight="false" outlineLevel="0" collapsed="false">
      <c r="A14" s="9" t="s">
        <v>20</v>
      </c>
    </row>
    <row r="15" customFormat="false" ht="46.25" hidden="false" customHeight="false" outlineLevel="0" collapsed="false">
      <c r="A15" s="9" t="s">
        <v>21</v>
      </c>
    </row>
    <row r="16" customFormat="false" ht="57.45" hidden="false" customHeight="false" outlineLevel="0" collapsed="false">
      <c r="A16" s="9" t="s">
        <v>22</v>
      </c>
    </row>
    <row r="17" customFormat="false" ht="57.45" hidden="false" customHeight="false" outlineLevel="0" collapsed="false">
      <c r="A17" s="9" t="s">
        <v>23</v>
      </c>
    </row>
    <row r="18" customFormat="false" ht="57.45" hidden="false" customHeight="false" outlineLevel="0" collapsed="false">
      <c r="A18" s="9" t="s">
        <v>24</v>
      </c>
    </row>
    <row r="19" customFormat="false" ht="46.25" hidden="false" customHeight="false" outlineLevel="0" collapsed="false">
      <c r="A19" s="9" t="s">
        <v>25</v>
      </c>
    </row>
  </sheetData>
  <mergeCells count="2">
    <mergeCell ref="A1:D1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96B"/>
    <pageSetUpPr fitToPage="true"/>
  </sheetPr>
  <dimension ref="A1:K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11" min="5" style="0" width="14"/>
  </cols>
  <sheetData>
    <row r="1" customFormat="false" ht="17.35" hidden="false" customHeight="true" outlineLevel="0" collapsed="false">
      <c r="A1" s="10" t="s">
        <v>26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27.75" hidden="false" customHeight="true" outlineLevel="0" collapsed="false">
      <c r="A2" s="11" t="s">
        <v>27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15" hidden="false" customHeight="true" outlineLevel="0" collapsed="false">
      <c r="A3" s="4" t="s">
        <v>28</v>
      </c>
      <c r="B3" s="4"/>
      <c r="C3" s="4"/>
      <c r="D3" s="4"/>
      <c r="E3" s="12" t="s">
        <v>29</v>
      </c>
      <c r="F3" s="12"/>
      <c r="G3" s="12"/>
      <c r="H3" s="12"/>
      <c r="I3" s="12"/>
      <c r="J3" s="12"/>
    </row>
    <row r="4" customFormat="false" ht="31.5" hidden="false" customHeight="true" outlineLevel="0" collapsed="false">
      <c r="A4" s="13" t="s">
        <v>30</v>
      </c>
      <c r="B4" s="13" t="s">
        <v>31</v>
      </c>
      <c r="C4" s="13" t="s">
        <v>32</v>
      </c>
      <c r="D4" s="13" t="s">
        <v>33</v>
      </c>
      <c r="E4" s="14" t="str">
        <f aca="false">Setup!A6</f>
        <v>English</v>
      </c>
      <c r="F4" s="15" t="str">
        <f aca="false">Setup!A7</f>
        <v>Computer</v>
      </c>
      <c r="G4" s="16" t="str">
        <f aca="false">Setup!A8</f>
        <v>Biology</v>
      </c>
      <c r="H4" s="17" t="str">
        <f aca="false">Setup!A9</f>
        <v>Math</v>
      </c>
      <c r="I4" s="18" t="str">
        <f aca="false">Setup!A10</f>
        <v>Kids Coaching (Class 1)</v>
      </c>
      <c r="J4" s="19" t="str">
        <f aca="false">Setup!A11</f>
        <v>Kids Coaching (Class 2)</v>
      </c>
      <c r="K4" s="20" t="s">
        <v>34</v>
      </c>
    </row>
    <row r="5" customFormat="false" ht="15" hidden="false" customHeight="false" outlineLevel="0" collapsed="false">
      <c r="A5" s="21" t="n">
        <v>1</v>
      </c>
      <c r="B5" s="5" t="s">
        <v>35</v>
      </c>
      <c r="C5" s="5" t="s">
        <v>36</v>
      </c>
      <c r="D5" s="22" t="s">
        <v>37</v>
      </c>
      <c r="E5" s="23"/>
      <c r="F5" s="23" t="n">
        <v>2000</v>
      </c>
      <c r="G5" s="23"/>
      <c r="H5" s="23" t="n">
        <v>1500</v>
      </c>
      <c r="I5" s="23"/>
      <c r="J5" s="23"/>
      <c r="K5" s="24" t="n">
        <f aca="false">SUM(E5:J5)</f>
        <v>3500</v>
      </c>
    </row>
    <row r="6" customFormat="false" ht="15" hidden="false" customHeight="false" outlineLevel="0" collapsed="false">
      <c r="A6" s="25" t="n">
        <v>2</v>
      </c>
      <c r="B6" s="5"/>
      <c r="C6" s="5"/>
      <c r="D6" s="22"/>
      <c r="E6" s="23"/>
      <c r="F6" s="23"/>
      <c r="G6" s="23"/>
      <c r="H6" s="23"/>
      <c r="I6" s="23"/>
      <c r="J6" s="23"/>
      <c r="K6" s="26" t="n">
        <f aca="false">SUM(E6:J6)</f>
        <v>0</v>
      </c>
    </row>
    <row r="7" customFormat="false" ht="15" hidden="false" customHeight="false" outlineLevel="0" collapsed="false">
      <c r="A7" s="21" t="n">
        <v>3</v>
      </c>
      <c r="B7" s="5"/>
      <c r="C7" s="5"/>
      <c r="D7" s="22"/>
      <c r="E7" s="23"/>
      <c r="F7" s="23"/>
      <c r="G7" s="23"/>
      <c r="H7" s="23"/>
      <c r="I7" s="23"/>
      <c r="J7" s="23"/>
      <c r="K7" s="24" t="n">
        <f aca="false">SUM(E7:J7)</f>
        <v>0</v>
      </c>
    </row>
    <row r="8" customFormat="false" ht="15" hidden="false" customHeight="false" outlineLevel="0" collapsed="false">
      <c r="A8" s="25" t="n">
        <v>4</v>
      </c>
      <c r="B8" s="5"/>
      <c r="C8" s="5"/>
      <c r="D8" s="22"/>
      <c r="E8" s="23"/>
      <c r="F8" s="23"/>
      <c r="G8" s="23"/>
      <c r="H8" s="23"/>
      <c r="I8" s="23"/>
      <c r="J8" s="23"/>
      <c r="K8" s="26" t="n">
        <f aca="false">SUM(E8:J8)</f>
        <v>0</v>
      </c>
    </row>
    <row r="9" customFormat="false" ht="15" hidden="false" customHeight="false" outlineLevel="0" collapsed="false">
      <c r="A9" s="21" t="n">
        <v>5</v>
      </c>
      <c r="B9" s="5"/>
      <c r="C9" s="5"/>
      <c r="D9" s="22"/>
      <c r="E9" s="23"/>
      <c r="F9" s="23"/>
      <c r="G9" s="23"/>
      <c r="H9" s="23"/>
      <c r="I9" s="23"/>
      <c r="J9" s="23"/>
      <c r="K9" s="24" t="n">
        <f aca="false">SUM(E9:J9)</f>
        <v>0</v>
      </c>
    </row>
    <row r="10" customFormat="false" ht="15" hidden="false" customHeight="false" outlineLevel="0" collapsed="false">
      <c r="A10" s="25" t="n">
        <v>6</v>
      </c>
      <c r="B10" s="5"/>
      <c r="C10" s="5"/>
      <c r="D10" s="22"/>
      <c r="E10" s="23"/>
      <c r="F10" s="23"/>
      <c r="G10" s="23"/>
      <c r="H10" s="23"/>
      <c r="I10" s="23"/>
      <c r="J10" s="23"/>
      <c r="K10" s="26" t="n">
        <f aca="false">SUM(E10:J10)</f>
        <v>0</v>
      </c>
    </row>
    <row r="11" customFormat="false" ht="15" hidden="false" customHeight="false" outlineLevel="0" collapsed="false">
      <c r="A11" s="21" t="n">
        <v>7</v>
      </c>
      <c r="B11" s="5"/>
      <c r="C11" s="5"/>
      <c r="D11" s="22"/>
      <c r="E11" s="23"/>
      <c r="F11" s="23"/>
      <c r="G11" s="23"/>
      <c r="H11" s="23"/>
      <c r="I11" s="23"/>
      <c r="J11" s="23"/>
      <c r="K11" s="24" t="n">
        <f aca="false">SUM(E11:J11)</f>
        <v>0</v>
      </c>
    </row>
    <row r="12" customFormat="false" ht="15" hidden="false" customHeight="false" outlineLevel="0" collapsed="false">
      <c r="A12" s="25" t="n">
        <v>8</v>
      </c>
      <c r="B12" s="5"/>
      <c r="C12" s="5"/>
      <c r="D12" s="22"/>
      <c r="E12" s="23"/>
      <c r="F12" s="23"/>
      <c r="G12" s="23"/>
      <c r="H12" s="23"/>
      <c r="I12" s="23"/>
      <c r="J12" s="23"/>
      <c r="K12" s="26" t="n">
        <f aca="false">SUM(E12:J12)</f>
        <v>0</v>
      </c>
    </row>
    <row r="13" customFormat="false" ht="15" hidden="false" customHeight="false" outlineLevel="0" collapsed="false">
      <c r="A13" s="21" t="n">
        <v>9</v>
      </c>
      <c r="B13" s="5"/>
      <c r="C13" s="5"/>
      <c r="D13" s="22"/>
      <c r="E13" s="23"/>
      <c r="F13" s="23"/>
      <c r="G13" s="23"/>
      <c r="H13" s="23"/>
      <c r="I13" s="23"/>
      <c r="J13" s="23"/>
      <c r="K13" s="24" t="n">
        <f aca="false">SUM(E13:J13)</f>
        <v>0</v>
      </c>
    </row>
    <row r="14" customFormat="false" ht="15" hidden="false" customHeight="false" outlineLevel="0" collapsed="false">
      <c r="A14" s="25" t="n">
        <v>10</v>
      </c>
      <c r="B14" s="5"/>
      <c r="C14" s="5"/>
      <c r="D14" s="22"/>
      <c r="E14" s="23"/>
      <c r="F14" s="23"/>
      <c r="G14" s="23"/>
      <c r="H14" s="23"/>
      <c r="I14" s="23"/>
      <c r="J14" s="23"/>
      <c r="K14" s="26" t="n">
        <f aca="false">SUM(E14:J14)</f>
        <v>0</v>
      </c>
    </row>
    <row r="15" customFormat="false" ht="15" hidden="false" customHeight="false" outlineLevel="0" collapsed="false">
      <c r="A15" s="21" t="n">
        <v>11</v>
      </c>
      <c r="B15" s="5"/>
      <c r="C15" s="5"/>
      <c r="D15" s="22"/>
      <c r="E15" s="23"/>
      <c r="F15" s="23"/>
      <c r="G15" s="23"/>
      <c r="H15" s="23"/>
      <c r="I15" s="23"/>
      <c r="J15" s="23"/>
      <c r="K15" s="24" t="n">
        <f aca="false">SUM(E15:J15)</f>
        <v>0</v>
      </c>
    </row>
    <row r="16" customFormat="false" ht="15" hidden="false" customHeight="false" outlineLevel="0" collapsed="false">
      <c r="A16" s="25" t="n">
        <v>12</v>
      </c>
      <c r="B16" s="5"/>
      <c r="C16" s="5"/>
      <c r="D16" s="22"/>
      <c r="E16" s="23"/>
      <c r="F16" s="23"/>
      <c r="G16" s="23"/>
      <c r="H16" s="23"/>
      <c r="I16" s="23"/>
      <c r="J16" s="23"/>
      <c r="K16" s="26" t="n">
        <f aca="false">SUM(E16:J16)</f>
        <v>0</v>
      </c>
    </row>
    <row r="17" customFormat="false" ht="15" hidden="false" customHeight="false" outlineLevel="0" collapsed="false">
      <c r="A17" s="21" t="n">
        <v>13</v>
      </c>
      <c r="B17" s="5"/>
      <c r="C17" s="5"/>
      <c r="D17" s="22"/>
      <c r="E17" s="23"/>
      <c r="F17" s="23"/>
      <c r="G17" s="23"/>
      <c r="H17" s="23"/>
      <c r="I17" s="23"/>
      <c r="J17" s="23"/>
      <c r="K17" s="24" t="n">
        <f aca="false">SUM(E17:J17)</f>
        <v>0</v>
      </c>
    </row>
    <row r="18" customFormat="false" ht="15" hidden="false" customHeight="false" outlineLevel="0" collapsed="false">
      <c r="A18" s="25" t="n">
        <v>14</v>
      </c>
      <c r="B18" s="5"/>
      <c r="C18" s="5"/>
      <c r="D18" s="22"/>
      <c r="E18" s="23"/>
      <c r="F18" s="23"/>
      <c r="G18" s="23"/>
      <c r="H18" s="23"/>
      <c r="I18" s="23"/>
      <c r="J18" s="23"/>
      <c r="K18" s="26" t="n">
        <f aca="false">SUM(E18:J18)</f>
        <v>0</v>
      </c>
    </row>
    <row r="19" customFormat="false" ht="15" hidden="false" customHeight="false" outlineLevel="0" collapsed="false">
      <c r="A19" s="21" t="n">
        <v>15</v>
      </c>
      <c r="B19" s="5"/>
      <c r="C19" s="5"/>
      <c r="D19" s="22"/>
      <c r="E19" s="23"/>
      <c r="F19" s="23"/>
      <c r="G19" s="23"/>
      <c r="H19" s="23"/>
      <c r="I19" s="23"/>
      <c r="J19" s="23"/>
      <c r="K19" s="24" t="n">
        <f aca="false">SUM(E19:J19)</f>
        <v>0</v>
      </c>
    </row>
    <row r="20" customFormat="false" ht="15" hidden="false" customHeight="false" outlineLevel="0" collapsed="false">
      <c r="A20" s="25" t="n">
        <v>16</v>
      </c>
      <c r="B20" s="5"/>
      <c r="C20" s="5"/>
      <c r="D20" s="22"/>
      <c r="E20" s="23"/>
      <c r="F20" s="23"/>
      <c r="G20" s="23"/>
      <c r="H20" s="23"/>
      <c r="I20" s="23"/>
      <c r="J20" s="23"/>
      <c r="K20" s="26" t="n">
        <f aca="false">SUM(E20:J20)</f>
        <v>0</v>
      </c>
    </row>
    <row r="21" customFormat="false" ht="15" hidden="false" customHeight="false" outlineLevel="0" collapsed="false">
      <c r="A21" s="21" t="n">
        <v>17</v>
      </c>
      <c r="B21" s="5"/>
      <c r="C21" s="5"/>
      <c r="D21" s="22"/>
      <c r="E21" s="23"/>
      <c r="F21" s="23"/>
      <c r="G21" s="23"/>
      <c r="H21" s="23"/>
      <c r="I21" s="23"/>
      <c r="J21" s="23"/>
      <c r="K21" s="24" t="n">
        <f aca="false">SUM(E21:J21)</f>
        <v>0</v>
      </c>
    </row>
    <row r="22" customFormat="false" ht="15" hidden="false" customHeight="false" outlineLevel="0" collapsed="false">
      <c r="A22" s="25" t="n">
        <v>18</v>
      </c>
      <c r="B22" s="5"/>
      <c r="C22" s="5"/>
      <c r="D22" s="22"/>
      <c r="E22" s="23"/>
      <c r="F22" s="23"/>
      <c r="G22" s="23"/>
      <c r="H22" s="23"/>
      <c r="I22" s="23"/>
      <c r="J22" s="23"/>
      <c r="K22" s="26" t="n">
        <f aca="false">SUM(E22:J22)</f>
        <v>0</v>
      </c>
    </row>
    <row r="23" customFormat="false" ht="15" hidden="false" customHeight="false" outlineLevel="0" collapsed="false">
      <c r="A23" s="21" t="n">
        <v>19</v>
      </c>
      <c r="B23" s="5"/>
      <c r="C23" s="5"/>
      <c r="D23" s="22"/>
      <c r="E23" s="23"/>
      <c r="F23" s="23"/>
      <c r="G23" s="23"/>
      <c r="H23" s="23"/>
      <c r="I23" s="23"/>
      <c r="J23" s="23"/>
      <c r="K23" s="24" t="n">
        <f aca="false">SUM(E23:J23)</f>
        <v>0</v>
      </c>
    </row>
    <row r="24" customFormat="false" ht="15" hidden="false" customHeight="false" outlineLevel="0" collapsed="false">
      <c r="A24" s="25" t="n">
        <v>20</v>
      </c>
      <c r="B24" s="5"/>
      <c r="C24" s="5"/>
      <c r="D24" s="22"/>
      <c r="E24" s="23"/>
      <c r="F24" s="23"/>
      <c r="G24" s="23"/>
      <c r="H24" s="23"/>
      <c r="I24" s="23"/>
      <c r="J24" s="23"/>
      <c r="K24" s="26" t="n">
        <f aca="false">SUM(E24:J24)</f>
        <v>0</v>
      </c>
    </row>
    <row r="25" customFormat="false" ht="15" hidden="false" customHeight="false" outlineLevel="0" collapsed="false">
      <c r="A25" s="21" t="n">
        <v>21</v>
      </c>
      <c r="B25" s="5"/>
      <c r="C25" s="5"/>
      <c r="D25" s="22"/>
      <c r="E25" s="23"/>
      <c r="F25" s="23"/>
      <c r="G25" s="23"/>
      <c r="H25" s="23"/>
      <c r="I25" s="23"/>
      <c r="J25" s="23"/>
      <c r="K25" s="24" t="n">
        <f aca="false">SUM(E25:J25)</f>
        <v>0</v>
      </c>
    </row>
    <row r="26" customFormat="false" ht="15" hidden="false" customHeight="false" outlineLevel="0" collapsed="false">
      <c r="A26" s="25" t="n">
        <v>22</v>
      </c>
      <c r="B26" s="5"/>
      <c r="C26" s="5"/>
      <c r="D26" s="22"/>
      <c r="E26" s="23"/>
      <c r="F26" s="23"/>
      <c r="G26" s="23"/>
      <c r="H26" s="23"/>
      <c r="I26" s="23"/>
      <c r="J26" s="23"/>
      <c r="K26" s="26" t="n">
        <f aca="false">SUM(E26:J26)</f>
        <v>0</v>
      </c>
    </row>
    <row r="27" customFormat="false" ht="15" hidden="false" customHeight="false" outlineLevel="0" collapsed="false">
      <c r="A27" s="21" t="n">
        <v>23</v>
      </c>
      <c r="B27" s="5"/>
      <c r="C27" s="5"/>
      <c r="D27" s="22"/>
      <c r="E27" s="23"/>
      <c r="F27" s="23"/>
      <c r="G27" s="23"/>
      <c r="H27" s="23"/>
      <c r="I27" s="23"/>
      <c r="J27" s="23"/>
      <c r="K27" s="24" t="n">
        <f aca="false">SUM(E27:J27)</f>
        <v>0</v>
      </c>
    </row>
    <row r="28" customFormat="false" ht="15" hidden="false" customHeight="false" outlineLevel="0" collapsed="false">
      <c r="A28" s="25" t="n">
        <v>24</v>
      </c>
      <c r="B28" s="5"/>
      <c r="C28" s="5"/>
      <c r="D28" s="22"/>
      <c r="E28" s="23"/>
      <c r="F28" s="23"/>
      <c r="G28" s="23"/>
      <c r="H28" s="23"/>
      <c r="I28" s="23"/>
      <c r="J28" s="23"/>
      <c r="K28" s="26" t="n">
        <f aca="false">SUM(E28:J28)</f>
        <v>0</v>
      </c>
    </row>
    <row r="29" customFormat="false" ht="15" hidden="false" customHeight="false" outlineLevel="0" collapsed="false">
      <c r="A29" s="21" t="n">
        <v>25</v>
      </c>
      <c r="B29" s="5"/>
      <c r="C29" s="5"/>
      <c r="D29" s="22"/>
      <c r="E29" s="23"/>
      <c r="F29" s="23"/>
      <c r="G29" s="23"/>
      <c r="H29" s="23"/>
      <c r="I29" s="23"/>
      <c r="J29" s="23"/>
      <c r="K29" s="24" t="n">
        <f aca="false">SUM(E29:J29)</f>
        <v>0</v>
      </c>
    </row>
    <row r="30" customFormat="false" ht="15" hidden="false" customHeight="false" outlineLevel="0" collapsed="false">
      <c r="A30" s="25" t="n">
        <v>26</v>
      </c>
      <c r="B30" s="5"/>
      <c r="C30" s="5"/>
      <c r="D30" s="22"/>
      <c r="E30" s="23"/>
      <c r="F30" s="23"/>
      <c r="G30" s="23"/>
      <c r="H30" s="23"/>
      <c r="I30" s="23"/>
      <c r="J30" s="23"/>
      <c r="K30" s="26" t="n">
        <f aca="false">SUM(E30:J30)</f>
        <v>0</v>
      </c>
    </row>
    <row r="31" customFormat="false" ht="15" hidden="false" customHeight="false" outlineLevel="0" collapsed="false">
      <c r="A31" s="21" t="n">
        <v>27</v>
      </c>
      <c r="B31" s="5"/>
      <c r="C31" s="5"/>
      <c r="D31" s="22"/>
      <c r="E31" s="23"/>
      <c r="F31" s="23"/>
      <c r="G31" s="23"/>
      <c r="H31" s="23"/>
      <c r="I31" s="23"/>
      <c r="J31" s="23"/>
      <c r="K31" s="24" t="n">
        <f aca="false">SUM(E31:J31)</f>
        <v>0</v>
      </c>
    </row>
    <row r="32" customFormat="false" ht="15" hidden="false" customHeight="false" outlineLevel="0" collapsed="false">
      <c r="A32" s="25" t="n">
        <v>28</v>
      </c>
      <c r="B32" s="5"/>
      <c r="C32" s="5"/>
      <c r="D32" s="22"/>
      <c r="E32" s="23"/>
      <c r="F32" s="23"/>
      <c r="G32" s="23"/>
      <c r="H32" s="23"/>
      <c r="I32" s="23"/>
      <c r="J32" s="23"/>
      <c r="K32" s="26" t="n">
        <f aca="false">SUM(E32:J32)</f>
        <v>0</v>
      </c>
    </row>
    <row r="33" customFormat="false" ht="15" hidden="false" customHeight="false" outlineLevel="0" collapsed="false">
      <c r="A33" s="21" t="n">
        <v>29</v>
      </c>
      <c r="B33" s="5"/>
      <c r="C33" s="5"/>
      <c r="D33" s="22"/>
      <c r="E33" s="23"/>
      <c r="F33" s="23"/>
      <c r="G33" s="23"/>
      <c r="H33" s="23"/>
      <c r="I33" s="23"/>
      <c r="J33" s="23"/>
      <c r="K33" s="24" t="n">
        <f aca="false">SUM(E33:J33)</f>
        <v>0</v>
      </c>
    </row>
    <row r="34" customFormat="false" ht="15" hidden="false" customHeight="false" outlineLevel="0" collapsed="false">
      <c r="A34" s="25" t="n">
        <v>30</v>
      </c>
      <c r="B34" s="5"/>
      <c r="C34" s="5"/>
      <c r="D34" s="22"/>
      <c r="E34" s="23"/>
      <c r="F34" s="23"/>
      <c r="G34" s="23"/>
      <c r="H34" s="23"/>
      <c r="I34" s="23"/>
      <c r="J34" s="23"/>
      <c r="K34" s="26" t="n">
        <f aca="false">SUM(E34:J34)</f>
        <v>0</v>
      </c>
    </row>
    <row r="35" customFormat="false" ht="15" hidden="false" customHeight="false" outlineLevel="0" collapsed="false">
      <c r="A35" s="21" t="n">
        <v>31</v>
      </c>
      <c r="B35" s="5"/>
      <c r="C35" s="5"/>
      <c r="D35" s="22"/>
      <c r="E35" s="23"/>
      <c r="F35" s="23"/>
      <c r="G35" s="23"/>
      <c r="H35" s="23"/>
      <c r="I35" s="23"/>
      <c r="J35" s="23"/>
      <c r="K35" s="24" t="n">
        <f aca="false">SUM(E35:J35)</f>
        <v>0</v>
      </c>
    </row>
    <row r="36" customFormat="false" ht="15" hidden="false" customHeight="false" outlineLevel="0" collapsed="false">
      <c r="A36" s="25" t="n">
        <v>32</v>
      </c>
      <c r="B36" s="5"/>
      <c r="C36" s="5"/>
      <c r="D36" s="22"/>
      <c r="E36" s="23"/>
      <c r="F36" s="23"/>
      <c r="G36" s="23"/>
      <c r="H36" s="23"/>
      <c r="I36" s="23"/>
      <c r="J36" s="23"/>
      <c r="K36" s="26" t="n">
        <f aca="false">SUM(E36:J36)</f>
        <v>0</v>
      </c>
    </row>
    <row r="37" customFormat="false" ht="15" hidden="false" customHeight="false" outlineLevel="0" collapsed="false">
      <c r="A37" s="21" t="n">
        <v>33</v>
      </c>
      <c r="B37" s="5"/>
      <c r="C37" s="5"/>
      <c r="D37" s="22"/>
      <c r="E37" s="23"/>
      <c r="F37" s="23"/>
      <c r="G37" s="23"/>
      <c r="H37" s="23"/>
      <c r="I37" s="23"/>
      <c r="J37" s="23"/>
      <c r="K37" s="24" t="n">
        <f aca="false">SUM(E37:J37)</f>
        <v>0</v>
      </c>
    </row>
    <row r="38" customFormat="false" ht="15" hidden="false" customHeight="false" outlineLevel="0" collapsed="false">
      <c r="A38" s="25" t="n">
        <v>34</v>
      </c>
      <c r="B38" s="5"/>
      <c r="C38" s="5"/>
      <c r="D38" s="22"/>
      <c r="E38" s="23"/>
      <c r="F38" s="23"/>
      <c r="G38" s="23"/>
      <c r="H38" s="23"/>
      <c r="I38" s="23"/>
      <c r="J38" s="23"/>
      <c r="K38" s="26" t="n">
        <f aca="false">SUM(E38:J38)</f>
        <v>0</v>
      </c>
    </row>
    <row r="39" customFormat="false" ht="15" hidden="false" customHeight="false" outlineLevel="0" collapsed="false">
      <c r="A39" s="21" t="n">
        <v>35</v>
      </c>
      <c r="B39" s="5"/>
      <c r="C39" s="5"/>
      <c r="D39" s="22"/>
      <c r="E39" s="23"/>
      <c r="F39" s="23"/>
      <c r="G39" s="23"/>
      <c r="H39" s="23"/>
      <c r="I39" s="23"/>
      <c r="J39" s="23"/>
      <c r="K39" s="24" t="n">
        <f aca="false">SUM(E39:J39)</f>
        <v>0</v>
      </c>
    </row>
    <row r="40" customFormat="false" ht="15" hidden="false" customHeight="false" outlineLevel="0" collapsed="false">
      <c r="A40" s="25" t="n">
        <v>36</v>
      </c>
      <c r="B40" s="5"/>
      <c r="C40" s="5"/>
      <c r="D40" s="22"/>
      <c r="E40" s="23"/>
      <c r="F40" s="23"/>
      <c r="G40" s="23"/>
      <c r="H40" s="23"/>
      <c r="I40" s="23"/>
      <c r="J40" s="23"/>
      <c r="K40" s="26" t="n">
        <f aca="false">SUM(E40:J40)</f>
        <v>0</v>
      </c>
    </row>
    <row r="41" customFormat="false" ht="15" hidden="false" customHeight="false" outlineLevel="0" collapsed="false">
      <c r="A41" s="21" t="n">
        <v>37</v>
      </c>
      <c r="B41" s="5"/>
      <c r="C41" s="5"/>
      <c r="D41" s="22"/>
      <c r="E41" s="23"/>
      <c r="F41" s="23"/>
      <c r="G41" s="23"/>
      <c r="H41" s="23"/>
      <c r="I41" s="23"/>
      <c r="J41" s="23"/>
      <c r="K41" s="24" t="n">
        <f aca="false">SUM(E41:J41)</f>
        <v>0</v>
      </c>
    </row>
    <row r="42" customFormat="false" ht="15" hidden="false" customHeight="false" outlineLevel="0" collapsed="false">
      <c r="A42" s="25" t="n">
        <v>38</v>
      </c>
      <c r="B42" s="5"/>
      <c r="C42" s="5"/>
      <c r="D42" s="22"/>
      <c r="E42" s="23"/>
      <c r="F42" s="23"/>
      <c r="G42" s="23"/>
      <c r="H42" s="23"/>
      <c r="I42" s="23"/>
      <c r="J42" s="23"/>
      <c r="K42" s="26" t="n">
        <f aca="false">SUM(E42:J42)</f>
        <v>0</v>
      </c>
    </row>
    <row r="43" customFormat="false" ht="15" hidden="false" customHeight="false" outlineLevel="0" collapsed="false">
      <c r="A43" s="21" t="n">
        <v>39</v>
      </c>
      <c r="B43" s="5"/>
      <c r="C43" s="5"/>
      <c r="D43" s="22"/>
      <c r="E43" s="23"/>
      <c r="F43" s="23"/>
      <c r="G43" s="23"/>
      <c r="H43" s="23"/>
      <c r="I43" s="23"/>
      <c r="J43" s="23"/>
      <c r="K43" s="24" t="n">
        <f aca="false">SUM(E43:J43)</f>
        <v>0</v>
      </c>
    </row>
    <row r="44" customFormat="false" ht="15" hidden="false" customHeight="false" outlineLevel="0" collapsed="false">
      <c r="A44" s="25" t="n">
        <v>40</v>
      </c>
      <c r="B44" s="5"/>
      <c r="C44" s="5"/>
      <c r="D44" s="22"/>
      <c r="E44" s="23"/>
      <c r="F44" s="23"/>
      <c r="G44" s="23"/>
      <c r="H44" s="23"/>
      <c r="I44" s="23"/>
      <c r="J44" s="23"/>
      <c r="K44" s="26" t="n">
        <f aca="false">SUM(E44:J44)</f>
        <v>0</v>
      </c>
    </row>
    <row r="45" customFormat="false" ht="15" hidden="false" customHeight="false" outlineLevel="0" collapsed="false">
      <c r="A45" s="21" t="n">
        <v>41</v>
      </c>
      <c r="B45" s="5"/>
      <c r="C45" s="5"/>
      <c r="D45" s="22"/>
      <c r="E45" s="23"/>
      <c r="F45" s="23"/>
      <c r="G45" s="23"/>
      <c r="H45" s="23"/>
      <c r="I45" s="23"/>
      <c r="J45" s="23"/>
      <c r="K45" s="24" t="n">
        <f aca="false">SUM(E45:J45)</f>
        <v>0</v>
      </c>
    </row>
    <row r="46" customFormat="false" ht="15" hidden="false" customHeight="false" outlineLevel="0" collapsed="false">
      <c r="A46" s="25" t="n">
        <v>42</v>
      </c>
      <c r="B46" s="5"/>
      <c r="C46" s="5"/>
      <c r="D46" s="22"/>
      <c r="E46" s="23"/>
      <c r="F46" s="23"/>
      <c r="G46" s="23"/>
      <c r="H46" s="23"/>
      <c r="I46" s="23"/>
      <c r="J46" s="23"/>
      <c r="K46" s="26" t="n">
        <f aca="false">SUM(E46:J46)</f>
        <v>0</v>
      </c>
    </row>
    <row r="47" customFormat="false" ht="15" hidden="false" customHeight="false" outlineLevel="0" collapsed="false">
      <c r="A47" s="21" t="n">
        <v>43</v>
      </c>
      <c r="B47" s="5"/>
      <c r="C47" s="5"/>
      <c r="D47" s="22"/>
      <c r="E47" s="23"/>
      <c r="F47" s="23"/>
      <c r="G47" s="23"/>
      <c r="H47" s="23"/>
      <c r="I47" s="23"/>
      <c r="J47" s="23"/>
      <c r="K47" s="24" t="n">
        <f aca="false">SUM(E47:J47)</f>
        <v>0</v>
      </c>
    </row>
    <row r="48" customFormat="false" ht="15" hidden="false" customHeight="false" outlineLevel="0" collapsed="false">
      <c r="A48" s="25" t="n">
        <v>44</v>
      </c>
      <c r="B48" s="5"/>
      <c r="C48" s="5"/>
      <c r="D48" s="22"/>
      <c r="E48" s="23"/>
      <c r="F48" s="23"/>
      <c r="G48" s="23"/>
      <c r="H48" s="23"/>
      <c r="I48" s="23"/>
      <c r="J48" s="23"/>
      <c r="K48" s="26" t="n">
        <f aca="false">SUM(E48:J48)</f>
        <v>0</v>
      </c>
    </row>
    <row r="49" customFormat="false" ht="15" hidden="false" customHeight="false" outlineLevel="0" collapsed="false">
      <c r="A49" s="21" t="n">
        <v>45</v>
      </c>
      <c r="B49" s="5"/>
      <c r="C49" s="5"/>
      <c r="D49" s="22"/>
      <c r="E49" s="23"/>
      <c r="F49" s="23"/>
      <c r="G49" s="23"/>
      <c r="H49" s="23"/>
      <c r="I49" s="23"/>
      <c r="J49" s="23"/>
      <c r="K49" s="24" t="n">
        <f aca="false">SUM(E49:J49)</f>
        <v>0</v>
      </c>
    </row>
    <row r="50" customFormat="false" ht="15" hidden="false" customHeight="false" outlineLevel="0" collapsed="false">
      <c r="A50" s="25" t="n">
        <v>46</v>
      </c>
      <c r="B50" s="5"/>
      <c r="C50" s="5"/>
      <c r="D50" s="22"/>
      <c r="E50" s="23"/>
      <c r="F50" s="23"/>
      <c r="G50" s="23"/>
      <c r="H50" s="23"/>
      <c r="I50" s="23"/>
      <c r="J50" s="23"/>
      <c r="K50" s="26" t="n">
        <f aca="false">SUM(E50:J50)</f>
        <v>0</v>
      </c>
    </row>
    <row r="51" customFormat="false" ht="15" hidden="false" customHeight="false" outlineLevel="0" collapsed="false">
      <c r="A51" s="21" t="n">
        <v>47</v>
      </c>
      <c r="B51" s="5"/>
      <c r="C51" s="5"/>
      <c r="D51" s="22"/>
      <c r="E51" s="23"/>
      <c r="F51" s="23"/>
      <c r="G51" s="23"/>
      <c r="H51" s="23"/>
      <c r="I51" s="23"/>
      <c r="J51" s="23"/>
      <c r="K51" s="24" t="n">
        <f aca="false">SUM(E51:J51)</f>
        <v>0</v>
      </c>
    </row>
    <row r="52" customFormat="false" ht="15" hidden="false" customHeight="false" outlineLevel="0" collapsed="false">
      <c r="A52" s="25" t="n">
        <v>48</v>
      </c>
      <c r="B52" s="5"/>
      <c r="C52" s="5"/>
      <c r="D52" s="22"/>
      <c r="E52" s="23"/>
      <c r="F52" s="23"/>
      <c r="G52" s="23"/>
      <c r="H52" s="23"/>
      <c r="I52" s="23"/>
      <c r="J52" s="23"/>
      <c r="K52" s="26" t="n">
        <f aca="false">SUM(E52:J52)</f>
        <v>0</v>
      </c>
    </row>
    <row r="53" customFormat="false" ht="15" hidden="false" customHeight="false" outlineLevel="0" collapsed="false">
      <c r="A53" s="21" t="n">
        <v>49</v>
      </c>
      <c r="B53" s="5"/>
      <c r="C53" s="5"/>
      <c r="D53" s="22"/>
      <c r="E53" s="23"/>
      <c r="F53" s="23"/>
      <c r="G53" s="23"/>
      <c r="H53" s="23"/>
      <c r="I53" s="23"/>
      <c r="J53" s="23"/>
      <c r="K53" s="24" t="n">
        <f aca="false">SUM(E53:J53)</f>
        <v>0</v>
      </c>
    </row>
    <row r="54" customFormat="false" ht="15" hidden="false" customHeight="false" outlineLevel="0" collapsed="false">
      <c r="A54" s="25" t="n">
        <v>50</v>
      </c>
      <c r="B54" s="5"/>
      <c r="C54" s="5"/>
      <c r="D54" s="22"/>
      <c r="E54" s="23"/>
      <c r="F54" s="23"/>
      <c r="G54" s="23"/>
      <c r="H54" s="23"/>
      <c r="I54" s="23"/>
      <c r="J54" s="23"/>
      <c r="K54" s="26" t="n">
        <f aca="false">SUM(E54:J54)</f>
        <v>0</v>
      </c>
    </row>
    <row r="55" customFormat="false" ht="15" hidden="false" customHeight="false" outlineLevel="0" collapsed="false">
      <c r="A55" s="21" t="n">
        <v>51</v>
      </c>
      <c r="B55" s="5"/>
      <c r="C55" s="5"/>
      <c r="D55" s="22"/>
      <c r="E55" s="23"/>
      <c r="F55" s="23"/>
      <c r="G55" s="23"/>
      <c r="H55" s="23"/>
      <c r="I55" s="23"/>
      <c r="J55" s="23"/>
      <c r="K55" s="24" t="n">
        <f aca="false">SUM(E55:J55)</f>
        <v>0</v>
      </c>
    </row>
    <row r="56" customFormat="false" ht="15" hidden="false" customHeight="false" outlineLevel="0" collapsed="false">
      <c r="A56" s="25" t="n">
        <v>52</v>
      </c>
      <c r="B56" s="5"/>
      <c r="C56" s="5"/>
      <c r="D56" s="22"/>
      <c r="E56" s="23"/>
      <c r="F56" s="23"/>
      <c r="G56" s="23"/>
      <c r="H56" s="23"/>
      <c r="I56" s="23"/>
      <c r="J56" s="23"/>
      <c r="K56" s="26" t="n">
        <f aca="false">SUM(E56:J56)</f>
        <v>0</v>
      </c>
    </row>
    <row r="57" customFormat="false" ht="15" hidden="false" customHeight="false" outlineLevel="0" collapsed="false">
      <c r="A57" s="21" t="n">
        <v>53</v>
      </c>
      <c r="B57" s="5"/>
      <c r="C57" s="5"/>
      <c r="D57" s="22"/>
      <c r="E57" s="23"/>
      <c r="F57" s="23"/>
      <c r="G57" s="23"/>
      <c r="H57" s="23"/>
      <c r="I57" s="23"/>
      <c r="J57" s="23"/>
      <c r="K57" s="24" t="n">
        <f aca="false">SUM(E57:J57)</f>
        <v>0</v>
      </c>
    </row>
    <row r="58" customFormat="false" ht="15" hidden="false" customHeight="false" outlineLevel="0" collapsed="false">
      <c r="A58" s="25" t="n">
        <v>54</v>
      </c>
      <c r="B58" s="5"/>
      <c r="C58" s="5"/>
      <c r="D58" s="22"/>
      <c r="E58" s="23"/>
      <c r="F58" s="23"/>
      <c r="G58" s="23"/>
      <c r="H58" s="23"/>
      <c r="I58" s="23"/>
      <c r="J58" s="23"/>
      <c r="K58" s="26" t="n">
        <f aca="false">SUM(E58:J58)</f>
        <v>0</v>
      </c>
    </row>
    <row r="59" customFormat="false" ht="15" hidden="false" customHeight="false" outlineLevel="0" collapsed="false">
      <c r="A59" s="21" t="n">
        <v>55</v>
      </c>
      <c r="B59" s="5"/>
      <c r="C59" s="5"/>
      <c r="D59" s="22"/>
      <c r="E59" s="23"/>
      <c r="F59" s="23"/>
      <c r="G59" s="23"/>
      <c r="H59" s="23"/>
      <c r="I59" s="23"/>
      <c r="J59" s="23"/>
      <c r="K59" s="24" t="n">
        <f aca="false">SUM(E59:J59)</f>
        <v>0</v>
      </c>
    </row>
    <row r="60" customFormat="false" ht="15" hidden="false" customHeight="false" outlineLevel="0" collapsed="false">
      <c r="A60" s="25" t="n">
        <v>56</v>
      </c>
      <c r="B60" s="5"/>
      <c r="C60" s="5"/>
      <c r="D60" s="22"/>
      <c r="E60" s="23"/>
      <c r="F60" s="23"/>
      <c r="G60" s="23"/>
      <c r="H60" s="23"/>
      <c r="I60" s="23"/>
      <c r="J60" s="23"/>
      <c r="K60" s="26" t="n">
        <f aca="false">SUM(E60:J60)</f>
        <v>0</v>
      </c>
    </row>
    <row r="61" customFormat="false" ht="15" hidden="false" customHeight="false" outlineLevel="0" collapsed="false">
      <c r="A61" s="21" t="n">
        <v>57</v>
      </c>
      <c r="B61" s="5"/>
      <c r="C61" s="5"/>
      <c r="D61" s="22"/>
      <c r="E61" s="23"/>
      <c r="F61" s="23"/>
      <c r="G61" s="23"/>
      <c r="H61" s="23"/>
      <c r="I61" s="23"/>
      <c r="J61" s="23"/>
      <c r="K61" s="24" t="n">
        <f aca="false">SUM(E61:J61)</f>
        <v>0</v>
      </c>
    </row>
    <row r="62" customFormat="false" ht="15" hidden="false" customHeight="false" outlineLevel="0" collapsed="false">
      <c r="A62" s="25" t="n">
        <v>58</v>
      </c>
      <c r="B62" s="5"/>
      <c r="C62" s="5"/>
      <c r="D62" s="22"/>
      <c r="E62" s="23"/>
      <c r="F62" s="23"/>
      <c r="G62" s="23"/>
      <c r="H62" s="23"/>
      <c r="I62" s="23"/>
      <c r="J62" s="23"/>
      <c r="K62" s="26" t="n">
        <f aca="false">SUM(E62:J62)</f>
        <v>0</v>
      </c>
    </row>
    <row r="63" customFormat="false" ht="15" hidden="false" customHeight="false" outlineLevel="0" collapsed="false">
      <c r="A63" s="21" t="n">
        <v>59</v>
      </c>
      <c r="B63" s="5"/>
      <c r="C63" s="5"/>
      <c r="D63" s="22"/>
      <c r="E63" s="23"/>
      <c r="F63" s="23"/>
      <c r="G63" s="23"/>
      <c r="H63" s="23"/>
      <c r="I63" s="23"/>
      <c r="J63" s="23"/>
      <c r="K63" s="24" t="n">
        <f aca="false">SUM(E63:J63)</f>
        <v>0</v>
      </c>
    </row>
    <row r="64" customFormat="false" ht="15" hidden="false" customHeight="false" outlineLevel="0" collapsed="false">
      <c r="A64" s="25" t="n">
        <v>60</v>
      </c>
      <c r="B64" s="5"/>
      <c r="C64" s="5"/>
      <c r="D64" s="22"/>
      <c r="E64" s="23"/>
      <c r="F64" s="23"/>
      <c r="G64" s="23"/>
      <c r="H64" s="23"/>
      <c r="I64" s="23"/>
      <c r="J64" s="23"/>
      <c r="K64" s="26" t="n">
        <f aca="false">SUM(E64:J64)</f>
        <v>0</v>
      </c>
    </row>
    <row r="65" customFormat="false" ht="15" hidden="false" customHeight="false" outlineLevel="0" collapsed="false">
      <c r="A65" s="21" t="n">
        <v>61</v>
      </c>
      <c r="B65" s="5"/>
      <c r="C65" s="5"/>
      <c r="D65" s="22"/>
      <c r="E65" s="23"/>
      <c r="F65" s="23"/>
      <c r="G65" s="23"/>
      <c r="H65" s="23"/>
      <c r="I65" s="23"/>
      <c r="J65" s="23"/>
      <c r="K65" s="24" t="n">
        <f aca="false">SUM(E65:J65)</f>
        <v>0</v>
      </c>
    </row>
    <row r="66" customFormat="false" ht="15" hidden="false" customHeight="false" outlineLevel="0" collapsed="false">
      <c r="A66" s="25" t="n">
        <v>62</v>
      </c>
      <c r="B66" s="5"/>
      <c r="C66" s="5"/>
      <c r="D66" s="22"/>
      <c r="E66" s="23"/>
      <c r="F66" s="23"/>
      <c r="G66" s="23"/>
      <c r="H66" s="23"/>
      <c r="I66" s="23"/>
      <c r="J66" s="23"/>
      <c r="K66" s="26" t="n">
        <f aca="false">SUM(E66:J66)</f>
        <v>0</v>
      </c>
    </row>
    <row r="67" customFormat="false" ht="15" hidden="false" customHeight="false" outlineLevel="0" collapsed="false">
      <c r="A67" s="21" t="n">
        <v>63</v>
      </c>
      <c r="B67" s="5"/>
      <c r="C67" s="5"/>
      <c r="D67" s="22"/>
      <c r="E67" s="23"/>
      <c r="F67" s="23"/>
      <c r="G67" s="23"/>
      <c r="H67" s="23"/>
      <c r="I67" s="23"/>
      <c r="J67" s="23"/>
      <c r="K67" s="24" t="n">
        <f aca="false">SUM(E67:J67)</f>
        <v>0</v>
      </c>
    </row>
    <row r="68" customFormat="false" ht="15" hidden="false" customHeight="false" outlineLevel="0" collapsed="false">
      <c r="A68" s="25" t="n">
        <v>64</v>
      </c>
      <c r="B68" s="5"/>
      <c r="C68" s="5"/>
      <c r="D68" s="22"/>
      <c r="E68" s="23"/>
      <c r="F68" s="23"/>
      <c r="G68" s="23"/>
      <c r="H68" s="23"/>
      <c r="I68" s="23"/>
      <c r="J68" s="23"/>
      <c r="K68" s="26" t="n">
        <f aca="false">SUM(E68:J68)</f>
        <v>0</v>
      </c>
    </row>
    <row r="69" customFormat="false" ht="15" hidden="false" customHeight="false" outlineLevel="0" collapsed="false">
      <c r="A69" s="21" t="n">
        <v>65</v>
      </c>
      <c r="B69" s="5"/>
      <c r="C69" s="5"/>
      <c r="D69" s="22"/>
      <c r="E69" s="23"/>
      <c r="F69" s="23"/>
      <c r="G69" s="23"/>
      <c r="H69" s="23"/>
      <c r="I69" s="23"/>
      <c r="J69" s="23"/>
      <c r="K69" s="24" t="n">
        <f aca="false">SUM(E69:J69)</f>
        <v>0</v>
      </c>
    </row>
    <row r="70" customFormat="false" ht="15" hidden="false" customHeight="false" outlineLevel="0" collapsed="false">
      <c r="A70" s="25" t="n">
        <v>66</v>
      </c>
      <c r="B70" s="5"/>
      <c r="C70" s="5"/>
      <c r="D70" s="22"/>
      <c r="E70" s="23"/>
      <c r="F70" s="23"/>
      <c r="G70" s="23"/>
      <c r="H70" s="23"/>
      <c r="I70" s="23"/>
      <c r="J70" s="23"/>
      <c r="K70" s="26" t="n">
        <f aca="false">SUM(E70:J70)</f>
        <v>0</v>
      </c>
    </row>
    <row r="71" customFormat="false" ht="15" hidden="false" customHeight="false" outlineLevel="0" collapsed="false">
      <c r="A71" s="21" t="n">
        <v>67</v>
      </c>
      <c r="B71" s="5"/>
      <c r="C71" s="5"/>
      <c r="D71" s="22"/>
      <c r="E71" s="23"/>
      <c r="F71" s="23"/>
      <c r="G71" s="23"/>
      <c r="H71" s="23"/>
      <c r="I71" s="23"/>
      <c r="J71" s="23"/>
      <c r="K71" s="24" t="n">
        <f aca="false">SUM(E71:J71)</f>
        <v>0</v>
      </c>
    </row>
    <row r="72" customFormat="false" ht="15" hidden="false" customHeight="false" outlineLevel="0" collapsed="false">
      <c r="A72" s="25" t="n">
        <v>68</v>
      </c>
      <c r="B72" s="5"/>
      <c r="C72" s="5"/>
      <c r="D72" s="22"/>
      <c r="E72" s="23"/>
      <c r="F72" s="23"/>
      <c r="G72" s="23"/>
      <c r="H72" s="23"/>
      <c r="I72" s="23"/>
      <c r="J72" s="23"/>
      <c r="K72" s="26" t="n">
        <f aca="false">SUM(E72:J72)</f>
        <v>0</v>
      </c>
    </row>
    <row r="73" customFormat="false" ht="15" hidden="false" customHeight="false" outlineLevel="0" collapsed="false">
      <c r="A73" s="21" t="n">
        <v>69</v>
      </c>
      <c r="B73" s="5"/>
      <c r="C73" s="5"/>
      <c r="D73" s="22"/>
      <c r="E73" s="23"/>
      <c r="F73" s="23"/>
      <c r="G73" s="23"/>
      <c r="H73" s="23"/>
      <c r="I73" s="23"/>
      <c r="J73" s="23"/>
      <c r="K73" s="24" t="n">
        <f aca="false">SUM(E73:J73)</f>
        <v>0</v>
      </c>
    </row>
    <row r="74" customFormat="false" ht="15" hidden="false" customHeight="false" outlineLevel="0" collapsed="false">
      <c r="A74" s="25" t="n">
        <v>70</v>
      </c>
      <c r="B74" s="5"/>
      <c r="C74" s="5"/>
      <c r="D74" s="22"/>
      <c r="E74" s="23"/>
      <c r="F74" s="23"/>
      <c r="G74" s="23"/>
      <c r="H74" s="23"/>
      <c r="I74" s="23"/>
      <c r="J74" s="23"/>
      <c r="K74" s="26" t="n">
        <f aca="false">SUM(E74:J74)</f>
        <v>0</v>
      </c>
    </row>
    <row r="75" customFormat="false" ht="15" hidden="false" customHeight="false" outlineLevel="0" collapsed="false">
      <c r="A75" s="21" t="n">
        <v>71</v>
      </c>
      <c r="B75" s="5"/>
      <c r="C75" s="5"/>
      <c r="D75" s="22"/>
      <c r="E75" s="23"/>
      <c r="F75" s="23"/>
      <c r="G75" s="23"/>
      <c r="H75" s="23"/>
      <c r="I75" s="23"/>
      <c r="J75" s="23"/>
      <c r="K75" s="24" t="n">
        <f aca="false">SUM(E75:J75)</f>
        <v>0</v>
      </c>
    </row>
    <row r="76" customFormat="false" ht="15" hidden="false" customHeight="false" outlineLevel="0" collapsed="false">
      <c r="A76" s="25" t="n">
        <v>72</v>
      </c>
      <c r="B76" s="5"/>
      <c r="C76" s="5"/>
      <c r="D76" s="22"/>
      <c r="E76" s="23"/>
      <c r="F76" s="23"/>
      <c r="G76" s="23"/>
      <c r="H76" s="23"/>
      <c r="I76" s="23"/>
      <c r="J76" s="23"/>
      <c r="K76" s="26" t="n">
        <f aca="false">SUM(E76:J76)</f>
        <v>0</v>
      </c>
    </row>
    <row r="77" customFormat="false" ht="15" hidden="false" customHeight="false" outlineLevel="0" collapsed="false">
      <c r="A77" s="21" t="n">
        <v>73</v>
      </c>
      <c r="B77" s="5"/>
      <c r="C77" s="5"/>
      <c r="D77" s="22"/>
      <c r="E77" s="23"/>
      <c r="F77" s="23"/>
      <c r="G77" s="23"/>
      <c r="H77" s="23"/>
      <c r="I77" s="23"/>
      <c r="J77" s="23"/>
      <c r="K77" s="24" t="n">
        <f aca="false">SUM(E77:J77)</f>
        <v>0</v>
      </c>
    </row>
    <row r="78" customFormat="false" ht="15" hidden="false" customHeight="false" outlineLevel="0" collapsed="false">
      <c r="A78" s="25" t="n">
        <v>74</v>
      </c>
      <c r="B78" s="5"/>
      <c r="C78" s="5"/>
      <c r="D78" s="22"/>
      <c r="E78" s="23"/>
      <c r="F78" s="23"/>
      <c r="G78" s="23"/>
      <c r="H78" s="23"/>
      <c r="I78" s="23"/>
      <c r="J78" s="23"/>
      <c r="K78" s="26" t="n">
        <f aca="false">SUM(E78:J78)</f>
        <v>0</v>
      </c>
    </row>
    <row r="79" customFormat="false" ht="15" hidden="false" customHeight="false" outlineLevel="0" collapsed="false">
      <c r="A79" s="21" t="n">
        <v>75</v>
      </c>
      <c r="B79" s="5"/>
      <c r="C79" s="5"/>
      <c r="D79" s="22"/>
      <c r="E79" s="23"/>
      <c r="F79" s="23"/>
      <c r="G79" s="23"/>
      <c r="H79" s="23"/>
      <c r="I79" s="23"/>
      <c r="J79" s="23"/>
      <c r="K79" s="24" t="n">
        <f aca="false">SUM(E79:J79)</f>
        <v>0</v>
      </c>
    </row>
    <row r="80" customFormat="false" ht="15" hidden="false" customHeight="false" outlineLevel="0" collapsed="false">
      <c r="A80" s="25" t="n">
        <v>76</v>
      </c>
      <c r="B80" s="5"/>
      <c r="C80" s="5"/>
      <c r="D80" s="22"/>
      <c r="E80" s="23"/>
      <c r="F80" s="23"/>
      <c r="G80" s="23"/>
      <c r="H80" s="23"/>
      <c r="I80" s="23"/>
      <c r="J80" s="23"/>
      <c r="K80" s="26" t="n">
        <f aca="false">SUM(E80:J80)</f>
        <v>0</v>
      </c>
    </row>
    <row r="81" customFormat="false" ht="15" hidden="false" customHeight="false" outlineLevel="0" collapsed="false">
      <c r="A81" s="21" t="n">
        <v>77</v>
      </c>
      <c r="B81" s="5"/>
      <c r="C81" s="5"/>
      <c r="D81" s="22"/>
      <c r="E81" s="23"/>
      <c r="F81" s="23"/>
      <c r="G81" s="23"/>
      <c r="H81" s="23"/>
      <c r="I81" s="23"/>
      <c r="J81" s="23"/>
      <c r="K81" s="24" t="n">
        <f aca="false">SUM(E81:J81)</f>
        <v>0</v>
      </c>
    </row>
    <row r="82" customFormat="false" ht="15" hidden="false" customHeight="false" outlineLevel="0" collapsed="false">
      <c r="A82" s="25" t="n">
        <v>78</v>
      </c>
      <c r="B82" s="5"/>
      <c r="C82" s="5"/>
      <c r="D82" s="22"/>
      <c r="E82" s="23"/>
      <c r="F82" s="23"/>
      <c r="G82" s="23"/>
      <c r="H82" s="23"/>
      <c r="I82" s="23"/>
      <c r="J82" s="23"/>
      <c r="K82" s="26" t="n">
        <f aca="false">SUM(E82:J82)</f>
        <v>0</v>
      </c>
    </row>
    <row r="83" customFormat="false" ht="15" hidden="false" customHeight="false" outlineLevel="0" collapsed="false">
      <c r="A83" s="21" t="n">
        <v>79</v>
      </c>
      <c r="B83" s="5"/>
      <c r="C83" s="5"/>
      <c r="D83" s="22"/>
      <c r="E83" s="23"/>
      <c r="F83" s="23"/>
      <c r="G83" s="23"/>
      <c r="H83" s="23"/>
      <c r="I83" s="23"/>
      <c r="J83" s="23"/>
      <c r="K83" s="24" t="n">
        <f aca="false">SUM(E83:J83)</f>
        <v>0</v>
      </c>
    </row>
    <row r="84" customFormat="false" ht="15" hidden="false" customHeight="false" outlineLevel="0" collapsed="false">
      <c r="A84" s="25" t="n">
        <v>80</v>
      </c>
      <c r="B84" s="5"/>
      <c r="C84" s="5"/>
      <c r="D84" s="22"/>
      <c r="E84" s="23"/>
      <c r="F84" s="23"/>
      <c r="G84" s="23"/>
      <c r="H84" s="23"/>
      <c r="I84" s="23"/>
      <c r="J84" s="23"/>
      <c r="K84" s="26" t="n">
        <f aca="false">SUM(E84:J84)</f>
        <v>0</v>
      </c>
    </row>
    <row r="85" customFormat="false" ht="15" hidden="false" customHeight="false" outlineLevel="0" collapsed="false">
      <c r="A85" s="21" t="n">
        <v>81</v>
      </c>
      <c r="B85" s="5"/>
      <c r="C85" s="5"/>
      <c r="D85" s="22"/>
      <c r="E85" s="23"/>
      <c r="F85" s="23"/>
      <c r="G85" s="23"/>
      <c r="H85" s="23"/>
      <c r="I85" s="23"/>
      <c r="J85" s="23"/>
      <c r="K85" s="24" t="n">
        <f aca="false">SUM(E85:J85)</f>
        <v>0</v>
      </c>
    </row>
    <row r="86" customFormat="false" ht="15" hidden="false" customHeight="false" outlineLevel="0" collapsed="false">
      <c r="A86" s="25" t="n">
        <v>82</v>
      </c>
      <c r="B86" s="5"/>
      <c r="C86" s="5"/>
      <c r="D86" s="22"/>
      <c r="E86" s="23"/>
      <c r="F86" s="23"/>
      <c r="G86" s="23"/>
      <c r="H86" s="23"/>
      <c r="I86" s="23"/>
      <c r="J86" s="23"/>
      <c r="K86" s="26" t="n">
        <f aca="false">SUM(E86:J86)</f>
        <v>0</v>
      </c>
    </row>
    <row r="87" customFormat="false" ht="15" hidden="false" customHeight="false" outlineLevel="0" collapsed="false">
      <c r="A87" s="21" t="n">
        <v>83</v>
      </c>
      <c r="B87" s="5"/>
      <c r="C87" s="5"/>
      <c r="D87" s="22"/>
      <c r="E87" s="23"/>
      <c r="F87" s="23"/>
      <c r="G87" s="23"/>
      <c r="H87" s="23"/>
      <c r="I87" s="23"/>
      <c r="J87" s="23"/>
      <c r="K87" s="24" t="n">
        <f aca="false">SUM(E87:J87)</f>
        <v>0</v>
      </c>
    </row>
    <row r="88" customFormat="false" ht="15" hidden="false" customHeight="false" outlineLevel="0" collapsed="false">
      <c r="A88" s="25" t="n">
        <v>84</v>
      </c>
      <c r="B88" s="5"/>
      <c r="C88" s="5"/>
      <c r="D88" s="22"/>
      <c r="E88" s="23"/>
      <c r="F88" s="23"/>
      <c r="G88" s="23"/>
      <c r="H88" s="23"/>
      <c r="I88" s="23"/>
      <c r="J88" s="23"/>
      <c r="K88" s="26" t="n">
        <f aca="false">SUM(E88:J88)</f>
        <v>0</v>
      </c>
    </row>
    <row r="89" customFormat="false" ht="15" hidden="false" customHeight="false" outlineLevel="0" collapsed="false">
      <c r="A89" s="21" t="n">
        <v>85</v>
      </c>
      <c r="B89" s="5"/>
      <c r="C89" s="5"/>
      <c r="D89" s="22"/>
      <c r="E89" s="23"/>
      <c r="F89" s="23"/>
      <c r="G89" s="23"/>
      <c r="H89" s="23"/>
      <c r="I89" s="23"/>
      <c r="J89" s="23"/>
      <c r="K89" s="24" t="n">
        <f aca="false">SUM(E89:J89)</f>
        <v>0</v>
      </c>
    </row>
    <row r="90" customFormat="false" ht="15" hidden="false" customHeight="false" outlineLevel="0" collapsed="false">
      <c r="A90" s="25" t="n">
        <v>86</v>
      </c>
      <c r="B90" s="5"/>
      <c r="C90" s="5"/>
      <c r="D90" s="22"/>
      <c r="E90" s="23"/>
      <c r="F90" s="23"/>
      <c r="G90" s="23"/>
      <c r="H90" s="23"/>
      <c r="I90" s="23"/>
      <c r="J90" s="23"/>
      <c r="K90" s="26" t="n">
        <f aca="false">SUM(E90:J90)</f>
        <v>0</v>
      </c>
    </row>
    <row r="91" customFormat="false" ht="15" hidden="false" customHeight="false" outlineLevel="0" collapsed="false">
      <c r="A91" s="21" t="n">
        <v>87</v>
      </c>
      <c r="B91" s="5"/>
      <c r="C91" s="5"/>
      <c r="D91" s="22"/>
      <c r="E91" s="23"/>
      <c r="F91" s="23"/>
      <c r="G91" s="23"/>
      <c r="H91" s="23"/>
      <c r="I91" s="23"/>
      <c r="J91" s="23"/>
      <c r="K91" s="24" t="n">
        <f aca="false">SUM(E91:J91)</f>
        <v>0</v>
      </c>
    </row>
    <row r="92" customFormat="false" ht="15" hidden="false" customHeight="false" outlineLevel="0" collapsed="false">
      <c r="A92" s="25" t="n">
        <v>88</v>
      </c>
      <c r="B92" s="5"/>
      <c r="C92" s="5"/>
      <c r="D92" s="22"/>
      <c r="E92" s="23"/>
      <c r="F92" s="23"/>
      <c r="G92" s="23"/>
      <c r="H92" s="23"/>
      <c r="I92" s="23"/>
      <c r="J92" s="23"/>
      <c r="K92" s="26" t="n">
        <f aca="false">SUM(E92:J92)</f>
        <v>0</v>
      </c>
    </row>
    <row r="93" customFormat="false" ht="15" hidden="false" customHeight="false" outlineLevel="0" collapsed="false">
      <c r="A93" s="21" t="n">
        <v>89</v>
      </c>
      <c r="B93" s="5"/>
      <c r="C93" s="5"/>
      <c r="D93" s="22"/>
      <c r="E93" s="23"/>
      <c r="F93" s="23"/>
      <c r="G93" s="23"/>
      <c r="H93" s="23"/>
      <c r="I93" s="23"/>
      <c r="J93" s="23"/>
      <c r="K93" s="24" t="n">
        <f aca="false">SUM(E93:J93)</f>
        <v>0</v>
      </c>
    </row>
    <row r="94" customFormat="false" ht="15" hidden="false" customHeight="false" outlineLevel="0" collapsed="false">
      <c r="A94" s="25" t="n">
        <v>90</v>
      </c>
      <c r="B94" s="5"/>
      <c r="C94" s="5"/>
      <c r="D94" s="22"/>
      <c r="E94" s="23"/>
      <c r="F94" s="23"/>
      <c r="G94" s="23"/>
      <c r="H94" s="23"/>
      <c r="I94" s="23"/>
      <c r="J94" s="23"/>
      <c r="K94" s="26" t="n">
        <f aca="false">SUM(E94:J94)</f>
        <v>0</v>
      </c>
    </row>
    <row r="95" customFormat="false" ht="15" hidden="false" customHeight="false" outlineLevel="0" collapsed="false">
      <c r="A95" s="21" t="n">
        <v>91</v>
      </c>
      <c r="B95" s="5"/>
      <c r="C95" s="5"/>
      <c r="D95" s="22"/>
      <c r="E95" s="23"/>
      <c r="F95" s="23"/>
      <c r="G95" s="23"/>
      <c r="H95" s="23"/>
      <c r="I95" s="23"/>
      <c r="J95" s="23"/>
      <c r="K95" s="24" t="n">
        <f aca="false">SUM(E95:J95)</f>
        <v>0</v>
      </c>
    </row>
    <row r="96" customFormat="false" ht="15" hidden="false" customHeight="false" outlineLevel="0" collapsed="false">
      <c r="A96" s="25" t="n">
        <v>92</v>
      </c>
      <c r="B96" s="5"/>
      <c r="C96" s="5"/>
      <c r="D96" s="22"/>
      <c r="E96" s="23"/>
      <c r="F96" s="23"/>
      <c r="G96" s="23"/>
      <c r="H96" s="23"/>
      <c r="I96" s="23"/>
      <c r="J96" s="23"/>
      <c r="K96" s="26" t="n">
        <f aca="false">SUM(E96:J96)</f>
        <v>0</v>
      </c>
    </row>
    <row r="97" customFormat="false" ht="15" hidden="false" customHeight="false" outlineLevel="0" collapsed="false">
      <c r="A97" s="21" t="n">
        <v>93</v>
      </c>
      <c r="B97" s="5"/>
      <c r="C97" s="5"/>
      <c r="D97" s="22"/>
      <c r="E97" s="23"/>
      <c r="F97" s="23"/>
      <c r="G97" s="23"/>
      <c r="H97" s="23"/>
      <c r="I97" s="23"/>
      <c r="J97" s="23"/>
      <c r="K97" s="24" t="n">
        <f aca="false">SUM(E97:J97)</f>
        <v>0</v>
      </c>
    </row>
    <row r="98" customFormat="false" ht="15" hidden="false" customHeight="false" outlineLevel="0" collapsed="false">
      <c r="A98" s="25" t="n">
        <v>94</v>
      </c>
      <c r="B98" s="5"/>
      <c r="C98" s="5"/>
      <c r="D98" s="22"/>
      <c r="E98" s="23"/>
      <c r="F98" s="23"/>
      <c r="G98" s="23"/>
      <c r="H98" s="23"/>
      <c r="I98" s="23"/>
      <c r="J98" s="23"/>
      <c r="K98" s="26" t="n">
        <f aca="false">SUM(E98:J98)</f>
        <v>0</v>
      </c>
    </row>
    <row r="99" customFormat="false" ht="15" hidden="false" customHeight="false" outlineLevel="0" collapsed="false">
      <c r="A99" s="21" t="n">
        <v>95</v>
      </c>
      <c r="B99" s="5"/>
      <c r="C99" s="5"/>
      <c r="D99" s="22"/>
      <c r="E99" s="23"/>
      <c r="F99" s="23"/>
      <c r="G99" s="23"/>
      <c r="H99" s="23"/>
      <c r="I99" s="23"/>
      <c r="J99" s="23"/>
      <c r="K99" s="24" t="n">
        <f aca="false">SUM(E99:J99)</f>
        <v>0</v>
      </c>
    </row>
    <row r="100" customFormat="false" ht="15" hidden="false" customHeight="false" outlineLevel="0" collapsed="false">
      <c r="A100" s="25" t="n">
        <v>96</v>
      </c>
      <c r="B100" s="5"/>
      <c r="C100" s="5"/>
      <c r="D100" s="22"/>
      <c r="E100" s="23"/>
      <c r="F100" s="23"/>
      <c r="G100" s="23"/>
      <c r="H100" s="23"/>
      <c r="I100" s="23"/>
      <c r="J100" s="23"/>
      <c r="K100" s="26" t="n">
        <f aca="false">SUM(E100:J100)</f>
        <v>0</v>
      </c>
    </row>
    <row r="101" customFormat="false" ht="15" hidden="false" customHeight="false" outlineLevel="0" collapsed="false">
      <c r="A101" s="21" t="n">
        <v>97</v>
      </c>
      <c r="B101" s="5"/>
      <c r="C101" s="5"/>
      <c r="D101" s="22"/>
      <c r="E101" s="23"/>
      <c r="F101" s="23"/>
      <c r="G101" s="23"/>
      <c r="H101" s="23"/>
      <c r="I101" s="23"/>
      <c r="J101" s="23"/>
      <c r="K101" s="24" t="n">
        <f aca="false">SUM(E101:J101)</f>
        <v>0</v>
      </c>
    </row>
    <row r="102" customFormat="false" ht="15" hidden="false" customHeight="false" outlineLevel="0" collapsed="false">
      <c r="A102" s="25" t="n">
        <v>98</v>
      </c>
      <c r="B102" s="5"/>
      <c r="C102" s="5"/>
      <c r="D102" s="22"/>
      <c r="E102" s="23"/>
      <c r="F102" s="23"/>
      <c r="G102" s="23"/>
      <c r="H102" s="23"/>
      <c r="I102" s="23"/>
      <c r="J102" s="23"/>
      <c r="K102" s="26" t="n">
        <f aca="false">SUM(E102:J102)</f>
        <v>0</v>
      </c>
    </row>
    <row r="103" customFormat="false" ht="15" hidden="false" customHeight="false" outlineLevel="0" collapsed="false">
      <c r="A103" s="21" t="n">
        <v>99</v>
      </c>
      <c r="B103" s="5"/>
      <c r="C103" s="5"/>
      <c r="D103" s="22"/>
      <c r="E103" s="23"/>
      <c r="F103" s="23"/>
      <c r="G103" s="23"/>
      <c r="H103" s="23"/>
      <c r="I103" s="23"/>
      <c r="J103" s="23"/>
      <c r="K103" s="24" t="n">
        <f aca="false">SUM(E103:J103)</f>
        <v>0</v>
      </c>
    </row>
    <row r="104" customFormat="false" ht="15" hidden="false" customHeight="false" outlineLevel="0" collapsed="false">
      <c r="A104" s="25" t="n">
        <v>100</v>
      </c>
      <c r="B104" s="5"/>
      <c r="C104" s="5"/>
      <c r="D104" s="22"/>
      <c r="E104" s="23"/>
      <c r="F104" s="23"/>
      <c r="G104" s="23"/>
      <c r="H104" s="23"/>
      <c r="I104" s="23"/>
      <c r="J104" s="23"/>
      <c r="K104" s="26" t="n">
        <f aca="false">SUM(E104:J104)</f>
        <v>0</v>
      </c>
    </row>
    <row r="105" customFormat="false" ht="15" hidden="false" customHeight="false" outlineLevel="0" collapsed="false">
      <c r="A105" s="21" t="n">
        <v>101</v>
      </c>
      <c r="B105" s="5"/>
      <c r="C105" s="5"/>
      <c r="D105" s="22"/>
      <c r="E105" s="23"/>
      <c r="F105" s="23"/>
      <c r="G105" s="23"/>
      <c r="H105" s="23"/>
      <c r="I105" s="23"/>
      <c r="J105" s="23"/>
      <c r="K105" s="24" t="n">
        <f aca="false">SUM(E105:J105)</f>
        <v>0</v>
      </c>
    </row>
    <row r="106" customFormat="false" ht="15" hidden="false" customHeight="false" outlineLevel="0" collapsed="false">
      <c r="A106" s="25" t="n">
        <v>102</v>
      </c>
      <c r="B106" s="5"/>
      <c r="C106" s="5"/>
      <c r="D106" s="22"/>
      <c r="E106" s="23"/>
      <c r="F106" s="23"/>
      <c r="G106" s="23"/>
      <c r="H106" s="23"/>
      <c r="I106" s="23"/>
      <c r="J106" s="23"/>
      <c r="K106" s="26" t="n">
        <f aca="false">SUM(E106:J106)</f>
        <v>0</v>
      </c>
    </row>
    <row r="107" customFormat="false" ht="15" hidden="false" customHeight="false" outlineLevel="0" collapsed="false">
      <c r="A107" s="21" t="n">
        <v>103</v>
      </c>
      <c r="B107" s="5"/>
      <c r="C107" s="5"/>
      <c r="D107" s="22"/>
      <c r="E107" s="23"/>
      <c r="F107" s="23"/>
      <c r="G107" s="23"/>
      <c r="H107" s="23"/>
      <c r="I107" s="23"/>
      <c r="J107" s="23"/>
      <c r="K107" s="24" t="n">
        <f aca="false">SUM(E107:J107)</f>
        <v>0</v>
      </c>
    </row>
    <row r="108" customFormat="false" ht="15" hidden="false" customHeight="false" outlineLevel="0" collapsed="false">
      <c r="A108" s="25" t="n">
        <v>104</v>
      </c>
      <c r="B108" s="5"/>
      <c r="C108" s="5"/>
      <c r="D108" s="22"/>
      <c r="E108" s="23"/>
      <c r="F108" s="23"/>
      <c r="G108" s="23"/>
      <c r="H108" s="23"/>
      <c r="I108" s="23"/>
      <c r="J108" s="23"/>
      <c r="K108" s="26" t="n">
        <f aca="false">SUM(E108:J108)</f>
        <v>0</v>
      </c>
    </row>
    <row r="109" customFormat="false" ht="15" hidden="false" customHeight="false" outlineLevel="0" collapsed="false">
      <c r="A109" s="21" t="n">
        <v>105</v>
      </c>
      <c r="B109" s="5"/>
      <c r="C109" s="5"/>
      <c r="D109" s="22"/>
      <c r="E109" s="23"/>
      <c r="F109" s="23"/>
      <c r="G109" s="23"/>
      <c r="H109" s="23"/>
      <c r="I109" s="23"/>
      <c r="J109" s="23"/>
      <c r="K109" s="24" t="n">
        <f aca="false">SUM(E109:J109)</f>
        <v>0</v>
      </c>
    </row>
    <row r="110" customFormat="false" ht="15" hidden="false" customHeight="false" outlineLevel="0" collapsed="false">
      <c r="A110" s="25" t="n">
        <v>106</v>
      </c>
      <c r="B110" s="5"/>
      <c r="C110" s="5"/>
      <c r="D110" s="22"/>
      <c r="E110" s="23"/>
      <c r="F110" s="23"/>
      <c r="G110" s="23"/>
      <c r="H110" s="23"/>
      <c r="I110" s="23"/>
      <c r="J110" s="23"/>
      <c r="K110" s="26" t="n">
        <f aca="false">SUM(E110:J110)</f>
        <v>0</v>
      </c>
    </row>
    <row r="111" customFormat="false" ht="15" hidden="false" customHeight="false" outlineLevel="0" collapsed="false">
      <c r="A111" s="21" t="n">
        <v>107</v>
      </c>
      <c r="B111" s="5"/>
      <c r="C111" s="5"/>
      <c r="D111" s="22"/>
      <c r="E111" s="23"/>
      <c r="F111" s="23"/>
      <c r="G111" s="23"/>
      <c r="H111" s="23"/>
      <c r="I111" s="23"/>
      <c r="J111" s="23"/>
      <c r="K111" s="24" t="n">
        <f aca="false">SUM(E111:J111)</f>
        <v>0</v>
      </c>
    </row>
    <row r="112" customFormat="false" ht="15" hidden="false" customHeight="false" outlineLevel="0" collapsed="false">
      <c r="A112" s="25" t="n">
        <v>108</v>
      </c>
      <c r="B112" s="5"/>
      <c r="C112" s="5"/>
      <c r="D112" s="22"/>
      <c r="E112" s="23"/>
      <c r="F112" s="23"/>
      <c r="G112" s="23"/>
      <c r="H112" s="23"/>
      <c r="I112" s="23"/>
      <c r="J112" s="23"/>
      <c r="K112" s="26" t="n">
        <f aca="false">SUM(E112:J112)</f>
        <v>0</v>
      </c>
    </row>
    <row r="113" customFormat="false" ht="15" hidden="false" customHeight="false" outlineLevel="0" collapsed="false">
      <c r="A113" s="21" t="n">
        <v>109</v>
      </c>
      <c r="B113" s="5"/>
      <c r="C113" s="5"/>
      <c r="D113" s="22"/>
      <c r="E113" s="23"/>
      <c r="F113" s="23"/>
      <c r="G113" s="23"/>
      <c r="H113" s="23"/>
      <c r="I113" s="23"/>
      <c r="J113" s="23"/>
      <c r="K113" s="24" t="n">
        <f aca="false">SUM(E113:J113)</f>
        <v>0</v>
      </c>
    </row>
    <row r="114" customFormat="false" ht="15" hidden="false" customHeight="false" outlineLevel="0" collapsed="false">
      <c r="A114" s="25" t="n">
        <v>110</v>
      </c>
      <c r="B114" s="5"/>
      <c r="C114" s="5"/>
      <c r="D114" s="22"/>
      <c r="E114" s="23"/>
      <c r="F114" s="23"/>
      <c r="G114" s="23"/>
      <c r="H114" s="23"/>
      <c r="I114" s="23"/>
      <c r="J114" s="23"/>
      <c r="K114" s="26" t="n">
        <f aca="false">SUM(E114:J114)</f>
        <v>0</v>
      </c>
    </row>
    <row r="115" customFormat="false" ht="15" hidden="false" customHeight="false" outlineLevel="0" collapsed="false">
      <c r="A115" s="21" t="n">
        <v>111</v>
      </c>
      <c r="B115" s="5"/>
      <c r="C115" s="5"/>
      <c r="D115" s="22"/>
      <c r="E115" s="23"/>
      <c r="F115" s="23"/>
      <c r="G115" s="23"/>
      <c r="H115" s="23"/>
      <c r="I115" s="23"/>
      <c r="J115" s="23"/>
      <c r="K115" s="24" t="n">
        <f aca="false">SUM(E115:J115)</f>
        <v>0</v>
      </c>
    </row>
    <row r="116" customFormat="false" ht="15" hidden="false" customHeight="false" outlineLevel="0" collapsed="false">
      <c r="A116" s="25" t="n">
        <v>112</v>
      </c>
      <c r="B116" s="5"/>
      <c r="C116" s="5"/>
      <c r="D116" s="22"/>
      <c r="E116" s="23"/>
      <c r="F116" s="23"/>
      <c r="G116" s="23"/>
      <c r="H116" s="23"/>
      <c r="I116" s="23"/>
      <c r="J116" s="23"/>
      <c r="K116" s="26" t="n">
        <f aca="false">SUM(E116:J116)</f>
        <v>0</v>
      </c>
    </row>
    <row r="117" customFormat="false" ht="15" hidden="false" customHeight="false" outlineLevel="0" collapsed="false">
      <c r="A117" s="21" t="n">
        <v>113</v>
      </c>
      <c r="B117" s="5"/>
      <c r="C117" s="5"/>
      <c r="D117" s="22"/>
      <c r="E117" s="23"/>
      <c r="F117" s="23"/>
      <c r="G117" s="23"/>
      <c r="H117" s="23"/>
      <c r="I117" s="23"/>
      <c r="J117" s="23"/>
      <c r="K117" s="24" t="n">
        <f aca="false">SUM(E117:J117)</f>
        <v>0</v>
      </c>
    </row>
    <row r="118" customFormat="false" ht="15" hidden="false" customHeight="false" outlineLevel="0" collapsed="false">
      <c r="A118" s="25" t="n">
        <v>114</v>
      </c>
      <c r="B118" s="5"/>
      <c r="C118" s="5"/>
      <c r="D118" s="22"/>
      <c r="E118" s="23"/>
      <c r="F118" s="23"/>
      <c r="G118" s="23"/>
      <c r="H118" s="23"/>
      <c r="I118" s="23"/>
      <c r="J118" s="23"/>
      <c r="K118" s="26" t="n">
        <f aca="false">SUM(E118:J118)</f>
        <v>0</v>
      </c>
    </row>
    <row r="119" customFormat="false" ht="15" hidden="false" customHeight="false" outlineLevel="0" collapsed="false">
      <c r="A119" s="21" t="n">
        <v>115</v>
      </c>
      <c r="B119" s="5"/>
      <c r="C119" s="5"/>
      <c r="D119" s="22"/>
      <c r="E119" s="23"/>
      <c r="F119" s="23"/>
      <c r="G119" s="23"/>
      <c r="H119" s="23"/>
      <c r="I119" s="23"/>
      <c r="J119" s="23"/>
      <c r="K119" s="24" t="n">
        <f aca="false">SUM(E119:J119)</f>
        <v>0</v>
      </c>
    </row>
    <row r="120" customFormat="false" ht="15" hidden="false" customHeight="false" outlineLevel="0" collapsed="false">
      <c r="A120" s="25" t="n">
        <v>116</v>
      </c>
      <c r="B120" s="5"/>
      <c r="C120" s="5"/>
      <c r="D120" s="22"/>
      <c r="E120" s="23"/>
      <c r="F120" s="23"/>
      <c r="G120" s="23"/>
      <c r="H120" s="23"/>
      <c r="I120" s="23"/>
      <c r="J120" s="23"/>
      <c r="K120" s="26" t="n">
        <f aca="false">SUM(E120:J120)</f>
        <v>0</v>
      </c>
    </row>
    <row r="121" customFormat="false" ht="15" hidden="false" customHeight="false" outlineLevel="0" collapsed="false">
      <c r="A121" s="21" t="n">
        <v>117</v>
      </c>
      <c r="B121" s="5"/>
      <c r="C121" s="5"/>
      <c r="D121" s="22"/>
      <c r="E121" s="23"/>
      <c r="F121" s="23"/>
      <c r="G121" s="23"/>
      <c r="H121" s="23"/>
      <c r="I121" s="23"/>
      <c r="J121" s="23"/>
      <c r="K121" s="24" t="n">
        <f aca="false">SUM(E121:J121)</f>
        <v>0</v>
      </c>
    </row>
    <row r="122" customFormat="false" ht="15" hidden="false" customHeight="false" outlineLevel="0" collapsed="false">
      <c r="A122" s="25" t="n">
        <v>118</v>
      </c>
      <c r="B122" s="5"/>
      <c r="C122" s="5"/>
      <c r="D122" s="22"/>
      <c r="E122" s="23"/>
      <c r="F122" s="23"/>
      <c r="G122" s="23"/>
      <c r="H122" s="23"/>
      <c r="I122" s="23"/>
      <c r="J122" s="23"/>
      <c r="K122" s="26" t="n">
        <f aca="false">SUM(E122:J122)</f>
        <v>0</v>
      </c>
    </row>
    <row r="123" customFormat="false" ht="15" hidden="false" customHeight="false" outlineLevel="0" collapsed="false">
      <c r="A123" s="21" t="n">
        <v>119</v>
      </c>
      <c r="B123" s="5"/>
      <c r="C123" s="5"/>
      <c r="D123" s="22"/>
      <c r="E123" s="23"/>
      <c r="F123" s="23"/>
      <c r="G123" s="23"/>
      <c r="H123" s="23"/>
      <c r="I123" s="23"/>
      <c r="J123" s="23"/>
      <c r="K123" s="24" t="n">
        <f aca="false">SUM(E123:J123)</f>
        <v>0</v>
      </c>
    </row>
    <row r="124" customFormat="false" ht="15" hidden="false" customHeight="false" outlineLevel="0" collapsed="false">
      <c r="A124" s="25" t="n">
        <v>120</v>
      </c>
      <c r="B124" s="5"/>
      <c r="C124" s="5"/>
      <c r="D124" s="22"/>
      <c r="E124" s="23"/>
      <c r="F124" s="23"/>
      <c r="G124" s="23"/>
      <c r="H124" s="23"/>
      <c r="I124" s="23"/>
      <c r="J124" s="23"/>
      <c r="K124" s="26" t="n">
        <f aca="false">SUM(E124:J124)</f>
        <v>0</v>
      </c>
    </row>
    <row r="125" customFormat="false" ht="15" hidden="false" customHeight="false" outlineLevel="0" collapsed="false">
      <c r="A125" s="21" t="n">
        <v>121</v>
      </c>
      <c r="B125" s="5"/>
      <c r="C125" s="5"/>
      <c r="D125" s="22"/>
      <c r="E125" s="23"/>
      <c r="F125" s="23"/>
      <c r="G125" s="23"/>
      <c r="H125" s="23"/>
      <c r="I125" s="23"/>
      <c r="J125" s="23"/>
      <c r="K125" s="24" t="n">
        <f aca="false">SUM(E125:J125)</f>
        <v>0</v>
      </c>
    </row>
    <row r="126" customFormat="false" ht="15" hidden="false" customHeight="false" outlineLevel="0" collapsed="false">
      <c r="A126" s="25" t="n">
        <v>122</v>
      </c>
      <c r="B126" s="5"/>
      <c r="C126" s="5"/>
      <c r="D126" s="22"/>
      <c r="E126" s="23"/>
      <c r="F126" s="23"/>
      <c r="G126" s="23"/>
      <c r="H126" s="23"/>
      <c r="I126" s="23"/>
      <c r="J126" s="23"/>
      <c r="K126" s="26" t="n">
        <f aca="false">SUM(E126:J126)</f>
        <v>0</v>
      </c>
    </row>
    <row r="127" customFormat="false" ht="15" hidden="false" customHeight="false" outlineLevel="0" collapsed="false">
      <c r="A127" s="21" t="n">
        <v>123</v>
      </c>
      <c r="B127" s="5"/>
      <c r="C127" s="5"/>
      <c r="D127" s="22"/>
      <c r="E127" s="23"/>
      <c r="F127" s="23"/>
      <c r="G127" s="23"/>
      <c r="H127" s="23"/>
      <c r="I127" s="23"/>
      <c r="J127" s="23"/>
      <c r="K127" s="24" t="n">
        <f aca="false">SUM(E127:J127)</f>
        <v>0</v>
      </c>
    </row>
    <row r="128" customFormat="false" ht="15" hidden="false" customHeight="false" outlineLevel="0" collapsed="false">
      <c r="A128" s="25" t="n">
        <v>124</v>
      </c>
      <c r="B128" s="5"/>
      <c r="C128" s="5"/>
      <c r="D128" s="22"/>
      <c r="E128" s="23"/>
      <c r="F128" s="23"/>
      <c r="G128" s="23"/>
      <c r="H128" s="23"/>
      <c r="I128" s="23"/>
      <c r="J128" s="23"/>
      <c r="K128" s="26" t="n">
        <f aca="false">SUM(E128:J128)</f>
        <v>0</v>
      </c>
    </row>
    <row r="129" customFormat="false" ht="15" hidden="false" customHeight="false" outlineLevel="0" collapsed="false">
      <c r="A129" s="21" t="n">
        <v>125</v>
      </c>
      <c r="B129" s="5"/>
      <c r="C129" s="5"/>
      <c r="D129" s="22"/>
      <c r="E129" s="23"/>
      <c r="F129" s="23"/>
      <c r="G129" s="23"/>
      <c r="H129" s="23"/>
      <c r="I129" s="23"/>
      <c r="J129" s="23"/>
      <c r="K129" s="24" t="n">
        <f aca="false">SUM(E129:J129)</f>
        <v>0</v>
      </c>
    </row>
    <row r="130" customFormat="false" ht="15" hidden="false" customHeight="false" outlineLevel="0" collapsed="false">
      <c r="A130" s="25" t="n">
        <v>126</v>
      </c>
      <c r="B130" s="5"/>
      <c r="C130" s="5"/>
      <c r="D130" s="22"/>
      <c r="E130" s="23"/>
      <c r="F130" s="23"/>
      <c r="G130" s="23"/>
      <c r="H130" s="23"/>
      <c r="I130" s="23"/>
      <c r="J130" s="23"/>
      <c r="K130" s="26" t="n">
        <f aca="false">SUM(E130:J130)</f>
        <v>0</v>
      </c>
    </row>
    <row r="131" customFormat="false" ht="15" hidden="false" customHeight="false" outlineLevel="0" collapsed="false">
      <c r="A131" s="21" t="n">
        <v>127</v>
      </c>
      <c r="B131" s="5"/>
      <c r="C131" s="5"/>
      <c r="D131" s="22"/>
      <c r="E131" s="23"/>
      <c r="F131" s="23"/>
      <c r="G131" s="23"/>
      <c r="H131" s="23"/>
      <c r="I131" s="23"/>
      <c r="J131" s="23"/>
      <c r="K131" s="24" t="n">
        <f aca="false">SUM(E131:J131)</f>
        <v>0</v>
      </c>
    </row>
    <row r="132" customFormat="false" ht="15" hidden="false" customHeight="false" outlineLevel="0" collapsed="false">
      <c r="A132" s="25" t="n">
        <v>128</v>
      </c>
      <c r="B132" s="5"/>
      <c r="C132" s="5"/>
      <c r="D132" s="22"/>
      <c r="E132" s="23"/>
      <c r="F132" s="23"/>
      <c r="G132" s="23"/>
      <c r="H132" s="23"/>
      <c r="I132" s="23"/>
      <c r="J132" s="23"/>
      <c r="K132" s="26" t="n">
        <f aca="false">SUM(E132:J132)</f>
        <v>0</v>
      </c>
    </row>
    <row r="133" customFormat="false" ht="15" hidden="false" customHeight="false" outlineLevel="0" collapsed="false">
      <c r="A133" s="21" t="n">
        <v>129</v>
      </c>
      <c r="B133" s="5"/>
      <c r="C133" s="5"/>
      <c r="D133" s="22"/>
      <c r="E133" s="23"/>
      <c r="F133" s="23"/>
      <c r="G133" s="23"/>
      <c r="H133" s="23"/>
      <c r="I133" s="23"/>
      <c r="J133" s="23"/>
      <c r="K133" s="24" t="n">
        <f aca="false">SUM(E133:J133)</f>
        <v>0</v>
      </c>
    </row>
    <row r="134" customFormat="false" ht="15" hidden="false" customHeight="false" outlineLevel="0" collapsed="false">
      <c r="A134" s="25" t="n">
        <v>130</v>
      </c>
      <c r="B134" s="5"/>
      <c r="C134" s="5"/>
      <c r="D134" s="22"/>
      <c r="E134" s="23"/>
      <c r="F134" s="23"/>
      <c r="G134" s="23"/>
      <c r="H134" s="23"/>
      <c r="I134" s="23"/>
      <c r="J134" s="23"/>
      <c r="K134" s="26" t="n">
        <f aca="false">SUM(E134:J134)</f>
        <v>0</v>
      </c>
    </row>
    <row r="135" customFormat="false" ht="15" hidden="false" customHeight="false" outlineLevel="0" collapsed="false">
      <c r="A135" s="21" t="n">
        <v>131</v>
      </c>
      <c r="B135" s="5"/>
      <c r="C135" s="5"/>
      <c r="D135" s="22"/>
      <c r="E135" s="23"/>
      <c r="F135" s="23"/>
      <c r="G135" s="23"/>
      <c r="H135" s="23"/>
      <c r="I135" s="23"/>
      <c r="J135" s="23"/>
      <c r="K135" s="24" t="n">
        <f aca="false">SUM(E135:J135)</f>
        <v>0</v>
      </c>
    </row>
    <row r="136" customFormat="false" ht="15" hidden="false" customHeight="false" outlineLevel="0" collapsed="false">
      <c r="A136" s="25" t="n">
        <v>132</v>
      </c>
      <c r="B136" s="5"/>
      <c r="C136" s="5"/>
      <c r="D136" s="22"/>
      <c r="E136" s="23"/>
      <c r="F136" s="23"/>
      <c r="G136" s="23"/>
      <c r="H136" s="23"/>
      <c r="I136" s="23"/>
      <c r="J136" s="23"/>
      <c r="K136" s="26" t="n">
        <f aca="false">SUM(E136:J136)</f>
        <v>0</v>
      </c>
    </row>
    <row r="137" customFormat="false" ht="15" hidden="false" customHeight="false" outlineLevel="0" collapsed="false">
      <c r="A137" s="21" t="n">
        <v>133</v>
      </c>
      <c r="B137" s="5"/>
      <c r="C137" s="5"/>
      <c r="D137" s="22"/>
      <c r="E137" s="23"/>
      <c r="F137" s="23"/>
      <c r="G137" s="23"/>
      <c r="H137" s="23"/>
      <c r="I137" s="23"/>
      <c r="J137" s="23"/>
      <c r="K137" s="24" t="n">
        <f aca="false">SUM(E137:J137)</f>
        <v>0</v>
      </c>
    </row>
    <row r="138" customFormat="false" ht="15" hidden="false" customHeight="false" outlineLevel="0" collapsed="false">
      <c r="A138" s="25" t="n">
        <v>134</v>
      </c>
      <c r="B138" s="5"/>
      <c r="C138" s="5"/>
      <c r="D138" s="22"/>
      <c r="E138" s="23"/>
      <c r="F138" s="23"/>
      <c r="G138" s="23"/>
      <c r="H138" s="23"/>
      <c r="I138" s="23"/>
      <c r="J138" s="23"/>
      <c r="K138" s="26" t="n">
        <f aca="false">SUM(E138:J138)</f>
        <v>0</v>
      </c>
    </row>
    <row r="139" customFormat="false" ht="15" hidden="false" customHeight="false" outlineLevel="0" collapsed="false">
      <c r="A139" s="21" t="n">
        <v>135</v>
      </c>
      <c r="B139" s="5"/>
      <c r="C139" s="5"/>
      <c r="D139" s="22"/>
      <c r="E139" s="23"/>
      <c r="F139" s="23"/>
      <c r="G139" s="23"/>
      <c r="H139" s="23"/>
      <c r="I139" s="23"/>
      <c r="J139" s="23"/>
      <c r="K139" s="24" t="n">
        <f aca="false">SUM(E139:J139)</f>
        <v>0</v>
      </c>
    </row>
    <row r="140" customFormat="false" ht="15" hidden="false" customHeight="false" outlineLevel="0" collapsed="false">
      <c r="A140" s="25" t="n">
        <v>136</v>
      </c>
      <c r="B140" s="5"/>
      <c r="C140" s="5"/>
      <c r="D140" s="22"/>
      <c r="E140" s="23"/>
      <c r="F140" s="23"/>
      <c r="G140" s="23"/>
      <c r="H140" s="23"/>
      <c r="I140" s="23"/>
      <c r="J140" s="23"/>
      <c r="K140" s="26" t="n">
        <f aca="false">SUM(E140:J140)</f>
        <v>0</v>
      </c>
    </row>
    <row r="141" customFormat="false" ht="15" hidden="false" customHeight="false" outlineLevel="0" collapsed="false">
      <c r="A141" s="21" t="n">
        <v>137</v>
      </c>
      <c r="B141" s="5"/>
      <c r="C141" s="5"/>
      <c r="D141" s="22"/>
      <c r="E141" s="23"/>
      <c r="F141" s="23"/>
      <c r="G141" s="23"/>
      <c r="H141" s="23"/>
      <c r="I141" s="23"/>
      <c r="J141" s="23"/>
      <c r="K141" s="24" t="n">
        <f aca="false">SUM(E141:J141)</f>
        <v>0</v>
      </c>
    </row>
    <row r="142" customFormat="false" ht="15" hidden="false" customHeight="false" outlineLevel="0" collapsed="false">
      <c r="A142" s="25" t="n">
        <v>138</v>
      </c>
      <c r="B142" s="5"/>
      <c r="C142" s="5"/>
      <c r="D142" s="22"/>
      <c r="E142" s="23"/>
      <c r="F142" s="23"/>
      <c r="G142" s="23"/>
      <c r="H142" s="23"/>
      <c r="I142" s="23"/>
      <c r="J142" s="23"/>
      <c r="K142" s="26" t="n">
        <f aca="false">SUM(E142:J142)</f>
        <v>0</v>
      </c>
    </row>
    <row r="143" customFormat="false" ht="15" hidden="false" customHeight="false" outlineLevel="0" collapsed="false">
      <c r="A143" s="21" t="n">
        <v>139</v>
      </c>
      <c r="B143" s="5"/>
      <c r="C143" s="5"/>
      <c r="D143" s="22"/>
      <c r="E143" s="23"/>
      <c r="F143" s="23"/>
      <c r="G143" s="23"/>
      <c r="H143" s="23"/>
      <c r="I143" s="23"/>
      <c r="J143" s="23"/>
      <c r="K143" s="24" t="n">
        <f aca="false">SUM(E143:J143)</f>
        <v>0</v>
      </c>
    </row>
    <row r="144" customFormat="false" ht="15" hidden="false" customHeight="false" outlineLevel="0" collapsed="false">
      <c r="A144" s="25" t="n">
        <v>140</v>
      </c>
      <c r="B144" s="5"/>
      <c r="C144" s="5"/>
      <c r="D144" s="22"/>
      <c r="E144" s="23"/>
      <c r="F144" s="23"/>
      <c r="G144" s="23"/>
      <c r="H144" s="23"/>
      <c r="I144" s="23"/>
      <c r="J144" s="23"/>
      <c r="K144" s="26" t="n">
        <f aca="false">SUM(E144:J144)</f>
        <v>0</v>
      </c>
    </row>
    <row r="145" customFormat="false" ht="15" hidden="false" customHeight="false" outlineLevel="0" collapsed="false">
      <c r="A145" s="21" t="n">
        <v>141</v>
      </c>
      <c r="B145" s="5"/>
      <c r="C145" s="5"/>
      <c r="D145" s="22"/>
      <c r="E145" s="23"/>
      <c r="F145" s="23"/>
      <c r="G145" s="23"/>
      <c r="H145" s="23"/>
      <c r="I145" s="23"/>
      <c r="J145" s="23"/>
      <c r="K145" s="24" t="n">
        <f aca="false">SUM(E145:J145)</f>
        <v>0</v>
      </c>
    </row>
    <row r="146" customFormat="false" ht="15" hidden="false" customHeight="false" outlineLevel="0" collapsed="false">
      <c r="A146" s="25" t="n">
        <v>142</v>
      </c>
      <c r="B146" s="5"/>
      <c r="C146" s="5"/>
      <c r="D146" s="22"/>
      <c r="E146" s="23"/>
      <c r="F146" s="23"/>
      <c r="G146" s="23"/>
      <c r="H146" s="23"/>
      <c r="I146" s="23"/>
      <c r="J146" s="23"/>
      <c r="K146" s="26" t="n">
        <f aca="false">SUM(E146:J146)</f>
        <v>0</v>
      </c>
    </row>
    <row r="147" customFormat="false" ht="15" hidden="false" customHeight="false" outlineLevel="0" collapsed="false">
      <c r="A147" s="21" t="n">
        <v>143</v>
      </c>
      <c r="B147" s="5"/>
      <c r="C147" s="5"/>
      <c r="D147" s="22"/>
      <c r="E147" s="23"/>
      <c r="F147" s="23"/>
      <c r="G147" s="23"/>
      <c r="H147" s="23"/>
      <c r="I147" s="23"/>
      <c r="J147" s="23"/>
      <c r="K147" s="24" t="n">
        <f aca="false">SUM(E147:J147)</f>
        <v>0</v>
      </c>
    </row>
    <row r="148" customFormat="false" ht="15" hidden="false" customHeight="false" outlineLevel="0" collapsed="false">
      <c r="A148" s="25" t="n">
        <v>144</v>
      </c>
      <c r="B148" s="5"/>
      <c r="C148" s="5"/>
      <c r="D148" s="22"/>
      <c r="E148" s="23"/>
      <c r="F148" s="23"/>
      <c r="G148" s="23"/>
      <c r="H148" s="23"/>
      <c r="I148" s="23"/>
      <c r="J148" s="23"/>
      <c r="K148" s="26" t="n">
        <f aca="false">SUM(E148:J148)</f>
        <v>0</v>
      </c>
    </row>
    <row r="149" customFormat="false" ht="15" hidden="false" customHeight="false" outlineLevel="0" collapsed="false">
      <c r="A149" s="21" t="n">
        <v>145</v>
      </c>
      <c r="B149" s="5"/>
      <c r="C149" s="5"/>
      <c r="D149" s="22"/>
      <c r="E149" s="23"/>
      <c r="F149" s="23"/>
      <c r="G149" s="23"/>
      <c r="H149" s="23"/>
      <c r="I149" s="23"/>
      <c r="J149" s="23"/>
      <c r="K149" s="24" t="n">
        <f aca="false">SUM(E149:J149)</f>
        <v>0</v>
      </c>
    </row>
    <row r="150" customFormat="false" ht="15" hidden="false" customHeight="false" outlineLevel="0" collapsed="false">
      <c r="A150" s="25" t="n">
        <v>146</v>
      </c>
      <c r="B150" s="5"/>
      <c r="C150" s="5"/>
      <c r="D150" s="22"/>
      <c r="E150" s="23"/>
      <c r="F150" s="23"/>
      <c r="G150" s="23"/>
      <c r="H150" s="23"/>
      <c r="I150" s="23"/>
      <c r="J150" s="23"/>
      <c r="K150" s="26" t="n">
        <f aca="false">SUM(E150:J150)</f>
        <v>0</v>
      </c>
    </row>
    <row r="151" customFormat="false" ht="15" hidden="false" customHeight="false" outlineLevel="0" collapsed="false">
      <c r="A151" s="21" t="n">
        <v>147</v>
      </c>
      <c r="B151" s="5"/>
      <c r="C151" s="5"/>
      <c r="D151" s="22"/>
      <c r="E151" s="23"/>
      <c r="F151" s="23"/>
      <c r="G151" s="23"/>
      <c r="H151" s="23"/>
      <c r="I151" s="23"/>
      <c r="J151" s="23"/>
      <c r="K151" s="24" t="n">
        <f aca="false">SUM(E151:J151)</f>
        <v>0</v>
      </c>
    </row>
    <row r="152" customFormat="false" ht="15" hidden="false" customHeight="false" outlineLevel="0" collapsed="false">
      <c r="A152" s="25" t="n">
        <v>148</v>
      </c>
      <c r="B152" s="5"/>
      <c r="C152" s="5"/>
      <c r="D152" s="22"/>
      <c r="E152" s="23"/>
      <c r="F152" s="23"/>
      <c r="G152" s="23"/>
      <c r="H152" s="23"/>
      <c r="I152" s="23"/>
      <c r="J152" s="23"/>
      <c r="K152" s="26" t="n">
        <f aca="false">SUM(E152:J152)</f>
        <v>0</v>
      </c>
    </row>
    <row r="153" customFormat="false" ht="15" hidden="false" customHeight="false" outlineLevel="0" collapsed="false">
      <c r="A153" s="21" t="n">
        <v>149</v>
      </c>
      <c r="B153" s="5"/>
      <c r="C153" s="5"/>
      <c r="D153" s="22"/>
      <c r="E153" s="23"/>
      <c r="F153" s="23"/>
      <c r="G153" s="23"/>
      <c r="H153" s="23"/>
      <c r="I153" s="23"/>
      <c r="J153" s="23"/>
      <c r="K153" s="24" t="n">
        <f aca="false">SUM(E153:J153)</f>
        <v>0</v>
      </c>
    </row>
    <row r="154" customFormat="false" ht="15" hidden="false" customHeight="false" outlineLevel="0" collapsed="false">
      <c r="A154" s="25" t="n">
        <v>150</v>
      </c>
      <c r="B154" s="5"/>
      <c r="C154" s="5"/>
      <c r="D154" s="22"/>
      <c r="E154" s="23"/>
      <c r="F154" s="23"/>
      <c r="G154" s="23"/>
      <c r="H154" s="23"/>
      <c r="I154" s="23"/>
      <c r="J154" s="23"/>
      <c r="K154" s="26" t="n">
        <f aca="false">SUM(E154:J154)</f>
        <v>0</v>
      </c>
    </row>
  </sheetData>
  <mergeCells count="4">
    <mergeCell ref="A1:K1"/>
    <mergeCell ref="A2:K2"/>
    <mergeCell ref="A3:D3"/>
    <mergeCell ref="E3:J3"/>
  </mergeCells>
  <dataValidations count="1">
    <dataValidation allowBlank="true" errorStyle="stop" operator="between" prompt="Computer fee is 2000; some students pay 1500 or 1000. You can also type another amount." showDropDown="false" showErrorMessage="false" showInputMessage="true" sqref="F5:F154" type="list">
      <formula1>"2000,1500,1000"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235A"/>
    <pageSetUpPr fitToPage="true"/>
  </sheetPr>
  <dimension ref="A1:H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27" t="s">
        <v>38</v>
      </c>
      <c r="B1" s="27"/>
      <c r="C1" s="27"/>
      <c r="D1" s="27"/>
      <c r="E1" s="27"/>
      <c r="F1" s="27"/>
      <c r="G1" s="27"/>
      <c r="H1" s="27"/>
    </row>
    <row r="2" customFormat="false" ht="27.75" hidden="false" customHeight="true" outlineLevel="0" collapsed="false">
      <c r="A2" s="11" t="s">
        <v>39</v>
      </c>
      <c r="B2" s="11"/>
      <c r="C2" s="11"/>
      <c r="D2" s="11"/>
      <c r="E2" s="11"/>
      <c r="F2" s="11"/>
      <c r="G2" s="11"/>
      <c r="H2" s="11"/>
    </row>
    <row r="4" customFormat="false" ht="15" hidden="false" customHeight="false" outlineLevel="0" collapsed="false">
      <c r="A4" s="28" t="s">
        <v>30</v>
      </c>
      <c r="B4" s="28" t="s">
        <v>40</v>
      </c>
      <c r="C4" s="28" t="s">
        <v>41</v>
      </c>
      <c r="D4" s="28" t="s">
        <v>42</v>
      </c>
      <c r="E4" s="28" t="s">
        <v>43</v>
      </c>
      <c r="F4" s="28" t="s">
        <v>44</v>
      </c>
      <c r="G4" s="28" t="s">
        <v>45</v>
      </c>
      <c r="H4" s="28" t="s">
        <v>46</v>
      </c>
    </row>
    <row r="5" customFormat="false" ht="15" hidden="false" customHeight="false" outlineLevel="0" collapsed="false">
      <c r="A5" s="21" t="n">
        <v>1</v>
      </c>
      <c r="B5" s="29" t="n">
        <v>46300</v>
      </c>
      <c r="C5" s="22" t="s">
        <v>47</v>
      </c>
      <c r="D5" s="22" t="s">
        <v>48</v>
      </c>
      <c r="E5" s="22" t="s">
        <v>49</v>
      </c>
      <c r="F5" s="5" t="s">
        <v>50</v>
      </c>
      <c r="G5" s="23" t="n">
        <v>10000</v>
      </c>
      <c r="H5" s="5"/>
    </row>
    <row r="6" customFormat="false" ht="15" hidden="false" customHeight="false" outlineLevel="0" collapsed="false">
      <c r="A6" s="25" t="n">
        <v>2</v>
      </c>
      <c r="B6" s="29" t="n">
        <v>46305</v>
      </c>
      <c r="C6" s="22" t="s">
        <v>47</v>
      </c>
      <c r="D6" s="22" t="s">
        <v>51</v>
      </c>
      <c r="E6" s="22" t="s">
        <v>52</v>
      </c>
      <c r="F6" s="5" t="s">
        <v>53</v>
      </c>
      <c r="G6" s="23" t="n">
        <v>8000</v>
      </c>
      <c r="H6" s="5"/>
    </row>
    <row r="7" customFormat="false" ht="15" hidden="false" customHeight="false" outlineLevel="0" collapsed="false">
      <c r="A7" s="21" t="n">
        <v>3</v>
      </c>
      <c r="B7" s="29"/>
      <c r="C7" s="22"/>
      <c r="D7" s="22"/>
      <c r="E7" s="22"/>
      <c r="F7" s="5"/>
      <c r="G7" s="23"/>
      <c r="H7" s="5"/>
    </row>
    <row r="8" customFormat="false" ht="15" hidden="false" customHeight="false" outlineLevel="0" collapsed="false">
      <c r="A8" s="25" t="n">
        <v>4</v>
      </c>
      <c r="B8" s="29"/>
      <c r="C8" s="22"/>
      <c r="D8" s="22"/>
      <c r="E8" s="22"/>
      <c r="F8" s="5"/>
      <c r="G8" s="23"/>
      <c r="H8" s="5"/>
    </row>
    <row r="9" customFormat="false" ht="15" hidden="false" customHeight="false" outlineLevel="0" collapsed="false">
      <c r="A9" s="21" t="n">
        <v>5</v>
      </c>
      <c r="B9" s="29"/>
      <c r="C9" s="22"/>
      <c r="D9" s="22"/>
      <c r="E9" s="22"/>
      <c r="F9" s="5"/>
      <c r="G9" s="23"/>
      <c r="H9" s="5"/>
    </row>
    <row r="10" customFormat="false" ht="15" hidden="false" customHeight="false" outlineLevel="0" collapsed="false">
      <c r="A10" s="25" t="n">
        <v>6</v>
      </c>
      <c r="B10" s="29"/>
      <c r="C10" s="22"/>
      <c r="D10" s="22"/>
      <c r="E10" s="22"/>
      <c r="F10" s="5"/>
      <c r="G10" s="23"/>
      <c r="H10" s="5"/>
    </row>
    <row r="11" customFormat="false" ht="15" hidden="false" customHeight="false" outlineLevel="0" collapsed="false">
      <c r="A11" s="21" t="n">
        <v>7</v>
      </c>
      <c r="B11" s="29"/>
      <c r="C11" s="22"/>
      <c r="D11" s="22"/>
      <c r="E11" s="22"/>
      <c r="F11" s="5"/>
      <c r="G11" s="23"/>
      <c r="H11" s="5"/>
    </row>
    <row r="12" customFormat="false" ht="15" hidden="false" customHeight="false" outlineLevel="0" collapsed="false">
      <c r="A12" s="25" t="n">
        <v>8</v>
      </c>
      <c r="B12" s="29"/>
      <c r="C12" s="22"/>
      <c r="D12" s="22"/>
      <c r="E12" s="22"/>
      <c r="F12" s="5"/>
      <c r="G12" s="23"/>
      <c r="H12" s="5"/>
    </row>
    <row r="13" customFormat="false" ht="15" hidden="false" customHeight="false" outlineLevel="0" collapsed="false">
      <c r="A13" s="21" t="n">
        <v>9</v>
      </c>
      <c r="B13" s="29"/>
      <c r="C13" s="22"/>
      <c r="D13" s="22"/>
      <c r="E13" s="22"/>
      <c r="F13" s="5"/>
      <c r="G13" s="23"/>
      <c r="H13" s="5"/>
    </row>
    <row r="14" customFormat="false" ht="15" hidden="false" customHeight="false" outlineLevel="0" collapsed="false">
      <c r="A14" s="25" t="n">
        <v>10</v>
      </c>
      <c r="B14" s="29"/>
      <c r="C14" s="22"/>
      <c r="D14" s="22"/>
      <c r="E14" s="22"/>
      <c r="F14" s="5"/>
      <c r="G14" s="23"/>
      <c r="H14" s="5"/>
    </row>
    <row r="15" customFormat="false" ht="15" hidden="false" customHeight="false" outlineLevel="0" collapsed="false">
      <c r="A15" s="21" t="n">
        <v>11</v>
      </c>
      <c r="B15" s="29"/>
      <c r="C15" s="22"/>
      <c r="D15" s="22"/>
      <c r="E15" s="22"/>
      <c r="F15" s="5"/>
      <c r="G15" s="23"/>
      <c r="H15" s="5"/>
    </row>
    <row r="16" customFormat="false" ht="15" hidden="false" customHeight="false" outlineLevel="0" collapsed="false">
      <c r="A16" s="25" t="n">
        <v>12</v>
      </c>
      <c r="B16" s="29"/>
      <c r="C16" s="22"/>
      <c r="D16" s="22"/>
      <c r="E16" s="22"/>
      <c r="F16" s="5"/>
      <c r="G16" s="23"/>
      <c r="H16" s="5"/>
    </row>
    <row r="17" customFormat="false" ht="15" hidden="false" customHeight="false" outlineLevel="0" collapsed="false">
      <c r="A17" s="21" t="n">
        <v>13</v>
      </c>
      <c r="B17" s="29"/>
      <c r="C17" s="22"/>
      <c r="D17" s="22"/>
      <c r="E17" s="22"/>
      <c r="F17" s="5"/>
      <c r="G17" s="23"/>
      <c r="H17" s="5"/>
    </row>
    <row r="18" customFormat="false" ht="15" hidden="false" customHeight="false" outlineLevel="0" collapsed="false">
      <c r="A18" s="25" t="n">
        <v>14</v>
      </c>
      <c r="B18" s="29"/>
      <c r="C18" s="22"/>
      <c r="D18" s="22"/>
      <c r="E18" s="22"/>
      <c r="F18" s="5"/>
      <c r="G18" s="23"/>
      <c r="H18" s="5"/>
    </row>
    <row r="19" customFormat="false" ht="15" hidden="false" customHeight="false" outlineLevel="0" collapsed="false">
      <c r="A19" s="21" t="n">
        <v>15</v>
      </c>
      <c r="B19" s="29"/>
      <c r="C19" s="22"/>
      <c r="D19" s="22"/>
      <c r="E19" s="22"/>
      <c r="F19" s="5"/>
      <c r="G19" s="23"/>
      <c r="H19" s="5"/>
    </row>
    <row r="20" customFormat="false" ht="15" hidden="false" customHeight="false" outlineLevel="0" collapsed="false">
      <c r="A20" s="25" t="n">
        <v>16</v>
      </c>
      <c r="B20" s="29"/>
      <c r="C20" s="22"/>
      <c r="D20" s="22"/>
      <c r="E20" s="22"/>
      <c r="F20" s="5"/>
      <c r="G20" s="23"/>
      <c r="H20" s="5"/>
    </row>
    <row r="21" customFormat="false" ht="15" hidden="false" customHeight="false" outlineLevel="0" collapsed="false">
      <c r="A21" s="21" t="n">
        <v>17</v>
      </c>
      <c r="B21" s="29"/>
      <c r="C21" s="22"/>
      <c r="D21" s="22"/>
      <c r="E21" s="22"/>
      <c r="F21" s="5"/>
      <c r="G21" s="23"/>
      <c r="H21" s="5"/>
    </row>
    <row r="22" customFormat="false" ht="15" hidden="false" customHeight="false" outlineLevel="0" collapsed="false">
      <c r="A22" s="25" t="n">
        <v>18</v>
      </c>
      <c r="B22" s="29"/>
      <c r="C22" s="22"/>
      <c r="D22" s="22"/>
      <c r="E22" s="22"/>
      <c r="F22" s="5"/>
      <c r="G22" s="23"/>
      <c r="H22" s="5"/>
    </row>
    <row r="23" customFormat="false" ht="15" hidden="false" customHeight="false" outlineLevel="0" collapsed="false">
      <c r="A23" s="21" t="n">
        <v>19</v>
      </c>
      <c r="B23" s="29"/>
      <c r="C23" s="22"/>
      <c r="D23" s="22"/>
      <c r="E23" s="22"/>
      <c r="F23" s="5"/>
      <c r="G23" s="23"/>
      <c r="H23" s="5"/>
    </row>
    <row r="24" customFormat="false" ht="15" hidden="false" customHeight="false" outlineLevel="0" collapsed="false">
      <c r="A24" s="25" t="n">
        <v>20</v>
      </c>
      <c r="B24" s="29"/>
      <c r="C24" s="22"/>
      <c r="D24" s="22"/>
      <c r="E24" s="22"/>
      <c r="F24" s="5"/>
      <c r="G24" s="23"/>
      <c r="H24" s="5"/>
    </row>
    <row r="25" customFormat="false" ht="15" hidden="false" customHeight="false" outlineLevel="0" collapsed="false">
      <c r="A25" s="21" t="n">
        <v>21</v>
      </c>
      <c r="B25" s="29"/>
      <c r="C25" s="22"/>
      <c r="D25" s="22"/>
      <c r="E25" s="22"/>
      <c r="F25" s="5"/>
      <c r="G25" s="23"/>
      <c r="H25" s="5"/>
    </row>
    <row r="26" customFormat="false" ht="15" hidden="false" customHeight="false" outlineLevel="0" collapsed="false">
      <c r="A26" s="25" t="n">
        <v>22</v>
      </c>
      <c r="B26" s="29"/>
      <c r="C26" s="22"/>
      <c r="D26" s="22"/>
      <c r="E26" s="22"/>
      <c r="F26" s="5"/>
      <c r="G26" s="23"/>
      <c r="H26" s="5"/>
    </row>
    <row r="27" customFormat="false" ht="15" hidden="false" customHeight="false" outlineLevel="0" collapsed="false">
      <c r="A27" s="21" t="n">
        <v>23</v>
      </c>
      <c r="B27" s="29"/>
      <c r="C27" s="22"/>
      <c r="D27" s="22"/>
      <c r="E27" s="22"/>
      <c r="F27" s="5"/>
      <c r="G27" s="23"/>
      <c r="H27" s="5"/>
    </row>
    <row r="28" customFormat="false" ht="15" hidden="false" customHeight="false" outlineLevel="0" collapsed="false">
      <c r="A28" s="25" t="n">
        <v>24</v>
      </c>
      <c r="B28" s="29"/>
      <c r="C28" s="22"/>
      <c r="D28" s="22"/>
      <c r="E28" s="22"/>
      <c r="F28" s="5"/>
      <c r="G28" s="23"/>
      <c r="H28" s="5"/>
    </row>
    <row r="29" customFormat="false" ht="15" hidden="false" customHeight="false" outlineLevel="0" collapsed="false">
      <c r="A29" s="21" t="n">
        <v>25</v>
      </c>
      <c r="B29" s="29"/>
      <c r="C29" s="22"/>
      <c r="D29" s="22"/>
      <c r="E29" s="22"/>
      <c r="F29" s="5"/>
      <c r="G29" s="23"/>
      <c r="H29" s="5"/>
    </row>
    <row r="30" customFormat="false" ht="15" hidden="false" customHeight="false" outlineLevel="0" collapsed="false">
      <c r="A30" s="25" t="n">
        <v>26</v>
      </c>
      <c r="B30" s="29"/>
      <c r="C30" s="22"/>
      <c r="D30" s="22"/>
      <c r="E30" s="22"/>
      <c r="F30" s="5"/>
      <c r="G30" s="23"/>
      <c r="H30" s="5"/>
    </row>
    <row r="31" customFormat="false" ht="15" hidden="false" customHeight="false" outlineLevel="0" collapsed="false">
      <c r="A31" s="21" t="n">
        <v>27</v>
      </c>
      <c r="B31" s="29"/>
      <c r="C31" s="22"/>
      <c r="D31" s="22"/>
      <c r="E31" s="22"/>
      <c r="F31" s="5"/>
      <c r="G31" s="23"/>
      <c r="H31" s="5"/>
    </row>
    <row r="32" customFormat="false" ht="15" hidden="false" customHeight="false" outlineLevel="0" collapsed="false">
      <c r="A32" s="25" t="n">
        <v>28</v>
      </c>
      <c r="B32" s="29"/>
      <c r="C32" s="22"/>
      <c r="D32" s="22"/>
      <c r="E32" s="22"/>
      <c r="F32" s="5"/>
      <c r="G32" s="23"/>
      <c r="H32" s="5"/>
    </row>
    <row r="33" customFormat="false" ht="15" hidden="false" customHeight="false" outlineLevel="0" collapsed="false">
      <c r="A33" s="21" t="n">
        <v>29</v>
      </c>
      <c r="B33" s="29"/>
      <c r="C33" s="22"/>
      <c r="D33" s="22"/>
      <c r="E33" s="22"/>
      <c r="F33" s="5"/>
      <c r="G33" s="23"/>
      <c r="H33" s="5"/>
    </row>
    <row r="34" customFormat="false" ht="15" hidden="false" customHeight="false" outlineLevel="0" collapsed="false">
      <c r="A34" s="25" t="n">
        <v>30</v>
      </c>
      <c r="B34" s="29"/>
      <c r="C34" s="22"/>
      <c r="D34" s="22"/>
      <c r="E34" s="22"/>
      <c r="F34" s="5"/>
      <c r="G34" s="23"/>
      <c r="H34" s="5"/>
    </row>
    <row r="35" customFormat="false" ht="15" hidden="false" customHeight="false" outlineLevel="0" collapsed="false">
      <c r="A35" s="21" t="n">
        <v>31</v>
      </c>
      <c r="B35" s="29"/>
      <c r="C35" s="22"/>
      <c r="D35" s="22"/>
      <c r="E35" s="22"/>
      <c r="F35" s="5"/>
      <c r="G35" s="23"/>
      <c r="H35" s="5"/>
    </row>
    <row r="36" customFormat="false" ht="15" hidden="false" customHeight="false" outlineLevel="0" collapsed="false">
      <c r="A36" s="25" t="n">
        <v>32</v>
      </c>
      <c r="B36" s="29"/>
      <c r="C36" s="22"/>
      <c r="D36" s="22"/>
      <c r="E36" s="22"/>
      <c r="F36" s="5"/>
      <c r="G36" s="23"/>
      <c r="H36" s="5"/>
    </row>
    <row r="37" customFormat="false" ht="15" hidden="false" customHeight="false" outlineLevel="0" collapsed="false">
      <c r="A37" s="21" t="n">
        <v>33</v>
      </c>
      <c r="B37" s="29"/>
      <c r="C37" s="22"/>
      <c r="D37" s="22"/>
      <c r="E37" s="22"/>
      <c r="F37" s="5"/>
      <c r="G37" s="23"/>
      <c r="H37" s="5"/>
    </row>
    <row r="38" customFormat="false" ht="15" hidden="false" customHeight="false" outlineLevel="0" collapsed="false">
      <c r="A38" s="25" t="n">
        <v>34</v>
      </c>
      <c r="B38" s="29"/>
      <c r="C38" s="22"/>
      <c r="D38" s="22"/>
      <c r="E38" s="22"/>
      <c r="F38" s="5"/>
      <c r="G38" s="23"/>
      <c r="H38" s="5"/>
    </row>
    <row r="39" customFormat="false" ht="15" hidden="false" customHeight="false" outlineLevel="0" collapsed="false">
      <c r="A39" s="21" t="n">
        <v>35</v>
      </c>
      <c r="B39" s="29"/>
      <c r="C39" s="22"/>
      <c r="D39" s="22"/>
      <c r="E39" s="22"/>
      <c r="F39" s="5"/>
      <c r="G39" s="23"/>
      <c r="H39" s="5"/>
    </row>
    <row r="40" customFormat="false" ht="15" hidden="false" customHeight="false" outlineLevel="0" collapsed="false">
      <c r="A40" s="25" t="n">
        <v>36</v>
      </c>
      <c r="B40" s="29"/>
      <c r="C40" s="22"/>
      <c r="D40" s="22"/>
      <c r="E40" s="22"/>
      <c r="F40" s="5"/>
      <c r="G40" s="23"/>
      <c r="H40" s="5"/>
    </row>
    <row r="41" customFormat="false" ht="15" hidden="false" customHeight="false" outlineLevel="0" collapsed="false">
      <c r="A41" s="21" t="n">
        <v>37</v>
      </c>
      <c r="B41" s="29"/>
      <c r="C41" s="22"/>
      <c r="D41" s="22"/>
      <c r="E41" s="22"/>
      <c r="F41" s="5"/>
      <c r="G41" s="23"/>
      <c r="H41" s="5"/>
    </row>
    <row r="42" customFormat="false" ht="15" hidden="false" customHeight="false" outlineLevel="0" collapsed="false">
      <c r="A42" s="25" t="n">
        <v>38</v>
      </c>
      <c r="B42" s="29"/>
      <c r="C42" s="22"/>
      <c r="D42" s="22"/>
      <c r="E42" s="22"/>
      <c r="F42" s="5"/>
      <c r="G42" s="23"/>
      <c r="H42" s="5"/>
    </row>
    <row r="43" customFormat="false" ht="15" hidden="false" customHeight="false" outlineLevel="0" collapsed="false">
      <c r="A43" s="21" t="n">
        <v>39</v>
      </c>
      <c r="B43" s="29"/>
      <c r="C43" s="22"/>
      <c r="D43" s="22"/>
      <c r="E43" s="22"/>
      <c r="F43" s="5"/>
      <c r="G43" s="23"/>
      <c r="H43" s="5"/>
    </row>
    <row r="44" customFormat="false" ht="15" hidden="false" customHeight="false" outlineLevel="0" collapsed="false">
      <c r="A44" s="25" t="n">
        <v>40</v>
      </c>
      <c r="B44" s="29"/>
      <c r="C44" s="22"/>
      <c r="D44" s="22"/>
      <c r="E44" s="22"/>
      <c r="F44" s="5"/>
      <c r="G44" s="23"/>
      <c r="H44" s="5"/>
    </row>
    <row r="45" customFormat="false" ht="15" hidden="false" customHeight="false" outlineLevel="0" collapsed="false">
      <c r="A45" s="21" t="n">
        <v>41</v>
      </c>
      <c r="B45" s="29"/>
      <c r="C45" s="22"/>
      <c r="D45" s="22"/>
      <c r="E45" s="22"/>
      <c r="F45" s="5"/>
      <c r="G45" s="23"/>
      <c r="H45" s="5"/>
    </row>
    <row r="46" customFormat="false" ht="15" hidden="false" customHeight="false" outlineLevel="0" collapsed="false">
      <c r="A46" s="25" t="n">
        <v>42</v>
      </c>
      <c r="B46" s="29"/>
      <c r="C46" s="22"/>
      <c r="D46" s="22"/>
      <c r="E46" s="22"/>
      <c r="F46" s="5"/>
      <c r="G46" s="23"/>
      <c r="H46" s="5"/>
    </row>
    <row r="47" customFormat="false" ht="15" hidden="false" customHeight="false" outlineLevel="0" collapsed="false">
      <c r="A47" s="21" t="n">
        <v>43</v>
      </c>
      <c r="B47" s="29"/>
      <c r="C47" s="22"/>
      <c r="D47" s="22"/>
      <c r="E47" s="22"/>
      <c r="F47" s="5"/>
      <c r="G47" s="23"/>
      <c r="H47" s="5"/>
    </row>
    <row r="48" customFormat="false" ht="15" hidden="false" customHeight="false" outlineLevel="0" collapsed="false">
      <c r="A48" s="25" t="n">
        <v>44</v>
      </c>
      <c r="B48" s="29"/>
      <c r="C48" s="22"/>
      <c r="D48" s="22"/>
      <c r="E48" s="22"/>
      <c r="F48" s="5"/>
      <c r="G48" s="23"/>
      <c r="H48" s="5"/>
    </row>
    <row r="49" customFormat="false" ht="15" hidden="false" customHeight="false" outlineLevel="0" collapsed="false">
      <c r="A49" s="21" t="n">
        <v>45</v>
      </c>
      <c r="B49" s="29"/>
      <c r="C49" s="22"/>
      <c r="D49" s="22"/>
      <c r="E49" s="22"/>
      <c r="F49" s="5"/>
      <c r="G49" s="23"/>
      <c r="H49" s="5"/>
    </row>
    <row r="50" customFormat="false" ht="15" hidden="false" customHeight="false" outlineLevel="0" collapsed="false">
      <c r="A50" s="25" t="n">
        <v>46</v>
      </c>
      <c r="B50" s="29"/>
      <c r="C50" s="22"/>
      <c r="D50" s="22"/>
      <c r="E50" s="22"/>
      <c r="F50" s="5"/>
      <c r="G50" s="23"/>
      <c r="H50" s="5"/>
    </row>
    <row r="51" customFormat="false" ht="15" hidden="false" customHeight="false" outlineLevel="0" collapsed="false">
      <c r="A51" s="21" t="n">
        <v>47</v>
      </c>
      <c r="B51" s="29"/>
      <c r="C51" s="22"/>
      <c r="D51" s="22"/>
      <c r="E51" s="22"/>
      <c r="F51" s="5"/>
      <c r="G51" s="23"/>
      <c r="H51" s="5"/>
    </row>
    <row r="52" customFormat="false" ht="15" hidden="false" customHeight="false" outlineLevel="0" collapsed="false">
      <c r="A52" s="25" t="n">
        <v>48</v>
      </c>
      <c r="B52" s="29"/>
      <c r="C52" s="22"/>
      <c r="D52" s="22"/>
      <c r="E52" s="22"/>
      <c r="F52" s="5"/>
      <c r="G52" s="23"/>
      <c r="H52" s="5"/>
    </row>
    <row r="53" customFormat="false" ht="15" hidden="false" customHeight="false" outlineLevel="0" collapsed="false">
      <c r="A53" s="21" t="n">
        <v>49</v>
      </c>
      <c r="B53" s="29"/>
      <c r="C53" s="22"/>
      <c r="D53" s="22"/>
      <c r="E53" s="22"/>
      <c r="F53" s="5"/>
      <c r="G53" s="23"/>
      <c r="H53" s="5"/>
    </row>
    <row r="54" customFormat="false" ht="15" hidden="false" customHeight="false" outlineLevel="0" collapsed="false">
      <c r="A54" s="25" t="n">
        <v>50</v>
      </c>
      <c r="B54" s="29"/>
      <c r="C54" s="22"/>
      <c r="D54" s="22"/>
      <c r="E54" s="22"/>
      <c r="F54" s="5"/>
      <c r="G54" s="23"/>
      <c r="H54" s="5"/>
    </row>
    <row r="55" customFormat="false" ht="15" hidden="false" customHeight="false" outlineLevel="0" collapsed="false">
      <c r="A55" s="21" t="n">
        <v>51</v>
      </c>
      <c r="B55" s="29"/>
      <c r="C55" s="22"/>
      <c r="D55" s="22"/>
      <c r="E55" s="22"/>
      <c r="F55" s="5"/>
      <c r="G55" s="23"/>
      <c r="H55" s="5"/>
    </row>
    <row r="56" customFormat="false" ht="15" hidden="false" customHeight="false" outlineLevel="0" collapsed="false">
      <c r="A56" s="25" t="n">
        <v>52</v>
      </c>
      <c r="B56" s="29"/>
      <c r="C56" s="22"/>
      <c r="D56" s="22"/>
      <c r="E56" s="22"/>
      <c r="F56" s="5"/>
      <c r="G56" s="23"/>
      <c r="H56" s="5"/>
    </row>
    <row r="57" customFormat="false" ht="15" hidden="false" customHeight="false" outlineLevel="0" collapsed="false">
      <c r="A57" s="21" t="n">
        <v>53</v>
      </c>
      <c r="B57" s="29"/>
      <c r="C57" s="22"/>
      <c r="D57" s="22"/>
      <c r="E57" s="22"/>
      <c r="F57" s="5"/>
      <c r="G57" s="23"/>
      <c r="H57" s="5"/>
    </row>
    <row r="58" customFormat="false" ht="15" hidden="false" customHeight="false" outlineLevel="0" collapsed="false">
      <c r="A58" s="25" t="n">
        <v>54</v>
      </c>
      <c r="B58" s="29"/>
      <c r="C58" s="22"/>
      <c r="D58" s="22"/>
      <c r="E58" s="22"/>
      <c r="F58" s="5"/>
      <c r="G58" s="23"/>
      <c r="H58" s="5"/>
    </row>
    <row r="59" customFormat="false" ht="15" hidden="false" customHeight="false" outlineLevel="0" collapsed="false">
      <c r="A59" s="21" t="n">
        <v>55</v>
      </c>
      <c r="B59" s="29"/>
      <c r="C59" s="22"/>
      <c r="D59" s="22"/>
      <c r="E59" s="22"/>
      <c r="F59" s="5"/>
      <c r="G59" s="23"/>
      <c r="H59" s="5"/>
    </row>
    <row r="60" customFormat="false" ht="15" hidden="false" customHeight="false" outlineLevel="0" collapsed="false">
      <c r="A60" s="25" t="n">
        <v>56</v>
      </c>
      <c r="B60" s="29"/>
      <c r="C60" s="22"/>
      <c r="D60" s="22"/>
      <c r="E60" s="22"/>
      <c r="F60" s="5"/>
      <c r="G60" s="23"/>
      <c r="H60" s="5"/>
    </row>
    <row r="61" customFormat="false" ht="15" hidden="false" customHeight="false" outlineLevel="0" collapsed="false">
      <c r="A61" s="21" t="n">
        <v>57</v>
      </c>
      <c r="B61" s="29"/>
      <c r="C61" s="22"/>
      <c r="D61" s="22"/>
      <c r="E61" s="22"/>
      <c r="F61" s="5"/>
      <c r="G61" s="23"/>
      <c r="H61" s="5"/>
    </row>
    <row r="62" customFormat="false" ht="15" hidden="false" customHeight="false" outlineLevel="0" collapsed="false">
      <c r="A62" s="25" t="n">
        <v>58</v>
      </c>
      <c r="B62" s="29"/>
      <c r="C62" s="22"/>
      <c r="D62" s="22"/>
      <c r="E62" s="22"/>
      <c r="F62" s="5"/>
      <c r="G62" s="23"/>
      <c r="H62" s="5"/>
    </row>
    <row r="63" customFormat="false" ht="15" hidden="false" customHeight="false" outlineLevel="0" collapsed="false">
      <c r="A63" s="21" t="n">
        <v>59</v>
      </c>
      <c r="B63" s="29"/>
      <c r="C63" s="22"/>
      <c r="D63" s="22"/>
      <c r="E63" s="22"/>
      <c r="F63" s="5"/>
      <c r="G63" s="23"/>
      <c r="H63" s="5"/>
    </row>
    <row r="64" customFormat="false" ht="15" hidden="false" customHeight="false" outlineLevel="0" collapsed="false">
      <c r="A64" s="25" t="n">
        <v>60</v>
      </c>
      <c r="B64" s="29"/>
      <c r="C64" s="22"/>
      <c r="D64" s="22"/>
      <c r="E64" s="22"/>
      <c r="F64" s="5"/>
      <c r="G64" s="23"/>
      <c r="H64" s="5"/>
    </row>
    <row r="65" customFormat="false" ht="15" hidden="false" customHeight="false" outlineLevel="0" collapsed="false">
      <c r="A65" s="21" t="n">
        <v>61</v>
      </c>
      <c r="B65" s="29"/>
      <c r="C65" s="22"/>
      <c r="D65" s="22"/>
      <c r="E65" s="22"/>
      <c r="F65" s="5"/>
      <c r="G65" s="23"/>
      <c r="H65" s="5"/>
    </row>
    <row r="66" customFormat="false" ht="15" hidden="false" customHeight="false" outlineLevel="0" collapsed="false">
      <c r="A66" s="25" t="n">
        <v>62</v>
      </c>
      <c r="B66" s="29"/>
      <c r="C66" s="22"/>
      <c r="D66" s="22"/>
      <c r="E66" s="22"/>
      <c r="F66" s="5"/>
      <c r="G66" s="23"/>
      <c r="H66" s="5"/>
    </row>
    <row r="67" customFormat="false" ht="15" hidden="false" customHeight="false" outlineLevel="0" collapsed="false">
      <c r="A67" s="21" t="n">
        <v>63</v>
      </c>
      <c r="B67" s="29"/>
      <c r="C67" s="22"/>
      <c r="D67" s="22"/>
      <c r="E67" s="22"/>
      <c r="F67" s="5"/>
      <c r="G67" s="23"/>
      <c r="H67" s="5"/>
    </row>
    <row r="68" customFormat="false" ht="15" hidden="false" customHeight="false" outlineLevel="0" collapsed="false">
      <c r="A68" s="25" t="n">
        <v>64</v>
      </c>
      <c r="B68" s="29"/>
      <c r="C68" s="22"/>
      <c r="D68" s="22"/>
      <c r="E68" s="22"/>
      <c r="F68" s="5"/>
      <c r="G68" s="23"/>
      <c r="H68" s="5"/>
    </row>
    <row r="69" customFormat="false" ht="15" hidden="false" customHeight="false" outlineLevel="0" collapsed="false">
      <c r="A69" s="21" t="n">
        <v>65</v>
      </c>
      <c r="B69" s="29"/>
      <c r="C69" s="22"/>
      <c r="D69" s="22"/>
      <c r="E69" s="22"/>
      <c r="F69" s="5"/>
      <c r="G69" s="23"/>
      <c r="H69" s="5"/>
    </row>
    <row r="70" customFormat="false" ht="15" hidden="false" customHeight="false" outlineLevel="0" collapsed="false">
      <c r="A70" s="25" t="n">
        <v>66</v>
      </c>
      <c r="B70" s="29"/>
      <c r="C70" s="22"/>
      <c r="D70" s="22"/>
      <c r="E70" s="22"/>
      <c r="F70" s="5"/>
      <c r="G70" s="23"/>
      <c r="H70" s="5"/>
    </row>
    <row r="71" customFormat="false" ht="15" hidden="false" customHeight="false" outlineLevel="0" collapsed="false">
      <c r="A71" s="21" t="n">
        <v>67</v>
      </c>
      <c r="B71" s="29"/>
      <c r="C71" s="22"/>
      <c r="D71" s="22"/>
      <c r="E71" s="22"/>
      <c r="F71" s="5"/>
      <c r="G71" s="23"/>
      <c r="H71" s="5"/>
    </row>
    <row r="72" customFormat="false" ht="15" hidden="false" customHeight="false" outlineLevel="0" collapsed="false">
      <c r="A72" s="25" t="n">
        <v>68</v>
      </c>
      <c r="B72" s="29"/>
      <c r="C72" s="22"/>
      <c r="D72" s="22"/>
      <c r="E72" s="22"/>
      <c r="F72" s="5"/>
      <c r="G72" s="23"/>
      <c r="H72" s="5"/>
    </row>
    <row r="73" customFormat="false" ht="15" hidden="false" customHeight="false" outlineLevel="0" collapsed="false">
      <c r="A73" s="21" t="n">
        <v>69</v>
      </c>
      <c r="B73" s="29"/>
      <c r="C73" s="22"/>
      <c r="D73" s="22"/>
      <c r="E73" s="22"/>
      <c r="F73" s="5"/>
      <c r="G73" s="23"/>
      <c r="H73" s="5"/>
    </row>
    <row r="74" customFormat="false" ht="15" hidden="false" customHeight="false" outlineLevel="0" collapsed="false">
      <c r="A74" s="25" t="n">
        <v>70</v>
      </c>
      <c r="B74" s="29"/>
      <c r="C74" s="22"/>
      <c r="D74" s="22"/>
      <c r="E74" s="22"/>
      <c r="F74" s="5"/>
      <c r="G74" s="23"/>
      <c r="H74" s="5"/>
    </row>
    <row r="75" customFormat="false" ht="15" hidden="false" customHeight="false" outlineLevel="0" collapsed="false">
      <c r="A75" s="21" t="n">
        <v>71</v>
      </c>
      <c r="B75" s="29"/>
      <c r="C75" s="22"/>
      <c r="D75" s="22"/>
      <c r="E75" s="22"/>
      <c r="F75" s="5"/>
      <c r="G75" s="23"/>
      <c r="H75" s="5"/>
    </row>
    <row r="76" customFormat="false" ht="15" hidden="false" customHeight="false" outlineLevel="0" collapsed="false">
      <c r="A76" s="25" t="n">
        <v>72</v>
      </c>
      <c r="B76" s="29"/>
      <c r="C76" s="22"/>
      <c r="D76" s="22"/>
      <c r="E76" s="22"/>
      <c r="F76" s="5"/>
      <c r="G76" s="23"/>
      <c r="H76" s="5"/>
    </row>
    <row r="77" customFormat="false" ht="15" hidden="false" customHeight="false" outlineLevel="0" collapsed="false">
      <c r="A77" s="21" t="n">
        <v>73</v>
      </c>
      <c r="B77" s="29"/>
      <c r="C77" s="22"/>
      <c r="D77" s="22"/>
      <c r="E77" s="22"/>
      <c r="F77" s="5"/>
      <c r="G77" s="23"/>
      <c r="H77" s="5"/>
    </row>
    <row r="78" customFormat="false" ht="15" hidden="false" customHeight="false" outlineLevel="0" collapsed="false">
      <c r="A78" s="25" t="n">
        <v>74</v>
      </c>
      <c r="B78" s="29"/>
      <c r="C78" s="22"/>
      <c r="D78" s="22"/>
      <c r="E78" s="22"/>
      <c r="F78" s="5"/>
      <c r="G78" s="23"/>
      <c r="H78" s="5"/>
    </row>
    <row r="79" customFormat="false" ht="15" hidden="false" customHeight="false" outlineLevel="0" collapsed="false">
      <c r="A79" s="21" t="n">
        <v>75</v>
      </c>
      <c r="B79" s="29"/>
      <c r="C79" s="22"/>
      <c r="D79" s="22"/>
      <c r="E79" s="22"/>
      <c r="F79" s="5"/>
      <c r="G79" s="23"/>
      <c r="H79" s="5"/>
    </row>
    <row r="80" customFormat="false" ht="15" hidden="false" customHeight="false" outlineLevel="0" collapsed="false">
      <c r="A80" s="25" t="n">
        <v>76</v>
      </c>
      <c r="B80" s="29"/>
      <c r="C80" s="22"/>
      <c r="D80" s="22"/>
      <c r="E80" s="22"/>
      <c r="F80" s="5"/>
      <c r="G80" s="23"/>
      <c r="H80" s="5"/>
    </row>
    <row r="81" customFormat="false" ht="15" hidden="false" customHeight="false" outlineLevel="0" collapsed="false">
      <c r="A81" s="21" t="n">
        <v>77</v>
      </c>
      <c r="B81" s="29"/>
      <c r="C81" s="22"/>
      <c r="D81" s="22"/>
      <c r="E81" s="22"/>
      <c r="F81" s="5"/>
      <c r="G81" s="23"/>
      <c r="H81" s="5"/>
    </row>
    <row r="82" customFormat="false" ht="15" hidden="false" customHeight="false" outlineLevel="0" collapsed="false">
      <c r="A82" s="25" t="n">
        <v>78</v>
      </c>
      <c r="B82" s="29"/>
      <c r="C82" s="22"/>
      <c r="D82" s="22"/>
      <c r="E82" s="22"/>
      <c r="F82" s="5"/>
      <c r="G82" s="23"/>
      <c r="H82" s="5"/>
    </row>
    <row r="83" customFormat="false" ht="15" hidden="false" customHeight="false" outlineLevel="0" collapsed="false">
      <c r="A83" s="21" t="n">
        <v>79</v>
      </c>
      <c r="B83" s="29"/>
      <c r="C83" s="22"/>
      <c r="D83" s="22"/>
      <c r="E83" s="22"/>
      <c r="F83" s="5"/>
      <c r="G83" s="23"/>
      <c r="H83" s="5"/>
    </row>
    <row r="84" customFormat="false" ht="15" hidden="false" customHeight="false" outlineLevel="0" collapsed="false">
      <c r="A84" s="25" t="n">
        <v>80</v>
      </c>
      <c r="B84" s="29"/>
      <c r="C84" s="22"/>
      <c r="D84" s="22"/>
      <c r="E84" s="22"/>
      <c r="F84" s="5"/>
      <c r="G84" s="23"/>
      <c r="H84" s="5"/>
    </row>
    <row r="85" customFormat="false" ht="15" hidden="false" customHeight="false" outlineLevel="0" collapsed="false">
      <c r="A85" s="21" t="n">
        <v>81</v>
      </c>
      <c r="B85" s="29"/>
      <c r="C85" s="22"/>
      <c r="D85" s="22"/>
      <c r="E85" s="22"/>
      <c r="F85" s="5"/>
      <c r="G85" s="23"/>
      <c r="H85" s="5"/>
    </row>
    <row r="86" customFormat="false" ht="15" hidden="false" customHeight="false" outlineLevel="0" collapsed="false">
      <c r="A86" s="25" t="n">
        <v>82</v>
      </c>
      <c r="B86" s="29"/>
      <c r="C86" s="22"/>
      <c r="D86" s="22"/>
      <c r="E86" s="22"/>
      <c r="F86" s="5"/>
      <c r="G86" s="23"/>
      <c r="H86" s="5"/>
    </row>
    <row r="87" customFormat="false" ht="15" hidden="false" customHeight="false" outlineLevel="0" collapsed="false">
      <c r="A87" s="21" t="n">
        <v>83</v>
      </c>
      <c r="B87" s="29"/>
      <c r="C87" s="22"/>
      <c r="D87" s="22"/>
      <c r="E87" s="22"/>
      <c r="F87" s="5"/>
      <c r="G87" s="23"/>
      <c r="H87" s="5"/>
    </row>
    <row r="88" customFormat="false" ht="15" hidden="false" customHeight="false" outlineLevel="0" collapsed="false">
      <c r="A88" s="25" t="n">
        <v>84</v>
      </c>
      <c r="B88" s="29"/>
      <c r="C88" s="22"/>
      <c r="D88" s="22"/>
      <c r="E88" s="22"/>
      <c r="F88" s="5"/>
      <c r="G88" s="23"/>
      <c r="H88" s="5"/>
    </row>
    <row r="89" customFormat="false" ht="15" hidden="false" customHeight="false" outlineLevel="0" collapsed="false">
      <c r="A89" s="21" t="n">
        <v>85</v>
      </c>
      <c r="B89" s="29"/>
      <c r="C89" s="22"/>
      <c r="D89" s="22"/>
      <c r="E89" s="22"/>
      <c r="F89" s="5"/>
      <c r="G89" s="23"/>
      <c r="H89" s="5"/>
    </row>
    <row r="90" customFormat="false" ht="15" hidden="false" customHeight="false" outlineLevel="0" collapsed="false">
      <c r="A90" s="25" t="n">
        <v>86</v>
      </c>
      <c r="B90" s="29"/>
      <c r="C90" s="22"/>
      <c r="D90" s="22"/>
      <c r="E90" s="22"/>
      <c r="F90" s="5"/>
      <c r="G90" s="23"/>
      <c r="H90" s="5"/>
    </row>
    <row r="91" customFormat="false" ht="15" hidden="false" customHeight="false" outlineLevel="0" collapsed="false">
      <c r="A91" s="21" t="n">
        <v>87</v>
      </c>
      <c r="B91" s="29"/>
      <c r="C91" s="22"/>
      <c r="D91" s="22"/>
      <c r="E91" s="22"/>
      <c r="F91" s="5"/>
      <c r="G91" s="23"/>
      <c r="H91" s="5"/>
    </row>
    <row r="92" customFormat="false" ht="15" hidden="false" customHeight="false" outlineLevel="0" collapsed="false">
      <c r="A92" s="25" t="n">
        <v>88</v>
      </c>
      <c r="B92" s="29"/>
      <c r="C92" s="22"/>
      <c r="D92" s="22"/>
      <c r="E92" s="22"/>
      <c r="F92" s="5"/>
      <c r="G92" s="23"/>
      <c r="H92" s="5"/>
    </row>
    <row r="93" customFormat="false" ht="15" hidden="false" customHeight="false" outlineLevel="0" collapsed="false">
      <c r="A93" s="21" t="n">
        <v>89</v>
      </c>
      <c r="B93" s="29"/>
      <c r="C93" s="22"/>
      <c r="D93" s="22"/>
      <c r="E93" s="22"/>
      <c r="F93" s="5"/>
      <c r="G93" s="23"/>
      <c r="H93" s="5"/>
    </row>
    <row r="94" customFormat="false" ht="15" hidden="false" customHeight="false" outlineLevel="0" collapsed="false">
      <c r="A94" s="25" t="n">
        <v>90</v>
      </c>
      <c r="B94" s="29"/>
      <c r="C94" s="22"/>
      <c r="D94" s="22"/>
      <c r="E94" s="22"/>
      <c r="F94" s="5"/>
      <c r="G94" s="23"/>
      <c r="H94" s="5"/>
    </row>
    <row r="95" customFormat="false" ht="15" hidden="false" customHeight="false" outlineLevel="0" collapsed="false">
      <c r="A95" s="21" t="n">
        <v>91</v>
      </c>
      <c r="B95" s="29"/>
      <c r="C95" s="22"/>
      <c r="D95" s="22"/>
      <c r="E95" s="22"/>
      <c r="F95" s="5"/>
      <c r="G95" s="23"/>
      <c r="H95" s="5"/>
    </row>
    <row r="96" customFormat="false" ht="15" hidden="false" customHeight="false" outlineLevel="0" collapsed="false">
      <c r="A96" s="25" t="n">
        <v>92</v>
      </c>
      <c r="B96" s="29"/>
      <c r="C96" s="22"/>
      <c r="D96" s="22"/>
      <c r="E96" s="22"/>
      <c r="F96" s="5"/>
      <c r="G96" s="23"/>
      <c r="H96" s="5"/>
    </row>
    <row r="97" customFormat="false" ht="15" hidden="false" customHeight="false" outlineLevel="0" collapsed="false">
      <c r="A97" s="21" t="n">
        <v>93</v>
      </c>
      <c r="B97" s="29"/>
      <c r="C97" s="22"/>
      <c r="D97" s="22"/>
      <c r="E97" s="22"/>
      <c r="F97" s="5"/>
      <c r="G97" s="23"/>
      <c r="H97" s="5"/>
    </row>
    <row r="98" customFormat="false" ht="15" hidden="false" customHeight="false" outlineLevel="0" collapsed="false">
      <c r="A98" s="25" t="n">
        <v>94</v>
      </c>
      <c r="B98" s="29"/>
      <c r="C98" s="22"/>
      <c r="D98" s="22"/>
      <c r="E98" s="22"/>
      <c r="F98" s="5"/>
      <c r="G98" s="23"/>
      <c r="H98" s="5"/>
    </row>
    <row r="99" customFormat="false" ht="15" hidden="false" customHeight="false" outlineLevel="0" collapsed="false">
      <c r="A99" s="21" t="n">
        <v>95</v>
      </c>
      <c r="B99" s="29"/>
      <c r="C99" s="22"/>
      <c r="D99" s="22"/>
      <c r="E99" s="22"/>
      <c r="F99" s="5"/>
      <c r="G99" s="23"/>
      <c r="H99" s="5"/>
    </row>
    <row r="100" customFormat="false" ht="15" hidden="false" customHeight="false" outlineLevel="0" collapsed="false">
      <c r="A100" s="25" t="n">
        <v>96</v>
      </c>
      <c r="B100" s="29"/>
      <c r="C100" s="22"/>
      <c r="D100" s="22"/>
      <c r="E100" s="22"/>
      <c r="F100" s="5"/>
      <c r="G100" s="23"/>
      <c r="H100" s="5"/>
    </row>
    <row r="101" customFormat="false" ht="15" hidden="false" customHeight="false" outlineLevel="0" collapsed="false">
      <c r="A101" s="21" t="n">
        <v>97</v>
      </c>
      <c r="B101" s="29"/>
      <c r="C101" s="22"/>
      <c r="D101" s="22"/>
      <c r="E101" s="22"/>
      <c r="F101" s="5"/>
      <c r="G101" s="23"/>
      <c r="H101" s="5"/>
    </row>
    <row r="102" customFormat="false" ht="15" hidden="false" customHeight="false" outlineLevel="0" collapsed="false">
      <c r="A102" s="25" t="n">
        <v>98</v>
      </c>
      <c r="B102" s="29"/>
      <c r="C102" s="22"/>
      <c r="D102" s="22"/>
      <c r="E102" s="22"/>
      <c r="F102" s="5"/>
      <c r="G102" s="23"/>
      <c r="H102" s="5"/>
    </row>
    <row r="103" customFormat="false" ht="15" hidden="false" customHeight="false" outlineLevel="0" collapsed="false">
      <c r="A103" s="21" t="n">
        <v>99</v>
      </c>
      <c r="B103" s="29"/>
      <c r="C103" s="22"/>
      <c r="D103" s="22"/>
      <c r="E103" s="22"/>
      <c r="F103" s="5"/>
      <c r="G103" s="23"/>
      <c r="H103" s="5"/>
    </row>
    <row r="104" customFormat="false" ht="15" hidden="false" customHeight="false" outlineLevel="0" collapsed="false">
      <c r="A104" s="25" t="n">
        <v>100</v>
      </c>
      <c r="B104" s="29"/>
      <c r="C104" s="22"/>
      <c r="D104" s="22"/>
      <c r="E104" s="22"/>
      <c r="F104" s="5"/>
      <c r="G104" s="23"/>
      <c r="H104" s="5"/>
    </row>
    <row r="105" customFormat="false" ht="15" hidden="false" customHeight="false" outlineLevel="0" collapsed="false">
      <c r="A105" s="21" t="n">
        <v>101</v>
      </c>
      <c r="B105" s="29"/>
      <c r="C105" s="22"/>
      <c r="D105" s="22"/>
      <c r="E105" s="22"/>
      <c r="F105" s="5"/>
      <c r="G105" s="23"/>
      <c r="H105" s="5"/>
    </row>
    <row r="106" customFormat="false" ht="15" hidden="false" customHeight="false" outlineLevel="0" collapsed="false">
      <c r="A106" s="25" t="n">
        <v>102</v>
      </c>
      <c r="B106" s="29"/>
      <c r="C106" s="22"/>
      <c r="D106" s="22"/>
      <c r="E106" s="22"/>
      <c r="F106" s="5"/>
      <c r="G106" s="23"/>
      <c r="H106" s="5"/>
    </row>
    <row r="107" customFormat="false" ht="15" hidden="false" customHeight="false" outlineLevel="0" collapsed="false">
      <c r="A107" s="21" t="n">
        <v>103</v>
      </c>
      <c r="B107" s="29"/>
      <c r="C107" s="22"/>
      <c r="D107" s="22"/>
      <c r="E107" s="22"/>
      <c r="F107" s="5"/>
      <c r="G107" s="23"/>
      <c r="H107" s="5"/>
    </row>
    <row r="108" customFormat="false" ht="15" hidden="false" customHeight="false" outlineLevel="0" collapsed="false">
      <c r="A108" s="25" t="n">
        <v>104</v>
      </c>
      <c r="B108" s="29"/>
      <c r="C108" s="22"/>
      <c r="D108" s="22"/>
      <c r="E108" s="22"/>
      <c r="F108" s="5"/>
      <c r="G108" s="23"/>
      <c r="H108" s="5"/>
    </row>
    <row r="109" customFormat="false" ht="15" hidden="false" customHeight="false" outlineLevel="0" collapsed="false">
      <c r="A109" s="21" t="n">
        <v>105</v>
      </c>
      <c r="B109" s="29"/>
      <c r="C109" s="22"/>
      <c r="D109" s="22"/>
      <c r="E109" s="22"/>
      <c r="F109" s="5"/>
      <c r="G109" s="23"/>
      <c r="H109" s="5"/>
    </row>
    <row r="110" customFormat="false" ht="15" hidden="false" customHeight="false" outlineLevel="0" collapsed="false">
      <c r="A110" s="25" t="n">
        <v>106</v>
      </c>
      <c r="B110" s="29"/>
      <c r="C110" s="22"/>
      <c r="D110" s="22"/>
      <c r="E110" s="22"/>
      <c r="F110" s="5"/>
      <c r="G110" s="23"/>
      <c r="H110" s="5"/>
    </row>
    <row r="111" customFormat="false" ht="15" hidden="false" customHeight="false" outlineLevel="0" collapsed="false">
      <c r="A111" s="21" t="n">
        <v>107</v>
      </c>
      <c r="B111" s="29"/>
      <c r="C111" s="22"/>
      <c r="D111" s="22"/>
      <c r="E111" s="22"/>
      <c r="F111" s="5"/>
      <c r="G111" s="23"/>
      <c r="H111" s="5"/>
    </row>
    <row r="112" customFormat="false" ht="15" hidden="false" customHeight="false" outlineLevel="0" collapsed="false">
      <c r="A112" s="25" t="n">
        <v>108</v>
      </c>
      <c r="B112" s="29"/>
      <c r="C112" s="22"/>
      <c r="D112" s="22"/>
      <c r="E112" s="22"/>
      <c r="F112" s="5"/>
      <c r="G112" s="23"/>
      <c r="H112" s="5"/>
    </row>
    <row r="113" customFormat="false" ht="15" hidden="false" customHeight="false" outlineLevel="0" collapsed="false">
      <c r="A113" s="21" t="n">
        <v>109</v>
      </c>
      <c r="B113" s="29"/>
      <c r="C113" s="22"/>
      <c r="D113" s="22"/>
      <c r="E113" s="22"/>
      <c r="F113" s="5"/>
      <c r="G113" s="23"/>
      <c r="H113" s="5"/>
    </row>
    <row r="114" customFormat="false" ht="15" hidden="false" customHeight="false" outlineLevel="0" collapsed="false">
      <c r="A114" s="25" t="n">
        <v>110</v>
      </c>
      <c r="B114" s="29"/>
      <c r="C114" s="22"/>
      <c r="D114" s="22"/>
      <c r="E114" s="22"/>
      <c r="F114" s="5"/>
      <c r="G114" s="23"/>
      <c r="H114" s="5"/>
    </row>
    <row r="115" customFormat="false" ht="15" hidden="false" customHeight="false" outlineLevel="0" collapsed="false">
      <c r="A115" s="21" t="n">
        <v>111</v>
      </c>
      <c r="B115" s="29"/>
      <c r="C115" s="22"/>
      <c r="D115" s="22"/>
      <c r="E115" s="22"/>
      <c r="F115" s="5"/>
      <c r="G115" s="23"/>
      <c r="H115" s="5"/>
    </row>
    <row r="116" customFormat="false" ht="15" hidden="false" customHeight="false" outlineLevel="0" collapsed="false">
      <c r="A116" s="25" t="n">
        <v>112</v>
      </c>
      <c r="B116" s="29"/>
      <c r="C116" s="22"/>
      <c r="D116" s="22"/>
      <c r="E116" s="22"/>
      <c r="F116" s="5"/>
      <c r="G116" s="23"/>
      <c r="H116" s="5"/>
    </row>
    <row r="117" customFormat="false" ht="15" hidden="false" customHeight="false" outlineLevel="0" collapsed="false">
      <c r="A117" s="21" t="n">
        <v>113</v>
      </c>
      <c r="B117" s="29"/>
      <c r="C117" s="22"/>
      <c r="D117" s="22"/>
      <c r="E117" s="22"/>
      <c r="F117" s="5"/>
      <c r="G117" s="23"/>
      <c r="H117" s="5"/>
    </row>
    <row r="118" customFormat="false" ht="15" hidden="false" customHeight="false" outlineLevel="0" collapsed="false">
      <c r="A118" s="25" t="n">
        <v>114</v>
      </c>
      <c r="B118" s="29"/>
      <c r="C118" s="22"/>
      <c r="D118" s="22"/>
      <c r="E118" s="22"/>
      <c r="F118" s="5"/>
      <c r="G118" s="23"/>
      <c r="H118" s="5"/>
    </row>
    <row r="119" customFormat="false" ht="15" hidden="false" customHeight="false" outlineLevel="0" collapsed="false">
      <c r="A119" s="21" t="n">
        <v>115</v>
      </c>
      <c r="B119" s="29"/>
      <c r="C119" s="22"/>
      <c r="D119" s="22"/>
      <c r="E119" s="22"/>
      <c r="F119" s="5"/>
      <c r="G119" s="23"/>
      <c r="H119" s="5"/>
    </row>
    <row r="120" customFormat="false" ht="15" hidden="false" customHeight="false" outlineLevel="0" collapsed="false">
      <c r="A120" s="25" t="n">
        <v>116</v>
      </c>
      <c r="B120" s="29"/>
      <c r="C120" s="22"/>
      <c r="D120" s="22"/>
      <c r="E120" s="22"/>
      <c r="F120" s="5"/>
      <c r="G120" s="23"/>
      <c r="H120" s="5"/>
    </row>
    <row r="121" customFormat="false" ht="15" hidden="false" customHeight="false" outlineLevel="0" collapsed="false">
      <c r="A121" s="21" t="n">
        <v>117</v>
      </c>
      <c r="B121" s="29"/>
      <c r="C121" s="22"/>
      <c r="D121" s="22"/>
      <c r="E121" s="22"/>
      <c r="F121" s="5"/>
      <c r="G121" s="23"/>
      <c r="H121" s="5"/>
    </row>
    <row r="122" customFormat="false" ht="15" hidden="false" customHeight="false" outlineLevel="0" collapsed="false">
      <c r="A122" s="25" t="n">
        <v>118</v>
      </c>
      <c r="B122" s="29"/>
      <c r="C122" s="22"/>
      <c r="D122" s="22"/>
      <c r="E122" s="22"/>
      <c r="F122" s="5"/>
      <c r="G122" s="23"/>
      <c r="H122" s="5"/>
    </row>
    <row r="123" customFormat="false" ht="15" hidden="false" customHeight="false" outlineLevel="0" collapsed="false">
      <c r="A123" s="21" t="n">
        <v>119</v>
      </c>
      <c r="B123" s="29"/>
      <c r="C123" s="22"/>
      <c r="D123" s="22"/>
      <c r="E123" s="22"/>
      <c r="F123" s="5"/>
      <c r="G123" s="23"/>
      <c r="H123" s="5"/>
    </row>
    <row r="124" customFormat="false" ht="15" hidden="false" customHeight="false" outlineLevel="0" collapsed="false">
      <c r="A124" s="25" t="n">
        <v>120</v>
      </c>
      <c r="B124" s="29"/>
      <c r="C124" s="22"/>
      <c r="D124" s="22"/>
      <c r="E124" s="22"/>
      <c r="F124" s="5"/>
      <c r="G124" s="23"/>
      <c r="H124" s="5"/>
    </row>
    <row r="125" customFormat="false" ht="15" hidden="false" customHeight="false" outlineLevel="0" collapsed="false">
      <c r="A125" s="21" t="n">
        <v>121</v>
      </c>
      <c r="B125" s="29"/>
      <c r="C125" s="22"/>
      <c r="D125" s="22"/>
      <c r="E125" s="22"/>
      <c r="F125" s="5"/>
      <c r="G125" s="23"/>
      <c r="H125" s="5"/>
    </row>
    <row r="126" customFormat="false" ht="15" hidden="false" customHeight="false" outlineLevel="0" collapsed="false">
      <c r="A126" s="25" t="n">
        <v>122</v>
      </c>
      <c r="B126" s="29"/>
      <c r="C126" s="22"/>
      <c r="D126" s="22"/>
      <c r="E126" s="22"/>
      <c r="F126" s="5"/>
      <c r="G126" s="23"/>
      <c r="H126" s="5"/>
    </row>
    <row r="127" customFormat="false" ht="15" hidden="false" customHeight="false" outlineLevel="0" collapsed="false">
      <c r="A127" s="21" t="n">
        <v>123</v>
      </c>
      <c r="B127" s="29"/>
      <c r="C127" s="22"/>
      <c r="D127" s="22"/>
      <c r="E127" s="22"/>
      <c r="F127" s="5"/>
      <c r="G127" s="23"/>
      <c r="H127" s="5"/>
    </row>
    <row r="128" customFormat="false" ht="15" hidden="false" customHeight="false" outlineLevel="0" collapsed="false">
      <c r="A128" s="25" t="n">
        <v>124</v>
      </c>
      <c r="B128" s="29"/>
      <c r="C128" s="22"/>
      <c r="D128" s="22"/>
      <c r="E128" s="22"/>
      <c r="F128" s="5"/>
      <c r="G128" s="23"/>
      <c r="H128" s="5"/>
    </row>
    <row r="129" customFormat="false" ht="15" hidden="false" customHeight="false" outlineLevel="0" collapsed="false">
      <c r="A129" s="21" t="n">
        <v>125</v>
      </c>
      <c r="B129" s="29"/>
      <c r="C129" s="22"/>
      <c r="D129" s="22"/>
      <c r="E129" s="22"/>
      <c r="F129" s="5"/>
      <c r="G129" s="23"/>
      <c r="H129" s="5"/>
    </row>
    <row r="130" customFormat="false" ht="15" hidden="false" customHeight="false" outlineLevel="0" collapsed="false">
      <c r="A130" s="25" t="n">
        <v>126</v>
      </c>
      <c r="B130" s="29"/>
      <c r="C130" s="22"/>
      <c r="D130" s="22"/>
      <c r="E130" s="22"/>
      <c r="F130" s="5"/>
      <c r="G130" s="23"/>
      <c r="H130" s="5"/>
    </row>
    <row r="131" customFormat="false" ht="15" hidden="false" customHeight="false" outlineLevel="0" collapsed="false">
      <c r="A131" s="21" t="n">
        <v>127</v>
      </c>
      <c r="B131" s="29"/>
      <c r="C131" s="22"/>
      <c r="D131" s="22"/>
      <c r="E131" s="22"/>
      <c r="F131" s="5"/>
      <c r="G131" s="23"/>
      <c r="H131" s="5"/>
    </row>
    <row r="132" customFormat="false" ht="15" hidden="false" customHeight="false" outlineLevel="0" collapsed="false">
      <c r="A132" s="25" t="n">
        <v>128</v>
      </c>
      <c r="B132" s="29"/>
      <c r="C132" s="22"/>
      <c r="D132" s="22"/>
      <c r="E132" s="22"/>
      <c r="F132" s="5"/>
      <c r="G132" s="23"/>
      <c r="H132" s="5"/>
    </row>
    <row r="133" customFormat="false" ht="15" hidden="false" customHeight="false" outlineLevel="0" collapsed="false">
      <c r="A133" s="21" t="n">
        <v>129</v>
      </c>
      <c r="B133" s="29"/>
      <c r="C133" s="22"/>
      <c r="D133" s="22"/>
      <c r="E133" s="22"/>
      <c r="F133" s="5"/>
      <c r="G133" s="23"/>
      <c r="H133" s="5"/>
    </row>
    <row r="134" customFormat="false" ht="15" hidden="false" customHeight="false" outlineLevel="0" collapsed="false">
      <c r="A134" s="25" t="n">
        <v>130</v>
      </c>
      <c r="B134" s="29"/>
      <c r="C134" s="22"/>
      <c r="D134" s="22"/>
      <c r="E134" s="22"/>
      <c r="F134" s="5"/>
      <c r="G134" s="23"/>
      <c r="H134" s="5"/>
    </row>
    <row r="135" customFormat="false" ht="15" hidden="false" customHeight="false" outlineLevel="0" collapsed="false">
      <c r="A135" s="21" t="n">
        <v>131</v>
      </c>
      <c r="B135" s="29"/>
      <c r="C135" s="22"/>
      <c r="D135" s="22"/>
      <c r="E135" s="22"/>
      <c r="F135" s="5"/>
      <c r="G135" s="23"/>
      <c r="H135" s="5"/>
    </row>
    <row r="136" customFormat="false" ht="15" hidden="false" customHeight="false" outlineLevel="0" collapsed="false">
      <c r="A136" s="25" t="n">
        <v>132</v>
      </c>
      <c r="B136" s="29"/>
      <c r="C136" s="22"/>
      <c r="D136" s="22"/>
      <c r="E136" s="22"/>
      <c r="F136" s="5"/>
      <c r="G136" s="23"/>
      <c r="H136" s="5"/>
    </row>
    <row r="137" customFormat="false" ht="15" hidden="false" customHeight="false" outlineLevel="0" collapsed="false">
      <c r="A137" s="21" t="n">
        <v>133</v>
      </c>
      <c r="B137" s="29"/>
      <c r="C137" s="22"/>
      <c r="D137" s="22"/>
      <c r="E137" s="22"/>
      <c r="F137" s="5"/>
      <c r="G137" s="23"/>
      <c r="H137" s="5"/>
    </row>
    <row r="138" customFormat="false" ht="15" hidden="false" customHeight="false" outlineLevel="0" collapsed="false">
      <c r="A138" s="25" t="n">
        <v>134</v>
      </c>
      <c r="B138" s="29"/>
      <c r="C138" s="22"/>
      <c r="D138" s="22"/>
      <c r="E138" s="22"/>
      <c r="F138" s="5"/>
      <c r="G138" s="23"/>
      <c r="H138" s="5"/>
    </row>
    <row r="139" customFormat="false" ht="15" hidden="false" customHeight="false" outlineLevel="0" collapsed="false">
      <c r="A139" s="21" t="n">
        <v>135</v>
      </c>
      <c r="B139" s="29"/>
      <c r="C139" s="22"/>
      <c r="D139" s="22"/>
      <c r="E139" s="22"/>
      <c r="F139" s="5"/>
      <c r="G139" s="23"/>
      <c r="H139" s="5"/>
    </row>
    <row r="140" customFormat="false" ht="15" hidden="false" customHeight="false" outlineLevel="0" collapsed="false">
      <c r="A140" s="25" t="n">
        <v>136</v>
      </c>
      <c r="B140" s="29"/>
      <c r="C140" s="22"/>
      <c r="D140" s="22"/>
      <c r="E140" s="22"/>
      <c r="F140" s="5"/>
      <c r="G140" s="23"/>
      <c r="H140" s="5"/>
    </row>
    <row r="141" customFormat="false" ht="15" hidden="false" customHeight="false" outlineLevel="0" collapsed="false">
      <c r="A141" s="21" t="n">
        <v>137</v>
      </c>
      <c r="B141" s="29"/>
      <c r="C141" s="22"/>
      <c r="D141" s="22"/>
      <c r="E141" s="22"/>
      <c r="F141" s="5"/>
      <c r="G141" s="23"/>
      <c r="H141" s="5"/>
    </row>
    <row r="142" customFormat="false" ht="15" hidden="false" customHeight="false" outlineLevel="0" collapsed="false">
      <c r="A142" s="25" t="n">
        <v>138</v>
      </c>
      <c r="B142" s="29"/>
      <c r="C142" s="22"/>
      <c r="D142" s="22"/>
      <c r="E142" s="22"/>
      <c r="F142" s="5"/>
      <c r="G142" s="23"/>
      <c r="H142" s="5"/>
    </row>
    <row r="143" customFormat="false" ht="15" hidden="false" customHeight="false" outlineLevel="0" collapsed="false">
      <c r="A143" s="21" t="n">
        <v>139</v>
      </c>
      <c r="B143" s="29"/>
      <c r="C143" s="22"/>
      <c r="D143" s="22"/>
      <c r="E143" s="22"/>
      <c r="F143" s="5"/>
      <c r="G143" s="23"/>
      <c r="H143" s="5"/>
    </row>
    <row r="144" customFormat="false" ht="15" hidden="false" customHeight="false" outlineLevel="0" collapsed="false">
      <c r="A144" s="25" t="n">
        <v>140</v>
      </c>
      <c r="B144" s="29"/>
      <c r="C144" s="22"/>
      <c r="D144" s="22"/>
      <c r="E144" s="22"/>
      <c r="F144" s="5"/>
      <c r="G144" s="23"/>
      <c r="H144" s="5"/>
    </row>
    <row r="145" customFormat="false" ht="15" hidden="false" customHeight="false" outlineLevel="0" collapsed="false">
      <c r="A145" s="21" t="n">
        <v>141</v>
      </c>
      <c r="B145" s="29"/>
      <c r="C145" s="22"/>
      <c r="D145" s="22"/>
      <c r="E145" s="22"/>
      <c r="F145" s="5"/>
      <c r="G145" s="23"/>
      <c r="H145" s="5"/>
    </row>
    <row r="146" customFormat="false" ht="15" hidden="false" customHeight="false" outlineLevel="0" collapsed="false">
      <c r="A146" s="25" t="n">
        <v>142</v>
      </c>
      <c r="B146" s="29"/>
      <c r="C146" s="22"/>
      <c r="D146" s="22"/>
      <c r="E146" s="22"/>
      <c r="F146" s="5"/>
      <c r="G146" s="23"/>
      <c r="H146" s="5"/>
    </row>
    <row r="147" customFormat="false" ht="15" hidden="false" customHeight="false" outlineLevel="0" collapsed="false">
      <c r="A147" s="21" t="n">
        <v>143</v>
      </c>
      <c r="B147" s="29"/>
      <c r="C147" s="22"/>
      <c r="D147" s="22"/>
      <c r="E147" s="22"/>
      <c r="F147" s="5"/>
      <c r="G147" s="23"/>
      <c r="H147" s="5"/>
    </row>
    <row r="148" customFormat="false" ht="15" hidden="false" customHeight="false" outlineLevel="0" collapsed="false">
      <c r="A148" s="25" t="n">
        <v>144</v>
      </c>
      <c r="B148" s="29"/>
      <c r="C148" s="22"/>
      <c r="D148" s="22"/>
      <c r="E148" s="22"/>
      <c r="F148" s="5"/>
      <c r="G148" s="23"/>
      <c r="H148" s="5"/>
    </row>
    <row r="149" customFormat="false" ht="15" hidden="false" customHeight="false" outlineLevel="0" collapsed="false">
      <c r="A149" s="21" t="n">
        <v>145</v>
      </c>
      <c r="B149" s="29"/>
      <c r="C149" s="22"/>
      <c r="D149" s="22"/>
      <c r="E149" s="22"/>
      <c r="F149" s="5"/>
      <c r="G149" s="23"/>
      <c r="H149" s="5"/>
    </row>
    <row r="150" customFormat="false" ht="15" hidden="false" customHeight="false" outlineLevel="0" collapsed="false">
      <c r="A150" s="25" t="n">
        <v>146</v>
      </c>
      <c r="B150" s="29"/>
      <c r="C150" s="22"/>
      <c r="D150" s="22"/>
      <c r="E150" s="22"/>
      <c r="F150" s="5"/>
      <c r="G150" s="23"/>
      <c r="H150" s="5"/>
    </row>
    <row r="151" customFormat="false" ht="15" hidden="false" customHeight="false" outlineLevel="0" collapsed="false">
      <c r="A151" s="21" t="n">
        <v>147</v>
      </c>
      <c r="B151" s="29"/>
      <c r="C151" s="22"/>
      <c r="D151" s="22"/>
      <c r="E151" s="22"/>
      <c r="F151" s="5"/>
      <c r="G151" s="23"/>
      <c r="H151" s="5"/>
    </row>
    <row r="152" customFormat="false" ht="15" hidden="false" customHeight="false" outlineLevel="0" collapsed="false">
      <c r="A152" s="25" t="n">
        <v>148</v>
      </c>
      <c r="B152" s="29"/>
      <c r="C152" s="22"/>
      <c r="D152" s="22"/>
      <c r="E152" s="22"/>
      <c r="F152" s="5"/>
      <c r="G152" s="23"/>
      <c r="H152" s="5"/>
    </row>
    <row r="153" customFormat="false" ht="15" hidden="false" customHeight="false" outlineLevel="0" collapsed="false">
      <c r="A153" s="21" t="n">
        <v>149</v>
      </c>
      <c r="B153" s="29"/>
      <c r="C153" s="22"/>
      <c r="D153" s="22"/>
      <c r="E153" s="22"/>
      <c r="F153" s="5"/>
      <c r="G153" s="23"/>
      <c r="H153" s="5"/>
    </row>
    <row r="154" customFormat="false" ht="15" hidden="false" customHeight="false" outlineLevel="0" collapsed="false">
      <c r="A154" s="25" t="n">
        <v>150</v>
      </c>
      <c r="B154" s="29"/>
      <c r="C154" s="22"/>
      <c r="D154" s="22"/>
      <c r="E154" s="22"/>
      <c r="F154" s="5"/>
      <c r="G154" s="23"/>
      <c r="H154" s="5"/>
    </row>
    <row r="155" customFormat="false" ht="15" hidden="false" customHeight="false" outlineLevel="0" collapsed="false">
      <c r="A155" s="21" t="n">
        <v>151</v>
      </c>
      <c r="B155" s="29"/>
      <c r="C155" s="22"/>
      <c r="D155" s="22"/>
      <c r="E155" s="22"/>
      <c r="F155" s="5"/>
      <c r="G155" s="23"/>
      <c r="H155" s="5"/>
    </row>
    <row r="156" customFormat="false" ht="15" hidden="false" customHeight="false" outlineLevel="0" collapsed="false">
      <c r="A156" s="25" t="n">
        <v>152</v>
      </c>
      <c r="B156" s="29"/>
      <c r="C156" s="22"/>
      <c r="D156" s="22"/>
      <c r="E156" s="22"/>
      <c r="F156" s="5"/>
      <c r="G156" s="23"/>
      <c r="H156" s="5"/>
    </row>
    <row r="157" customFormat="false" ht="15" hidden="false" customHeight="false" outlineLevel="0" collapsed="false">
      <c r="A157" s="21" t="n">
        <v>153</v>
      </c>
      <c r="B157" s="29"/>
      <c r="C157" s="22"/>
      <c r="D157" s="22"/>
      <c r="E157" s="22"/>
      <c r="F157" s="5"/>
      <c r="G157" s="23"/>
      <c r="H157" s="5"/>
    </row>
    <row r="158" customFormat="false" ht="15" hidden="false" customHeight="false" outlineLevel="0" collapsed="false">
      <c r="A158" s="25" t="n">
        <v>154</v>
      </c>
      <c r="B158" s="29"/>
      <c r="C158" s="22"/>
      <c r="D158" s="22"/>
      <c r="E158" s="22"/>
      <c r="F158" s="5"/>
      <c r="G158" s="23"/>
      <c r="H158" s="5"/>
    </row>
    <row r="159" customFormat="false" ht="15" hidden="false" customHeight="false" outlineLevel="0" collapsed="false">
      <c r="A159" s="21" t="n">
        <v>155</v>
      </c>
      <c r="B159" s="29"/>
      <c r="C159" s="22"/>
      <c r="D159" s="22"/>
      <c r="E159" s="22"/>
      <c r="F159" s="5"/>
      <c r="G159" s="23"/>
      <c r="H159" s="5"/>
    </row>
    <row r="160" customFormat="false" ht="15" hidden="false" customHeight="false" outlineLevel="0" collapsed="false">
      <c r="A160" s="25" t="n">
        <v>156</v>
      </c>
      <c r="B160" s="29"/>
      <c r="C160" s="22"/>
      <c r="D160" s="22"/>
      <c r="E160" s="22"/>
      <c r="F160" s="5"/>
      <c r="G160" s="23"/>
      <c r="H160" s="5"/>
    </row>
    <row r="161" customFormat="false" ht="15" hidden="false" customHeight="false" outlineLevel="0" collapsed="false">
      <c r="A161" s="21" t="n">
        <v>157</v>
      </c>
      <c r="B161" s="29"/>
      <c r="C161" s="22"/>
      <c r="D161" s="22"/>
      <c r="E161" s="22"/>
      <c r="F161" s="5"/>
      <c r="G161" s="23"/>
      <c r="H161" s="5"/>
    </row>
    <row r="162" customFormat="false" ht="15" hidden="false" customHeight="false" outlineLevel="0" collapsed="false">
      <c r="A162" s="25" t="n">
        <v>158</v>
      </c>
      <c r="B162" s="29"/>
      <c r="C162" s="22"/>
      <c r="D162" s="22"/>
      <c r="E162" s="22"/>
      <c r="F162" s="5"/>
      <c r="G162" s="23"/>
      <c r="H162" s="5"/>
    </row>
    <row r="163" customFormat="false" ht="15" hidden="false" customHeight="false" outlineLevel="0" collapsed="false">
      <c r="A163" s="21" t="n">
        <v>159</v>
      </c>
      <c r="B163" s="29"/>
      <c r="C163" s="22"/>
      <c r="D163" s="22"/>
      <c r="E163" s="22"/>
      <c r="F163" s="5"/>
      <c r="G163" s="23"/>
      <c r="H163" s="5"/>
    </row>
    <row r="164" customFormat="false" ht="15" hidden="false" customHeight="false" outlineLevel="0" collapsed="false">
      <c r="A164" s="25" t="n">
        <v>160</v>
      </c>
      <c r="B164" s="29"/>
      <c r="C164" s="22"/>
      <c r="D164" s="22"/>
      <c r="E164" s="22"/>
      <c r="F164" s="5"/>
      <c r="G164" s="23"/>
      <c r="H164" s="5"/>
    </row>
    <row r="165" customFormat="false" ht="15" hidden="false" customHeight="false" outlineLevel="0" collapsed="false">
      <c r="A165" s="21" t="n">
        <v>161</v>
      </c>
      <c r="B165" s="29"/>
      <c r="C165" s="22"/>
      <c r="D165" s="22"/>
      <c r="E165" s="22"/>
      <c r="F165" s="5"/>
      <c r="G165" s="23"/>
      <c r="H165" s="5"/>
    </row>
    <row r="166" customFormat="false" ht="15" hidden="false" customHeight="false" outlineLevel="0" collapsed="false">
      <c r="A166" s="25" t="n">
        <v>162</v>
      </c>
      <c r="B166" s="29"/>
      <c r="C166" s="22"/>
      <c r="D166" s="22"/>
      <c r="E166" s="22"/>
      <c r="F166" s="5"/>
      <c r="G166" s="23"/>
      <c r="H166" s="5"/>
    </row>
    <row r="167" customFormat="false" ht="15" hidden="false" customHeight="false" outlineLevel="0" collapsed="false">
      <c r="A167" s="21" t="n">
        <v>163</v>
      </c>
      <c r="B167" s="29"/>
      <c r="C167" s="22"/>
      <c r="D167" s="22"/>
      <c r="E167" s="22"/>
      <c r="F167" s="5"/>
      <c r="G167" s="23"/>
      <c r="H167" s="5"/>
    </row>
    <row r="168" customFormat="false" ht="15" hidden="false" customHeight="false" outlineLevel="0" collapsed="false">
      <c r="A168" s="25" t="n">
        <v>164</v>
      </c>
      <c r="B168" s="29"/>
      <c r="C168" s="22"/>
      <c r="D168" s="22"/>
      <c r="E168" s="22"/>
      <c r="F168" s="5"/>
      <c r="G168" s="23"/>
      <c r="H168" s="5"/>
    </row>
    <row r="169" customFormat="false" ht="15" hidden="false" customHeight="false" outlineLevel="0" collapsed="false">
      <c r="A169" s="21" t="n">
        <v>165</v>
      </c>
      <c r="B169" s="29"/>
      <c r="C169" s="22"/>
      <c r="D169" s="22"/>
      <c r="E169" s="22"/>
      <c r="F169" s="5"/>
      <c r="G169" s="23"/>
      <c r="H169" s="5"/>
    </row>
    <row r="170" customFormat="false" ht="15" hidden="false" customHeight="false" outlineLevel="0" collapsed="false">
      <c r="A170" s="25" t="n">
        <v>166</v>
      </c>
      <c r="B170" s="29"/>
      <c r="C170" s="22"/>
      <c r="D170" s="22"/>
      <c r="E170" s="22"/>
      <c r="F170" s="5"/>
      <c r="G170" s="23"/>
      <c r="H170" s="5"/>
    </row>
    <row r="171" customFormat="false" ht="15" hidden="false" customHeight="false" outlineLevel="0" collapsed="false">
      <c r="A171" s="21" t="n">
        <v>167</v>
      </c>
      <c r="B171" s="29"/>
      <c r="C171" s="22"/>
      <c r="D171" s="22"/>
      <c r="E171" s="22"/>
      <c r="F171" s="5"/>
      <c r="G171" s="23"/>
      <c r="H171" s="5"/>
    </row>
    <row r="172" customFormat="false" ht="15" hidden="false" customHeight="false" outlineLevel="0" collapsed="false">
      <c r="A172" s="25" t="n">
        <v>168</v>
      </c>
      <c r="B172" s="29"/>
      <c r="C172" s="22"/>
      <c r="D172" s="22"/>
      <c r="E172" s="22"/>
      <c r="F172" s="5"/>
      <c r="G172" s="23"/>
      <c r="H172" s="5"/>
    </row>
    <row r="173" customFormat="false" ht="15" hidden="false" customHeight="false" outlineLevel="0" collapsed="false">
      <c r="A173" s="21" t="n">
        <v>169</v>
      </c>
      <c r="B173" s="29"/>
      <c r="C173" s="22"/>
      <c r="D173" s="22"/>
      <c r="E173" s="22"/>
      <c r="F173" s="5"/>
      <c r="G173" s="23"/>
      <c r="H173" s="5"/>
    </row>
    <row r="174" customFormat="false" ht="15" hidden="false" customHeight="false" outlineLevel="0" collapsed="false">
      <c r="A174" s="25" t="n">
        <v>170</v>
      </c>
      <c r="B174" s="29"/>
      <c r="C174" s="22"/>
      <c r="D174" s="22"/>
      <c r="E174" s="22"/>
      <c r="F174" s="5"/>
      <c r="G174" s="23"/>
      <c r="H174" s="5"/>
    </row>
    <row r="175" customFormat="false" ht="15" hidden="false" customHeight="false" outlineLevel="0" collapsed="false">
      <c r="A175" s="21" t="n">
        <v>171</v>
      </c>
      <c r="B175" s="29"/>
      <c r="C175" s="22"/>
      <c r="D175" s="22"/>
      <c r="E175" s="22"/>
      <c r="F175" s="5"/>
      <c r="G175" s="23"/>
      <c r="H175" s="5"/>
    </row>
    <row r="176" customFormat="false" ht="15" hidden="false" customHeight="false" outlineLevel="0" collapsed="false">
      <c r="A176" s="25" t="n">
        <v>172</v>
      </c>
      <c r="B176" s="29"/>
      <c r="C176" s="22"/>
      <c r="D176" s="22"/>
      <c r="E176" s="22"/>
      <c r="F176" s="5"/>
      <c r="G176" s="23"/>
      <c r="H176" s="5"/>
    </row>
    <row r="177" customFormat="false" ht="15" hidden="false" customHeight="false" outlineLevel="0" collapsed="false">
      <c r="A177" s="21" t="n">
        <v>173</v>
      </c>
      <c r="B177" s="29"/>
      <c r="C177" s="22"/>
      <c r="D177" s="22"/>
      <c r="E177" s="22"/>
      <c r="F177" s="5"/>
      <c r="G177" s="23"/>
      <c r="H177" s="5"/>
    </row>
    <row r="178" customFormat="false" ht="15" hidden="false" customHeight="false" outlineLevel="0" collapsed="false">
      <c r="A178" s="25" t="n">
        <v>174</v>
      </c>
      <c r="B178" s="29"/>
      <c r="C178" s="22"/>
      <c r="D178" s="22"/>
      <c r="E178" s="22"/>
      <c r="F178" s="5"/>
      <c r="G178" s="23"/>
      <c r="H178" s="5"/>
    </row>
    <row r="179" customFormat="false" ht="15" hidden="false" customHeight="false" outlineLevel="0" collapsed="false">
      <c r="A179" s="21" t="n">
        <v>175</v>
      </c>
      <c r="B179" s="29"/>
      <c r="C179" s="22"/>
      <c r="D179" s="22"/>
      <c r="E179" s="22"/>
      <c r="F179" s="5"/>
      <c r="G179" s="23"/>
      <c r="H179" s="5"/>
    </row>
    <row r="180" customFormat="false" ht="15" hidden="false" customHeight="false" outlineLevel="0" collapsed="false">
      <c r="A180" s="25" t="n">
        <v>176</v>
      </c>
      <c r="B180" s="29"/>
      <c r="C180" s="22"/>
      <c r="D180" s="22"/>
      <c r="E180" s="22"/>
      <c r="F180" s="5"/>
      <c r="G180" s="23"/>
      <c r="H180" s="5"/>
    </row>
    <row r="181" customFormat="false" ht="15" hidden="false" customHeight="false" outlineLevel="0" collapsed="false">
      <c r="A181" s="21" t="n">
        <v>177</v>
      </c>
      <c r="B181" s="29"/>
      <c r="C181" s="22"/>
      <c r="D181" s="22"/>
      <c r="E181" s="22"/>
      <c r="F181" s="5"/>
      <c r="G181" s="23"/>
      <c r="H181" s="5"/>
    </row>
    <row r="182" customFormat="false" ht="15" hidden="false" customHeight="false" outlineLevel="0" collapsed="false">
      <c r="A182" s="25" t="n">
        <v>178</v>
      </c>
      <c r="B182" s="29"/>
      <c r="C182" s="22"/>
      <c r="D182" s="22"/>
      <c r="E182" s="22"/>
      <c r="F182" s="5"/>
      <c r="G182" s="23"/>
      <c r="H182" s="5"/>
    </row>
    <row r="183" customFormat="false" ht="15" hidden="false" customHeight="false" outlineLevel="0" collapsed="false">
      <c r="A183" s="21" t="n">
        <v>179</v>
      </c>
      <c r="B183" s="29"/>
      <c r="C183" s="22"/>
      <c r="D183" s="22"/>
      <c r="E183" s="22"/>
      <c r="F183" s="5"/>
      <c r="G183" s="23"/>
      <c r="H183" s="5"/>
    </row>
    <row r="184" customFormat="false" ht="15" hidden="false" customHeight="false" outlineLevel="0" collapsed="false">
      <c r="A184" s="25" t="n">
        <v>180</v>
      </c>
      <c r="B184" s="29"/>
      <c r="C184" s="22"/>
      <c r="D184" s="22"/>
      <c r="E184" s="22"/>
      <c r="F184" s="5"/>
      <c r="G184" s="23"/>
      <c r="H184" s="5"/>
    </row>
    <row r="185" customFormat="false" ht="15" hidden="false" customHeight="false" outlineLevel="0" collapsed="false">
      <c r="A185" s="21" t="n">
        <v>181</v>
      </c>
      <c r="B185" s="29"/>
      <c r="C185" s="22"/>
      <c r="D185" s="22"/>
      <c r="E185" s="22"/>
      <c r="F185" s="5"/>
      <c r="G185" s="23"/>
      <c r="H185" s="5"/>
    </row>
    <row r="186" customFormat="false" ht="15" hidden="false" customHeight="false" outlineLevel="0" collapsed="false">
      <c r="A186" s="25" t="n">
        <v>182</v>
      </c>
      <c r="B186" s="29"/>
      <c r="C186" s="22"/>
      <c r="D186" s="22"/>
      <c r="E186" s="22"/>
      <c r="F186" s="5"/>
      <c r="G186" s="23"/>
      <c r="H186" s="5"/>
    </row>
    <row r="187" customFormat="false" ht="15" hidden="false" customHeight="false" outlineLevel="0" collapsed="false">
      <c r="A187" s="21" t="n">
        <v>183</v>
      </c>
      <c r="B187" s="29"/>
      <c r="C187" s="22"/>
      <c r="D187" s="22"/>
      <c r="E187" s="22"/>
      <c r="F187" s="5"/>
      <c r="G187" s="23"/>
      <c r="H187" s="5"/>
    </row>
    <row r="188" customFormat="false" ht="15" hidden="false" customHeight="false" outlineLevel="0" collapsed="false">
      <c r="A188" s="25" t="n">
        <v>184</v>
      </c>
      <c r="B188" s="29"/>
      <c r="C188" s="22"/>
      <c r="D188" s="22"/>
      <c r="E188" s="22"/>
      <c r="F188" s="5"/>
      <c r="G188" s="23"/>
      <c r="H188" s="5"/>
    </row>
    <row r="189" customFormat="false" ht="15" hidden="false" customHeight="false" outlineLevel="0" collapsed="false">
      <c r="A189" s="21" t="n">
        <v>185</v>
      </c>
      <c r="B189" s="29"/>
      <c r="C189" s="22"/>
      <c r="D189" s="22"/>
      <c r="E189" s="22"/>
      <c r="F189" s="5"/>
      <c r="G189" s="23"/>
      <c r="H189" s="5"/>
    </row>
    <row r="190" customFormat="false" ht="15" hidden="false" customHeight="false" outlineLevel="0" collapsed="false">
      <c r="A190" s="25" t="n">
        <v>186</v>
      </c>
      <c r="B190" s="29"/>
      <c r="C190" s="22"/>
      <c r="D190" s="22"/>
      <c r="E190" s="22"/>
      <c r="F190" s="5"/>
      <c r="G190" s="23"/>
      <c r="H190" s="5"/>
    </row>
    <row r="191" customFormat="false" ht="15" hidden="false" customHeight="false" outlineLevel="0" collapsed="false">
      <c r="A191" s="21" t="n">
        <v>187</v>
      </c>
      <c r="B191" s="29"/>
      <c r="C191" s="22"/>
      <c r="D191" s="22"/>
      <c r="E191" s="22"/>
      <c r="F191" s="5"/>
      <c r="G191" s="23"/>
      <c r="H191" s="5"/>
    </row>
    <row r="192" customFormat="false" ht="15" hidden="false" customHeight="false" outlineLevel="0" collapsed="false">
      <c r="A192" s="25" t="n">
        <v>188</v>
      </c>
      <c r="B192" s="29"/>
      <c r="C192" s="22"/>
      <c r="D192" s="22"/>
      <c r="E192" s="22"/>
      <c r="F192" s="5"/>
      <c r="G192" s="23"/>
      <c r="H192" s="5"/>
    </row>
    <row r="193" customFormat="false" ht="15" hidden="false" customHeight="false" outlineLevel="0" collapsed="false">
      <c r="A193" s="21" t="n">
        <v>189</v>
      </c>
      <c r="B193" s="29"/>
      <c r="C193" s="22"/>
      <c r="D193" s="22"/>
      <c r="E193" s="22"/>
      <c r="F193" s="5"/>
      <c r="G193" s="23"/>
      <c r="H193" s="5"/>
    </row>
    <row r="194" customFormat="false" ht="15" hidden="false" customHeight="false" outlineLevel="0" collapsed="false">
      <c r="A194" s="25" t="n">
        <v>190</v>
      </c>
      <c r="B194" s="29"/>
      <c r="C194" s="22"/>
      <c r="D194" s="22"/>
      <c r="E194" s="22"/>
      <c r="F194" s="5"/>
      <c r="G194" s="23"/>
      <c r="H194" s="5"/>
    </row>
    <row r="195" customFormat="false" ht="15" hidden="false" customHeight="false" outlineLevel="0" collapsed="false">
      <c r="A195" s="21" t="n">
        <v>191</v>
      </c>
      <c r="B195" s="29"/>
      <c r="C195" s="22"/>
      <c r="D195" s="22"/>
      <c r="E195" s="22"/>
      <c r="F195" s="5"/>
      <c r="G195" s="23"/>
      <c r="H195" s="5"/>
    </row>
    <row r="196" customFormat="false" ht="15" hidden="false" customHeight="false" outlineLevel="0" collapsed="false">
      <c r="A196" s="25" t="n">
        <v>192</v>
      </c>
      <c r="B196" s="29"/>
      <c r="C196" s="22"/>
      <c r="D196" s="22"/>
      <c r="E196" s="22"/>
      <c r="F196" s="5"/>
      <c r="G196" s="23"/>
      <c r="H196" s="5"/>
    </row>
    <row r="197" customFormat="false" ht="15" hidden="false" customHeight="false" outlineLevel="0" collapsed="false">
      <c r="A197" s="21" t="n">
        <v>193</v>
      </c>
      <c r="B197" s="29"/>
      <c r="C197" s="22"/>
      <c r="D197" s="22"/>
      <c r="E197" s="22"/>
      <c r="F197" s="5"/>
      <c r="G197" s="23"/>
      <c r="H197" s="5"/>
    </row>
    <row r="198" customFormat="false" ht="15" hidden="false" customHeight="false" outlineLevel="0" collapsed="false">
      <c r="A198" s="25" t="n">
        <v>194</v>
      </c>
      <c r="B198" s="29"/>
      <c r="C198" s="22"/>
      <c r="D198" s="22"/>
      <c r="E198" s="22"/>
      <c r="F198" s="5"/>
      <c r="G198" s="23"/>
      <c r="H198" s="5"/>
    </row>
    <row r="199" customFormat="false" ht="15" hidden="false" customHeight="false" outlineLevel="0" collapsed="false">
      <c r="A199" s="21" t="n">
        <v>195</v>
      </c>
      <c r="B199" s="29"/>
      <c r="C199" s="22"/>
      <c r="D199" s="22"/>
      <c r="E199" s="22"/>
      <c r="F199" s="5"/>
      <c r="G199" s="23"/>
      <c r="H199" s="5"/>
    </row>
    <row r="200" customFormat="false" ht="15" hidden="false" customHeight="false" outlineLevel="0" collapsed="false">
      <c r="A200" s="25" t="n">
        <v>196</v>
      </c>
      <c r="B200" s="29"/>
      <c r="C200" s="22"/>
      <c r="D200" s="22"/>
      <c r="E200" s="22"/>
      <c r="F200" s="5"/>
      <c r="G200" s="23"/>
      <c r="H200" s="5"/>
    </row>
    <row r="201" customFormat="false" ht="15" hidden="false" customHeight="false" outlineLevel="0" collapsed="false">
      <c r="A201" s="21" t="n">
        <v>197</v>
      </c>
      <c r="B201" s="29"/>
      <c r="C201" s="22"/>
      <c r="D201" s="22"/>
      <c r="E201" s="22"/>
      <c r="F201" s="5"/>
      <c r="G201" s="23"/>
      <c r="H201" s="5"/>
    </row>
    <row r="202" customFormat="false" ht="15" hidden="false" customHeight="false" outlineLevel="0" collapsed="false">
      <c r="A202" s="25" t="n">
        <v>198</v>
      </c>
      <c r="B202" s="29"/>
      <c r="C202" s="22"/>
      <c r="D202" s="22"/>
      <c r="E202" s="22"/>
      <c r="F202" s="5"/>
      <c r="G202" s="23"/>
      <c r="H202" s="5"/>
    </row>
    <row r="203" customFormat="false" ht="15" hidden="false" customHeight="false" outlineLevel="0" collapsed="false">
      <c r="A203" s="21" t="n">
        <v>199</v>
      </c>
      <c r="B203" s="29"/>
      <c r="C203" s="22"/>
      <c r="D203" s="22"/>
      <c r="E203" s="22"/>
      <c r="F203" s="5"/>
      <c r="G203" s="23"/>
      <c r="H203" s="5"/>
    </row>
    <row r="204" customFormat="false" ht="15" hidden="false" customHeight="false" outlineLevel="0" collapsed="false">
      <c r="A204" s="25" t="n">
        <v>200</v>
      </c>
      <c r="B204" s="29"/>
      <c r="C204" s="22"/>
      <c r="D204" s="22"/>
      <c r="E204" s="22"/>
      <c r="F204" s="5"/>
      <c r="G204" s="23"/>
      <c r="H204" s="5"/>
    </row>
    <row r="205" customFormat="false" ht="15" hidden="false" customHeight="false" outlineLevel="0" collapsed="false">
      <c r="A205" s="21" t="n">
        <v>201</v>
      </c>
      <c r="B205" s="29"/>
      <c r="C205" s="22"/>
      <c r="D205" s="22"/>
      <c r="E205" s="22"/>
      <c r="F205" s="5"/>
      <c r="G205" s="23"/>
      <c r="H205" s="5"/>
    </row>
    <row r="206" customFormat="false" ht="15" hidden="false" customHeight="false" outlineLevel="0" collapsed="false">
      <c r="A206" s="25" t="n">
        <v>202</v>
      </c>
      <c r="B206" s="29"/>
      <c r="C206" s="22"/>
      <c r="D206" s="22"/>
      <c r="E206" s="22"/>
      <c r="F206" s="5"/>
      <c r="G206" s="23"/>
      <c r="H206" s="5"/>
    </row>
    <row r="207" customFormat="false" ht="15" hidden="false" customHeight="false" outlineLevel="0" collapsed="false">
      <c r="A207" s="21" t="n">
        <v>203</v>
      </c>
      <c r="B207" s="29"/>
      <c r="C207" s="22"/>
      <c r="D207" s="22"/>
      <c r="E207" s="22"/>
      <c r="F207" s="5"/>
      <c r="G207" s="23"/>
      <c r="H207" s="5"/>
    </row>
    <row r="208" customFormat="false" ht="15" hidden="false" customHeight="false" outlineLevel="0" collapsed="false">
      <c r="A208" s="25" t="n">
        <v>204</v>
      </c>
      <c r="B208" s="29"/>
      <c r="C208" s="22"/>
      <c r="D208" s="22"/>
      <c r="E208" s="22"/>
      <c r="F208" s="5"/>
      <c r="G208" s="23"/>
      <c r="H208" s="5"/>
    </row>
    <row r="209" customFormat="false" ht="15" hidden="false" customHeight="false" outlineLevel="0" collapsed="false">
      <c r="A209" s="21" t="n">
        <v>205</v>
      </c>
      <c r="B209" s="29"/>
      <c r="C209" s="22"/>
      <c r="D209" s="22"/>
      <c r="E209" s="22"/>
      <c r="F209" s="5"/>
      <c r="G209" s="23"/>
      <c r="H209" s="5"/>
    </row>
    <row r="210" customFormat="false" ht="15" hidden="false" customHeight="false" outlineLevel="0" collapsed="false">
      <c r="A210" s="25" t="n">
        <v>206</v>
      </c>
      <c r="B210" s="29"/>
      <c r="C210" s="22"/>
      <c r="D210" s="22"/>
      <c r="E210" s="22"/>
      <c r="F210" s="5"/>
      <c r="G210" s="23"/>
      <c r="H210" s="5"/>
    </row>
    <row r="211" customFormat="false" ht="15" hidden="false" customHeight="false" outlineLevel="0" collapsed="false">
      <c r="A211" s="21" t="n">
        <v>207</v>
      </c>
      <c r="B211" s="29"/>
      <c r="C211" s="22"/>
      <c r="D211" s="22"/>
      <c r="E211" s="22"/>
      <c r="F211" s="5"/>
      <c r="G211" s="23"/>
      <c r="H211" s="5"/>
    </row>
    <row r="212" customFormat="false" ht="15" hidden="false" customHeight="false" outlineLevel="0" collapsed="false">
      <c r="A212" s="25" t="n">
        <v>208</v>
      </c>
      <c r="B212" s="29"/>
      <c r="C212" s="22"/>
      <c r="D212" s="22"/>
      <c r="E212" s="22"/>
      <c r="F212" s="5"/>
      <c r="G212" s="23"/>
      <c r="H212" s="5"/>
    </row>
    <row r="213" customFormat="false" ht="15" hidden="false" customHeight="false" outlineLevel="0" collapsed="false">
      <c r="A213" s="21" t="n">
        <v>209</v>
      </c>
      <c r="B213" s="29"/>
      <c r="C213" s="22"/>
      <c r="D213" s="22"/>
      <c r="E213" s="22"/>
      <c r="F213" s="5"/>
      <c r="G213" s="23"/>
      <c r="H213" s="5"/>
    </row>
    <row r="214" customFormat="false" ht="15" hidden="false" customHeight="false" outlineLevel="0" collapsed="false">
      <c r="A214" s="25" t="n">
        <v>210</v>
      </c>
      <c r="B214" s="29"/>
      <c r="C214" s="22"/>
      <c r="D214" s="22"/>
      <c r="E214" s="22"/>
      <c r="F214" s="5"/>
      <c r="G214" s="23"/>
      <c r="H214" s="5"/>
    </row>
    <row r="215" customFormat="false" ht="15" hidden="false" customHeight="false" outlineLevel="0" collapsed="false">
      <c r="A215" s="21" t="n">
        <v>211</v>
      </c>
      <c r="B215" s="29"/>
      <c r="C215" s="22"/>
      <c r="D215" s="22"/>
      <c r="E215" s="22"/>
      <c r="F215" s="5"/>
      <c r="G215" s="23"/>
      <c r="H215" s="5"/>
    </row>
    <row r="216" customFormat="false" ht="15" hidden="false" customHeight="false" outlineLevel="0" collapsed="false">
      <c r="A216" s="25" t="n">
        <v>212</v>
      </c>
      <c r="B216" s="29"/>
      <c r="C216" s="22"/>
      <c r="D216" s="22"/>
      <c r="E216" s="22"/>
      <c r="F216" s="5"/>
      <c r="G216" s="23"/>
      <c r="H216" s="5"/>
    </row>
    <row r="217" customFormat="false" ht="15" hidden="false" customHeight="false" outlineLevel="0" collapsed="false">
      <c r="A217" s="21" t="n">
        <v>213</v>
      </c>
      <c r="B217" s="29"/>
      <c r="C217" s="22"/>
      <c r="D217" s="22"/>
      <c r="E217" s="22"/>
      <c r="F217" s="5"/>
      <c r="G217" s="23"/>
      <c r="H217" s="5"/>
    </row>
    <row r="218" customFormat="false" ht="15" hidden="false" customHeight="false" outlineLevel="0" collapsed="false">
      <c r="A218" s="25" t="n">
        <v>214</v>
      </c>
      <c r="B218" s="29"/>
      <c r="C218" s="22"/>
      <c r="D218" s="22"/>
      <c r="E218" s="22"/>
      <c r="F218" s="5"/>
      <c r="G218" s="23"/>
      <c r="H218" s="5"/>
    </row>
    <row r="219" customFormat="false" ht="15" hidden="false" customHeight="false" outlineLevel="0" collapsed="false">
      <c r="A219" s="21" t="n">
        <v>215</v>
      </c>
      <c r="B219" s="29"/>
      <c r="C219" s="22"/>
      <c r="D219" s="22"/>
      <c r="E219" s="22"/>
      <c r="F219" s="5"/>
      <c r="G219" s="23"/>
      <c r="H219" s="5"/>
    </row>
    <row r="220" customFormat="false" ht="15" hidden="false" customHeight="false" outlineLevel="0" collapsed="false">
      <c r="A220" s="25" t="n">
        <v>216</v>
      </c>
      <c r="B220" s="29"/>
      <c r="C220" s="22"/>
      <c r="D220" s="22"/>
      <c r="E220" s="22"/>
      <c r="F220" s="5"/>
      <c r="G220" s="23"/>
      <c r="H220" s="5"/>
    </row>
    <row r="221" customFormat="false" ht="15" hidden="false" customHeight="false" outlineLevel="0" collapsed="false">
      <c r="A221" s="21" t="n">
        <v>217</v>
      </c>
      <c r="B221" s="29"/>
      <c r="C221" s="22"/>
      <c r="D221" s="22"/>
      <c r="E221" s="22"/>
      <c r="F221" s="5"/>
      <c r="G221" s="23"/>
      <c r="H221" s="5"/>
    </row>
    <row r="222" customFormat="false" ht="15" hidden="false" customHeight="false" outlineLevel="0" collapsed="false">
      <c r="A222" s="25" t="n">
        <v>218</v>
      </c>
      <c r="B222" s="29"/>
      <c r="C222" s="22"/>
      <c r="D222" s="22"/>
      <c r="E222" s="22"/>
      <c r="F222" s="5"/>
      <c r="G222" s="23"/>
      <c r="H222" s="5"/>
    </row>
    <row r="223" customFormat="false" ht="15" hidden="false" customHeight="false" outlineLevel="0" collapsed="false">
      <c r="A223" s="21" t="n">
        <v>219</v>
      </c>
      <c r="B223" s="29"/>
      <c r="C223" s="22"/>
      <c r="D223" s="22"/>
      <c r="E223" s="22"/>
      <c r="F223" s="5"/>
      <c r="G223" s="23"/>
      <c r="H223" s="5"/>
    </row>
    <row r="224" customFormat="false" ht="15" hidden="false" customHeight="false" outlineLevel="0" collapsed="false">
      <c r="A224" s="25" t="n">
        <v>220</v>
      </c>
      <c r="B224" s="29"/>
      <c r="C224" s="22"/>
      <c r="D224" s="22"/>
      <c r="E224" s="22"/>
      <c r="F224" s="5"/>
      <c r="G224" s="23"/>
      <c r="H224" s="5"/>
    </row>
    <row r="225" customFormat="false" ht="15" hidden="false" customHeight="false" outlineLevel="0" collapsed="false">
      <c r="A225" s="21" t="n">
        <v>221</v>
      </c>
      <c r="B225" s="29"/>
      <c r="C225" s="22"/>
      <c r="D225" s="22"/>
      <c r="E225" s="22"/>
      <c r="F225" s="5"/>
      <c r="G225" s="23"/>
      <c r="H225" s="5"/>
    </row>
    <row r="226" customFormat="false" ht="15" hidden="false" customHeight="false" outlineLevel="0" collapsed="false">
      <c r="A226" s="25" t="n">
        <v>222</v>
      </c>
      <c r="B226" s="29"/>
      <c r="C226" s="22"/>
      <c r="D226" s="22"/>
      <c r="E226" s="22"/>
      <c r="F226" s="5"/>
      <c r="G226" s="23"/>
      <c r="H226" s="5"/>
    </row>
    <row r="227" customFormat="false" ht="15" hidden="false" customHeight="false" outlineLevel="0" collapsed="false">
      <c r="A227" s="21" t="n">
        <v>223</v>
      </c>
      <c r="B227" s="29"/>
      <c r="C227" s="22"/>
      <c r="D227" s="22"/>
      <c r="E227" s="22"/>
      <c r="F227" s="5"/>
      <c r="G227" s="23"/>
      <c r="H227" s="5"/>
    </row>
    <row r="228" customFormat="false" ht="15" hidden="false" customHeight="false" outlineLevel="0" collapsed="false">
      <c r="A228" s="25" t="n">
        <v>224</v>
      </c>
      <c r="B228" s="29"/>
      <c r="C228" s="22"/>
      <c r="D228" s="22"/>
      <c r="E228" s="22"/>
      <c r="F228" s="5"/>
      <c r="G228" s="23"/>
      <c r="H228" s="5"/>
    </row>
    <row r="229" customFormat="false" ht="15" hidden="false" customHeight="false" outlineLevel="0" collapsed="false">
      <c r="A229" s="21" t="n">
        <v>225</v>
      </c>
      <c r="B229" s="29"/>
      <c r="C229" s="22"/>
      <c r="D229" s="22"/>
      <c r="E229" s="22"/>
      <c r="F229" s="5"/>
      <c r="G229" s="23"/>
      <c r="H229" s="5"/>
    </row>
    <row r="230" customFormat="false" ht="15" hidden="false" customHeight="false" outlineLevel="0" collapsed="false">
      <c r="A230" s="25" t="n">
        <v>226</v>
      </c>
      <c r="B230" s="29"/>
      <c r="C230" s="22"/>
      <c r="D230" s="22"/>
      <c r="E230" s="22"/>
      <c r="F230" s="5"/>
      <c r="G230" s="23"/>
      <c r="H230" s="5"/>
    </row>
    <row r="231" customFormat="false" ht="15" hidden="false" customHeight="false" outlineLevel="0" collapsed="false">
      <c r="A231" s="21" t="n">
        <v>227</v>
      </c>
      <c r="B231" s="29"/>
      <c r="C231" s="22"/>
      <c r="D231" s="22"/>
      <c r="E231" s="22"/>
      <c r="F231" s="5"/>
      <c r="G231" s="23"/>
      <c r="H231" s="5"/>
    </row>
    <row r="232" customFormat="false" ht="15" hidden="false" customHeight="false" outlineLevel="0" collapsed="false">
      <c r="A232" s="25" t="n">
        <v>228</v>
      </c>
      <c r="B232" s="29"/>
      <c r="C232" s="22"/>
      <c r="D232" s="22"/>
      <c r="E232" s="22"/>
      <c r="F232" s="5"/>
      <c r="G232" s="23"/>
      <c r="H232" s="5"/>
    </row>
    <row r="233" customFormat="false" ht="15" hidden="false" customHeight="false" outlineLevel="0" collapsed="false">
      <c r="A233" s="21" t="n">
        <v>229</v>
      </c>
      <c r="B233" s="29"/>
      <c r="C233" s="22"/>
      <c r="D233" s="22"/>
      <c r="E233" s="22"/>
      <c r="F233" s="5"/>
      <c r="G233" s="23"/>
      <c r="H233" s="5"/>
    </row>
    <row r="234" customFormat="false" ht="15" hidden="false" customHeight="false" outlineLevel="0" collapsed="false">
      <c r="A234" s="25" t="n">
        <v>230</v>
      </c>
      <c r="B234" s="29"/>
      <c r="C234" s="22"/>
      <c r="D234" s="22"/>
      <c r="E234" s="22"/>
      <c r="F234" s="5"/>
      <c r="G234" s="23"/>
      <c r="H234" s="5"/>
    </row>
    <row r="235" customFormat="false" ht="15" hidden="false" customHeight="false" outlineLevel="0" collapsed="false">
      <c r="A235" s="21" t="n">
        <v>231</v>
      </c>
      <c r="B235" s="29"/>
      <c r="C235" s="22"/>
      <c r="D235" s="22"/>
      <c r="E235" s="22"/>
      <c r="F235" s="5"/>
      <c r="G235" s="23"/>
      <c r="H235" s="5"/>
    </row>
    <row r="236" customFormat="false" ht="15" hidden="false" customHeight="false" outlineLevel="0" collapsed="false">
      <c r="A236" s="25" t="n">
        <v>232</v>
      </c>
      <c r="B236" s="29"/>
      <c r="C236" s="22"/>
      <c r="D236" s="22"/>
      <c r="E236" s="22"/>
      <c r="F236" s="5"/>
      <c r="G236" s="23"/>
      <c r="H236" s="5"/>
    </row>
    <row r="237" customFormat="false" ht="15" hidden="false" customHeight="false" outlineLevel="0" collapsed="false">
      <c r="A237" s="21" t="n">
        <v>233</v>
      </c>
      <c r="B237" s="29"/>
      <c r="C237" s="22"/>
      <c r="D237" s="22"/>
      <c r="E237" s="22"/>
      <c r="F237" s="5"/>
      <c r="G237" s="23"/>
      <c r="H237" s="5"/>
    </row>
    <row r="238" customFormat="false" ht="15" hidden="false" customHeight="false" outlineLevel="0" collapsed="false">
      <c r="A238" s="25" t="n">
        <v>234</v>
      </c>
      <c r="B238" s="29"/>
      <c r="C238" s="22"/>
      <c r="D238" s="22"/>
      <c r="E238" s="22"/>
      <c r="F238" s="5"/>
      <c r="G238" s="23"/>
      <c r="H238" s="5"/>
    </row>
    <row r="239" customFormat="false" ht="15" hidden="false" customHeight="false" outlineLevel="0" collapsed="false">
      <c r="A239" s="21" t="n">
        <v>235</v>
      </c>
      <c r="B239" s="29"/>
      <c r="C239" s="22"/>
      <c r="D239" s="22"/>
      <c r="E239" s="22"/>
      <c r="F239" s="5"/>
      <c r="G239" s="23"/>
      <c r="H239" s="5"/>
    </row>
    <row r="240" customFormat="false" ht="15" hidden="false" customHeight="false" outlineLevel="0" collapsed="false">
      <c r="A240" s="25" t="n">
        <v>236</v>
      </c>
      <c r="B240" s="29"/>
      <c r="C240" s="22"/>
      <c r="D240" s="22"/>
      <c r="E240" s="22"/>
      <c r="F240" s="5"/>
      <c r="G240" s="23"/>
      <c r="H240" s="5"/>
    </row>
    <row r="241" customFormat="false" ht="15" hidden="false" customHeight="false" outlineLevel="0" collapsed="false">
      <c r="A241" s="21" t="n">
        <v>237</v>
      </c>
      <c r="B241" s="29"/>
      <c r="C241" s="22"/>
      <c r="D241" s="22"/>
      <c r="E241" s="22"/>
      <c r="F241" s="5"/>
      <c r="G241" s="23"/>
      <c r="H241" s="5"/>
    </row>
    <row r="242" customFormat="false" ht="15" hidden="false" customHeight="false" outlineLevel="0" collapsed="false">
      <c r="A242" s="25" t="n">
        <v>238</v>
      </c>
      <c r="B242" s="29"/>
      <c r="C242" s="22"/>
      <c r="D242" s="22"/>
      <c r="E242" s="22"/>
      <c r="F242" s="5"/>
      <c r="G242" s="23"/>
      <c r="H242" s="5"/>
    </row>
    <row r="243" customFormat="false" ht="15" hidden="false" customHeight="false" outlineLevel="0" collapsed="false">
      <c r="A243" s="21" t="n">
        <v>239</v>
      </c>
      <c r="B243" s="29"/>
      <c r="C243" s="22"/>
      <c r="D243" s="22"/>
      <c r="E243" s="22"/>
      <c r="F243" s="5"/>
      <c r="G243" s="23"/>
      <c r="H243" s="5"/>
    </row>
    <row r="244" customFormat="false" ht="15" hidden="false" customHeight="false" outlineLevel="0" collapsed="false">
      <c r="A244" s="25" t="n">
        <v>240</v>
      </c>
      <c r="B244" s="29"/>
      <c r="C244" s="22"/>
      <c r="D244" s="22"/>
      <c r="E244" s="22"/>
      <c r="F244" s="5"/>
      <c r="G244" s="23"/>
      <c r="H244" s="5"/>
    </row>
    <row r="245" customFormat="false" ht="15" hidden="false" customHeight="false" outlineLevel="0" collapsed="false">
      <c r="A245" s="21" t="n">
        <v>241</v>
      </c>
      <c r="B245" s="29"/>
      <c r="C245" s="22"/>
      <c r="D245" s="22"/>
      <c r="E245" s="22"/>
      <c r="F245" s="5"/>
      <c r="G245" s="23"/>
      <c r="H245" s="5"/>
    </row>
    <row r="246" customFormat="false" ht="15" hidden="false" customHeight="false" outlineLevel="0" collapsed="false">
      <c r="A246" s="25" t="n">
        <v>242</v>
      </c>
      <c r="B246" s="29"/>
      <c r="C246" s="22"/>
      <c r="D246" s="22"/>
      <c r="E246" s="22"/>
      <c r="F246" s="5"/>
      <c r="G246" s="23"/>
      <c r="H246" s="5"/>
    </row>
    <row r="247" customFormat="false" ht="15" hidden="false" customHeight="false" outlineLevel="0" collapsed="false">
      <c r="A247" s="21" t="n">
        <v>243</v>
      </c>
      <c r="B247" s="29"/>
      <c r="C247" s="22"/>
      <c r="D247" s="22"/>
      <c r="E247" s="22"/>
      <c r="F247" s="5"/>
      <c r="G247" s="23"/>
      <c r="H247" s="5"/>
    </row>
    <row r="248" customFormat="false" ht="15" hidden="false" customHeight="false" outlineLevel="0" collapsed="false">
      <c r="A248" s="25" t="n">
        <v>244</v>
      </c>
      <c r="B248" s="29"/>
      <c r="C248" s="22"/>
      <c r="D248" s="22"/>
      <c r="E248" s="22"/>
      <c r="F248" s="5"/>
      <c r="G248" s="23"/>
      <c r="H248" s="5"/>
    </row>
    <row r="249" customFormat="false" ht="15" hidden="false" customHeight="false" outlineLevel="0" collapsed="false">
      <c r="A249" s="21" t="n">
        <v>245</v>
      </c>
      <c r="B249" s="29"/>
      <c r="C249" s="22"/>
      <c r="D249" s="22"/>
      <c r="E249" s="22"/>
      <c r="F249" s="5"/>
      <c r="G249" s="23"/>
      <c r="H249" s="5"/>
    </row>
    <row r="250" customFormat="false" ht="15" hidden="false" customHeight="false" outlineLevel="0" collapsed="false">
      <c r="A250" s="25" t="n">
        <v>246</v>
      </c>
      <c r="B250" s="29"/>
      <c r="C250" s="22"/>
      <c r="D250" s="22"/>
      <c r="E250" s="22"/>
      <c r="F250" s="5"/>
      <c r="G250" s="23"/>
      <c r="H250" s="5"/>
    </row>
    <row r="251" customFormat="false" ht="15" hidden="false" customHeight="false" outlineLevel="0" collapsed="false">
      <c r="A251" s="21" t="n">
        <v>247</v>
      </c>
      <c r="B251" s="29"/>
      <c r="C251" s="22"/>
      <c r="D251" s="22"/>
      <c r="E251" s="22"/>
      <c r="F251" s="5"/>
      <c r="G251" s="23"/>
      <c r="H251" s="5"/>
    </row>
    <row r="252" customFormat="false" ht="15" hidden="false" customHeight="false" outlineLevel="0" collapsed="false">
      <c r="A252" s="25" t="n">
        <v>248</v>
      </c>
      <c r="B252" s="29"/>
      <c r="C252" s="22"/>
      <c r="D252" s="22"/>
      <c r="E252" s="22"/>
      <c r="F252" s="5"/>
      <c r="G252" s="23"/>
      <c r="H252" s="5"/>
    </row>
    <row r="253" customFormat="false" ht="15" hidden="false" customHeight="false" outlineLevel="0" collapsed="false">
      <c r="A253" s="21" t="n">
        <v>249</v>
      </c>
      <c r="B253" s="29"/>
      <c r="C253" s="22"/>
      <c r="D253" s="22"/>
      <c r="E253" s="22"/>
      <c r="F253" s="5"/>
      <c r="G253" s="23"/>
      <c r="H253" s="5"/>
    </row>
    <row r="254" customFormat="false" ht="15" hidden="false" customHeight="false" outlineLevel="0" collapsed="false">
      <c r="A254" s="25" t="n">
        <v>250</v>
      </c>
      <c r="B254" s="29"/>
      <c r="C254" s="22"/>
      <c r="D254" s="22"/>
      <c r="E254" s="22"/>
      <c r="F254" s="5"/>
      <c r="G254" s="23"/>
      <c r="H254" s="5"/>
    </row>
    <row r="255" customFormat="false" ht="15" hidden="false" customHeight="false" outlineLevel="0" collapsed="false">
      <c r="A255" s="21" t="n">
        <v>251</v>
      </c>
      <c r="B255" s="29"/>
      <c r="C255" s="22"/>
      <c r="D255" s="22"/>
      <c r="E255" s="22"/>
      <c r="F255" s="5"/>
      <c r="G255" s="23"/>
      <c r="H255" s="5"/>
    </row>
    <row r="256" customFormat="false" ht="15" hidden="false" customHeight="false" outlineLevel="0" collapsed="false">
      <c r="A256" s="25" t="n">
        <v>252</v>
      </c>
      <c r="B256" s="29"/>
      <c r="C256" s="22"/>
      <c r="D256" s="22"/>
      <c r="E256" s="22"/>
      <c r="F256" s="5"/>
      <c r="G256" s="23"/>
      <c r="H256" s="5"/>
    </row>
    <row r="257" customFormat="false" ht="15" hidden="false" customHeight="false" outlineLevel="0" collapsed="false">
      <c r="A257" s="21" t="n">
        <v>253</v>
      </c>
      <c r="B257" s="29"/>
      <c r="C257" s="22"/>
      <c r="D257" s="22"/>
      <c r="E257" s="22"/>
      <c r="F257" s="5"/>
      <c r="G257" s="23"/>
      <c r="H257" s="5"/>
    </row>
    <row r="258" customFormat="false" ht="15" hidden="false" customHeight="false" outlineLevel="0" collapsed="false">
      <c r="A258" s="25" t="n">
        <v>254</v>
      </c>
      <c r="B258" s="29"/>
      <c r="C258" s="22"/>
      <c r="D258" s="22"/>
      <c r="E258" s="22"/>
      <c r="F258" s="5"/>
      <c r="G258" s="23"/>
      <c r="H258" s="5"/>
    </row>
    <row r="259" customFormat="false" ht="15" hidden="false" customHeight="false" outlineLevel="0" collapsed="false">
      <c r="A259" s="21" t="n">
        <v>255</v>
      </c>
      <c r="B259" s="29"/>
      <c r="C259" s="22"/>
      <c r="D259" s="22"/>
      <c r="E259" s="22"/>
      <c r="F259" s="5"/>
      <c r="G259" s="23"/>
      <c r="H259" s="5"/>
    </row>
    <row r="260" customFormat="false" ht="15" hidden="false" customHeight="false" outlineLevel="0" collapsed="false">
      <c r="A260" s="25" t="n">
        <v>256</v>
      </c>
      <c r="B260" s="29"/>
      <c r="C260" s="22"/>
      <c r="D260" s="22"/>
      <c r="E260" s="22"/>
      <c r="F260" s="5"/>
      <c r="G260" s="23"/>
      <c r="H260" s="5"/>
    </row>
    <row r="261" customFormat="false" ht="15" hidden="false" customHeight="false" outlineLevel="0" collapsed="false">
      <c r="A261" s="21" t="n">
        <v>257</v>
      </c>
      <c r="B261" s="29"/>
      <c r="C261" s="22"/>
      <c r="D261" s="22"/>
      <c r="E261" s="22"/>
      <c r="F261" s="5"/>
      <c r="G261" s="23"/>
      <c r="H261" s="5"/>
    </row>
    <row r="262" customFormat="false" ht="15" hidden="false" customHeight="false" outlineLevel="0" collapsed="false">
      <c r="A262" s="25" t="n">
        <v>258</v>
      </c>
      <c r="B262" s="29"/>
      <c r="C262" s="22"/>
      <c r="D262" s="22"/>
      <c r="E262" s="22"/>
      <c r="F262" s="5"/>
      <c r="G262" s="23"/>
      <c r="H262" s="5"/>
    </row>
    <row r="263" customFormat="false" ht="15" hidden="false" customHeight="false" outlineLevel="0" collapsed="false">
      <c r="A263" s="21" t="n">
        <v>259</v>
      </c>
      <c r="B263" s="29"/>
      <c r="C263" s="22"/>
      <c r="D263" s="22"/>
      <c r="E263" s="22"/>
      <c r="F263" s="5"/>
      <c r="G263" s="23"/>
      <c r="H263" s="5"/>
    </row>
    <row r="264" customFormat="false" ht="15" hidden="false" customHeight="false" outlineLevel="0" collapsed="false">
      <c r="A264" s="25" t="n">
        <v>260</v>
      </c>
      <c r="B264" s="29"/>
      <c r="C264" s="22"/>
      <c r="D264" s="22"/>
      <c r="E264" s="22"/>
      <c r="F264" s="5"/>
      <c r="G264" s="23"/>
      <c r="H264" s="5"/>
    </row>
    <row r="265" customFormat="false" ht="15" hidden="false" customHeight="false" outlineLevel="0" collapsed="false">
      <c r="A265" s="21" t="n">
        <v>261</v>
      </c>
      <c r="B265" s="29"/>
      <c r="C265" s="22"/>
      <c r="D265" s="22"/>
      <c r="E265" s="22"/>
      <c r="F265" s="5"/>
      <c r="G265" s="23"/>
      <c r="H265" s="5"/>
    </row>
    <row r="266" customFormat="false" ht="15" hidden="false" customHeight="false" outlineLevel="0" collapsed="false">
      <c r="A266" s="25" t="n">
        <v>262</v>
      </c>
      <c r="B266" s="29"/>
      <c r="C266" s="22"/>
      <c r="D266" s="22"/>
      <c r="E266" s="22"/>
      <c r="F266" s="5"/>
      <c r="G266" s="23"/>
      <c r="H266" s="5"/>
    </row>
    <row r="267" customFormat="false" ht="15" hidden="false" customHeight="false" outlineLevel="0" collapsed="false">
      <c r="A267" s="21" t="n">
        <v>263</v>
      </c>
      <c r="B267" s="29"/>
      <c r="C267" s="22"/>
      <c r="D267" s="22"/>
      <c r="E267" s="22"/>
      <c r="F267" s="5"/>
      <c r="G267" s="23"/>
      <c r="H267" s="5"/>
    </row>
    <row r="268" customFormat="false" ht="15" hidden="false" customHeight="false" outlineLevel="0" collapsed="false">
      <c r="A268" s="25" t="n">
        <v>264</v>
      </c>
      <c r="B268" s="29"/>
      <c r="C268" s="22"/>
      <c r="D268" s="22"/>
      <c r="E268" s="22"/>
      <c r="F268" s="5"/>
      <c r="G268" s="23"/>
      <c r="H268" s="5"/>
    </row>
    <row r="269" customFormat="false" ht="15" hidden="false" customHeight="false" outlineLevel="0" collapsed="false">
      <c r="A269" s="21" t="n">
        <v>265</v>
      </c>
      <c r="B269" s="29"/>
      <c r="C269" s="22"/>
      <c r="D269" s="22"/>
      <c r="E269" s="22"/>
      <c r="F269" s="5"/>
      <c r="G269" s="23"/>
      <c r="H269" s="5"/>
    </row>
    <row r="270" customFormat="false" ht="15" hidden="false" customHeight="false" outlineLevel="0" collapsed="false">
      <c r="A270" s="25" t="n">
        <v>266</v>
      </c>
      <c r="B270" s="29"/>
      <c r="C270" s="22"/>
      <c r="D270" s="22"/>
      <c r="E270" s="22"/>
      <c r="F270" s="5"/>
      <c r="G270" s="23"/>
      <c r="H270" s="5"/>
    </row>
    <row r="271" customFormat="false" ht="15" hidden="false" customHeight="false" outlineLevel="0" collapsed="false">
      <c r="A271" s="21" t="n">
        <v>267</v>
      </c>
      <c r="B271" s="29"/>
      <c r="C271" s="22"/>
      <c r="D271" s="22"/>
      <c r="E271" s="22"/>
      <c r="F271" s="5"/>
      <c r="G271" s="23"/>
      <c r="H271" s="5"/>
    </row>
    <row r="272" customFormat="false" ht="15" hidden="false" customHeight="false" outlineLevel="0" collapsed="false">
      <c r="A272" s="25" t="n">
        <v>268</v>
      </c>
      <c r="B272" s="29"/>
      <c r="C272" s="22"/>
      <c r="D272" s="22"/>
      <c r="E272" s="22"/>
      <c r="F272" s="5"/>
      <c r="G272" s="23"/>
      <c r="H272" s="5"/>
    </row>
    <row r="273" customFormat="false" ht="15" hidden="false" customHeight="false" outlineLevel="0" collapsed="false">
      <c r="A273" s="21" t="n">
        <v>269</v>
      </c>
      <c r="B273" s="29"/>
      <c r="C273" s="22"/>
      <c r="D273" s="22"/>
      <c r="E273" s="22"/>
      <c r="F273" s="5"/>
      <c r="G273" s="23"/>
      <c r="H273" s="5"/>
    </row>
    <row r="274" customFormat="false" ht="15" hidden="false" customHeight="false" outlineLevel="0" collapsed="false">
      <c r="A274" s="25" t="n">
        <v>270</v>
      </c>
      <c r="B274" s="29"/>
      <c r="C274" s="22"/>
      <c r="D274" s="22"/>
      <c r="E274" s="22"/>
      <c r="F274" s="5"/>
      <c r="G274" s="23"/>
      <c r="H274" s="5"/>
    </row>
    <row r="275" customFormat="false" ht="15" hidden="false" customHeight="false" outlineLevel="0" collapsed="false">
      <c r="A275" s="21" t="n">
        <v>271</v>
      </c>
      <c r="B275" s="29"/>
      <c r="C275" s="22"/>
      <c r="D275" s="22"/>
      <c r="E275" s="22"/>
      <c r="F275" s="5"/>
      <c r="G275" s="23"/>
      <c r="H275" s="5"/>
    </row>
    <row r="276" customFormat="false" ht="15" hidden="false" customHeight="false" outlineLevel="0" collapsed="false">
      <c r="A276" s="25" t="n">
        <v>272</v>
      </c>
      <c r="B276" s="29"/>
      <c r="C276" s="22"/>
      <c r="D276" s="22"/>
      <c r="E276" s="22"/>
      <c r="F276" s="5"/>
      <c r="G276" s="23"/>
      <c r="H276" s="5"/>
    </row>
    <row r="277" customFormat="false" ht="15" hidden="false" customHeight="false" outlineLevel="0" collapsed="false">
      <c r="A277" s="21" t="n">
        <v>273</v>
      </c>
      <c r="B277" s="29"/>
      <c r="C277" s="22"/>
      <c r="D277" s="22"/>
      <c r="E277" s="22"/>
      <c r="F277" s="5"/>
      <c r="G277" s="23"/>
      <c r="H277" s="5"/>
    </row>
    <row r="278" customFormat="false" ht="15" hidden="false" customHeight="false" outlineLevel="0" collapsed="false">
      <c r="A278" s="25" t="n">
        <v>274</v>
      </c>
      <c r="B278" s="29"/>
      <c r="C278" s="22"/>
      <c r="D278" s="22"/>
      <c r="E278" s="22"/>
      <c r="F278" s="5"/>
      <c r="G278" s="23"/>
      <c r="H278" s="5"/>
    </row>
    <row r="279" customFormat="false" ht="15" hidden="false" customHeight="false" outlineLevel="0" collapsed="false">
      <c r="A279" s="21" t="n">
        <v>275</v>
      </c>
      <c r="B279" s="29"/>
      <c r="C279" s="22"/>
      <c r="D279" s="22"/>
      <c r="E279" s="22"/>
      <c r="F279" s="5"/>
      <c r="G279" s="23"/>
      <c r="H279" s="5"/>
    </row>
    <row r="280" customFormat="false" ht="15" hidden="false" customHeight="false" outlineLevel="0" collapsed="false">
      <c r="A280" s="25" t="n">
        <v>276</v>
      </c>
      <c r="B280" s="29"/>
      <c r="C280" s="22"/>
      <c r="D280" s="22"/>
      <c r="E280" s="22"/>
      <c r="F280" s="5"/>
      <c r="G280" s="23"/>
      <c r="H280" s="5"/>
    </row>
    <row r="281" customFormat="false" ht="15" hidden="false" customHeight="false" outlineLevel="0" collapsed="false">
      <c r="A281" s="21" t="n">
        <v>277</v>
      </c>
      <c r="B281" s="29"/>
      <c r="C281" s="22"/>
      <c r="D281" s="22"/>
      <c r="E281" s="22"/>
      <c r="F281" s="5"/>
      <c r="G281" s="23"/>
      <c r="H281" s="5"/>
    </row>
    <row r="282" customFormat="false" ht="15" hidden="false" customHeight="false" outlineLevel="0" collapsed="false">
      <c r="A282" s="25" t="n">
        <v>278</v>
      </c>
      <c r="B282" s="29"/>
      <c r="C282" s="22"/>
      <c r="D282" s="22"/>
      <c r="E282" s="22"/>
      <c r="F282" s="5"/>
      <c r="G282" s="23"/>
      <c r="H282" s="5"/>
    </row>
    <row r="283" customFormat="false" ht="15" hidden="false" customHeight="false" outlineLevel="0" collapsed="false">
      <c r="A283" s="21" t="n">
        <v>279</v>
      </c>
      <c r="B283" s="29"/>
      <c r="C283" s="22"/>
      <c r="D283" s="22"/>
      <c r="E283" s="22"/>
      <c r="F283" s="5"/>
      <c r="G283" s="23"/>
      <c r="H283" s="5"/>
    </row>
    <row r="284" customFormat="false" ht="15" hidden="false" customHeight="false" outlineLevel="0" collapsed="false">
      <c r="A284" s="25" t="n">
        <v>280</v>
      </c>
      <c r="B284" s="29"/>
      <c r="C284" s="22"/>
      <c r="D284" s="22"/>
      <c r="E284" s="22"/>
      <c r="F284" s="5"/>
      <c r="G284" s="23"/>
      <c r="H284" s="5"/>
    </row>
    <row r="285" customFormat="false" ht="15" hidden="false" customHeight="false" outlineLevel="0" collapsed="false">
      <c r="A285" s="21" t="n">
        <v>281</v>
      </c>
      <c r="B285" s="29"/>
      <c r="C285" s="22"/>
      <c r="D285" s="22"/>
      <c r="E285" s="22"/>
      <c r="F285" s="5"/>
      <c r="G285" s="23"/>
      <c r="H285" s="5"/>
    </row>
    <row r="286" customFormat="false" ht="15" hidden="false" customHeight="false" outlineLevel="0" collapsed="false">
      <c r="A286" s="25" t="n">
        <v>282</v>
      </c>
      <c r="B286" s="29"/>
      <c r="C286" s="22"/>
      <c r="D286" s="22"/>
      <c r="E286" s="22"/>
      <c r="F286" s="5"/>
      <c r="G286" s="23"/>
      <c r="H286" s="5"/>
    </row>
    <row r="287" customFormat="false" ht="15" hidden="false" customHeight="false" outlineLevel="0" collapsed="false">
      <c r="A287" s="21" t="n">
        <v>283</v>
      </c>
      <c r="B287" s="29"/>
      <c r="C287" s="22"/>
      <c r="D287" s="22"/>
      <c r="E287" s="22"/>
      <c r="F287" s="5"/>
      <c r="G287" s="23"/>
      <c r="H287" s="5"/>
    </row>
    <row r="288" customFormat="false" ht="15" hidden="false" customHeight="false" outlineLevel="0" collapsed="false">
      <c r="A288" s="25" t="n">
        <v>284</v>
      </c>
      <c r="B288" s="29"/>
      <c r="C288" s="22"/>
      <c r="D288" s="22"/>
      <c r="E288" s="22"/>
      <c r="F288" s="5"/>
      <c r="G288" s="23"/>
      <c r="H288" s="5"/>
    </row>
    <row r="289" customFormat="false" ht="15" hidden="false" customHeight="false" outlineLevel="0" collapsed="false">
      <c r="A289" s="21" t="n">
        <v>285</v>
      </c>
      <c r="B289" s="29"/>
      <c r="C289" s="22"/>
      <c r="D289" s="22"/>
      <c r="E289" s="22"/>
      <c r="F289" s="5"/>
      <c r="G289" s="23"/>
      <c r="H289" s="5"/>
    </row>
    <row r="290" customFormat="false" ht="15" hidden="false" customHeight="false" outlineLevel="0" collapsed="false">
      <c r="A290" s="25" t="n">
        <v>286</v>
      </c>
      <c r="B290" s="29"/>
      <c r="C290" s="22"/>
      <c r="D290" s="22"/>
      <c r="E290" s="22"/>
      <c r="F290" s="5"/>
      <c r="G290" s="23"/>
      <c r="H290" s="5"/>
    </row>
    <row r="291" customFormat="false" ht="15" hidden="false" customHeight="false" outlineLevel="0" collapsed="false">
      <c r="A291" s="21" t="n">
        <v>287</v>
      </c>
      <c r="B291" s="29"/>
      <c r="C291" s="22"/>
      <c r="D291" s="22"/>
      <c r="E291" s="22"/>
      <c r="F291" s="5"/>
      <c r="G291" s="23"/>
      <c r="H291" s="5"/>
    </row>
    <row r="292" customFormat="false" ht="15" hidden="false" customHeight="false" outlineLevel="0" collapsed="false">
      <c r="A292" s="25" t="n">
        <v>288</v>
      </c>
      <c r="B292" s="29"/>
      <c r="C292" s="22"/>
      <c r="D292" s="22"/>
      <c r="E292" s="22"/>
      <c r="F292" s="5"/>
      <c r="G292" s="23"/>
      <c r="H292" s="5"/>
    </row>
    <row r="293" customFormat="false" ht="15" hidden="false" customHeight="false" outlineLevel="0" collapsed="false">
      <c r="A293" s="21" t="n">
        <v>289</v>
      </c>
      <c r="B293" s="29"/>
      <c r="C293" s="22"/>
      <c r="D293" s="22"/>
      <c r="E293" s="22"/>
      <c r="F293" s="5"/>
      <c r="G293" s="23"/>
      <c r="H293" s="5"/>
    </row>
    <row r="294" customFormat="false" ht="15" hidden="false" customHeight="false" outlineLevel="0" collapsed="false">
      <c r="A294" s="25" t="n">
        <v>290</v>
      </c>
      <c r="B294" s="29"/>
      <c r="C294" s="22"/>
      <c r="D294" s="22"/>
      <c r="E294" s="22"/>
      <c r="F294" s="5"/>
      <c r="G294" s="23"/>
      <c r="H294" s="5"/>
    </row>
    <row r="295" customFormat="false" ht="15" hidden="false" customHeight="false" outlineLevel="0" collapsed="false">
      <c r="A295" s="21" t="n">
        <v>291</v>
      </c>
      <c r="B295" s="29"/>
      <c r="C295" s="22"/>
      <c r="D295" s="22"/>
      <c r="E295" s="22"/>
      <c r="F295" s="5"/>
      <c r="G295" s="23"/>
      <c r="H295" s="5"/>
    </row>
    <row r="296" customFormat="false" ht="15" hidden="false" customHeight="false" outlineLevel="0" collapsed="false">
      <c r="A296" s="25" t="n">
        <v>292</v>
      </c>
      <c r="B296" s="29"/>
      <c r="C296" s="22"/>
      <c r="D296" s="22"/>
      <c r="E296" s="22"/>
      <c r="F296" s="5"/>
      <c r="G296" s="23"/>
      <c r="H296" s="5"/>
    </row>
    <row r="297" customFormat="false" ht="15" hidden="false" customHeight="false" outlineLevel="0" collapsed="false">
      <c r="A297" s="21" t="n">
        <v>293</v>
      </c>
      <c r="B297" s="29"/>
      <c r="C297" s="22"/>
      <c r="D297" s="22"/>
      <c r="E297" s="22"/>
      <c r="F297" s="5"/>
      <c r="G297" s="23"/>
      <c r="H297" s="5"/>
    </row>
    <row r="298" customFormat="false" ht="15" hidden="false" customHeight="false" outlineLevel="0" collapsed="false">
      <c r="A298" s="25" t="n">
        <v>294</v>
      </c>
      <c r="B298" s="29"/>
      <c r="C298" s="22"/>
      <c r="D298" s="22"/>
      <c r="E298" s="22"/>
      <c r="F298" s="5"/>
      <c r="G298" s="23"/>
      <c r="H298" s="5"/>
    </row>
    <row r="299" customFormat="false" ht="15" hidden="false" customHeight="false" outlineLevel="0" collapsed="false">
      <c r="A299" s="21" t="n">
        <v>295</v>
      </c>
      <c r="B299" s="29"/>
      <c r="C299" s="22"/>
      <c r="D299" s="22"/>
      <c r="E299" s="22"/>
      <c r="F299" s="5"/>
      <c r="G299" s="23"/>
      <c r="H299" s="5"/>
    </row>
    <row r="300" customFormat="false" ht="15" hidden="false" customHeight="false" outlineLevel="0" collapsed="false">
      <c r="A300" s="25" t="n">
        <v>296</v>
      </c>
      <c r="B300" s="29"/>
      <c r="C300" s="22"/>
      <c r="D300" s="22"/>
      <c r="E300" s="22"/>
      <c r="F300" s="5"/>
      <c r="G300" s="23"/>
      <c r="H300" s="5"/>
    </row>
    <row r="301" customFormat="false" ht="15" hidden="false" customHeight="false" outlineLevel="0" collapsed="false">
      <c r="A301" s="21" t="n">
        <v>297</v>
      </c>
      <c r="B301" s="29"/>
      <c r="C301" s="22"/>
      <c r="D301" s="22"/>
      <c r="E301" s="22"/>
      <c r="F301" s="5"/>
      <c r="G301" s="23"/>
      <c r="H301" s="5"/>
    </row>
    <row r="302" customFormat="false" ht="15" hidden="false" customHeight="false" outlineLevel="0" collapsed="false">
      <c r="A302" s="25" t="n">
        <v>298</v>
      </c>
      <c r="B302" s="29"/>
      <c r="C302" s="22"/>
      <c r="D302" s="22"/>
      <c r="E302" s="22"/>
      <c r="F302" s="5"/>
      <c r="G302" s="23"/>
      <c r="H302" s="5"/>
    </row>
    <row r="303" customFormat="false" ht="15" hidden="false" customHeight="false" outlineLevel="0" collapsed="false">
      <c r="A303" s="21" t="n">
        <v>299</v>
      </c>
      <c r="B303" s="29"/>
      <c r="C303" s="22"/>
      <c r="D303" s="22"/>
      <c r="E303" s="22"/>
      <c r="F303" s="5"/>
      <c r="G303" s="23"/>
      <c r="H303" s="5"/>
    </row>
    <row r="304" customFormat="false" ht="15" hidden="false" customHeight="false" outlineLevel="0" collapsed="false">
      <c r="A304" s="25" t="n">
        <v>300</v>
      </c>
      <c r="B304" s="29"/>
      <c r="C304" s="22"/>
      <c r="D304" s="22"/>
      <c r="E304" s="22"/>
      <c r="F304" s="5"/>
      <c r="G304" s="23"/>
      <c r="H304" s="5"/>
    </row>
  </sheetData>
  <mergeCells count="2">
    <mergeCell ref="A1:H1"/>
    <mergeCell ref="A2:H2"/>
  </mergeCells>
  <dataValidations count="3">
    <dataValidation allowBlank="true" errorStyle="stop" operator="between" showDropDown="false" showErrorMessage="true" showInputMessage="false" sqref="C5:C304" type="list">
      <formula1>"Oct 2026,Nov 2026,Dec 2026,Jan 2027,Feb 2027,Mar 2027,Apr 2027,May 2027,Jun 2027,Jul 2027,Aug 2027,Sep 2027"</formula1>
      <formula2>0</formula2>
    </dataValidation>
    <dataValidation allowBlank="true" errorStyle="stop" operator="between" showDropDown="false" showErrorMessage="true" showInputMessage="false" sqref="D5:D304" type="list">
      <formula1>"Expense,Investment,Other Income"</formula1>
      <formula2>0</formula2>
    </dataValidation>
    <dataValidation allowBlank="true" errorStyle="stop" operator="between" showDropDown="false" showErrorMessage="false" showInputMessage="false" sqref="E5:E304" type="list">
      <formula1>"Rent,Electricity Bill,Gas/Water Bill,Internet,Staff Salary,Stationery,Printing,Furniture,Computers/Equipment,Marketing,Maintenance,Refreshment,Admission Fee,Other"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5" min="3" style="0" width="15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30" t="str">
        <f aca="false">UPPER(Setup!B3)</f>
        <v>FUTURE TALENT ACADEMY JAMSHORO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15" hidden="false" customHeight="true" outlineLevel="0" collapsed="false">
      <c r="A2" s="31" t="s">
        <v>54</v>
      </c>
      <c r="B2" s="31"/>
      <c r="C2" s="31"/>
      <c r="D2" s="31"/>
      <c r="E2" s="31"/>
      <c r="F2" s="31"/>
      <c r="G2" s="31"/>
      <c r="H2" s="31"/>
      <c r="I2" s="31"/>
      <c r="J2" s="31"/>
    </row>
    <row r="4" customFormat="false" ht="30" hidden="false" customHeight="true" outlineLevel="0" collapsed="false">
      <c r="A4" s="4" t="s">
        <v>41</v>
      </c>
      <c r="B4" s="4" t="s">
        <v>55</v>
      </c>
      <c r="C4" s="4" t="s">
        <v>56</v>
      </c>
      <c r="D4" s="4" t="s">
        <v>6</v>
      </c>
      <c r="E4" s="4" t="s">
        <v>57</v>
      </c>
      <c r="F4" s="4" t="s">
        <v>58</v>
      </c>
      <c r="G4" s="4" t="s">
        <v>51</v>
      </c>
      <c r="H4" s="28" t="s">
        <v>59</v>
      </c>
      <c r="I4" s="4" t="s">
        <v>60</v>
      </c>
      <c r="J4" s="4" t="s">
        <v>61</v>
      </c>
    </row>
    <row r="5" customFormat="false" ht="15" hidden="false" customHeight="false" outlineLevel="0" collapsed="false">
      <c r="A5" s="32" t="s">
        <v>62</v>
      </c>
      <c r="B5" s="33" t="n">
        <f aca="false">'Oct 2026'!F12</f>
        <v>3000</v>
      </c>
      <c r="C5" s="33" t="n">
        <f aca="false">'Oct 2026'!G12</f>
        <v>1500</v>
      </c>
      <c r="D5" s="33" t="n">
        <f aca="false">'Oct 2026'!H12</f>
        <v>1500</v>
      </c>
      <c r="E5" s="33" t="n">
        <f aca="false">'Oct 2026'!N6</f>
        <v>0</v>
      </c>
      <c r="F5" s="33" t="n">
        <f aca="false">'Oct 2026'!N7</f>
        <v>10000</v>
      </c>
      <c r="G5" s="33" t="n">
        <f aca="false">'Oct 2026'!N8</f>
        <v>8000</v>
      </c>
      <c r="H5" s="34" t="n">
        <f aca="false">'Oct 2026'!N10</f>
        <v>-16500</v>
      </c>
      <c r="I5" s="33" t="n">
        <f aca="false">'Oct 2026'!I12</f>
        <v>500</v>
      </c>
      <c r="J5" s="35" t="n">
        <f aca="false">COUNTIF('Oct 2026'!B16:B165,"?*")</f>
        <v>1</v>
      </c>
    </row>
    <row r="6" customFormat="false" ht="15" hidden="false" customHeight="false" outlineLevel="0" collapsed="false">
      <c r="A6" s="36" t="s">
        <v>63</v>
      </c>
      <c r="B6" s="37" t="n">
        <f aca="false">'Nov 2026'!F12</f>
        <v>0</v>
      </c>
      <c r="C6" s="37" t="n">
        <f aca="false">'Nov 2026'!G12</f>
        <v>0</v>
      </c>
      <c r="D6" s="37" t="n">
        <f aca="false">'Nov 2026'!H12</f>
        <v>0</v>
      </c>
      <c r="E6" s="37" t="n">
        <f aca="false">'Nov 2026'!N6</f>
        <v>0</v>
      </c>
      <c r="F6" s="37" t="n">
        <f aca="false">'Nov 2026'!N7</f>
        <v>0</v>
      </c>
      <c r="G6" s="37" t="n">
        <f aca="false">'Nov 2026'!N8</f>
        <v>0</v>
      </c>
      <c r="H6" s="38" t="n">
        <f aca="false">'Nov 2026'!N10</f>
        <v>0</v>
      </c>
      <c r="I6" s="37" t="n">
        <f aca="false">'Nov 2026'!I12</f>
        <v>4000</v>
      </c>
      <c r="J6" s="39" t="n">
        <f aca="false">COUNTIF('Nov 2026'!B16:B165,"?*")</f>
        <v>1</v>
      </c>
    </row>
    <row r="7" customFormat="false" ht="15" hidden="false" customHeight="false" outlineLevel="0" collapsed="false">
      <c r="A7" s="32" t="s">
        <v>64</v>
      </c>
      <c r="B7" s="33" t="n">
        <f aca="false">'Dec 2026'!F12</f>
        <v>0</v>
      </c>
      <c r="C7" s="33" t="n">
        <f aca="false">'Dec 2026'!G12</f>
        <v>0</v>
      </c>
      <c r="D7" s="33" t="n">
        <f aca="false">'Dec 2026'!H12</f>
        <v>0</v>
      </c>
      <c r="E7" s="33" t="n">
        <f aca="false">'Dec 2026'!N6</f>
        <v>0</v>
      </c>
      <c r="F7" s="33" t="n">
        <f aca="false">'Dec 2026'!N7</f>
        <v>0</v>
      </c>
      <c r="G7" s="33" t="n">
        <f aca="false">'Dec 2026'!N8</f>
        <v>0</v>
      </c>
      <c r="H7" s="34" t="n">
        <f aca="false">'Dec 2026'!N10</f>
        <v>0</v>
      </c>
      <c r="I7" s="33" t="n">
        <f aca="false">'Dec 2026'!I12</f>
        <v>7500</v>
      </c>
      <c r="J7" s="35" t="n">
        <f aca="false">COUNTIF('Dec 2026'!B16:B165,"?*")</f>
        <v>1</v>
      </c>
    </row>
    <row r="8" customFormat="false" ht="15" hidden="false" customHeight="false" outlineLevel="0" collapsed="false">
      <c r="A8" s="36" t="s">
        <v>65</v>
      </c>
      <c r="B8" s="37" t="n">
        <f aca="false">'Jan 2027'!F12</f>
        <v>0</v>
      </c>
      <c r="C8" s="37" t="n">
        <f aca="false">'Jan 2027'!G12</f>
        <v>0</v>
      </c>
      <c r="D8" s="37" t="n">
        <f aca="false">'Jan 2027'!H12</f>
        <v>0</v>
      </c>
      <c r="E8" s="37" t="n">
        <f aca="false">'Jan 2027'!N6</f>
        <v>0</v>
      </c>
      <c r="F8" s="37" t="n">
        <f aca="false">'Jan 2027'!N7</f>
        <v>0</v>
      </c>
      <c r="G8" s="37" t="n">
        <f aca="false">'Jan 2027'!N8</f>
        <v>0</v>
      </c>
      <c r="H8" s="38" t="n">
        <f aca="false">'Jan 2027'!N10</f>
        <v>0</v>
      </c>
      <c r="I8" s="37" t="n">
        <f aca="false">'Jan 2027'!I12</f>
        <v>11000</v>
      </c>
      <c r="J8" s="39" t="n">
        <f aca="false">COUNTIF('Jan 2027'!B16:B165,"?*")</f>
        <v>1</v>
      </c>
    </row>
    <row r="9" customFormat="false" ht="15" hidden="false" customHeight="false" outlineLevel="0" collapsed="false">
      <c r="A9" s="32" t="s">
        <v>66</v>
      </c>
      <c r="B9" s="33" t="n">
        <f aca="false">'Feb 2027'!F12</f>
        <v>0</v>
      </c>
      <c r="C9" s="33" t="n">
        <f aca="false">'Feb 2027'!G12</f>
        <v>0</v>
      </c>
      <c r="D9" s="33" t="n">
        <f aca="false">'Feb 2027'!H12</f>
        <v>0</v>
      </c>
      <c r="E9" s="33" t="n">
        <f aca="false">'Feb 2027'!N6</f>
        <v>0</v>
      </c>
      <c r="F9" s="33" t="n">
        <f aca="false">'Feb 2027'!N7</f>
        <v>0</v>
      </c>
      <c r="G9" s="33" t="n">
        <f aca="false">'Feb 2027'!N8</f>
        <v>0</v>
      </c>
      <c r="H9" s="34" t="n">
        <f aca="false">'Feb 2027'!N10</f>
        <v>0</v>
      </c>
      <c r="I9" s="33" t="n">
        <f aca="false">'Feb 2027'!I12</f>
        <v>14500</v>
      </c>
      <c r="J9" s="35" t="n">
        <f aca="false">COUNTIF('Feb 2027'!B16:B165,"?*")</f>
        <v>1</v>
      </c>
    </row>
    <row r="10" customFormat="false" ht="15" hidden="false" customHeight="false" outlineLevel="0" collapsed="false">
      <c r="A10" s="36" t="s">
        <v>67</v>
      </c>
      <c r="B10" s="37" t="n">
        <f aca="false">'Mar 2027'!F12</f>
        <v>0</v>
      </c>
      <c r="C10" s="37" t="n">
        <f aca="false">'Mar 2027'!G12</f>
        <v>0</v>
      </c>
      <c r="D10" s="37" t="n">
        <f aca="false">'Mar 2027'!H12</f>
        <v>0</v>
      </c>
      <c r="E10" s="37" t="n">
        <f aca="false">'Mar 2027'!N6</f>
        <v>0</v>
      </c>
      <c r="F10" s="37" t="n">
        <f aca="false">'Mar 2027'!N7</f>
        <v>0</v>
      </c>
      <c r="G10" s="37" t="n">
        <f aca="false">'Mar 2027'!N8</f>
        <v>0</v>
      </c>
      <c r="H10" s="38" t="n">
        <f aca="false">'Mar 2027'!N10</f>
        <v>0</v>
      </c>
      <c r="I10" s="37" t="n">
        <f aca="false">'Mar 2027'!I12</f>
        <v>18000</v>
      </c>
      <c r="J10" s="39" t="n">
        <f aca="false">COUNTIF('Mar 2027'!B16:B165,"?*")</f>
        <v>1</v>
      </c>
    </row>
    <row r="11" customFormat="false" ht="15" hidden="false" customHeight="false" outlineLevel="0" collapsed="false">
      <c r="A11" s="32" t="s">
        <v>68</v>
      </c>
      <c r="B11" s="33" t="n">
        <f aca="false">'Apr 2027'!F12</f>
        <v>0</v>
      </c>
      <c r="C11" s="33" t="n">
        <f aca="false">'Apr 2027'!G12</f>
        <v>0</v>
      </c>
      <c r="D11" s="33" t="n">
        <f aca="false">'Apr 2027'!H12</f>
        <v>0</v>
      </c>
      <c r="E11" s="33" t="n">
        <f aca="false">'Apr 2027'!N6</f>
        <v>0</v>
      </c>
      <c r="F11" s="33" t="n">
        <f aca="false">'Apr 2027'!N7</f>
        <v>0</v>
      </c>
      <c r="G11" s="33" t="n">
        <f aca="false">'Apr 2027'!N8</f>
        <v>0</v>
      </c>
      <c r="H11" s="34" t="n">
        <f aca="false">'Apr 2027'!N10</f>
        <v>0</v>
      </c>
      <c r="I11" s="33" t="n">
        <f aca="false">'Apr 2027'!I12</f>
        <v>21500</v>
      </c>
      <c r="J11" s="35" t="n">
        <f aca="false">COUNTIF('Apr 2027'!B16:B165,"?*")</f>
        <v>1</v>
      </c>
    </row>
    <row r="12" customFormat="false" ht="15" hidden="false" customHeight="false" outlineLevel="0" collapsed="false">
      <c r="A12" s="36" t="s">
        <v>69</v>
      </c>
      <c r="B12" s="37" t="n">
        <f aca="false">'May 2027'!F12</f>
        <v>0</v>
      </c>
      <c r="C12" s="37" t="n">
        <f aca="false">'May 2027'!G12</f>
        <v>0</v>
      </c>
      <c r="D12" s="37" t="n">
        <f aca="false">'May 2027'!H12</f>
        <v>0</v>
      </c>
      <c r="E12" s="37" t="n">
        <f aca="false">'May 2027'!N6</f>
        <v>0</v>
      </c>
      <c r="F12" s="37" t="n">
        <f aca="false">'May 2027'!N7</f>
        <v>0</v>
      </c>
      <c r="G12" s="37" t="n">
        <f aca="false">'May 2027'!N8</f>
        <v>0</v>
      </c>
      <c r="H12" s="38" t="n">
        <f aca="false">'May 2027'!N10</f>
        <v>0</v>
      </c>
      <c r="I12" s="37" t="n">
        <f aca="false">'May 2027'!I12</f>
        <v>25000</v>
      </c>
      <c r="J12" s="39" t="n">
        <f aca="false">COUNTIF('May 2027'!B16:B165,"?*")</f>
        <v>1</v>
      </c>
    </row>
    <row r="13" customFormat="false" ht="15" hidden="false" customHeight="false" outlineLevel="0" collapsed="false">
      <c r="A13" s="32" t="s">
        <v>70</v>
      </c>
      <c r="B13" s="33" t="n">
        <f aca="false">'Jun 2027'!F12</f>
        <v>0</v>
      </c>
      <c r="C13" s="33" t="n">
        <f aca="false">'Jun 2027'!G12</f>
        <v>0</v>
      </c>
      <c r="D13" s="33" t="n">
        <f aca="false">'Jun 2027'!H12</f>
        <v>0</v>
      </c>
      <c r="E13" s="33" t="n">
        <f aca="false">'Jun 2027'!N6</f>
        <v>0</v>
      </c>
      <c r="F13" s="33" t="n">
        <f aca="false">'Jun 2027'!N7</f>
        <v>0</v>
      </c>
      <c r="G13" s="33" t="n">
        <f aca="false">'Jun 2027'!N8</f>
        <v>0</v>
      </c>
      <c r="H13" s="34" t="n">
        <f aca="false">'Jun 2027'!N10</f>
        <v>0</v>
      </c>
      <c r="I13" s="33" t="n">
        <f aca="false">'Jun 2027'!I12</f>
        <v>28500</v>
      </c>
      <c r="J13" s="35" t="n">
        <f aca="false">COUNTIF('Jun 2027'!B16:B165,"?*")</f>
        <v>1</v>
      </c>
    </row>
    <row r="14" customFormat="false" ht="15" hidden="false" customHeight="false" outlineLevel="0" collapsed="false">
      <c r="A14" s="36" t="s">
        <v>71</v>
      </c>
      <c r="B14" s="37" t="n">
        <f aca="false">'Jul 2027'!F12</f>
        <v>0</v>
      </c>
      <c r="C14" s="37" t="n">
        <f aca="false">'Jul 2027'!G12</f>
        <v>0</v>
      </c>
      <c r="D14" s="37" t="n">
        <f aca="false">'Jul 2027'!H12</f>
        <v>0</v>
      </c>
      <c r="E14" s="37" t="n">
        <f aca="false">'Jul 2027'!N6</f>
        <v>0</v>
      </c>
      <c r="F14" s="37" t="n">
        <f aca="false">'Jul 2027'!N7</f>
        <v>0</v>
      </c>
      <c r="G14" s="37" t="n">
        <f aca="false">'Jul 2027'!N8</f>
        <v>0</v>
      </c>
      <c r="H14" s="38" t="n">
        <f aca="false">'Jul 2027'!N10</f>
        <v>0</v>
      </c>
      <c r="I14" s="37" t="n">
        <f aca="false">'Jul 2027'!I12</f>
        <v>32000</v>
      </c>
      <c r="J14" s="39" t="n">
        <f aca="false">COUNTIF('Jul 2027'!B16:B165,"?*")</f>
        <v>1</v>
      </c>
    </row>
    <row r="15" customFormat="false" ht="15" hidden="false" customHeight="false" outlineLevel="0" collapsed="false">
      <c r="A15" s="32" t="s">
        <v>72</v>
      </c>
      <c r="B15" s="33" t="n">
        <f aca="false">'Aug 2027'!F12</f>
        <v>0</v>
      </c>
      <c r="C15" s="33" t="n">
        <f aca="false">'Aug 2027'!G12</f>
        <v>0</v>
      </c>
      <c r="D15" s="33" t="n">
        <f aca="false">'Aug 2027'!H12</f>
        <v>0</v>
      </c>
      <c r="E15" s="33" t="n">
        <f aca="false">'Aug 2027'!N6</f>
        <v>0</v>
      </c>
      <c r="F15" s="33" t="n">
        <f aca="false">'Aug 2027'!N7</f>
        <v>0</v>
      </c>
      <c r="G15" s="33" t="n">
        <f aca="false">'Aug 2027'!N8</f>
        <v>0</v>
      </c>
      <c r="H15" s="34" t="n">
        <f aca="false">'Aug 2027'!N10</f>
        <v>0</v>
      </c>
      <c r="I15" s="33" t="n">
        <f aca="false">'Aug 2027'!I12</f>
        <v>35500</v>
      </c>
      <c r="J15" s="35" t="n">
        <f aca="false">COUNTIF('Aug 2027'!B16:B165,"?*")</f>
        <v>1</v>
      </c>
    </row>
    <row r="16" customFormat="false" ht="15" hidden="false" customHeight="false" outlineLevel="0" collapsed="false">
      <c r="A16" s="36" t="s">
        <v>73</v>
      </c>
      <c r="B16" s="37" t="n">
        <f aca="false">'Sep 2027'!F12</f>
        <v>0</v>
      </c>
      <c r="C16" s="37" t="n">
        <f aca="false">'Sep 2027'!G12</f>
        <v>0</v>
      </c>
      <c r="D16" s="37" t="n">
        <f aca="false">'Sep 2027'!H12</f>
        <v>0</v>
      </c>
      <c r="E16" s="37" t="n">
        <f aca="false">'Sep 2027'!N6</f>
        <v>0</v>
      </c>
      <c r="F16" s="37" t="n">
        <f aca="false">'Sep 2027'!N7</f>
        <v>0</v>
      </c>
      <c r="G16" s="37" t="n">
        <f aca="false">'Sep 2027'!N8</f>
        <v>0</v>
      </c>
      <c r="H16" s="38" t="n">
        <f aca="false">'Sep 2027'!N10</f>
        <v>0</v>
      </c>
      <c r="I16" s="37" t="n">
        <f aca="false">'Sep 2027'!I12</f>
        <v>39000</v>
      </c>
      <c r="J16" s="39" t="n">
        <f aca="false">COUNTIF('Sep 2027'!B16:B165,"?*")</f>
        <v>1</v>
      </c>
    </row>
    <row r="17" customFormat="false" ht="15" hidden="false" customHeight="false" outlineLevel="0" collapsed="false">
      <c r="A17" s="40" t="s">
        <v>74</v>
      </c>
      <c r="B17" s="41" t="n">
        <f aca="false">SUM(B5:B16)</f>
        <v>3000</v>
      </c>
      <c r="C17" s="41" t="n">
        <f aca="false">SUM(C5:C16)</f>
        <v>1500</v>
      </c>
      <c r="D17" s="41" t="n">
        <f aca="false">SUM(D5:D16)</f>
        <v>1500</v>
      </c>
      <c r="E17" s="41" t="n">
        <f aca="false">SUM(E5:E16)</f>
        <v>0</v>
      </c>
      <c r="F17" s="41" t="n">
        <f aca="false">SUM(F5:F16)</f>
        <v>10000</v>
      </c>
      <c r="G17" s="41" t="n">
        <f aca="false">SUM(G5:G16)</f>
        <v>8000</v>
      </c>
      <c r="H17" s="42" t="n">
        <f aca="false">SUM(H5:H16)</f>
        <v>-16500</v>
      </c>
      <c r="I17" s="43"/>
      <c r="J17" s="43"/>
    </row>
    <row r="20" customFormat="false" ht="15" hidden="false" customHeight="true" outlineLevel="0" collapsed="false">
      <c r="A20" s="4" t="s">
        <v>75</v>
      </c>
      <c r="B20" s="4"/>
      <c r="C20" s="4"/>
      <c r="D20" s="4"/>
      <c r="E20" s="4"/>
      <c r="F20" s="4"/>
    </row>
    <row r="21" customFormat="false" ht="23.85" hidden="false" customHeight="false" outlineLevel="0" collapsed="false">
      <c r="A21" s="44" t="s">
        <v>76</v>
      </c>
      <c r="B21" s="44" t="s">
        <v>77</v>
      </c>
      <c r="C21" s="44" t="s">
        <v>55</v>
      </c>
      <c r="D21" s="44" t="s">
        <v>5</v>
      </c>
      <c r="E21" s="44" t="s">
        <v>6</v>
      </c>
      <c r="F21" s="44" t="s">
        <v>78</v>
      </c>
    </row>
    <row r="22" customFormat="false" ht="15" hidden="false" customHeight="false" outlineLevel="0" collapsed="false">
      <c r="A22" s="45" t="str">
        <f aca="false">Setup!A6</f>
        <v>English</v>
      </c>
      <c r="B22" s="46" t="str">
        <f aca="false">Setup!B6</f>
        <v>Sir Sajjad Ali Birhmani</v>
      </c>
      <c r="C22" s="24" t="n">
        <f aca="false">'Oct 2026'!F6+'Nov 2026'!F6+'Dec 2026'!F6+'Jan 2027'!F6+'Feb 2027'!F6+'Mar 2027'!F6+'Apr 2027'!F6+'May 2027'!F6+'Jun 2027'!F6+'Jul 2027'!F6+'Aug 2027'!F6+'Sep 2027'!F6</f>
        <v>0</v>
      </c>
      <c r="D22" s="33" t="n">
        <f aca="false">'Oct 2026'!G6+'Nov 2026'!G6+'Dec 2026'!G6+'Jan 2027'!G6+'Feb 2027'!G6+'Mar 2027'!G6+'Apr 2027'!G6+'May 2027'!G6+'Jun 2027'!G6+'Jul 2027'!G6+'Aug 2027'!G6+'Sep 2027'!G6</f>
        <v>0</v>
      </c>
      <c r="E22" s="33" t="n">
        <f aca="false">'Oct 2026'!H6+'Nov 2026'!H6+'Dec 2026'!H6+'Jan 2027'!H6+'Feb 2027'!H6+'Mar 2027'!H6+'Apr 2027'!H6+'May 2027'!H6+'Jun 2027'!H6+'Jul 2027'!H6+'Aug 2027'!H6+'Sep 2027'!H6</f>
        <v>0</v>
      </c>
      <c r="F22" s="47" t="n">
        <f aca="false">'Sep 2027'!I6</f>
        <v>0</v>
      </c>
    </row>
    <row r="23" customFormat="false" ht="15" hidden="false" customHeight="false" outlineLevel="0" collapsed="false">
      <c r="A23" s="48" t="str">
        <f aca="false">Setup!A7</f>
        <v>Computer</v>
      </c>
      <c r="B23" s="46" t="str">
        <f aca="false">Setup!B7</f>
        <v>Sir Nazeer Ahmed Jamali</v>
      </c>
      <c r="C23" s="24" t="n">
        <f aca="false">'Oct 2026'!F7+'Nov 2026'!F7+'Dec 2026'!F7+'Jan 2027'!F7+'Feb 2027'!F7+'Mar 2027'!F7+'Apr 2027'!F7+'May 2027'!F7+'Jun 2027'!F7+'Jul 2027'!F7+'Aug 2027'!F7+'Sep 2027'!F7</f>
        <v>2000</v>
      </c>
      <c r="D23" s="33" t="n">
        <f aca="false">'Oct 2026'!G7+'Nov 2026'!G7+'Dec 2026'!G7+'Jan 2027'!G7+'Feb 2027'!G7+'Mar 2027'!G7+'Apr 2027'!G7+'May 2027'!G7+'Jun 2027'!G7+'Jul 2027'!G7+'Aug 2027'!G7+'Sep 2027'!G7</f>
        <v>1000</v>
      </c>
      <c r="E23" s="33" t="n">
        <f aca="false">'Oct 2026'!H7+'Nov 2026'!H7+'Dec 2026'!H7+'Jan 2027'!H7+'Feb 2027'!H7+'Mar 2027'!H7+'Apr 2027'!H7+'May 2027'!H7+'Jun 2027'!H7+'Jul 2027'!H7+'Aug 2027'!H7+'Sep 2027'!H7</f>
        <v>1000</v>
      </c>
      <c r="F23" s="47" t="n">
        <f aca="false">'Sep 2027'!I7</f>
        <v>22000</v>
      </c>
    </row>
    <row r="24" customFormat="false" ht="15" hidden="false" customHeight="false" outlineLevel="0" collapsed="false">
      <c r="A24" s="49" t="str">
        <f aca="false">Setup!A8</f>
        <v>Biology</v>
      </c>
      <c r="B24" s="46" t="str">
        <f aca="false">Setup!B8</f>
        <v>Sir Azhar Ali Chandio</v>
      </c>
      <c r="C24" s="24" t="n">
        <f aca="false">'Oct 2026'!F8+'Nov 2026'!F8+'Dec 2026'!F8+'Jan 2027'!F8+'Feb 2027'!F8+'Mar 2027'!F8+'Apr 2027'!F8+'May 2027'!F8+'Jun 2027'!F8+'Jul 2027'!F8+'Aug 2027'!F8+'Sep 2027'!F8</f>
        <v>0</v>
      </c>
      <c r="D24" s="33" t="n">
        <f aca="false">'Oct 2026'!G8+'Nov 2026'!G8+'Dec 2026'!G8+'Jan 2027'!G8+'Feb 2027'!G8+'Mar 2027'!G8+'Apr 2027'!G8+'May 2027'!G8+'Jun 2027'!G8+'Jul 2027'!G8+'Aug 2027'!G8+'Sep 2027'!G8</f>
        <v>0</v>
      </c>
      <c r="E24" s="33" t="n">
        <f aca="false">'Oct 2026'!H8+'Nov 2026'!H8+'Dec 2026'!H8+'Jan 2027'!H8+'Feb 2027'!H8+'Mar 2027'!H8+'Apr 2027'!H8+'May 2027'!H8+'Jun 2027'!H8+'Jul 2027'!H8+'Aug 2027'!H8+'Sep 2027'!H8</f>
        <v>0</v>
      </c>
      <c r="F24" s="47" t="n">
        <f aca="false">'Sep 2027'!I8</f>
        <v>0</v>
      </c>
    </row>
    <row r="25" customFormat="false" ht="15" hidden="false" customHeight="false" outlineLevel="0" collapsed="false">
      <c r="A25" s="50" t="str">
        <f aca="false">Setup!A9</f>
        <v>Math</v>
      </c>
      <c r="B25" s="46" t="str">
        <f aca="false">Setup!B9</f>
        <v>Sir M. Faheem</v>
      </c>
      <c r="C25" s="24" t="n">
        <f aca="false">'Oct 2026'!F9+'Nov 2026'!F9+'Dec 2026'!F9+'Jan 2027'!F9+'Feb 2027'!F9+'Mar 2027'!F9+'Apr 2027'!F9+'May 2027'!F9+'Jun 2027'!F9+'Jul 2027'!F9+'Aug 2027'!F9+'Sep 2027'!F9</f>
        <v>1000</v>
      </c>
      <c r="D25" s="33" t="n">
        <f aca="false">'Oct 2026'!G9+'Nov 2026'!G9+'Dec 2026'!G9+'Jan 2027'!G9+'Feb 2027'!G9+'Mar 2027'!G9+'Apr 2027'!G9+'May 2027'!G9+'Jun 2027'!G9+'Jul 2027'!G9+'Aug 2027'!G9+'Sep 2027'!G9</f>
        <v>500</v>
      </c>
      <c r="E25" s="33" t="n">
        <f aca="false">'Oct 2026'!H9+'Nov 2026'!H9+'Dec 2026'!H9+'Jan 2027'!H9+'Feb 2027'!H9+'Mar 2027'!H9+'Apr 2027'!H9+'May 2027'!H9+'Jun 2027'!H9+'Jul 2027'!H9+'Aug 2027'!H9+'Sep 2027'!H9</f>
        <v>500</v>
      </c>
      <c r="F25" s="47" t="n">
        <f aca="false">'Sep 2027'!I9</f>
        <v>17000</v>
      </c>
    </row>
    <row r="26" customFormat="false" ht="15" hidden="false" customHeight="false" outlineLevel="0" collapsed="false">
      <c r="A26" s="51" t="str">
        <f aca="false">Setup!A10</f>
        <v>Kids Coaching (Class 1)</v>
      </c>
      <c r="B26" s="46" t="str">
        <f aca="false">Setup!B10</f>
        <v>Miss Farzana</v>
      </c>
      <c r="C26" s="24" t="n">
        <f aca="false">'Oct 2026'!F10+'Nov 2026'!F10+'Dec 2026'!F10+'Jan 2027'!F10+'Feb 2027'!F10+'Mar 2027'!F10+'Apr 2027'!F10+'May 2027'!F10+'Jun 2027'!F10+'Jul 2027'!F10+'Aug 2027'!F10+'Sep 2027'!F10</f>
        <v>0</v>
      </c>
      <c r="D26" s="33" t="n">
        <f aca="false">'Oct 2026'!G10+'Nov 2026'!G10+'Dec 2026'!G10+'Jan 2027'!G10+'Feb 2027'!G10+'Mar 2027'!G10+'Apr 2027'!G10+'May 2027'!G10+'Jun 2027'!G10+'Jul 2027'!G10+'Aug 2027'!G10+'Sep 2027'!G10</f>
        <v>0</v>
      </c>
      <c r="E26" s="33" t="n">
        <f aca="false">'Oct 2026'!H10+'Nov 2026'!H10+'Dec 2026'!H10+'Jan 2027'!H10+'Feb 2027'!H10+'Mar 2027'!H10+'Apr 2027'!H10+'May 2027'!H10+'Jun 2027'!H10+'Jul 2027'!H10+'Aug 2027'!H10+'Sep 2027'!H10</f>
        <v>0</v>
      </c>
      <c r="F26" s="47" t="n">
        <f aca="false">'Sep 2027'!I10</f>
        <v>0</v>
      </c>
    </row>
    <row r="27" customFormat="false" ht="15" hidden="false" customHeight="false" outlineLevel="0" collapsed="false">
      <c r="A27" s="52" t="str">
        <f aca="false">Setup!A11</f>
        <v>Kids Coaching (Class 2)</v>
      </c>
      <c r="B27" s="46" t="str">
        <f aca="false">Setup!B11</f>
        <v>Miss Fozia</v>
      </c>
      <c r="C27" s="24" t="n">
        <f aca="false">'Oct 2026'!F11+'Nov 2026'!F11+'Dec 2026'!F11+'Jan 2027'!F11+'Feb 2027'!F11+'Mar 2027'!F11+'Apr 2027'!F11+'May 2027'!F11+'Jun 2027'!F11+'Jul 2027'!F11+'Aug 2027'!F11+'Sep 2027'!F11</f>
        <v>0</v>
      </c>
      <c r="D27" s="33" t="n">
        <f aca="false">'Oct 2026'!G11+'Nov 2026'!G11+'Dec 2026'!G11+'Jan 2027'!G11+'Feb 2027'!G11+'Mar 2027'!G11+'Apr 2027'!G11+'May 2027'!G11+'Jun 2027'!G11+'Jul 2027'!G11+'Aug 2027'!G11+'Sep 2027'!G11</f>
        <v>0</v>
      </c>
      <c r="E27" s="33" t="n">
        <f aca="false">'Oct 2026'!H11+'Nov 2026'!H11+'Dec 2026'!H11+'Jan 2027'!H11+'Feb 2027'!H11+'Mar 2027'!H11+'Apr 2027'!H11+'May 2027'!H11+'Jun 2027'!H11+'Jul 2027'!H11+'Aug 2027'!H11+'Sep 2027'!H11</f>
        <v>0</v>
      </c>
      <c r="F27" s="47" t="n">
        <f aca="false">'Sep 2027'!I11</f>
        <v>0</v>
      </c>
    </row>
    <row r="28" customFormat="false" ht="15" hidden="false" customHeight="false" outlineLevel="0" collapsed="false">
      <c r="A28" s="40" t="s">
        <v>79</v>
      </c>
      <c r="B28" s="43"/>
      <c r="C28" s="41" t="n">
        <f aca="false">SUM(C22:C27)</f>
        <v>3000</v>
      </c>
      <c r="D28" s="41" t="n">
        <f aca="false">SUM(D22:D27)</f>
        <v>1500</v>
      </c>
      <c r="E28" s="41" t="n">
        <f aca="false">SUM(E22:E27)</f>
        <v>1500</v>
      </c>
      <c r="F28" s="41" t="n">
        <f aca="false">SUM(F22:F27)</f>
        <v>39000</v>
      </c>
    </row>
    <row r="30" customFormat="false" ht="15" hidden="false" customHeight="true" outlineLevel="0" collapsed="false">
      <c r="A30" s="53" t="s">
        <v>80</v>
      </c>
      <c r="B30" s="53"/>
      <c r="C30" s="53"/>
      <c r="D30" s="53"/>
      <c r="E30" s="53"/>
      <c r="F30" s="53"/>
      <c r="G30" s="53"/>
      <c r="H30" s="53"/>
      <c r="I30" s="53"/>
      <c r="J30" s="53"/>
    </row>
  </sheetData>
  <mergeCells count="4">
    <mergeCell ref="A1:J1"/>
    <mergeCell ref="A2:J2"/>
    <mergeCell ref="A20:F20"/>
    <mergeCell ref="A30:J30"/>
  </mergeCells>
  <conditionalFormatting sqref="H5:H1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AC1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29" min="5" style="0" width="11.5"/>
  </cols>
  <sheetData>
    <row r="1" customFormat="false" ht="31.5" hidden="false" customHeight="true" outlineLevel="0" collapsed="false">
      <c r="A1" s="54" t="str">
        <f aca="false">UPPER(Setup!B3)</f>
        <v>FUTURE TALENT ACADEMY JAMSHORO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customFormat="false" ht="21.75" hidden="false" customHeight="true" outlineLevel="0" collapsed="false">
      <c r="A2" s="55" t="s">
        <v>81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customFormat="false" ht="15" hidden="false" customHeight="true" outlineLevel="0" collapsed="false">
      <c r="B4" s="4" t="s">
        <v>82</v>
      </c>
      <c r="C4" s="4"/>
      <c r="D4" s="4"/>
      <c r="E4" s="4"/>
      <c r="F4" s="4"/>
      <c r="G4" s="4"/>
      <c r="H4" s="4"/>
      <c r="I4" s="4"/>
      <c r="K4" s="28" t="s">
        <v>83</v>
      </c>
      <c r="L4" s="28"/>
      <c r="M4" s="28"/>
      <c r="N4" s="28"/>
    </row>
    <row r="5" customFormat="false" ht="22.35" hidden="false" customHeight="true" outlineLevel="0" collapsed="false">
      <c r="B5" s="56" t="s">
        <v>76</v>
      </c>
      <c r="C5" s="56" t="s">
        <v>77</v>
      </c>
      <c r="D5" s="56"/>
      <c r="E5" s="56" t="s">
        <v>84</v>
      </c>
      <c r="F5" s="56" t="s">
        <v>85</v>
      </c>
      <c r="G5" s="56" t="s">
        <v>5</v>
      </c>
      <c r="H5" s="56" t="s">
        <v>6</v>
      </c>
      <c r="I5" s="56" t="s">
        <v>86</v>
      </c>
      <c r="K5" s="57" t="s">
        <v>87</v>
      </c>
      <c r="L5" s="57"/>
      <c r="M5" s="57"/>
      <c r="N5" s="58" t="n">
        <f aca="false">H12</f>
        <v>1500</v>
      </c>
      <c r="P5" s="59" t="s">
        <v>88</v>
      </c>
      <c r="Q5" s="59"/>
      <c r="R5" s="59"/>
      <c r="T5" s="60" t="s">
        <v>89</v>
      </c>
      <c r="U5" s="60"/>
      <c r="V5" s="60"/>
      <c r="X5" s="61" t="s">
        <v>90</v>
      </c>
      <c r="Y5" s="61"/>
      <c r="Z5" s="61"/>
    </row>
    <row r="6" customFormat="false" ht="15" hidden="false" customHeight="true" outlineLevel="0" collapsed="false">
      <c r="B6" s="62" t="str">
        <f aca="false">Setup!A6</f>
        <v>English</v>
      </c>
      <c r="C6" s="63" t="str">
        <f aca="false">Setup!B6</f>
        <v>Sir Sajjad Ali Birhmani</v>
      </c>
      <c r="D6" s="63"/>
      <c r="E6" s="64" t="n">
        <f aca="false">D166</f>
        <v>0</v>
      </c>
      <c r="F6" s="58" t="n">
        <f aca="false">E166</f>
        <v>0</v>
      </c>
      <c r="G6" s="65" t="n">
        <f aca="false">F6*Setup!C6</f>
        <v>0</v>
      </c>
      <c r="H6" s="66" t="n">
        <f aca="false">F6-G6</f>
        <v>0</v>
      </c>
      <c r="I6" s="67" t="n">
        <f aca="false">F166</f>
        <v>0</v>
      </c>
      <c r="K6" s="57" t="s">
        <v>91</v>
      </c>
      <c r="L6" s="57"/>
      <c r="M6" s="57"/>
      <c r="N6" s="65" t="n">
        <f aca="false">SUMIFS(Administration!$G$5:$G$304,Administration!$C$5:$C$304,"Oct 2026",Administration!$D$5:$D$304,"Other Income")</f>
        <v>0</v>
      </c>
      <c r="P6" s="68" t="n">
        <f aca="false">F12</f>
        <v>3000</v>
      </c>
      <c r="Q6" s="68"/>
      <c r="R6" s="68"/>
      <c r="T6" s="69" t="n">
        <f aca="false">G12</f>
        <v>1500</v>
      </c>
      <c r="U6" s="69"/>
      <c r="V6" s="69"/>
      <c r="X6" s="70" t="n">
        <f aca="false">I12</f>
        <v>500</v>
      </c>
      <c r="Y6" s="70"/>
      <c r="Z6" s="70"/>
    </row>
    <row r="7" customFormat="false" ht="15" hidden="false" customHeight="true" outlineLevel="0" collapsed="false">
      <c r="B7" s="71" t="str">
        <f aca="false">Setup!A7</f>
        <v>Computer</v>
      </c>
      <c r="C7" s="63" t="str">
        <f aca="false">Setup!B7</f>
        <v>Sir Nazeer Ahmed Jamali</v>
      </c>
      <c r="D7" s="63"/>
      <c r="E7" s="64" t="n">
        <f aca="false">H166</f>
        <v>2000</v>
      </c>
      <c r="F7" s="58" t="n">
        <f aca="false">I166</f>
        <v>2000</v>
      </c>
      <c r="G7" s="65" t="n">
        <f aca="false">F7*Setup!C7</f>
        <v>1000</v>
      </c>
      <c r="H7" s="66" t="n">
        <f aca="false">F7-G7</f>
        <v>1000</v>
      </c>
      <c r="I7" s="67" t="n">
        <f aca="false">J166</f>
        <v>0</v>
      </c>
      <c r="K7" s="57" t="s">
        <v>92</v>
      </c>
      <c r="L7" s="57"/>
      <c r="M7" s="57"/>
      <c r="N7" s="72" t="n">
        <f aca="false">SUMIFS(Administration!$G$5:$G$304,Administration!$C$5:$C$304,"Oct 2026",Administration!$D$5:$D$304,"Expense")</f>
        <v>10000</v>
      </c>
      <c r="P7" s="68"/>
      <c r="Q7" s="68"/>
      <c r="R7" s="68"/>
      <c r="T7" s="69"/>
      <c r="U7" s="69"/>
      <c r="V7" s="69"/>
      <c r="X7" s="70"/>
      <c r="Y7" s="70"/>
      <c r="Z7" s="70"/>
    </row>
    <row r="8" customFormat="false" ht="15" hidden="false" customHeight="true" outlineLevel="0" collapsed="false">
      <c r="B8" s="73" t="str">
        <f aca="false">Setup!A8</f>
        <v>Biology</v>
      </c>
      <c r="C8" s="63" t="str">
        <f aca="false">Setup!B8</f>
        <v>Sir Azhar Ali Chandio</v>
      </c>
      <c r="D8" s="63"/>
      <c r="E8" s="64" t="n">
        <f aca="false">L166</f>
        <v>0</v>
      </c>
      <c r="F8" s="58" t="n">
        <f aca="false">M166</f>
        <v>0</v>
      </c>
      <c r="G8" s="65" t="n">
        <f aca="false">F8*Setup!C8</f>
        <v>0</v>
      </c>
      <c r="H8" s="66" t="n">
        <f aca="false">F8-G8</f>
        <v>0</v>
      </c>
      <c r="I8" s="67" t="n">
        <f aca="false">N166</f>
        <v>0</v>
      </c>
      <c r="K8" s="57" t="s">
        <v>93</v>
      </c>
      <c r="L8" s="57"/>
      <c r="M8" s="57"/>
      <c r="N8" s="72" t="n">
        <f aca="false">SUMIFS(Administration!$G$5:$G$304,Administration!$C$5:$C$304,"Oct 2026",Administration!$D$5:$D$304,"Investment")</f>
        <v>8000</v>
      </c>
    </row>
    <row r="9" customFormat="false" ht="15" hidden="false" customHeight="false" outlineLevel="0" collapsed="false">
      <c r="B9" s="74" t="str">
        <f aca="false">Setup!A9</f>
        <v>Math</v>
      </c>
      <c r="C9" s="63" t="str">
        <f aca="false">Setup!B9</f>
        <v>Sir M. Faheem</v>
      </c>
      <c r="D9" s="63"/>
      <c r="E9" s="64" t="n">
        <f aca="false">P166</f>
        <v>1500</v>
      </c>
      <c r="F9" s="58" t="n">
        <f aca="false">Q166</f>
        <v>1000</v>
      </c>
      <c r="G9" s="65" t="n">
        <f aca="false">F9*Setup!C9</f>
        <v>500</v>
      </c>
      <c r="H9" s="66" t="n">
        <f aca="false">F9-G9</f>
        <v>500</v>
      </c>
      <c r="I9" s="67" t="n">
        <f aca="false">R166</f>
        <v>500</v>
      </c>
      <c r="P9" s="75" t="str">
        <f aca="false">COUNTIF(AC16:AC165,"Clear")&amp;" students fully paid   •   "&amp;(COUNTIF(AC16:AC165,"Due")+COUNTIF(AC16:AC165,"Partial"))&amp;" students with dues"</f>
        <v>0 students fully paid   •   1 students with dues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26.85" hidden="false" customHeight="true" outlineLevel="0" collapsed="false">
      <c r="B10" s="76" t="str">
        <f aca="false">Setup!A10</f>
        <v>Kids Coaching (Class 1)</v>
      </c>
      <c r="C10" s="63" t="str">
        <f aca="false">Setup!B10</f>
        <v>Miss Farzana</v>
      </c>
      <c r="D10" s="63"/>
      <c r="E10" s="64" t="n">
        <f aca="false">T166</f>
        <v>0</v>
      </c>
      <c r="F10" s="58" t="n">
        <f aca="false">U166</f>
        <v>0</v>
      </c>
      <c r="G10" s="65" t="n">
        <f aca="false">F10*Setup!C10</f>
        <v>0</v>
      </c>
      <c r="H10" s="66" t="n">
        <f aca="false">F10-G10</f>
        <v>0</v>
      </c>
      <c r="I10" s="67" t="n">
        <f aca="false">V166</f>
        <v>0</v>
      </c>
      <c r="K10" s="77" t="s">
        <v>59</v>
      </c>
      <c r="L10" s="77"/>
      <c r="M10" s="77"/>
      <c r="N10" s="78" t="n">
        <f aca="false">N5+N6-N7-N8</f>
        <v>-16500</v>
      </c>
    </row>
    <row r="11" customFormat="false" ht="15" hidden="false" customHeight="true" outlineLevel="0" collapsed="false">
      <c r="B11" s="79" t="str">
        <f aca="false">Setup!A11</f>
        <v>Kids Coaching (Class 2)</v>
      </c>
      <c r="C11" s="63" t="str">
        <f aca="false">Setup!B11</f>
        <v>Miss Fozia</v>
      </c>
      <c r="D11" s="63"/>
      <c r="E11" s="64" t="n">
        <f aca="false">X166</f>
        <v>0</v>
      </c>
      <c r="F11" s="58" t="n">
        <f aca="false">Y166</f>
        <v>0</v>
      </c>
      <c r="G11" s="65" t="n">
        <f aca="false">F11*Setup!C11</f>
        <v>0</v>
      </c>
      <c r="H11" s="66" t="n">
        <f aca="false">F11-G11</f>
        <v>0</v>
      </c>
      <c r="I11" s="67" t="n">
        <f aca="false">Z166</f>
        <v>0</v>
      </c>
      <c r="K11" s="53" t="s">
        <v>94</v>
      </c>
      <c r="L11" s="53"/>
      <c r="M11" s="53"/>
      <c r="N11" s="53"/>
    </row>
    <row r="12" customFormat="false" ht="15" hidden="false" customHeight="false" outlineLevel="0" collapsed="false">
      <c r="B12" s="40" t="s">
        <v>79</v>
      </c>
      <c r="C12" s="43"/>
      <c r="D12" s="43"/>
      <c r="E12" s="41" t="n">
        <f aca="false">SUM(E6:E11)</f>
        <v>3500</v>
      </c>
      <c r="F12" s="41" t="n">
        <f aca="false">SUM(F6:F11)</f>
        <v>3000</v>
      </c>
      <c r="G12" s="41" t="n">
        <f aca="false">SUM(G6:G11)</f>
        <v>1500</v>
      </c>
      <c r="H12" s="41" t="n">
        <f aca="false">SUM(H6:H11)</f>
        <v>1500</v>
      </c>
      <c r="I12" s="41" t="n">
        <f aca="false">SUM(I6:I11)</f>
        <v>500</v>
      </c>
    </row>
    <row r="14" customFormat="false" ht="25.5" hidden="false" customHeight="true" outlineLevel="0" collapsed="false">
      <c r="A14" s="4" t="s">
        <v>28</v>
      </c>
      <c r="B14" s="4"/>
      <c r="C14" s="14" t="str">
        <f aca="false">Setup!A6&amp;" — "&amp;Setup!B6</f>
        <v>English — Sir Sajjad Ali Birhmani</v>
      </c>
      <c r="D14" s="14"/>
      <c r="E14" s="14"/>
      <c r="F14" s="14"/>
      <c r="G14" s="15" t="str">
        <f aca="false">Setup!A7&amp;" — "&amp;Setup!B7</f>
        <v>Computer — Sir Nazeer Ahmed Jamali</v>
      </c>
      <c r="H14" s="15"/>
      <c r="I14" s="15"/>
      <c r="J14" s="15"/>
      <c r="K14" s="16" t="str">
        <f aca="false">Setup!A8&amp;" — "&amp;Setup!B8</f>
        <v>Biology — Sir Azhar Ali Chandio</v>
      </c>
      <c r="L14" s="16"/>
      <c r="M14" s="16"/>
      <c r="N14" s="16"/>
      <c r="O14" s="17" t="str">
        <f aca="false">Setup!A9&amp;" — "&amp;Setup!B9</f>
        <v>Math — Sir M. Faheem</v>
      </c>
      <c r="P14" s="17"/>
      <c r="Q14" s="17"/>
      <c r="R14" s="17"/>
      <c r="S14" s="18" t="str">
        <f aca="false">Setup!A10&amp;" — "&amp;Setup!B10</f>
        <v>Kids Coaching (Class 1) — Miss Farzana</v>
      </c>
      <c r="T14" s="18"/>
      <c r="U14" s="18"/>
      <c r="V14" s="18"/>
      <c r="W14" s="19" t="str">
        <f aca="false">Setup!A11&amp;" — "&amp;Setup!B11</f>
        <v>Kids Coaching (Class 2) — Miss Fozia</v>
      </c>
      <c r="X14" s="19"/>
      <c r="Y14" s="19"/>
      <c r="Z14" s="19"/>
      <c r="AA14" s="80" t="s">
        <v>95</v>
      </c>
      <c r="AB14" s="80"/>
      <c r="AC14" s="80"/>
    </row>
    <row r="15" customFormat="false" ht="30" hidden="false" customHeight="true" outlineLevel="0" collapsed="false">
      <c r="A15" s="13" t="s">
        <v>30</v>
      </c>
      <c r="B15" s="13" t="s">
        <v>31</v>
      </c>
      <c r="C15" s="14" t="s">
        <v>96</v>
      </c>
      <c r="D15" s="14" t="s">
        <v>97</v>
      </c>
      <c r="E15" s="14" t="s">
        <v>98</v>
      </c>
      <c r="F15" s="14" t="s">
        <v>99</v>
      </c>
      <c r="G15" s="15" t="s">
        <v>96</v>
      </c>
      <c r="H15" s="15" t="s">
        <v>97</v>
      </c>
      <c r="I15" s="15" t="s">
        <v>98</v>
      </c>
      <c r="J15" s="15" t="s">
        <v>99</v>
      </c>
      <c r="K15" s="16" t="s">
        <v>96</v>
      </c>
      <c r="L15" s="16" t="s">
        <v>97</v>
      </c>
      <c r="M15" s="16" t="s">
        <v>98</v>
      </c>
      <c r="N15" s="16" t="s">
        <v>99</v>
      </c>
      <c r="O15" s="17" t="s">
        <v>96</v>
      </c>
      <c r="P15" s="17" t="s">
        <v>97</v>
      </c>
      <c r="Q15" s="17" t="s">
        <v>98</v>
      </c>
      <c r="R15" s="17" t="s">
        <v>99</v>
      </c>
      <c r="S15" s="18" t="s">
        <v>96</v>
      </c>
      <c r="T15" s="18" t="s">
        <v>97</v>
      </c>
      <c r="U15" s="18" t="s">
        <v>98</v>
      </c>
      <c r="V15" s="18" t="s">
        <v>99</v>
      </c>
      <c r="W15" s="19" t="s">
        <v>96</v>
      </c>
      <c r="X15" s="19" t="s">
        <v>97</v>
      </c>
      <c r="Y15" s="19" t="s">
        <v>98</v>
      </c>
      <c r="Z15" s="19" t="s">
        <v>99</v>
      </c>
      <c r="AA15" s="20" t="s">
        <v>100</v>
      </c>
      <c r="AB15" s="20" t="s">
        <v>101</v>
      </c>
      <c r="AC15" s="20" t="s">
        <v>102</v>
      </c>
    </row>
    <row r="16" customFormat="false" ht="15" hidden="false" customHeight="false" outlineLevel="0" collapsed="false">
      <c r="A16" s="21" t="n">
        <v>1</v>
      </c>
      <c r="B16" s="46" t="str">
        <f aca="false">IF(Students!B5="","",Students!B5)</f>
        <v>Ali (example)</v>
      </c>
      <c r="C16" s="23"/>
      <c r="D16" s="33" t="n">
        <f aca="false">IF(B16="",0,N(Students!E5))</f>
        <v>0</v>
      </c>
      <c r="E16" s="23"/>
      <c r="F16" s="24" t="n">
        <f aca="false">N(C16)+N(D16)-N(E16)</f>
        <v>0</v>
      </c>
      <c r="G16" s="23"/>
      <c r="H16" s="33" t="n">
        <f aca="false">IF(B16="",0,N(Students!F5))</f>
        <v>2000</v>
      </c>
      <c r="I16" s="23" t="n">
        <v>2000</v>
      </c>
      <c r="J16" s="24" t="n">
        <f aca="false">N(G16)+N(H16)-N(I16)</f>
        <v>0</v>
      </c>
      <c r="K16" s="23"/>
      <c r="L16" s="33" t="n">
        <f aca="false">IF(B16="",0,N(Students!G5))</f>
        <v>0</v>
      </c>
      <c r="M16" s="23"/>
      <c r="N16" s="24" t="n">
        <f aca="false">N(K16)+N(L16)-N(M16)</f>
        <v>0</v>
      </c>
      <c r="O16" s="23"/>
      <c r="P16" s="33" t="n">
        <f aca="false">IF(B16="",0,N(Students!H5))</f>
        <v>1500</v>
      </c>
      <c r="Q16" s="23" t="n">
        <v>1000</v>
      </c>
      <c r="R16" s="24" t="n">
        <f aca="false">N(O16)+N(P16)-N(Q16)</f>
        <v>500</v>
      </c>
      <c r="S16" s="23"/>
      <c r="T16" s="33" t="n">
        <f aca="false">IF(B16="",0,N(Students!I5))</f>
        <v>0</v>
      </c>
      <c r="U16" s="23"/>
      <c r="V16" s="24" t="n">
        <f aca="false">N(S16)+N(T16)-N(U16)</f>
        <v>0</v>
      </c>
      <c r="W16" s="23"/>
      <c r="X16" s="33" t="n">
        <f aca="false">IF(B16="",0,N(Students!J5))</f>
        <v>0</v>
      </c>
      <c r="Y16" s="23"/>
      <c r="Z16" s="24" t="n">
        <f aca="false">N(W16)+N(X16)-N(Y16)</f>
        <v>0</v>
      </c>
      <c r="AA16" s="33" t="n">
        <f aca="false">N(E16)+N(I16)+N(M16)+N(Q16)+N(U16)+N(Y16)</f>
        <v>3000</v>
      </c>
      <c r="AB16" s="24" t="n">
        <f aca="false">F16+J16+N16+R16+V16+Z16</f>
        <v>500</v>
      </c>
      <c r="AC16" s="81" t="str">
        <f aca="false">IF(B16="","",IF(AB16&lt;=0,"Clear",IF(AA16&gt;0,"Partial","Due")))</f>
        <v>Partial</v>
      </c>
    </row>
    <row r="17" customFormat="false" ht="15" hidden="false" customHeight="false" outlineLevel="0" collapsed="false">
      <c r="A17" s="25" t="n">
        <v>2</v>
      </c>
      <c r="B17" s="82" t="str">
        <f aca="false">IF(Students!B6="","",Students!B6)</f>
        <v/>
      </c>
      <c r="C17" s="23"/>
      <c r="D17" s="37" t="n">
        <f aca="false">IF(B17="",0,N(Students!E6))</f>
        <v>0</v>
      </c>
      <c r="E17" s="23"/>
      <c r="F17" s="26" t="n">
        <f aca="false">N(C17)+N(D17)-N(E17)</f>
        <v>0</v>
      </c>
      <c r="G17" s="23"/>
      <c r="H17" s="37" t="n">
        <f aca="false">IF(B17="",0,N(Students!F6))</f>
        <v>0</v>
      </c>
      <c r="I17" s="23"/>
      <c r="J17" s="26" t="n">
        <f aca="false">N(G17)+N(H17)-N(I17)</f>
        <v>0</v>
      </c>
      <c r="K17" s="23"/>
      <c r="L17" s="37" t="n">
        <f aca="false">IF(B17="",0,N(Students!G6))</f>
        <v>0</v>
      </c>
      <c r="M17" s="23"/>
      <c r="N17" s="26" t="n">
        <f aca="false">N(K17)+N(L17)-N(M17)</f>
        <v>0</v>
      </c>
      <c r="O17" s="23"/>
      <c r="P17" s="37" t="n">
        <f aca="false">IF(B17="",0,N(Students!H6))</f>
        <v>0</v>
      </c>
      <c r="Q17" s="23"/>
      <c r="R17" s="26" t="n">
        <f aca="false">N(O17)+N(P17)-N(Q17)</f>
        <v>0</v>
      </c>
      <c r="S17" s="23"/>
      <c r="T17" s="37" t="n">
        <f aca="false">IF(B17="",0,N(Students!I6))</f>
        <v>0</v>
      </c>
      <c r="U17" s="23"/>
      <c r="V17" s="26" t="n">
        <f aca="false">N(S17)+N(T17)-N(U17)</f>
        <v>0</v>
      </c>
      <c r="W17" s="23"/>
      <c r="X17" s="37" t="n">
        <f aca="false">IF(B17="",0,N(Students!J6))</f>
        <v>0</v>
      </c>
      <c r="Y17" s="23"/>
      <c r="Z17" s="26" t="n">
        <f aca="false">N(W17)+N(X17)-N(Y17)</f>
        <v>0</v>
      </c>
      <c r="AA17" s="37" t="n">
        <f aca="false">N(E17)+N(I17)+N(M17)+N(Q17)+N(U17)+N(Y17)</f>
        <v>0</v>
      </c>
      <c r="AB17" s="26" t="n">
        <f aca="false">F17+J17+N17+R17+V17+Z17</f>
        <v>0</v>
      </c>
      <c r="AC17" s="83" t="str">
        <f aca="false">IF(B17="","",IF(AB17&lt;=0,"Clear",IF(AA17&gt;0,"Partial","Due")))</f>
        <v/>
      </c>
    </row>
    <row r="18" customFormat="false" ht="15" hidden="false" customHeight="false" outlineLevel="0" collapsed="false">
      <c r="A18" s="21" t="n">
        <v>3</v>
      </c>
      <c r="B18" s="46" t="str">
        <f aca="false">IF(Students!B7="","",Students!B7)</f>
        <v/>
      </c>
      <c r="C18" s="23"/>
      <c r="D18" s="33" t="n">
        <f aca="false">IF(B18="",0,N(Students!E7))</f>
        <v>0</v>
      </c>
      <c r="E18" s="23"/>
      <c r="F18" s="24" t="n">
        <f aca="false">N(C18)+N(D18)-N(E18)</f>
        <v>0</v>
      </c>
      <c r="G18" s="23"/>
      <c r="H18" s="33" t="n">
        <f aca="false">IF(B18="",0,N(Students!F7))</f>
        <v>0</v>
      </c>
      <c r="I18" s="23"/>
      <c r="J18" s="24" t="n">
        <f aca="false">N(G18)+N(H18)-N(I18)</f>
        <v>0</v>
      </c>
      <c r="K18" s="23"/>
      <c r="L18" s="33" t="n">
        <f aca="false">IF(B18="",0,N(Students!G7))</f>
        <v>0</v>
      </c>
      <c r="M18" s="23"/>
      <c r="N18" s="24" t="n">
        <f aca="false">N(K18)+N(L18)-N(M18)</f>
        <v>0</v>
      </c>
      <c r="O18" s="23"/>
      <c r="P18" s="33" t="n">
        <f aca="false">IF(B18="",0,N(Students!H7))</f>
        <v>0</v>
      </c>
      <c r="Q18" s="23"/>
      <c r="R18" s="24" t="n">
        <f aca="false">N(O18)+N(P18)-N(Q18)</f>
        <v>0</v>
      </c>
      <c r="S18" s="23"/>
      <c r="T18" s="33" t="n">
        <f aca="false">IF(B18="",0,N(Students!I7))</f>
        <v>0</v>
      </c>
      <c r="U18" s="23"/>
      <c r="V18" s="24" t="n">
        <f aca="false">N(S18)+N(T18)-N(U18)</f>
        <v>0</v>
      </c>
      <c r="W18" s="23"/>
      <c r="X18" s="33" t="n">
        <f aca="false">IF(B18="",0,N(Students!J7))</f>
        <v>0</v>
      </c>
      <c r="Y18" s="23"/>
      <c r="Z18" s="24" t="n">
        <f aca="false">N(W18)+N(X18)-N(Y18)</f>
        <v>0</v>
      </c>
      <c r="AA18" s="33" t="n">
        <f aca="false">N(E18)+N(I18)+N(M18)+N(Q18)+N(U18)+N(Y18)</f>
        <v>0</v>
      </c>
      <c r="AB18" s="24" t="n">
        <f aca="false">F18+J18+N18+R18+V18+Z18</f>
        <v>0</v>
      </c>
      <c r="AC18" s="81" t="str">
        <f aca="false">IF(B18="","",IF(AB18&lt;=0,"Clear",IF(AA18&gt;0,"Partial","Due")))</f>
        <v/>
      </c>
    </row>
    <row r="19" customFormat="false" ht="15" hidden="false" customHeight="false" outlineLevel="0" collapsed="false">
      <c r="A19" s="25" t="n">
        <v>4</v>
      </c>
      <c r="B19" s="82" t="str">
        <f aca="false">IF(Students!B8="","",Students!B8)</f>
        <v/>
      </c>
      <c r="C19" s="23"/>
      <c r="D19" s="37" t="n">
        <f aca="false">IF(B19="",0,N(Students!E8))</f>
        <v>0</v>
      </c>
      <c r="E19" s="23"/>
      <c r="F19" s="26" t="n">
        <f aca="false">N(C19)+N(D19)-N(E19)</f>
        <v>0</v>
      </c>
      <c r="G19" s="23"/>
      <c r="H19" s="37" t="n">
        <f aca="false">IF(B19="",0,N(Students!F8))</f>
        <v>0</v>
      </c>
      <c r="I19" s="23"/>
      <c r="J19" s="26" t="n">
        <f aca="false">N(G19)+N(H19)-N(I19)</f>
        <v>0</v>
      </c>
      <c r="K19" s="23"/>
      <c r="L19" s="37" t="n">
        <f aca="false">IF(B19="",0,N(Students!G8))</f>
        <v>0</v>
      </c>
      <c r="M19" s="23"/>
      <c r="N19" s="26" t="n">
        <f aca="false">N(K19)+N(L19)-N(M19)</f>
        <v>0</v>
      </c>
      <c r="O19" s="23"/>
      <c r="P19" s="37" t="n">
        <f aca="false">IF(B19="",0,N(Students!H8))</f>
        <v>0</v>
      </c>
      <c r="Q19" s="23"/>
      <c r="R19" s="26" t="n">
        <f aca="false">N(O19)+N(P19)-N(Q19)</f>
        <v>0</v>
      </c>
      <c r="S19" s="23"/>
      <c r="T19" s="37" t="n">
        <f aca="false">IF(B19="",0,N(Students!I8))</f>
        <v>0</v>
      </c>
      <c r="U19" s="23"/>
      <c r="V19" s="26" t="n">
        <f aca="false">N(S19)+N(T19)-N(U19)</f>
        <v>0</v>
      </c>
      <c r="W19" s="23"/>
      <c r="X19" s="37" t="n">
        <f aca="false">IF(B19="",0,N(Students!J8))</f>
        <v>0</v>
      </c>
      <c r="Y19" s="23"/>
      <c r="Z19" s="26" t="n">
        <f aca="false">N(W19)+N(X19)-N(Y19)</f>
        <v>0</v>
      </c>
      <c r="AA19" s="37" t="n">
        <f aca="false">N(E19)+N(I19)+N(M19)+N(Q19)+N(U19)+N(Y19)</f>
        <v>0</v>
      </c>
      <c r="AB19" s="26" t="n">
        <f aca="false">F19+J19+N19+R19+V19+Z19</f>
        <v>0</v>
      </c>
      <c r="AC19" s="83" t="str">
        <f aca="false">IF(B19="","",IF(AB19&lt;=0,"Clear",IF(AA19&gt;0,"Partial","Due")))</f>
        <v/>
      </c>
    </row>
    <row r="20" customFormat="false" ht="15" hidden="false" customHeight="false" outlineLevel="0" collapsed="false">
      <c r="A20" s="21" t="n">
        <v>5</v>
      </c>
      <c r="B20" s="46" t="str">
        <f aca="false">IF(Students!B9="","",Students!B9)</f>
        <v/>
      </c>
      <c r="C20" s="23"/>
      <c r="D20" s="33" t="n">
        <f aca="false">IF(B20="",0,N(Students!E9))</f>
        <v>0</v>
      </c>
      <c r="E20" s="23"/>
      <c r="F20" s="24" t="n">
        <f aca="false">N(C20)+N(D20)-N(E20)</f>
        <v>0</v>
      </c>
      <c r="G20" s="23"/>
      <c r="H20" s="33" t="n">
        <f aca="false">IF(B20="",0,N(Students!F9))</f>
        <v>0</v>
      </c>
      <c r="I20" s="23"/>
      <c r="J20" s="24" t="n">
        <f aca="false">N(G20)+N(H20)-N(I20)</f>
        <v>0</v>
      </c>
      <c r="K20" s="23"/>
      <c r="L20" s="33" t="n">
        <f aca="false">IF(B20="",0,N(Students!G9))</f>
        <v>0</v>
      </c>
      <c r="M20" s="23"/>
      <c r="N20" s="24" t="n">
        <f aca="false">N(K20)+N(L20)-N(M20)</f>
        <v>0</v>
      </c>
      <c r="O20" s="23"/>
      <c r="P20" s="33" t="n">
        <f aca="false">IF(B20="",0,N(Students!H9))</f>
        <v>0</v>
      </c>
      <c r="Q20" s="23"/>
      <c r="R20" s="24" t="n">
        <f aca="false">N(O20)+N(P20)-N(Q20)</f>
        <v>0</v>
      </c>
      <c r="S20" s="23"/>
      <c r="T20" s="33" t="n">
        <f aca="false">IF(B20="",0,N(Students!I9))</f>
        <v>0</v>
      </c>
      <c r="U20" s="23"/>
      <c r="V20" s="24" t="n">
        <f aca="false">N(S20)+N(T20)-N(U20)</f>
        <v>0</v>
      </c>
      <c r="W20" s="23"/>
      <c r="X20" s="33" t="n">
        <f aca="false">IF(B20="",0,N(Students!J9))</f>
        <v>0</v>
      </c>
      <c r="Y20" s="23"/>
      <c r="Z20" s="24" t="n">
        <f aca="false">N(W20)+N(X20)-N(Y20)</f>
        <v>0</v>
      </c>
      <c r="AA20" s="33" t="n">
        <f aca="false">N(E20)+N(I20)+N(M20)+N(Q20)+N(U20)+N(Y20)</f>
        <v>0</v>
      </c>
      <c r="AB20" s="24" t="n">
        <f aca="false">F20+J20+N20+R20+V20+Z20</f>
        <v>0</v>
      </c>
      <c r="AC20" s="81" t="str">
        <f aca="false">IF(B20="","",IF(AB20&lt;=0,"Clear",IF(AA20&gt;0,"Partial","Due")))</f>
        <v/>
      </c>
    </row>
    <row r="21" customFormat="false" ht="15" hidden="false" customHeight="false" outlineLevel="0" collapsed="false">
      <c r="A21" s="25" t="n">
        <v>6</v>
      </c>
      <c r="B21" s="82" t="str">
        <f aca="false">IF(Students!B10="","",Students!B10)</f>
        <v/>
      </c>
      <c r="C21" s="23"/>
      <c r="D21" s="37" t="n">
        <f aca="false">IF(B21="",0,N(Students!E10))</f>
        <v>0</v>
      </c>
      <c r="E21" s="23"/>
      <c r="F21" s="26" t="n">
        <f aca="false">N(C21)+N(D21)-N(E21)</f>
        <v>0</v>
      </c>
      <c r="G21" s="23"/>
      <c r="H21" s="37" t="n">
        <f aca="false">IF(B21="",0,N(Students!F10))</f>
        <v>0</v>
      </c>
      <c r="I21" s="23"/>
      <c r="J21" s="26" t="n">
        <f aca="false">N(G21)+N(H21)-N(I21)</f>
        <v>0</v>
      </c>
      <c r="K21" s="23"/>
      <c r="L21" s="37" t="n">
        <f aca="false">IF(B21="",0,N(Students!G10))</f>
        <v>0</v>
      </c>
      <c r="M21" s="23"/>
      <c r="N21" s="26" t="n">
        <f aca="false">N(K21)+N(L21)-N(M21)</f>
        <v>0</v>
      </c>
      <c r="O21" s="23"/>
      <c r="P21" s="37" t="n">
        <f aca="false">IF(B21="",0,N(Students!H10))</f>
        <v>0</v>
      </c>
      <c r="Q21" s="23"/>
      <c r="R21" s="26" t="n">
        <f aca="false">N(O21)+N(P21)-N(Q21)</f>
        <v>0</v>
      </c>
      <c r="S21" s="23"/>
      <c r="T21" s="37" t="n">
        <f aca="false">IF(B21="",0,N(Students!I10))</f>
        <v>0</v>
      </c>
      <c r="U21" s="23"/>
      <c r="V21" s="26" t="n">
        <f aca="false">N(S21)+N(T21)-N(U21)</f>
        <v>0</v>
      </c>
      <c r="W21" s="23"/>
      <c r="X21" s="37" t="n">
        <f aca="false">IF(B21="",0,N(Students!J10))</f>
        <v>0</v>
      </c>
      <c r="Y21" s="23"/>
      <c r="Z21" s="26" t="n">
        <f aca="false">N(W21)+N(X21)-N(Y21)</f>
        <v>0</v>
      </c>
      <c r="AA21" s="37" t="n">
        <f aca="false">N(E21)+N(I21)+N(M21)+N(Q21)+N(U21)+N(Y21)</f>
        <v>0</v>
      </c>
      <c r="AB21" s="26" t="n">
        <f aca="false">F21+J21+N21+R21+V21+Z21</f>
        <v>0</v>
      </c>
      <c r="AC21" s="83" t="str">
        <f aca="false">IF(B21="","",IF(AB21&lt;=0,"Clear",IF(AA21&gt;0,"Partial","Due")))</f>
        <v/>
      </c>
    </row>
    <row r="22" customFormat="false" ht="15" hidden="false" customHeight="false" outlineLevel="0" collapsed="false">
      <c r="A22" s="21" t="n">
        <v>7</v>
      </c>
      <c r="B22" s="46" t="str">
        <f aca="false">IF(Students!B11="","",Students!B11)</f>
        <v/>
      </c>
      <c r="C22" s="23"/>
      <c r="D22" s="33" t="n">
        <f aca="false">IF(B22="",0,N(Students!E11))</f>
        <v>0</v>
      </c>
      <c r="E22" s="23"/>
      <c r="F22" s="24" t="n">
        <f aca="false">N(C22)+N(D22)-N(E22)</f>
        <v>0</v>
      </c>
      <c r="G22" s="23"/>
      <c r="H22" s="33" t="n">
        <f aca="false">IF(B22="",0,N(Students!F11))</f>
        <v>0</v>
      </c>
      <c r="I22" s="23"/>
      <c r="J22" s="24" t="n">
        <f aca="false">N(G22)+N(H22)-N(I22)</f>
        <v>0</v>
      </c>
      <c r="K22" s="23"/>
      <c r="L22" s="33" t="n">
        <f aca="false">IF(B22="",0,N(Students!G11))</f>
        <v>0</v>
      </c>
      <c r="M22" s="23"/>
      <c r="N22" s="24" t="n">
        <f aca="false">N(K22)+N(L22)-N(M22)</f>
        <v>0</v>
      </c>
      <c r="O22" s="23"/>
      <c r="P22" s="33" t="n">
        <f aca="false">IF(B22="",0,N(Students!H11))</f>
        <v>0</v>
      </c>
      <c r="Q22" s="23"/>
      <c r="R22" s="24" t="n">
        <f aca="false">N(O22)+N(P22)-N(Q22)</f>
        <v>0</v>
      </c>
      <c r="S22" s="23"/>
      <c r="T22" s="33" t="n">
        <f aca="false">IF(B22="",0,N(Students!I11))</f>
        <v>0</v>
      </c>
      <c r="U22" s="23"/>
      <c r="V22" s="24" t="n">
        <f aca="false">N(S22)+N(T22)-N(U22)</f>
        <v>0</v>
      </c>
      <c r="W22" s="23"/>
      <c r="X22" s="33" t="n">
        <f aca="false">IF(B22="",0,N(Students!J11))</f>
        <v>0</v>
      </c>
      <c r="Y22" s="23"/>
      <c r="Z22" s="24" t="n">
        <f aca="false">N(W22)+N(X22)-N(Y22)</f>
        <v>0</v>
      </c>
      <c r="AA22" s="33" t="n">
        <f aca="false">N(E22)+N(I22)+N(M22)+N(Q22)+N(U22)+N(Y22)</f>
        <v>0</v>
      </c>
      <c r="AB22" s="24" t="n">
        <f aca="false">F22+J22+N22+R22+V22+Z22</f>
        <v>0</v>
      </c>
      <c r="AC22" s="81" t="str">
        <f aca="false">IF(B22="","",IF(AB22&lt;=0,"Clear",IF(AA22&gt;0,"Partial","Due")))</f>
        <v/>
      </c>
    </row>
    <row r="23" customFormat="false" ht="15" hidden="false" customHeight="false" outlineLevel="0" collapsed="false">
      <c r="A23" s="25" t="n">
        <v>8</v>
      </c>
      <c r="B23" s="82" t="str">
        <f aca="false">IF(Students!B12="","",Students!B12)</f>
        <v/>
      </c>
      <c r="C23" s="23"/>
      <c r="D23" s="37" t="n">
        <f aca="false">IF(B23="",0,N(Students!E12))</f>
        <v>0</v>
      </c>
      <c r="E23" s="23"/>
      <c r="F23" s="26" t="n">
        <f aca="false">N(C23)+N(D23)-N(E23)</f>
        <v>0</v>
      </c>
      <c r="G23" s="23"/>
      <c r="H23" s="37" t="n">
        <f aca="false">IF(B23="",0,N(Students!F12))</f>
        <v>0</v>
      </c>
      <c r="I23" s="23"/>
      <c r="J23" s="26" t="n">
        <f aca="false">N(G23)+N(H23)-N(I23)</f>
        <v>0</v>
      </c>
      <c r="K23" s="23"/>
      <c r="L23" s="37" t="n">
        <f aca="false">IF(B23="",0,N(Students!G12))</f>
        <v>0</v>
      </c>
      <c r="M23" s="23"/>
      <c r="N23" s="26" t="n">
        <f aca="false">N(K23)+N(L23)-N(M23)</f>
        <v>0</v>
      </c>
      <c r="O23" s="23"/>
      <c r="P23" s="37" t="n">
        <f aca="false">IF(B23="",0,N(Students!H12))</f>
        <v>0</v>
      </c>
      <c r="Q23" s="23"/>
      <c r="R23" s="26" t="n">
        <f aca="false">N(O23)+N(P23)-N(Q23)</f>
        <v>0</v>
      </c>
      <c r="S23" s="23"/>
      <c r="T23" s="37" t="n">
        <f aca="false">IF(B23="",0,N(Students!I12))</f>
        <v>0</v>
      </c>
      <c r="U23" s="23"/>
      <c r="V23" s="26" t="n">
        <f aca="false">N(S23)+N(T23)-N(U23)</f>
        <v>0</v>
      </c>
      <c r="W23" s="23"/>
      <c r="X23" s="37" t="n">
        <f aca="false">IF(B23="",0,N(Students!J12))</f>
        <v>0</v>
      </c>
      <c r="Y23" s="23"/>
      <c r="Z23" s="26" t="n">
        <f aca="false">N(W23)+N(X23)-N(Y23)</f>
        <v>0</v>
      </c>
      <c r="AA23" s="37" t="n">
        <f aca="false">N(E23)+N(I23)+N(M23)+N(Q23)+N(U23)+N(Y23)</f>
        <v>0</v>
      </c>
      <c r="AB23" s="26" t="n">
        <f aca="false">F23+J23+N23+R23+V23+Z23</f>
        <v>0</v>
      </c>
      <c r="AC23" s="83" t="str">
        <f aca="false">IF(B23="","",IF(AB23&lt;=0,"Clear",IF(AA23&gt;0,"Partial","Due")))</f>
        <v/>
      </c>
    </row>
    <row r="24" customFormat="false" ht="15" hidden="false" customHeight="false" outlineLevel="0" collapsed="false">
      <c r="A24" s="21" t="n">
        <v>9</v>
      </c>
      <c r="B24" s="46" t="str">
        <f aca="false">IF(Students!B13="","",Students!B13)</f>
        <v/>
      </c>
      <c r="C24" s="23"/>
      <c r="D24" s="33" t="n">
        <f aca="false">IF(B24="",0,N(Students!E13))</f>
        <v>0</v>
      </c>
      <c r="E24" s="23"/>
      <c r="F24" s="24" t="n">
        <f aca="false">N(C24)+N(D24)-N(E24)</f>
        <v>0</v>
      </c>
      <c r="G24" s="23"/>
      <c r="H24" s="33" t="n">
        <f aca="false">IF(B24="",0,N(Students!F13))</f>
        <v>0</v>
      </c>
      <c r="I24" s="23"/>
      <c r="J24" s="24" t="n">
        <f aca="false">N(G24)+N(H24)-N(I24)</f>
        <v>0</v>
      </c>
      <c r="K24" s="23"/>
      <c r="L24" s="33" t="n">
        <f aca="false">IF(B24="",0,N(Students!G13))</f>
        <v>0</v>
      </c>
      <c r="M24" s="23"/>
      <c r="N24" s="24" t="n">
        <f aca="false">N(K24)+N(L24)-N(M24)</f>
        <v>0</v>
      </c>
      <c r="O24" s="23"/>
      <c r="P24" s="33" t="n">
        <f aca="false">IF(B24="",0,N(Students!H13))</f>
        <v>0</v>
      </c>
      <c r="Q24" s="23"/>
      <c r="R24" s="24" t="n">
        <f aca="false">N(O24)+N(P24)-N(Q24)</f>
        <v>0</v>
      </c>
      <c r="S24" s="23"/>
      <c r="T24" s="33" t="n">
        <f aca="false">IF(B24="",0,N(Students!I13))</f>
        <v>0</v>
      </c>
      <c r="U24" s="23"/>
      <c r="V24" s="24" t="n">
        <f aca="false">N(S24)+N(T24)-N(U24)</f>
        <v>0</v>
      </c>
      <c r="W24" s="23"/>
      <c r="X24" s="33" t="n">
        <f aca="false">IF(B24="",0,N(Students!J13))</f>
        <v>0</v>
      </c>
      <c r="Y24" s="23"/>
      <c r="Z24" s="24" t="n">
        <f aca="false">N(W24)+N(X24)-N(Y24)</f>
        <v>0</v>
      </c>
      <c r="AA24" s="33" t="n">
        <f aca="false">N(E24)+N(I24)+N(M24)+N(Q24)+N(U24)+N(Y24)</f>
        <v>0</v>
      </c>
      <c r="AB24" s="24" t="n">
        <f aca="false">F24+J24+N24+R24+V24+Z24</f>
        <v>0</v>
      </c>
      <c r="AC24" s="81" t="str">
        <f aca="false">IF(B24="","",IF(AB24&lt;=0,"Clear",IF(AA24&gt;0,"Partial","Due")))</f>
        <v/>
      </c>
    </row>
    <row r="25" customFormat="false" ht="15" hidden="false" customHeight="false" outlineLevel="0" collapsed="false">
      <c r="A25" s="25" t="n">
        <v>10</v>
      </c>
      <c r="B25" s="82" t="str">
        <f aca="false">IF(Students!B14="","",Students!B14)</f>
        <v/>
      </c>
      <c r="C25" s="23"/>
      <c r="D25" s="37" t="n">
        <f aca="false">IF(B25="",0,N(Students!E14))</f>
        <v>0</v>
      </c>
      <c r="E25" s="23"/>
      <c r="F25" s="26" t="n">
        <f aca="false">N(C25)+N(D25)-N(E25)</f>
        <v>0</v>
      </c>
      <c r="G25" s="23"/>
      <c r="H25" s="37" t="n">
        <f aca="false">IF(B25="",0,N(Students!F14))</f>
        <v>0</v>
      </c>
      <c r="I25" s="23"/>
      <c r="J25" s="26" t="n">
        <f aca="false">N(G25)+N(H25)-N(I25)</f>
        <v>0</v>
      </c>
      <c r="K25" s="23"/>
      <c r="L25" s="37" t="n">
        <f aca="false">IF(B25="",0,N(Students!G14))</f>
        <v>0</v>
      </c>
      <c r="M25" s="23"/>
      <c r="N25" s="26" t="n">
        <f aca="false">N(K25)+N(L25)-N(M25)</f>
        <v>0</v>
      </c>
      <c r="O25" s="23"/>
      <c r="P25" s="37" t="n">
        <f aca="false">IF(B25="",0,N(Students!H14))</f>
        <v>0</v>
      </c>
      <c r="Q25" s="23"/>
      <c r="R25" s="26" t="n">
        <f aca="false">N(O25)+N(P25)-N(Q25)</f>
        <v>0</v>
      </c>
      <c r="S25" s="23"/>
      <c r="T25" s="37" t="n">
        <f aca="false">IF(B25="",0,N(Students!I14))</f>
        <v>0</v>
      </c>
      <c r="U25" s="23"/>
      <c r="V25" s="26" t="n">
        <f aca="false">N(S25)+N(T25)-N(U25)</f>
        <v>0</v>
      </c>
      <c r="W25" s="23"/>
      <c r="X25" s="37" t="n">
        <f aca="false">IF(B25="",0,N(Students!J14))</f>
        <v>0</v>
      </c>
      <c r="Y25" s="23"/>
      <c r="Z25" s="26" t="n">
        <f aca="false">N(W25)+N(X25)-N(Y25)</f>
        <v>0</v>
      </c>
      <c r="AA25" s="37" t="n">
        <f aca="false">N(E25)+N(I25)+N(M25)+N(Q25)+N(U25)+N(Y25)</f>
        <v>0</v>
      </c>
      <c r="AB25" s="26" t="n">
        <f aca="false">F25+J25+N25+R25+V25+Z25</f>
        <v>0</v>
      </c>
      <c r="AC25" s="83" t="str">
        <f aca="false">IF(B25="","",IF(AB25&lt;=0,"Clear",IF(AA25&gt;0,"Partial","Due")))</f>
        <v/>
      </c>
    </row>
    <row r="26" customFormat="false" ht="15" hidden="false" customHeight="false" outlineLevel="0" collapsed="false">
      <c r="A26" s="21" t="n">
        <v>11</v>
      </c>
      <c r="B26" s="46" t="str">
        <f aca="false">IF(Students!B15="","",Students!B15)</f>
        <v/>
      </c>
      <c r="C26" s="23"/>
      <c r="D26" s="33" t="n">
        <f aca="false">IF(B26="",0,N(Students!E15))</f>
        <v>0</v>
      </c>
      <c r="E26" s="23"/>
      <c r="F26" s="24" t="n">
        <f aca="false">N(C26)+N(D26)-N(E26)</f>
        <v>0</v>
      </c>
      <c r="G26" s="23"/>
      <c r="H26" s="33" t="n">
        <f aca="false">IF(B26="",0,N(Students!F15))</f>
        <v>0</v>
      </c>
      <c r="I26" s="23"/>
      <c r="J26" s="24" t="n">
        <f aca="false">N(G26)+N(H26)-N(I26)</f>
        <v>0</v>
      </c>
      <c r="K26" s="23"/>
      <c r="L26" s="33" t="n">
        <f aca="false">IF(B26="",0,N(Students!G15))</f>
        <v>0</v>
      </c>
      <c r="M26" s="23"/>
      <c r="N26" s="24" t="n">
        <f aca="false">N(K26)+N(L26)-N(M26)</f>
        <v>0</v>
      </c>
      <c r="O26" s="23"/>
      <c r="P26" s="33" t="n">
        <f aca="false">IF(B26="",0,N(Students!H15))</f>
        <v>0</v>
      </c>
      <c r="Q26" s="23"/>
      <c r="R26" s="24" t="n">
        <f aca="false">N(O26)+N(P26)-N(Q26)</f>
        <v>0</v>
      </c>
      <c r="S26" s="23"/>
      <c r="T26" s="33" t="n">
        <f aca="false">IF(B26="",0,N(Students!I15))</f>
        <v>0</v>
      </c>
      <c r="U26" s="23"/>
      <c r="V26" s="24" t="n">
        <f aca="false">N(S26)+N(T26)-N(U26)</f>
        <v>0</v>
      </c>
      <c r="W26" s="23"/>
      <c r="X26" s="33" t="n">
        <f aca="false">IF(B26="",0,N(Students!J15))</f>
        <v>0</v>
      </c>
      <c r="Y26" s="23"/>
      <c r="Z26" s="24" t="n">
        <f aca="false">N(W26)+N(X26)-N(Y26)</f>
        <v>0</v>
      </c>
      <c r="AA26" s="33" t="n">
        <f aca="false">N(E26)+N(I26)+N(M26)+N(Q26)+N(U26)+N(Y26)</f>
        <v>0</v>
      </c>
      <c r="AB26" s="24" t="n">
        <f aca="false">F26+J26+N26+R26+V26+Z26</f>
        <v>0</v>
      </c>
      <c r="AC26" s="81" t="str">
        <f aca="false">IF(B26="","",IF(AB26&lt;=0,"Clear",IF(AA26&gt;0,"Partial","Due")))</f>
        <v/>
      </c>
    </row>
    <row r="27" customFormat="false" ht="15" hidden="false" customHeight="false" outlineLevel="0" collapsed="false">
      <c r="A27" s="25" t="n">
        <v>12</v>
      </c>
      <c r="B27" s="82" t="str">
        <f aca="false">IF(Students!B16="","",Students!B16)</f>
        <v/>
      </c>
      <c r="C27" s="23"/>
      <c r="D27" s="37" t="n">
        <f aca="false">IF(B27="",0,N(Students!E16))</f>
        <v>0</v>
      </c>
      <c r="E27" s="23"/>
      <c r="F27" s="26" t="n">
        <f aca="false">N(C27)+N(D27)-N(E27)</f>
        <v>0</v>
      </c>
      <c r="G27" s="23"/>
      <c r="H27" s="37" t="n">
        <f aca="false">IF(B27="",0,N(Students!F16))</f>
        <v>0</v>
      </c>
      <c r="I27" s="23"/>
      <c r="J27" s="26" t="n">
        <f aca="false">N(G27)+N(H27)-N(I27)</f>
        <v>0</v>
      </c>
      <c r="K27" s="23"/>
      <c r="L27" s="37" t="n">
        <f aca="false">IF(B27="",0,N(Students!G16))</f>
        <v>0</v>
      </c>
      <c r="M27" s="23"/>
      <c r="N27" s="26" t="n">
        <f aca="false">N(K27)+N(L27)-N(M27)</f>
        <v>0</v>
      </c>
      <c r="O27" s="23"/>
      <c r="P27" s="37" t="n">
        <f aca="false">IF(B27="",0,N(Students!H16))</f>
        <v>0</v>
      </c>
      <c r="Q27" s="23"/>
      <c r="R27" s="26" t="n">
        <f aca="false">N(O27)+N(P27)-N(Q27)</f>
        <v>0</v>
      </c>
      <c r="S27" s="23"/>
      <c r="T27" s="37" t="n">
        <f aca="false">IF(B27="",0,N(Students!I16))</f>
        <v>0</v>
      </c>
      <c r="U27" s="23"/>
      <c r="V27" s="26" t="n">
        <f aca="false">N(S27)+N(T27)-N(U27)</f>
        <v>0</v>
      </c>
      <c r="W27" s="23"/>
      <c r="X27" s="37" t="n">
        <f aca="false">IF(B27="",0,N(Students!J16))</f>
        <v>0</v>
      </c>
      <c r="Y27" s="23"/>
      <c r="Z27" s="26" t="n">
        <f aca="false">N(W27)+N(X27)-N(Y27)</f>
        <v>0</v>
      </c>
      <c r="AA27" s="37" t="n">
        <f aca="false">N(E27)+N(I27)+N(M27)+N(Q27)+N(U27)+N(Y27)</f>
        <v>0</v>
      </c>
      <c r="AB27" s="26" t="n">
        <f aca="false">F27+J27+N27+R27+V27+Z27</f>
        <v>0</v>
      </c>
      <c r="AC27" s="83" t="str">
        <f aca="false">IF(B27="","",IF(AB27&lt;=0,"Clear",IF(AA27&gt;0,"Partial","Due")))</f>
        <v/>
      </c>
    </row>
    <row r="28" customFormat="false" ht="15" hidden="false" customHeight="false" outlineLevel="0" collapsed="false">
      <c r="A28" s="21" t="n">
        <v>13</v>
      </c>
      <c r="B28" s="46" t="str">
        <f aca="false">IF(Students!B17="","",Students!B17)</f>
        <v/>
      </c>
      <c r="C28" s="23"/>
      <c r="D28" s="33" t="n">
        <f aca="false">IF(B28="",0,N(Students!E17))</f>
        <v>0</v>
      </c>
      <c r="E28" s="23"/>
      <c r="F28" s="24" t="n">
        <f aca="false">N(C28)+N(D28)-N(E28)</f>
        <v>0</v>
      </c>
      <c r="G28" s="23"/>
      <c r="H28" s="33" t="n">
        <f aca="false">IF(B28="",0,N(Students!F17))</f>
        <v>0</v>
      </c>
      <c r="I28" s="23"/>
      <c r="J28" s="24" t="n">
        <f aca="false">N(G28)+N(H28)-N(I28)</f>
        <v>0</v>
      </c>
      <c r="K28" s="23"/>
      <c r="L28" s="33" t="n">
        <f aca="false">IF(B28="",0,N(Students!G17))</f>
        <v>0</v>
      </c>
      <c r="M28" s="23"/>
      <c r="N28" s="24" t="n">
        <f aca="false">N(K28)+N(L28)-N(M28)</f>
        <v>0</v>
      </c>
      <c r="O28" s="23"/>
      <c r="P28" s="33" t="n">
        <f aca="false">IF(B28="",0,N(Students!H17))</f>
        <v>0</v>
      </c>
      <c r="Q28" s="23"/>
      <c r="R28" s="24" t="n">
        <f aca="false">N(O28)+N(P28)-N(Q28)</f>
        <v>0</v>
      </c>
      <c r="S28" s="23"/>
      <c r="T28" s="33" t="n">
        <f aca="false">IF(B28="",0,N(Students!I17))</f>
        <v>0</v>
      </c>
      <c r="U28" s="23"/>
      <c r="V28" s="24" t="n">
        <f aca="false">N(S28)+N(T28)-N(U28)</f>
        <v>0</v>
      </c>
      <c r="W28" s="23"/>
      <c r="X28" s="33" t="n">
        <f aca="false">IF(B28="",0,N(Students!J17))</f>
        <v>0</v>
      </c>
      <c r="Y28" s="23"/>
      <c r="Z28" s="24" t="n">
        <f aca="false">N(W28)+N(X28)-N(Y28)</f>
        <v>0</v>
      </c>
      <c r="AA28" s="33" t="n">
        <f aca="false">N(E28)+N(I28)+N(M28)+N(Q28)+N(U28)+N(Y28)</f>
        <v>0</v>
      </c>
      <c r="AB28" s="24" t="n">
        <f aca="false">F28+J28+N28+R28+V28+Z28</f>
        <v>0</v>
      </c>
      <c r="AC28" s="81" t="str">
        <f aca="false">IF(B28="","",IF(AB28&lt;=0,"Clear",IF(AA28&gt;0,"Partial","Due")))</f>
        <v/>
      </c>
    </row>
    <row r="29" customFormat="false" ht="15" hidden="false" customHeight="false" outlineLevel="0" collapsed="false">
      <c r="A29" s="25" t="n">
        <v>14</v>
      </c>
      <c r="B29" s="82" t="str">
        <f aca="false">IF(Students!B18="","",Students!B18)</f>
        <v/>
      </c>
      <c r="C29" s="23"/>
      <c r="D29" s="37" t="n">
        <f aca="false">IF(B29="",0,N(Students!E18))</f>
        <v>0</v>
      </c>
      <c r="E29" s="23"/>
      <c r="F29" s="26" t="n">
        <f aca="false">N(C29)+N(D29)-N(E29)</f>
        <v>0</v>
      </c>
      <c r="G29" s="23"/>
      <c r="H29" s="37" t="n">
        <f aca="false">IF(B29="",0,N(Students!F18))</f>
        <v>0</v>
      </c>
      <c r="I29" s="23"/>
      <c r="J29" s="26" t="n">
        <f aca="false">N(G29)+N(H29)-N(I29)</f>
        <v>0</v>
      </c>
      <c r="K29" s="23"/>
      <c r="L29" s="37" t="n">
        <f aca="false">IF(B29="",0,N(Students!G18))</f>
        <v>0</v>
      </c>
      <c r="M29" s="23"/>
      <c r="N29" s="26" t="n">
        <f aca="false">N(K29)+N(L29)-N(M29)</f>
        <v>0</v>
      </c>
      <c r="O29" s="23"/>
      <c r="P29" s="37" t="n">
        <f aca="false">IF(B29="",0,N(Students!H18))</f>
        <v>0</v>
      </c>
      <c r="Q29" s="23"/>
      <c r="R29" s="26" t="n">
        <f aca="false">N(O29)+N(P29)-N(Q29)</f>
        <v>0</v>
      </c>
      <c r="S29" s="23"/>
      <c r="T29" s="37" t="n">
        <f aca="false">IF(B29="",0,N(Students!I18))</f>
        <v>0</v>
      </c>
      <c r="U29" s="23"/>
      <c r="V29" s="26" t="n">
        <f aca="false">N(S29)+N(T29)-N(U29)</f>
        <v>0</v>
      </c>
      <c r="W29" s="23"/>
      <c r="X29" s="37" t="n">
        <f aca="false">IF(B29="",0,N(Students!J18))</f>
        <v>0</v>
      </c>
      <c r="Y29" s="23"/>
      <c r="Z29" s="26" t="n">
        <f aca="false">N(W29)+N(X29)-N(Y29)</f>
        <v>0</v>
      </c>
      <c r="AA29" s="37" t="n">
        <f aca="false">N(E29)+N(I29)+N(M29)+N(Q29)+N(U29)+N(Y29)</f>
        <v>0</v>
      </c>
      <c r="AB29" s="26" t="n">
        <f aca="false">F29+J29+N29+R29+V29+Z29</f>
        <v>0</v>
      </c>
      <c r="AC29" s="83" t="str">
        <f aca="false">IF(B29="","",IF(AB29&lt;=0,"Clear",IF(AA29&gt;0,"Partial","Due")))</f>
        <v/>
      </c>
    </row>
    <row r="30" customFormat="false" ht="15" hidden="false" customHeight="false" outlineLevel="0" collapsed="false">
      <c r="A30" s="21" t="n">
        <v>15</v>
      </c>
      <c r="B30" s="46" t="str">
        <f aca="false">IF(Students!B19="","",Students!B19)</f>
        <v/>
      </c>
      <c r="C30" s="23"/>
      <c r="D30" s="33" t="n">
        <f aca="false">IF(B30="",0,N(Students!E19))</f>
        <v>0</v>
      </c>
      <c r="E30" s="23"/>
      <c r="F30" s="24" t="n">
        <f aca="false">N(C30)+N(D30)-N(E30)</f>
        <v>0</v>
      </c>
      <c r="G30" s="23"/>
      <c r="H30" s="33" t="n">
        <f aca="false">IF(B30="",0,N(Students!F19))</f>
        <v>0</v>
      </c>
      <c r="I30" s="23"/>
      <c r="J30" s="24" t="n">
        <f aca="false">N(G30)+N(H30)-N(I30)</f>
        <v>0</v>
      </c>
      <c r="K30" s="23"/>
      <c r="L30" s="33" t="n">
        <f aca="false">IF(B30="",0,N(Students!G19))</f>
        <v>0</v>
      </c>
      <c r="M30" s="23"/>
      <c r="N30" s="24" t="n">
        <f aca="false">N(K30)+N(L30)-N(M30)</f>
        <v>0</v>
      </c>
      <c r="O30" s="23"/>
      <c r="P30" s="33" t="n">
        <f aca="false">IF(B30="",0,N(Students!H19))</f>
        <v>0</v>
      </c>
      <c r="Q30" s="23"/>
      <c r="R30" s="24" t="n">
        <f aca="false">N(O30)+N(P30)-N(Q30)</f>
        <v>0</v>
      </c>
      <c r="S30" s="23"/>
      <c r="T30" s="33" t="n">
        <f aca="false">IF(B30="",0,N(Students!I19))</f>
        <v>0</v>
      </c>
      <c r="U30" s="23"/>
      <c r="V30" s="24" t="n">
        <f aca="false">N(S30)+N(T30)-N(U30)</f>
        <v>0</v>
      </c>
      <c r="W30" s="23"/>
      <c r="X30" s="33" t="n">
        <f aca="false">IF(B30="",0,N(Students!J19))</f>
        <v>0</v>
      </c>
      <c r="Y30" s="23"/>
      <c r="Z30" s="24" t="n">
        <f aca="false">N(W30)+N(X30)-N(Y30)</f>
        <v>0</v>
      </c>
      <c r="AA30" s="33" t="n">
        <f aca="false">N(E30)+N(I30)+N(M30)+N(Q30)+N(U30)+N(Y30)</f>
        <v>0</v>
      </c>
      <c r="AB30" s="24" t="n">
        <f aca="false">F30+J30+N30+R30+V30+Z30</f>
        <v>0</v>
      </c>
      <c r="AC30" s="81" t="str">
        <f aca="false">IF(B30="","",IF(AB30&lt;=0,"Clear",IF(AA30&gt;0,"Partial","Due")))</f>
        <v/>
      </c>
    </row>
    <row r="31" customFormat="false" ht="15" hidden="false" customHeight="false" outlineLevel="0" collapsed="false">
      <c r="A31" s="25" t="n">
        <v>16</v>
      </c>
      <c r="B31" s="82" t="str">
        <f aca="false">IF(Students!B20="","",Students!B20)</f>
        <v/>
      </c>
      <c r="C31" s="23"/>
      <c r="D31" s="37" t="n">
        <f aca="false">IF(B31="",0,N(Students!E20))</f>
        <v>0</v>
      </c>
      <c r="E31" s="23"/>
      <c r="F31" s="26" t="n">
        <f aca="false">N(C31)+N(D31)-N(E31)</f>
        <v>0</v>
      </c>
      <c r="G31" s="23"/>
      <c r="H31" s="37" t="n">
        <f aca="false">IF(B31="",0,N(Students!F20))</f>
        <v>0</v>
      </c>
      <c r="I31" s="23"/>
      <c r="J31" s="26" t="n">
        <f aca="false">N(G31)+N(H31)-N(I31)</f>
        <v>0</v>
      </c>
      <c r="K31" s="23"/>
      <c r="L31" s="37" t="n">
        <f aca="false">IF(B31="",0,N(Students!G20))</f>
        <v>0</v>
      </c>
      <c r="M31" s="23"/>
      <c r="N31" s="26" t="n">
        <f aca="false">N(K31)+N(L31)-N(M31)</f>
        <v>0</v>
      </c>
      <c r="O31" s="23"/>
      <c r="P31" s="37" t="n">
        <f aca="false">IF(B31="",0,N(Students!H20))</f>
        <v>0</v>
      </c>
      <c r="Q31" s="23"/>
      <c r="R31" s="26" t="n">
        <f aca="false">N(O31)+N(P31)-N(Q31)</f>
        <v>0</v>
      </c>
      <c r="S31" s="23"/>
      <c r="T31" s="37" t="n">
        <f aca="false">IF(B31="",0,N(Students!I20))</f>
        <v>0</v>
      </c>
      <c r="U31" s="23"/>
      <c r="V31" s="26" t="n">
        <f aca="false">N(S31)+N(T31)-N(U31)</f>
        <v>0</v>
      </c>
      <c r="W31" s="23"/>
      <c r="X31" s="37" t="n">
        <f aca="false">IF(B31="",0,N(Students!J20))</f>
        <v>0</v>
      </c>
      <c r="Y31" s="23"/>
      <c r="Z31" s="26" t="n">
        <f aca="false">N(W31)+N(X31)-N(Y31)</f>
        <v>0</v>
      </c>
      <c r="AA31" s="37" t="n">
        <f aca="false">N(E31)+N(I31)+N(M31)+N(Q31)+N(U31)+N(Y31)</f>
        <v>0</v>
      </c>
      <c r="AB31" s="26" t="n">
        <f aca="false">F31+J31+N31+R31+V31+Z31</f>
        <v>0</v>
      </c>
      <c r="AC31" s="83" t="str">
        <f aca="false">IF(B31="","",IF(AB31&lt;=0,"Clear",IF(AA31&gt;0,"Partial","Due")))</f>
        <v/>
      </c>
    </row>
    <row r="32" customFormat="false" ht="15" hidden="false" customHeight="false" outlineLevel="0" collapsed="false">
      <c r="A32" s="21" t="n">
        <v>17</v>
      </c>
      <c r="B32" s="46" t="str">
        <f aca="false">IF(Students!B21="","",Students!B21)</f>
        <v/>
      </c>
      <c r="C32" s="23"/>
      <c r="D32" s="33" t="n">
        <f aca="false">IF(B32="",0,N(Students!E21))</f>
        <v>0</v>
      </c>
      <c r="E32" s="23"/>
      <c r="F32" s="24" t="n">
        <f aca="false">N(C32)+N(D32)-N(E32)</f>
        <v>0</v>
      </c>
      <c r="G32" s="23"/>
      <c r="H32" s="33" t="n">
        <f aca="false">IF(B32="",0,N(Students!F21))</f>
        <v>0</v>
      </c>
      <c r="I32" s="23"/>
      <c r="J32" s="24" t="n">
        <f aca="false">N(G32)+N(H32)-N(I32)</f>
        <v>0</v>
      </c>
      <c r="K32" s="23"/>
      <c r="L32" s="33" t="n">
        <f aca="false">IF(B32="",0,N(Students!G21))</f>
        <v>0</v>
      </c>
      <c r="M32" s="23"/>
      <c r="N32" s="24" t="n">
        <f aca="false">N(K32)+N(L32)-N(M32)</f>
        <v>0</v>
      </c>
      <c r="O32" s="23"/>
      <c r="P32" s="33" t="n">
        <f aca="false">IF(B32="",0,N(Students!H21))</f>
        <v>0</v>
      </c>
      <c r="Q32" s="23"/>
      <c r="R32" s="24" t="n">
        <f aca="false">N(O32)+N(P32)-N(Q32)</f>
        <v>0</v>
      </c>
      <c r="S32" s="23"/>
      <c r="T32" s="33" t="n">
        <f aca="false">IF(B32="",0,N(Students!I21))</f>
        <v>0</v>
      </c>
      <c r="U32" s="23"/>
      <c r="V32" s="24" t="n">
        <f aca="false">N(S32)+N(T32)-N(U32)</f>
        <v>0</v>
      </c>
      <c r="W32" s="23"/>
      <c r="X32" s="33" t="n">
        <f aca="false">IF(B32="",0,N(Students!J21))</f>
        <v>0</v>
      </c>
      <c r="Y32" s="23"/>
      <c r="Z32" s="24" t="n">
        <f aca="false">N(W32)+N(X32)-N(Y32)</f>
        <v>0</v>
      </c>
      <c r="AA32" s="33" t="n">
        <f aca="false">N(E32)+N(I32)+N(M32)+N(Q32)+N(U32)+N(Y32)</f>
        <v>0</v>
      </c>
      <c r="AB32" s="24" t="n">
        <f aca="false">F32+J32+N32+R32+V32+Z32</f>
        <v>0</v>
      </c>
      <c r="AC32" s="81" t="str">
        <f aca="false">IF(B32="","",IF(AB32&lt;=0,"Clear",IF(AA32&gt;0,"Partial","Due")))</f>
        <v/>
      </c>
    </row>
    <row r="33" customFormat="false" ht="15" hidden="false" customHeight="false" outlineLevel="0" collapsed="false">
      <c r="A33" s="25" t="n">
        <v>18</v>
      </c>
      <c r="B33" s="82" t="str">
        <f aca="false">IF(Students!B22="","",Students!B22)</f>
        <v/>
      </c>
      <c r="C33" s="23"/>
      <c r="D33" s="37" t="n">
        <f aca="false">IF(B33="",0,N(Students!E22))</f>
        <v>0</v>
      </c>
      <c r="E33" s="23"/>
      <c r="F33" s="26" t="n">
        <f aca="false">N(C33)+N(D33)-N(E33)</f>
        <v>0</v>
      </c>
      <c r="G33" s="23"/>
      <c r="H33" s="37" t="n">
        <f aca="false">IF(B33="",0,N(Students!F22))</f>
        <v>0</v>
      </c>
      <c r="I33" s="23"/>
      <c r="J33" s="26" t="n">
        <f aca="false">N(G33)+N(H33)-N(I33)</f>
        <v>0</v>
      </c>
      <c r="K33" s="23"/>
      <c r="L33" s="37" t="n">
        <f aca="false">IF(B33="",0,N(Students!G22))</f>
        <v>0</v>
      </c>
      <c r="M33" s="23"/>
      <c r="N33" s="26" t="n">
        <f aca="false">N(K33)+N(L33)-N(M33)</f>
        <v>0</v>
      </c>
      <c r="O33" s="23"/>
      <c r="P33" s="37" t="n">
        <f aca="false">IF(B33="",0,N(Students!H22))</f>
        <v>0</v>
      </c>
      <c r="Q33" s="23"/>
      <c r="R33" s="26" t="n">
        <f aca="false">N(O33)+N(P33)-N(Q33)</f>
        <v>0</v>
      </c>
      <c r="S33" s="23"/>
      <c r="T33" s="37" t="n">
        <f aca="false">IF(B33="",0,N(Students!I22))</f>
        <v>0</v>
      </c>
      <c r="U33" s="23"/>
      <c r="V33" s="26" t="n">
        <f aca="false">N(S33)+N(T33)-N(U33)</f>
        <v>0</v>
      </c>
      <c r="W33" s="23"/>
      <c r="X33" s="37" t="n">
        <f aca="false">IF(B33="",0,N(Students!J22))</f>
        <v>0</v>
      </c>
      <c r="Y33" s="23"/>
      <c r="Z33" s="26" t="n">
        <f aca="false">N(W33)+N(X33)-N(Y33)</f>
        <v>0</v>
      </c>
      <c r="AA33" s="37" t="n">
        <f aca="false">N(E33)+N(I33)+N(M33)+N(Q33)+N(U33)+N(Y33)</f>
        <v>0</v>
      </c>
      <c r="AB33" s="26" t="n">
        <f aca="false">F33+J33+N33+R33+V33+Z33</f>
        <v>0</v>
      </c>
      <c r="AC33" s="83" t="str">
        <f aca="false">IF(B33="","",IF(AB33&lt;=0,"Clear",IF(AA33&gt;0,"Partial","Due")))</f>
        <v/>
      </c>
    </row>
    <row r="34" customFormat="false" ht="15" hidden="false" customHeight="false" outlineLevel="0" collapsed="false">
      <c r="A34" s="21" t="n">
        <v>19</v>
      </c>
      <c r="B34" s="46" t="str">
        <f aca="false">IF(Students!B23="","",Students!B23)</f>
        <v/>
      </c>
      <c r="C34" s="23"/>
      <c r="D34" s="33" t="n">
        <f aca="false">IF(B34="",0,N(Students!E23))</f>
        <v>0</v>
      </c>
      <c r="E34" s="23"/>
      <c r="F34" s="24" t="n">
        <f aca="false">N(C34)+N(D34)-N(E34)</f>
        <v>0</v>
      </c>
      <c r="G34" s="23"/>
      <c r="H34" s="33" t="n">
        <f aca="false">IF(B34="",0,N(Students!F23))</f>
        <v>0</v>
      </c>
      <c r="I34" s="23"/>
      <c r="J34" s="24" t="n">
        <f aca="false">N(G34)+N(H34)-N(I34)</f>
        <v>0</v>
      </c>
      <c r="K34" s="23"/>
      <c r="L34" s="33" t="n">
        <f aca="false">IF(B34="",0,N(Students!G23))</f>
        <v>0</v>
      </c>
      <c r="M34" s="23"/>
      <c r="N34" s="24" t="n">
        <f aca="false">N(K34)+N(L34)-N(M34)</f>
        <v>0</v>
      </c>
      <c r="O34" s="23"/>
      <c r="P34" s="33" t="n">
        <f aca="false">IF(B34="",0,N(Students!H23))</f>
        <v>0</v>
      </c>
      <c r="Q34" s="23"/>
      <c r="R34" s="24" t="n">
        <f aca="false">N(O34)+N(P34)-N(Q34)</f>
        <v>0</v>
      </c>
      <c r="S34" s="23"/>
      <c r="T34" s="33" t="n">
        <f aca="false">IF(B34="",0,N(Students!I23))</f>
        <v>0</v>
      </c>
      <c r="U34" s="23"/>
      <c r="V34" s="24" t="n">
        <f aca="false">N(S34)+N(T34)-N(U34)</f>
        <v>0</v>
      </c>
      <c r="W34" s="23"/>
      <c r="X34" s="33" t="n">
        <f aca="false">IF(B34="",0,N(Students!J23))</f>
        <v>0</v>
      </c>
      <c r="Y34" s="23"/>
      <c r="Z34" s="24" t="n">
        <f aca="false">N(W34)+N(X34)-N(Y34)</f>
        <v>0</v>
      </c>
      <c r="AA34" s="33" t="n">
        <f aca="false">N(E34)+N(I34)+N(M34)+N(Q34)+N(U34)+N(Y34)</f>
        <v>0</v>
      </c>
      <c r="AB34" s="24" t="n">
        <f aca="false">F34+J34+N34+R34+V34+Z34</f>
        <v>0</v>
      </c>
      <c r="AC34" s="81" t="str">
        <f aca="false">IF(B34="","",IF(AB34&lt;=0,"Clear",IF(AA34&gt;0,"Partial","Due")))</f>
        <v/>
      </c>
    </row>
    <row r="35" customFormat="false" ht="15" hidden="false" customHeight="false" outlineLevel="0" collapsed="false">
      <c r="A35" s="25" t="n">
        <v>20</v>
      </c>
      <c r="B35" s="82" t="str">
        <f aca="false">IF(Students!B24="","",Students!B24)</f>
        <v/>
      </c>
      <c r="C35" s="23"/>
      <c r="D35" s="37" t="n">
        <f aca="false">IF(B35="",0,N(Students!E24))</f>
        <v>0</v>
      </c>
      <c r="E35" s="23"/>
      <c r="F35" s="26" t="n">
        <f aca="false">N(C35)+N(D35)-N(E35)</f>
        <v>0</v>
      </c>
      <c r="G35" s="23"/>
      <c r="H35" s="37" t="n">
        <f aca="false">IF(B35="",0,N(Students!F24))</f>
        <v>0</v>
      </c>
      <c r="I35" s="23"/>
      <c r="J35" s="26" t="n">
        <f aca="false">N(G35)+N(H35)-N(I35)</f>
        <v>0</v>
      </c>
      <c r="K35" s="23"/>
      <c r="L35" s="37" t="n">
        <f aca="false">IF(B35="",0,N(Students!G24))</f>
        <v>0</v>
      </c>
      <c r="M35" s="23"/>
      <c r="N35" s="26" t="n">
        <f aca="false">N(K35)+N(L35)-N(M35)</f>
        <v>0</v>
      </c>
      <c r="O35" s="23"/>
      <c r="P35" s="37" t="n">
        <f aca="false">IF(B35="",0,N(Students!H24))</f>
        <v>0</v>
      </c>
      <c r="Q35" s="23"/>
      <c r="R35" s="26" t="n">
        <f aca="false">N(O35)+N(P35)-N(Q35)</f>
        <v>0</v>
      </c>
      <c r="S35" s="23"/>
      <c r="T35" s="37" t="n">
        <f aca="false">IF(B35="",0,N(Students!I24))</f>
        <v>0</v>
      </c>
      <c r="U35" s="23"/>
      <c r="V35" s="26" t="n">
        <f aca="false">N(S35)+N(T35)-N(U35)</f>
        <v>0</v>
      </c>
      <c r="W35" s="23"/>
      <c r="X35" s="37" t="n">
        <f aca="false">IF(B35="",0,N(Students!J24))</f>
        <v>0</v>
      </c>
      <c r="Y35" s="23"/>
      <c r="Z35" s="26" t="n">
        <f aca="false">N(W35)+N(X35)-N(Y35)</f>
        <v>0</v>
      </c>
      <c r="AA35" s="37" t="n">
        <f aca="false">N(E35)+N(I35)+N(M35)+N(Q35)+N(U35)+N(Y35)</f>
        <v>0</v>
      </c>
      <c r="AB35" s="26" t="n">
        <f aca="false">F35+J35+N35+R35+V35+Z35</f>
        <v>0</v>
      </c>
      <c r="AC35" s="83" t="str">
        <f aca="false">IF(B35="","",IF(AB35&lt;=0,"Clear",IF(AA35&gt;0,"Partial","Due")))</f>
        <v/>
      </c>
    </row>
    <row r="36" customFormat="false" ht="15" hidden="false" customHeight="false" outlineLevel="0" collapsed="false">
      <c r="A36" s="21" t="n">
        <v>21</v>
      </c>
      <c r="B36" s="46" t="str">
        <f aca="false">IF(Students!B25="","",Students!B25)</f>
        <v/>
      </c>
      <c r="C36" s="23"/>
      <c r="D36" s="33" t="n">
        <f aca="false">IF(B36="",0,N(Students!E25))</f>
        <v>0</v>
      </c>
      <c r="E36" s="23"/>
      <c r="F36" s="24" t="n">
        <f aca="false">N(C36)+N(D36)-N(E36)</f>
        <v>0</v>
      </c>
      <c r="G36" s="23"/>
      <c r="H36" s="33" t="n">
        <f aca="false">IF(B36="",0,N(Students!F25))</f>
        <v>0</v>
      </c>
      <c r="I36" s="23"/>
      <c r="J36" s="24" t="n">
        <f aca="false">N(G36)+N(H36)-N(I36)</f>
        <v>0</v>
      </c>
      <c r="K36" s="23"/>
      <c r="L36" s="33" t="n">
        <f aca="false">IF(B36="",0,N(Students!G25))</f>
        <v>0</v>
      </c>
      <c r="M36" s="23"/>
      <c r="N36" s="24" t="n">
        <f aca="false">N(K36)+N(L36)-N(M36)</f>
        <v>0</v>
      </c>
      <c r="O36" s="23"/>
      <c r="P36" s="33" t="n">
        <f aca="false">IF(B36="",0,N(Students!H25))</f>
        <v>0</v>
      </c>
      <c r="Q36" s="23"/>
      <c r="R36" s="24" t="n">
        <f aca="false">N(O36)+N(P36)-N(Q36)</f>
        <v>0</v>
      </c>
      <c r="S36" s="23"/>
      <c r="T36" s="33" t="n">
        <f aca="false">IF(B36="",0,N(Students!I25))</f>
        <v>0</v>
      </c>
      <c r="U36" s="23"/>
      <c r="V36" s="24" t="n">
        <f aca="false">N(S36)+N(T36)-N(U36)</f>
        <v>0</v>
      </c>
      <c r="W36" s="23"/>
      <c r="X36" s="33" t="n">
        <f aca="false">IF(B36="",0,N(Students!J25))</f>
        <v>0</v>
      </c>
      <c r="Y36" s="23"/>
      <c r="Z36" s="24" t="n">
        <f aca="false">N(W36)+N(X36)-N(Y36)</f>
        <v>0</v>
      </c>
      <c r="AA36" s="33" t="n">
        <f aca="false">N(E36)+N(I36)+N(M36)+N(Q36)+N(U36)+N(Y36)</f>
        <v>0</v>
      </c>
      <c r="AB36" s="24" t="n">
        <f aca="false">F36+J36+N36+R36+V36+Z36</f>
        <v>0</v>
      </c>
      <c r="AC36" s="81" t="str">
        <f aca="false">IF(B36="","",IF(AB36&lt;=0,"Clear",IF(AA36&gt;0,"Partial","Due")))</f>
        <v/>
      </c>
    </row>
    <row r="37" customFormat="false" ht="15" hidden="false" customHeight="false" outlineLevel="0" collapsed="false">
      <c r="A37" s="25" t="n">
        <v>22</v>
      </c>
      <c r="B37" s="82" t="str">
        <f aca="false">IF(Students!B26="","",Students!B26)</f>
        <v/>
      </c>
      <c r="C37" s="23"/>
      <c r="D37" s="37" t="n">
        <f aca="false">IF(B37="",0,N(Students!E26))</f>
        <v>0</v>
      </c>
      <c r="E37" s="23"/>
      <c r="F37" s="26" t="n">
        <f aca="false">N(C37)+N(D37)-N(E37)</f>
        <v>0</v>
      </c>
      <c r="G37" s="23"/>
      <c r="H37" s="37" t="n">
        <f aca="false">IF(B37="",0,N(Students!F26))</f>
        <v>0</v>
      </c>
      <c r="I37" s="23"/>
      <c r="J37" s="26" t="n">
        <f aca="false">N(G37)+N(H37)-N(I37)</f>
        <v>0</v>
      </c>
      <c r="K37" s="23"/>
      <c r="L37" s="37" t="n">
        <f aca="false">IF(B37="",0,N(Students!G26))</f>
        <v>0</v>
      </c>
      <c r="M37" s="23"/>
      <c r="N37" s="26" t="n">
        <f aca="false">N(K37)+N(L37)-N(M37)</f>
        <v>0</v>
      </c>
      <c r="O37" s="23"/>
      <c r="P37" s="37" t="n">
        <f aca="false">IF(B37="",0,N(Students!H26))</f>
        <v>0</v>
      </c>
      <c r="Q37" s="23"/>
      <c r="R37" s="26" t="n">
        <f aca="false">N(O37)+N(P37)-N(Q37)</f>
        <v>0</v>
      </c>
      <c r="S37" s="23"/>
      <c r="T37" s="37" t="n">
        <f aca="false">IF(B37="",0,N(Students!I26))</f>
        <v>0</v>
      </c>
      <c r="U37" s="23"/>
      <c r="V37" s="26" t="n">
        <f aca="false">N(S37)+N(T37)-N(U37)</f>
        <v>0</v>
      </c>
      <c r="W37" s="23"/>
      <c r="X37" s="37" t="n">
        <f aca="false">IF(B37="",0,N(Students!J26))</f>
        <v>0</v>
      </c>
      <c r="Y37" s="23"/>
      <c r="Z37" s="26" t="n">
        <f aca="false">N(W37)+N(X37)-N(Y37)</f>
        <v>0</v>
      </c>
      <c r="AA37" s="37" t="n">
        <f aca="false">N(E37)+N(I37)+N(M37)+N(Q37)+N(U37)+N(Y37)</f>
        <v>0</v>
      </c>
      <c r="AB37" s="26" t="n">
        <f aca="false">F37+J37+N37+R37+V37+Z37</f>
        <v>0</v>
      </c>
      <c r="AC37" s="83" t="str">
        <f aca="false">IF(B37="","",IF(AB37&lt;=0,"Clear",IF(AA37&gt;0,"Partial","Due")))</f>
        <v/>
      </c>
    </row>
    <row r="38" customFormat="false" ht="15" hidden="false" customHeight="false" outlineLevel="0" collapsed="false">
      <c r="A38" s="21" t="n">
        <v>23</v>
      </c>
      <c r="B38" s="46" t="str">
        <f aca="false">IF(Students!B27="","",Students!B27)</f>
        <v/>
      </c>
      <c r="C38" s="23"/>
      <c r="D38" s="33" t="n">
        <f aca="false">IF(B38="",0,N(Students!E27))</f>
        <v>0</v>
      </c>
      <c r="E38" s="23"/>
      <c r="F38" s="24" t="n">
        <f aca="false">N(C38)+N(D38)-N(E38)</f>
        <v>0</v>
      </c>
      <c r="G38" s="23"/>
      <c r="H38" s="33" t="n">
        <f aca="false">IF(B38="",0,N(Students!F27))</f>
        <v>0</v>
      </c>
      <c r="I38" s="23"/>
      <c r="J38" s="24" t="n">
        <f aca="false">N(G38)+N(H38)-N(I38)</f>
        <v>0</v>
      </c>
      <c r="K38" s="23"/>
      <c r="L38" s="33" t="n">
        <f aca="false">IF(B38="",0,N(Students!G27))</f>
        <v>0</v>
      </c>
      <c r="M38" s="23"/>
      <c r="N38" s="24" t="n">
        <f aca="false">N(K38)+N(L38)-N(M38)</f>
        <v>0</v>
      </c>
      <c r="O38" s="23"/>
      <c r="P38" s="33" t="n">
        <f aca="false">IF(B38="",0,N(Students!H27))</f>
        <v>0</v>
      </c>
      <c r="Q38" s="23"/>
      <c r="R38" s="24" t="n">
        <f aca="false">N(O38)+N(P38)-N(Q38)</f>
        <v>0</v>
      </c>
      <c r="S38" s="23"/>
      <c r="T38" s="33" t="n">
        <f aca="false">IF(B38="",0,N(Students!I27))</f>
        <v>0</v>
      </c>
      <c r="U38" s="23"/>
      <c r="V38" s="24" t="n">
        <f aca="false">N(S38)+N(T38)-N(U38)</f>
        <v>0</v>
      </c>
      <c r="W38" s="23"/>
      <c r="X38" s="33" t="n">
        <f aca="false">IF(B38="",0,N(Students!J27))</f>
        <v>0</v>
      </c>
      <c r="Y38" s="23"/>
      <c r="Z38" s="24" t="n">
        <f aca="false">N(W38)+N(X38)-N(Y38)</f>
        <v>0</v>
      </c>
      <c r="AA38" s="33" t="n">
        <f aca="false">N(E38)+N(I38)+N(M38)+N(Q38)+N(U38)+N(Y38)</f>
        <v>0</v>
      </c>
      <c r="AB38" s="24" t="n">
        <f aca="false">F38+J38+N38+R38+V38+Z38</f>
        <v>0</v>
      </c>
      <c r="AC38" s="81" t="str">
        <f aca="false">IF(B38="","",IF(AB38&lt;=0,"Clear",IF(AA38&gt;0,"Partial","Due")))</f>
        <v/>
      </c>
    </row>
    <row r="39" customFormat="false" ht="15" hidden="false" customHeight="false" outlineLevel="0" collapsed="false">
      <c r="A39" s="25" t="n">
        <v>24</v>
      </c>
      <c r="B39" s="82" t="str">
        <f aca="false">IF(Students!B28="","",Students!B28)</f>
        <v/>
      </c>
      <c r="C39" s="23"/>
      <c r="D39" s="37" t="n">
        <f aca="false">IF(B39="",0,N(Students!E28))</f>
        <v>0</v>
      </c>
      <c r="E39" s="23"/>
      <c r="F39" s="26" t="n">
        <f aca="false">N(C39)+N(D39)-N(E39)</f>
        <v>0</v>
      </c>
      <c r="G39" s="23"/>
      <c r="H39" s="37" t="n">
        <f aca="false">IF(B39="",0,N(Students!F28))</f>
        <v>0</v>
      </c>
      <c r="I39" s="23"/>
      <c r="J39" s="26" t="n">
        <f aca="false">N(G39)+N(H39)-N(I39)</f>
        <v>0</v>
      </c>
      <c r="K39" s="23"/>
      <c r="L39" s="37" t="n">
        <f aca="false">IF(B39="",0,N(Students!G28))</f>
        <v>0</v>
      </c>
      <c r="M39" s="23"/>
      <c r="N39" s="26" t="n">
        <f aca="false">N(K39)+N(L39)-N(M39)</f>
        <v>0</v>
      </c>
      <c r="O39" s="23"/>
      <c r="P39" s="37" t="n">
        <f aca="false">IF(B39="",0,N(Students!H28))</f>
        <v>0</v>
      </c>
      <c r="Q39" s="23"/>
      <c r="R39" s="26" t="n">
        <f aca="false">N(O39)+N(P39)-N(Q39)</f>
        <v>0</v>
      </c>
      <c r="S39" s="23"/>
      <c r="T39" s="37" t="n">
        <f aca="false">IF(B39="",0,N(Students!I28))</f>
        <v>0</v>
      </c>
      <c r="U39" s="23"/>
      <c r="V39" s="26" t="n">
        <f aca="false">N(S39)+N(T39)-N(U39)</f>
        <v>0</v>
      </c>
      <c r="W39" s="23"/>
      <c r="X39" s="37" t="n">
        <f aca="false">IF(B39="",0,N(Students!J28))</f>
        <v>0</v>
      </c>
      <c r="Y39" s="23"/>
      <c r="Z39" s="26" t="n">
        <f aca="false">N(W39)+N(X39)-N(Y39)</f>
        <v>0</v>
      </c>
      <c r="AA39" s="37" t="n">
        <f aca="false">N(E39)+N(I39)+N(M39)+N(Q39)+N(U39)+N(Y39)</f>
        <v>0</v>
      </c>
      <c r="AB39" s="26" t="n">
        <f aca="false">F39+J39+N39+R39+V39+Z39</f>
        <v>0</v>
      </c>
      <c r="AC39" s="83" t="str">
        <f aca="false">IF(B39="","",IF(AB39&lt;=0,"Clear",IF(AA39&gt;0,"Partial","Due")))</f>
        <v/>
      </c>
    </row>
    <row r="40" customFormat="false" ht="15" hidden="false" customHeight="false" outlineLevel="0" collapsed="false">
      <c r="A40" s="21" t="n">
        <v>25</v>
      </c>
      <c r="B40" s="46" t="str">
        <f aca="false">IF(Students!B29="","",Students!B29)</f>
        <v/>
      </c>
      <c r="C40" s="23"/>
      <c r="D40" s="33" t="n">
        <f aca="false">IF(B40="",0,N(Students!E29))</f>
        <v>0</v>
      </c>
      <c r="E40" s="23"/>
      <c r="F40" s="24" t="n">
        <f aca="false">N(C40)+N(D40)-N(E40)</f>
        <v>0</v>
      </c>
      <c r="G40" s="23"/>
      <c r="H40" s="33" t="n">
        <f aca="false">IF(B40="",0,N(Students!F29))</f>
        <v>0</v>
      </c>
      <c r="I40" s="23"/>
      <c r="J40" s="24" t="n">
        <f aca="false">N(G40)+N(H40)-N(I40)</f>
        <v>0</v>
      </c>
      <c r="K40" s="23"/>
      <c r="L40" s="33" t="n">
        <f aca="false">IF(B40="",0,N(Students!G29))</f>
        <v>0</v>
      </c>
      <c r="M40" s="23"/>
      <c r="N40" s="24" t="n">
        <f aca="false">N(K40)+N(L40)-N(M40)</f>
        <v>0</v>
      </c>
      <c r="O40" s="23"/>
      <c r="P40" s="33" t="n">
        <f aca="false">IF(B40="",0,N(Students!H29))</f>
        <v>0</v>
      </c>
      <c r="Q40" s="23"/>
      <c r="R40" s="24" t="n">
        <f aca="false">N(O40)+N(P40)-N(Q40)</f>
        <v>0</v>
      </c>
      <c r="S40" s="23"/>
      <c r="T40" s="33" t="n">
        <f aca="false">IF(B40="",0,N(Students!I29))</f>
        <v>0</v>
      </c>
      <c r="U40" s="23"/>
      <c r="V40" s="24" t="n">
        <f aca="false">N(S40)+N(T40)-N(U40)</f>
        <v>0</v>
      </c>
      <c r="W40" s="23"/>
      <c r="X40" s="33" t="n">
        <f aca="false">IF(B40="",0,N(Students!J29))</f>
        <v>0</v>
      </c>
      <c r="Y40" s="23"/>
      <c r="Z40" s="24" t="n">
        <f aca="false">N(W40)+N(X40)-N(Y40)</f>
        <v>0</v>
      </c>
      <c r="AA40" s="33" t="n">
        <f aca="false">N(E40)+N(I40)+N(M40)+N(Q40)+N(U40)+N(Y40)</f>
        <v>0</v>
      </c>
      <c r="AB40" s="24" t="n">
        <f aca="false">F40+J40+N40+R40+V40+Z40</f>
        <v>0</v>
      </c>
      <c r="AC40" s="81" t="str">
        <f aca="false">IF(B40="","",IF(AB40&lt;=0,"Clear",IF(AA40&gt;0,"Partial","Due")))</f>
        <v/>
      </c>
    </row>
    <row r="41" customFormat="false" ht="15" hidden="false" customHeight="false" outlineLevel="0" collapsed="false">
      <c r="A41" s="25" t="n">
        <v>26</v>
      </c>
      <c r="B41" s="82" t="str">
        <f aca="false">IF(Students!B30="","",Students!B30)</f>
        <v/>
      </c>
      <c r="C41" s="23"/>
      <c r="D41" s="37" t="n">
        <f aca="false">IF(B41="",0,N(Students!E30))</f>
        <v>0</v>
      </c>
      <c r="E41" s="23"/>
      <c r="F41" s="26" t="n">
        <f aca="false">N(C41)+N(D41)-N(E41)</f>
        <v>0</v>
      </c>
      <c r="G41" s="23"/>
      <c r="H41" s="37" t="n">
        <f aca="false">IF(B41="",0,N(Students!F30))</f>
        <v>0</v>
      </c>
      <c r="I41" s="23"/>
      <c r="J41" s="26" t="n">
        <f aca="false">N(G41)+N(H41)-N(I41)</f>
        <v>0</v>
      </c>
      <c r="K41" s="23"/>
      <c r="L41" s="37" t="n">
        <f aca="false">IF(B41="",0,N(Students!G30))</f>
        <v>0</v>
      </c>
      <c r="M41" s="23"/>
      <c r="N41" s="26" t="n">
        <f aca="false">N(K41)+N(L41)-N(M41)</f>
        <v>0</v>
      </c>
      <c r="O41" s="23"/>
      <c r="P41" s="37" t="n">
        <f aca="false">IF(B41="",0,N(Students!H30))</f>
        <v>0</v>
      </c>
      <c r="Q41" s="23"/>
      <c r="R41" s="26" t="n">
        <f aca="false">N(O41)+N(P41)-N(Q41)</f>
        <v>0</v>
      </c>
      <c r="S41" s="23"/>
      <c r="T41" s="37" t="n">
        <f aca="false">IF(B41="",0,N(Students!I30))</f>
        <v>0</v>
      </c>
      <c r="U41" s="23"/>
      <c r="V41" s="26" t="n">
        <f aca="false">N(S41)+N(T41)-N(U41)</f>
        <v>0</v>
      </c>
      <c r="W41" s="23"/>
      <c r="X41" s="37" t="n">
        <f aca="false">IF(B41="",0,N(Students!J30))</f>
        <v>0</v>
      </c>
      <c r="Y41" s="23"/>
      <c r="Z41" s="26" t="n">
        <f aca="false">N(W41)+N(X41)-N(Y41)</f>
        <v>0</v>
      </c>
      <c r="AA41" s="37" t="n">
        <f aca="false">N(E41)+N(I41)+N(M41)+N(Q41)+N(U41)+N(Y41)</f>
        <v>0</v>
      </c>
      <c r="AB41" s="26" t="n">
        <f aca="false">F41+J41+N41+R41+V41+Z41</f>
        <v>0</v>
      </c>
      <c r="AC41" s="83" t="str">
        <f aca="false">IF(B41="","",IF(AB41&lt;=0,"Clear",IF(AA41&gt;0,"Partial","Due")))</f>
        <v/>
      </c>
    </row>
    <row r="42" customFormat="false" ht="15" hidden="false" customHeight="false" outlineLevel="0" collapsed="false">
      <c r="A42" s="21" t="n">
        <v>27</v>
      </c>
      <c r="B42" s="46" t="str">
        <f aca="false">IF(Students!B31="","",Students!B31)</f>
        <v/>
      </c>
      <c r="C42" s="23"/>
      <c r="D42" s="33" t="n">
        <f aca="false">IF(B42="",0,N(Students!E31))</f>
        <v>0</v>
      </c>
      <c r="E42" s="23"/>
      <c r="F42" s="24" t="n">
        <f aca="false">N(C42)+N(D42)-N(E42)</f>
        <v>0</v>
      </c>
      <c r="G42" s="23"/>
      <c r="H42" s="33" t="n">
        <f aca="false">IF(B42="",0,N(Students!F31))</f>
        <v>0</v>
      </c>
      <c r="I42" s="23"/>
      <c r="J42" s="24" t="n">
        <f aca="false">N(G42)+N(H42)-N(I42)</f>
        <v>0</v>
      </c>
      <c r="K42" s="23"/>
      <c r="L42" s="33" t="n">
        <f aca="false">IF(B42="",0,N(Students!G31))</f>
        <v>0</v>
      </c>
      <c r="M42" s="23"/>
      <c r="N42" s="24" t="n">
        <f aca="false">N(K42)+N(L42)-N(M42)</f>
        <v>0</v>
      </c>
      <c r="O42" s="23"/>
      <c r="P42" s="33" t="n">
        <f aca="false">IF(B42="",0,N(Students!H31))</f>
        <v>0</v>
      </c>
      <c r="Q42" s="23"/>
      <c r="R42" s="24" t="n">
        <f aca="false">N(O42)+N(P42)-N(Q42)</f>
        <v>0</v>
      </c>
      <c r="S42" s="23"/>
      <c r="T42" s="33" t="n">
        <f aca="false">IF(B42="",0,N(Students!I31))</f>
        <v>0</v>
      </c>
      <c r="U42" s="23"/>
      <c r="V42" s="24" t="n">
        <f aca="false">N(S42)+N(T42)-N(U42)</f>
        <v>0</v>
      </c>
      <c r="W42" s="23"/>
      <c r="X42" s="33" t="n">
        <f aca="false">IF(B42="",0,N(Students!J31))</f>
        <v>0</v>
      </c>
      <c r="Y42" s="23"/>
      <c r="Z42" s="24" t="n">
        <f aca="false">N(W42)+N(X42)-N(Y42)</f>
        <v>0</v>
      </c>
      <c r="AA42" s="33" t="n">
        <f aca="false">N(E42)+N(I42)+N(M42)+N(Q42)+N(U42)+N(Y42)</f>
        <v>0</v>
      </c>
      <c r="AB42" s="24" t="n">
        <f aca="false">F42+J42+N42+R42+V42+Z42</f>
        <v>0</v>
      </c>
      <c r="AC42" s="81" t="str">
        <f aca="false">IF(B42="","",IF(AB42&lt;=0,"Clear",IF(AA42&gt;0,"Partial","Due")))</f>
        <v/>
      </c>
    </row>
    <row r="43" customFormat="false" ht="15" hidden="false" customHeight="false" outlineLevel="0" collapsed="false">
      <c r="A43" s="25" t="n">
        <v>28</v>
      </c>
      <c r="B43" s="82" t="str">
        <f aca="false">IF(Students!B32="","",Students!B32)</f>
        <v/>
      </c>
      <c r="C43" s="23"/>
      <c r="D43" s="37" t="n">
        <f aca="false">IF(B43="",0,N(Students!E32))</f>
        <v>0</v>
      </c>
      <c r="E43" s="23"/>
      <c r="F43" s="26" t="n">
        <f aca="false">N(C43)+N(D43)-N(E43)</f>
        <v>0</v>
      </c>
      <c r="G43" s="23"/>
      <c r="H43" s="37" t="n">
        <f aca="false">IF(B43="",0,N(Students!F32))</f>
        <v>0</v>
      </c>
      <c r="I43" s="23"/>
      <c r="J43" s="26" t="n">
        <f aca="false">N(G43)+N(H43)-N(I43)</f>
        <v>0</v>
      </c>
      <c r="K43" s="23"/>
      <c r="L43" s="37" t="n">
        <f aca="false">IF(B43="",0,N(Students!G32))</f>
        <v>0</v>
      </c>
      <c r="M43" s="23"/>
      <c r="N43" s="26" t="n">
        <f aca="false">N(K43)+N(L43)-N(M43)</f>
        <v>0</v>
      </c>
      <c r="O43" s="23"/>
      <c r="P43" s="37" t="n">
        <f aca="false">IF(B43="",0,N(Students!H32))</f>
        <v>0</v>
      </c>
      <c r="Q43" s="23"/>
      <c r="R43" s="26" t="n">
        <f aca="false">N(O43)+N(P43)-N(Q43)</f>
        <v>0</v>
      </c>
      <c r="S43" s="23"/>
      <c r="T43" s="37" t="n">
        <f aca="false">IF(B43="",0,N(Students!I32))</f>
        <v>0</v>
      </c>
      <c r="U43" s="23"/>
      <c r="V43" s="26" t="n">
        <f aca="false">N(S43)+N(T43)-N(U43)</f>
        <v>0</v>
      </c>
      <c r="W43" s="23"/>
      <c r="X43" s="37" t="n">
        <f aca="false">IF(B43="",0,N(Students!J32))</f>
        <v>0</v>
      </c>
      <c r="Y43" s="23"/>
      <c r="Z43" s="26" t="n">
        <f aca="false">N(W43)+N(X43)-N(Y43)</f>
        <v>0</v>
      </c>
      <c r="AA43" s="37" t="n">
        <f aca="false">N(E43)+N(I43)+N(M43)+N(Q43)+N(U43)+N(Y43)</f>
        <v>0</v>
      </c>
      <c r="AB43" s="26" t="n">
        <f aca="false">F43+J43+N43+R43+V43+Z43</f>
        <v>0</v>
      </c>
      <c r="AC43" s="83" t="str">
        <f aca="false">IF(B43="","",IF(AB43&lt;=0,"Clear",IF(AA43&gt;0,"Partial","Due")))</f>
        <v/>
      </c>
    </row>
    <row r="44" customFormat="false" ht="15" hidden="false" customHeight="false" outlineLevel="0" collapsed="false">
      <c r="A44" s="21" t="n">
        <v>29</v>
      </c>
      <c r="B44" s="46" t="str">
        <f aca="false">IF(Students!B33="","",Students!B33)</f>
        <v/>
      </c>
      <c r="C44" s="23"/>
      <c r="D44" s="33" t="n">
        <f aca="false">IF(B44="",0,N(Students!E33))</f>
        <v>0</v>
      </c>
      <c r="E44" s="23"/>
      <c r="F44" s="24" t="n">
        <f aca="false">N(C44)+N(D44)-N(E44)</f>
        <v>0</v>
      </c>
      <c r="G44" s="23"/>
      <c r="H44" s="33" t="n">
        <f aca="false">IF(B44="",0,N(Students!F33))</f>
        <v>0</v>
      </c>
      <c r="I44" s="23"/>
      <c r="J44" s="24" t="n">
        <f aca="false">N(G44)+N(H44)-N(I44)</f>
        <v>0</v>
      </c>
      <c r="K44" s="23"/>
      <c r="L44" s="33" t="n">
        <f aca="false">IF(B44="",0,N(Students!G33))</f>
        <v>0</v>
      </c>
      <c r="M44" s="23"/>
      <c r="N44" s="24" t="n">
        <f aca="false">N(K44)+N(L44)-N(M44)</f>
        <v>0</v>
      </c>
      <c r="O44" s="23"/>
      <c r="P44" s="33" t="n">
        <f aca="false">IF(B44="",0,N(Students!H33))</f>
        <v>0</v>
      </c>
      <c r="Q44" s="23"/>
      <c r="R44" s="24" t="n">
        <f aca="false">N(O44)+N(P44)-N(Q44)</f>
        <v>0</v>
      </c>
      <c r="S44" s="23"/>
      <c r="T44" s="33" t="n">
        <f aca="false">IF(B44="",0,N(Students!I33))</f>
        <v>0</v>
      </c>
      <c r="U44" s="23"/>
      <c r="V44" s="24" t="n">
        <f aca="false">N(S44)+N(T44)-N(U44)</f>
        <v>0</v>
      </c>
      <c r="W44" s="23"/>
      <c r="X44" s="33" t="n">
        <f aca="false">IF(B44="",0,N(Students!J33))</f>
        <v>0</v>
      </c>
      <c r="Y44" s="23"/>
      <c r="Z44" s="24" t="n">
        <f aca="false">N(W44)+N(X44)-N(Y44)</f>
        <v>0</v>
      </c>
      <c r="AA44" s="33" t="n">
        <f aca="false">N(E44)+N(I44)+N(M44)+N(Q44)+N(U44)+N(Y44)</f>
        <v>0</v>
      </c>
      <c r="AB44" s="24" t="n">
        <f aca="false">F44+J44+N44+R44+V44+Z44</f>
        <v>0</v>
      </c>
      <c r="AC44" s="81" t="str">
        <f aca="false">IF(B44="","",IF(AB44&lt;=0,"Clear",IF(AA44&gt;0,"Partial","Due")))</f>
        <v/>
      </c>
    </row>
    <row r="45" customFormat="false" ht="15" hidden="false" customHeight="false" outlineLevel="0" collapsed="false">
      <c r="A45" s="25" t="n">
        <v>30</v>
      </c>
      <c r="B45" s="82" t="str">
        <f aca="false">IF(Students!B34="","",Students!B34)</f>
        <v/>
      </c>
      <c r="C45" s="23"/>
      <c r="D45" s="37" t="n">
        <f aca="false">IF(B45="",0,N(Students!E34))</f>
        <v>0</v>
      </c>
      <c r="E45" s="23"/>
      <c r="F45" s="26" t="n">
        <f aca="false">N(C45)+N(D45)-N(E45)</f>
        <v>0</v>
      </c>
      <c r="G45" s="23"/>
      <c r="H45" s="37" t="n">
        <f aca="false">IF(B45="",0,N(Students!F34))</f>
        <v>0</v>
      </c>
      <c r="I45" s="23"/>
      <c r="J45" s="26" t="n">
        <f aca="false">N(G45)+N(H45)-N(I45)</f>
        <v>0</v>
      </c>
      <c r="K45" s="23"/>
      <c r="L45" s="37" t="n">
        <f aca="false">IF(B45="",0,N(Students!G34))</f>
        <v>0</v>
      </c>
      <c r="M45" s="23"/>
      <c r="N45" s="26" t="n">
        <f aca="false">N(K45)+N(L45)-N(M45)</f>
        <v>0</v>
      </c>
      <c r="O45" s="23"/>
      <c r="P45" s="37" t="n">
        <f aca="false">IF(B45="",0,N(Students!H34))</f>
        <v>0</v>
      </c>
      <c r="Q45" s="23"/>
      <c r="R45" s="26" t="n">
        <f aca="false">N(O45)+N(P45)-N(Q45)</f>
        <v>0</v>
      </c>
      <c r="S45" s="23"/>
      <c r="T45" s="37" t="n">
        <f aca="false">IF(B45="",0,N(Students!I34))</f>
        <v>0</v>
      </c>
      <c r="U45" s="23"/>
      <c r="V45" s="26" t="n">
        <f aca="false">N(S45)+N(T45)-N(U45)</f>
        <v>0</v>
      </c>
      <c r="W45" s="23"/>
      <c r="X45" s="37" t="n">
        <f aca="false">IF(B45="",0,N(Students!J34))</f>
        <v>0</v>
      </c>
      <c r="Y45" s="23"/>
      <c r="Z45" s="26" t="n">
        <f aca="false">N(W45)+N(X45)-N(Y45)</f>
        <v>0</v>
      </c>
      <c r="AA45" s="37" t="n">
        <f aca="false">N(E45)+N(I45)+N(M45)+N(Q45)+N(U45)+N(Y45)</f>
        <v>0</v>
      </c>
      <c r="AB45" s="26" t="n">
        <f aca="false">F45+J45+N45+R45+V45+Z45</f>
        <v>0</v>
      </c>
      <c r="AC45" s="83" t="str">
        <f aca="false">IF(B45="","",IF(AB45&lt;=0,"Clear",IF(AA45&gt;0,"Partial","Due")))</f>
        <v/>
      </c>
    </row>
    <row r="46" customFormat="false" ht="15" hidden="false" customHeight="false" outlineLevel="0" collapsed="false">
      <c r="A46" s="21" t="n">
        <v>31</v>
      </c>
      <c r="B46" s="46" t="str">
        <f aca="false">IF(Students!B35="","",Students!B35)</f>
        <v/>
      </c>
      <c r="C46" s="23"/>
      <c r="D46" s="33" t="n">
        <f aca="false">IF(B46="",0,N(Students!E35))</f>
        <v>0</v>
      </c>
      <c r="E46" s="23"/>
      <c r="F46" s="24" t="n">
        <f aca="false">N(C46)+N(D46)-N(E46)</f>
        <v>0</v>
      </c>
      <c r="G46" s="23"/>
      <c r="H46" s="33" t="n">
        <f aca="false">IF(B46="",0,N(Students!F35))</f>
        <v>0</v>
      </c>
      <c r="I46" s="23"/>
      <c r="J46" s="24" t="n">
        <f aca="false">N(G46)+N(H46)-N(I46)</f>
        <v>0</v>
      </c>
      <c r="K46" s="23"/>
      <c r="L46" s="33" t="n">
        <f aca="false">IF(B46="",0,N(Students!G35))</f>
        <v>0</v>
      </c>
      <c r="M46" s="23"/>
      <c r="N46" s="24" t="n">
        <f aca="false">N(K46)+N(L46)-N(M46)</f>
        <v>0</v>
      </c>
      <c r="O46" s="23"/>
      <c r="P46" s="33" t="n">
        <f aca="false">IF(B46="",0,N(Students!H35))</f>
        <v>0</v>
      </c>
      <c r="Q46" s="23"/>
      <c r="R46" s="24" t="n">
        <f aca="false">N(O46)+N(P46)-N(Q46)</f>
        <v>0</v>
      </c>
      <c r="S46" s="23"/>
      <c r="T46" s="33" t="n">
        <f aca="false">IF(B46="",0,N(Students!I35))</f>
        <v>0</v>
      </c>
      <c r="U46" s="23"/>
      <c r="V46" s="24" t="n">
        <f aca="false">N(S46)+N(T46)-N(U46)</f>
        <v>0</v>
      </c>
      <c r="W46" s="23"/>
      <c r="X46" s="33" t="n">
        <f aca="false">IF(B46="",0,N(Students!J35))</f>
        <v>0</v>
      </c>
      <c r="Y46" s="23"/>
      <c r="Z46" s="24" t="n">
        <f aca="false">N(W46)+N(X46)-N(Y46)</f>
        <v>0</v>
      </c>
      <c r="AA46" s="33" t="n">
        <f aca="false">N(E46)+N(I46)+N(M46)+N(Q46)+N(U46)+N(Y46)</f>
        <v>0</v>
      </c>
      <c r="AB46" s="24" t="n">
        <f aca="false">F46+J46+N46+R46+V46+Z46</f>
        <v>0</v>
      </c>
      <c r="AC46" s="81" t="str">
        <f aca="false">IF(B46="","",IF(AB46&lt;=0,"Clear",IF(AA46&gt;0,"Partial","Due")))</f>
        <v/>
      </c>
    </row>
    <row r="47" customFormat="false" ht="15" hidden="false" customHeight="false" outlineLevel="0" collapsed="false">
      <c r="A47" s="25" t="n">
        <v>32</v>
      </c>
      <c r="B47" s="82" t="str">
        <f aca="false">IF(Students!B36="","",Students!B36)</f>
        <v/>
      </c>
      <c r="C47" s="23"/>
      <c r="D47" s="37" t="n">
        <f aca="false">IF(B47="",0,N(Students!E36))</f>
        <v>0</v>
      </c>
      <c r="E47" s="23"/>
      <c r="F47" s="26" t="n">
        <f aca="false">N(C47)+N(D47)-N(E47)</f>
        <v>0</v>
      </c>
      <c r="G47" s="23"/>
      <c r="H47" s="37" t="n">
        <f aca="false">IF(B47="",0,N(Students!F36))</f>
        <v>0</v>
      </c>
      <c r="I47" s="23"/>
      <c r="J47" s="26" t="n">
        <f aca="false">N(G47)+N(H47)-N(I47)</f>
        <v>0</v>
      </c>
      <c r="K47" s="23"/>
      <c r="L47" s="37" t="n">
        <f aca="false">IF(B47="",0,N(Students!G36))</f>
        <v>0</v>
      </c>
      <c r="M47" s="23"/>
      <c r="N47" s="26" t="n">
        <f aca="false">N(K47)+N(L47)-N(M47)</f>
        <v>0</v>
      </c>
      <c r="O47" s="23"/>
      <c r="P47" s="37" t="n">
        <f aca="false">IF(B47="",0,N(Students!H36))</f>
        <v>0</v>
      </c>
      <c r="Q47" s="23"/>
      <c r="R47" s="26" t="n">
        <f aca="false">N(O47)+N(P47)-N(Q47)</f>
        <v>0</v>
      </c>
      <c r="S47" s="23"/>
      <c r="T47" s="37" t="n">
        <f aca="false">IF(B47="",0,N(Students!I36))</f>
        <v>0</v>
      </c>
      <c r="U47" s="23"/>
      <c r="V47" s="26" t="n">
        <f aca="false">N(S47)+N(T47)-N(U47)</f>
        <v>0</v>
      </c>
      <c r="W47" s="23"/>
      <c r="X47" s="37" t="n">
        <f aca="false">IF(B47="",0,N(Students!J36))</f>
        <v>0</v>
      </c>
      <c r="Y47" s="23"/>
      <c r="Z47" s="26" t="n">
        <f aca="false">N(W47)+N(X47)-N(Y47)</f>
        <v>0</v>
      </c>
      <c r="AA47" s="37" t="n">
        <f aca="false">N(E47)+N(I47)+N(M47)+N(Q47)+N(U47)+N(Y47)</f>
        <v>0</v>
      </c>
      <c r="AB47" s="26" t="n">
        <f aca="false">F47+J47+N47+R47+V47+Z47</f>
        <v>0</v>
      </c>
      <c r="AC47" s="83" t="str">
        <f aca="false">IF(B47="","",IF(AB47&lt;=0,"Clear",IF(AA47&gt;0,"Partial","Due")))</f>
        <v/>
      </c>
    </row>
    <row r="48" customFormat="false" ht="15" hidden="false" customHeight="false" outlineLevel="0" collapsed="false">
      <c r="A48" s="21" t="n">
        <v>33</v>
      </c>
      <c r="B48" s="46" t="str">
        <f aca="false">IF(Students!B37="","",Students!B37)</f>
        <v/>
      </c>
      <c r="C48" s="23"/>
      <c r="D48" s="33" t="n">
        <f aca="false">IF(B48="",0,N(Students!E37))</f>
        <v>0</v>
      </c>
      <c r="E48" s="23"/>
      <c r="F48" s="24" t="n">
        <f aca="false">N(C48)+N(D48)-N(E48)</f>
        <v>0</v>
      </c>
      <c r="G48" s="23"/>
      <c r="H48" s="33" t="n">
        <f aca="false">IF(B48="",0,N(Students!F37))</f>
        <v>0</v>
      </c>
      <c r="I48" s="23"/>
      <c r="J48" s="24" t="n">
        <f aca="false">N(G48)+N(H48)-N(I48)</f>
        <v>0</v>
      </c>
      <c r="K48" s="23"/>
      <c r="L48" s="33" t="n">
        <f aca="false">IF(B48="",0,N(Students!G37))</f>
        <v>0</v>
      </c>
      <c r="M48" s="23"/>
      <c r="N48" s="24" t="n">
        <f aca="false">N(K48)+N(L48)-N(M48)</f>
        <v>0</v>
      </c>
      <c r="O48" s="23"/>
      <c r="P48" s="33" t="n">
        <f aca="false">IF(B48="",0,N(Students!H37))</f>
        <v>0</v>
      </c>
      <c r="Q48" s="23"/>
      <c r="R48" s="24" t="n">
        <f aca="false">N(O48)+N(P48)-N(Q48)</f>
        <v>0</v>
      </c>
      <c r="S48" s="23"/>
      <c r="T48" s="33" t="n">
        <f aca="false">IF(B48="",0,N(Students!I37))</f>
        <v>0</v>
      </c>
      <c r="U48" s="23"/>
      <c r="V48" s="24" t="n">
        <f aca="false">N(S48)+N(T48)-N(U48)</f>
        <v>0</v>
      </c>
      <c r="W48" s="23"/>
      <c r="X48" s="33" t="n">
        <f aca="false">IF(B48="",0,N(Students!J37))</f>
        <v>0</v>
      </c>
      <c r="Y48" s="23"/>
      <c r="Z48" s="24" t="n">
        <f aca="false">N(W48)+N(X48)-N(Y48)</f>
        <v>0</v>
      </c>
      <c r="AA48" s="33" t="n">
        <f aca="false">N(E48)+N(I48)+N(M48)+N(Q48)+N(U48)+N(Y48)</f>
        <v>0</v>
      </c>
      <c r="AB48" s="24" t="n">
        <f aca="false">F48+J48+N48+R48+V48+Z48</f>
        <v>0</v>
      </c>
      <c r="AC48" s="81" t="str">
        <f aca="false">IF(B48="","",IF(AB48&lt;=0,"Clear",IF(AA48&gt;0,"Partial","Due")))</f>
        <v/>
      </c>
    </row>
    <row r="49" customFormat="false" ht="15" hidden="false" customHeight="false" outlineLevel="0" collapsed="false">
      <c r="A49" s="25" t="n">
        <v>34</v>
      </c>
      <c r="B49" s="82" t="str">
        <f aca="false">IF(Students!B38="","",Students!B38)</f>
        <v/>
      </c>
      <c r="C49" s="23"/>
      <c r="D49" s="37" t="n">
        <f aca="false">IF(B49="",0,N(Students!E38))</f>
        <v>0</v>
      </c>
      <c r="E49" s="23"/>
      <c r="F49" s="26" t="n">
        <f aca="false">N(C49)+N(D49)-N(E49)</f>
        <v>0</v>
      </c>
      <c r="G49" s="23"/>
      <c r="H49" s="37" t="n">
        <f aca="false">IF(B49="",0,N(Students!F38))</f>
        <v>0</v>
      </c>
      <c r="I49" s="23"/>
      <c r="J49" s="26" t="n">
        <f aca="false">N(G49)+N(H49)-N(I49)</f>
        <v>0</v>
      </c>
      <c r="K49" s="23"/>
      <c r="L49" s="37" t="n">
        <f aca="false">IF(B49="",0,N(Students!G38))</f>
        <v>0</v>
      </c>
      <c r="M49" s="23"/>
      <c r="N49" s="26" t="n">
        <f aca="false">N(K49)+N(L49)-N(M49)</f>
        <v>0</v>
      </c>
      <c r="O49" s="23"/>
      <c r="P49" s="37" t="n">
        <f aca="false">IF(B49="",0,N(Students!H38))</f>
        <v>0</v>
      </c>
      <c r="Q49" s="23"/>
      <c r="R49" s="26" t="n">
        <f aca="false">N(O49)+N(P49)-N(Q49)</f>
        <v>0</v>
      </c>
      <c r="S49" s="23"/>
      <c r="T49" s="37" t="n">
        <f aca="false">IF(B49="",0,N(Students!I38))</f>
        <v>0</v>
      </c>
      <c r="U49" s="23"/>
      <c r="V49" s="26" t="n">
        <f aca="false">N(S49)+N(T49)-N(U49)</f>
        <v>0</v>
      </c>
      <c r="W49" s="23"/>
      <c r="X49" s="37" t="n">
        <f aca="false">IF(B49="",0,N(Students!J38))</f>
        <v>0</v>
      </c>
      <c r="Y49" s="23"/>
      <c r="Z49" s="26" t="n">
        <f aca="false">N(W49)+N(X49)-N(Y49)</f>
        <v>0</v>
      </c>
      <c r="AA49" s="37" t="n">
        <f aca="false">N(E49)+N(I49)+N(M49)+N(Q49)+N(U49)+N(Y49)</f>
        <v>0</v>
      </c>
      <c r="AB49" s="26" t="n">
        <f aca="false">F49+J49+N49+R49+V49+Z49</f>
        <v>0</v>
      </c>
      <c r="AC49" s="83" t="str">
        <f aca="false">IF(B49="","",IF(AB49&lt;=0,"Clear",IF(AA49&gt;0,"Partial","Due")))</f>
        <v/>
      </c>
    </row>
    <row r="50" customFormat="false" ht="15" hidden="false" customHeight="false" outlineLevel="0" collapsed="false">
      <c r="A50" s="21" t="n">
        <v>35</v>
      </c>
      <c r="B50" s="46" t="str">
        <f aca="false">IF(Students!B39="","",Students!B39)</f>
        <v/>
      </c>
      <c r="C50" s="23"/>
      <c r="D50" s="33" t="n">
        <f aca="false">IF(B50="",0,N(Students!E39))</f>
        <v>0</v>
      </c>
      <c r="E50" s="23"/>
      <c r="F50" s="24" t="n">
        <f aca="false">N(C50)+N(D50)-N(E50)</f>
        <v>0</v>
      </c>
      <c r="G50" s="23"/>
      <c r="H50" s="33" t="n">
        <f aca="false">IF(B50="",0,N(Students!F39))</f>
        <v>0</v>
      </c>
      <c r="I50" s="23"/>
      <c r="J50" s="24" t="n">
        <f aca="false">N(G50)+N(H50)-N(I50)</f>
        <v>0</v>
      </c>
      <c r="K50" s="23"/>
      <c r="L50" s="33" t="n">
        <f aca="false">IF(B50="",0,N(Students!G39))</f>
        <v>0</v>
      </c>
      <c r="M50" s="23"/>
      <c r="N50" s="24" t="n">
        <f aca="false">N(K50)+N(L50)-N(M50)</f>
        <v>0</v>
      </c>
      <c r="O50" s="23"/>
      <c r="P50" s="33" t="n">
        <f aca="false">IF(B50="",0,N(Students!H39))</f>
        <v>0</v>
      </c>
      <c r="Q50" s="23"/>
      <c r="R50" s="24" t="n">
        <f aca="false">N(O50)+N(P50)-N(Q50)</f>
        <v>0</v>
      </c>
      <c r="S50" s="23"/>
      <c r="T50" s="33" t="n">
        <f aca="false">IF(B50="",0,N(Students!I39))</f>
        <v>0</v>
      </c>
      <c r="U50" s="23"/>
      <c r="V50" s="24" t="n">
        <f aca="false">N(S50)+N(T50)-N(U50)</f>
        <v>0</v>
      </c>
      <c r="W50" s="23"/>
      <c r="X50" s="33" t="n">
        <f aca="false">IF(B50="",0,N(Students!J39))</f>
        <v>0</v>
      </c>
      <c r="Y50" s="23"/>
      <c r="Z50" s="24" t="n">
        <f aca="false">N(W50)+N(X50)-N(Y50)</f>
        <v>0</v>
      </c>
      <c r="AA50" s="33" t="n">
        <f aca="false">N(E50)+N(I50)+N(M50)+N(Q50)+N(U50)+N(Y50)</f>
        <v>0</v>
      </c>
      <c r="AB50" s="24" t="n">
        <f aca="false">F50+J50+N50+R50+V50+Z50</f>
        <v>0</v>
      </c>
      <c r="AC50" s="81" t="str">
        <f aca="false">IF(B50="","",IF(AB50&lt;=0,"Clear",IF(AA50&gt;0,"Partial","Due")))</f>
        <v/>
      </c>
    </row>
    <row r="51" customFormat="false" ht="15" hidden="false" customHeight="false" outlineLevel="0" collapsed="false">
      <c r="A51" s="25" t="n">
        <v>36</v>
      </c>
      <c r="B51" s="82" t="str">
        <f aca="false">IF(Students!B40="","",Students!B40)</f>
        <v/>
      </c>
      <c r="C51" s="23"/>
      <c r="D51" s="37" t="n">
        <f aca="false">IF(B51="",0,N(Students!E40))</f>
        <v>0</v>
      </c>
      <c r="E51" s="23"/>
      <c r="F51" s="26" t="n">
        <f aca="false">N(C51)+N(D51)-N(E51)</f>
        <v>0</v>
      </c>
      <c r="G51" s="23"/>
      <c r="H51" s="37" t="n">
        <f aca="false">IF(B51="",0,N(Students!F40))</f>
        <v>0</v>
      </c>
      <c r="I51" s="23"/>
      <c r="J51" s="26" t="n">
        <f aca="false">N(G51)+N(H51)-N(I51)</f>
        <v>0</v>
      </c>
      <c r="K51" s="23"/>
      <c r="L51" s="37" t="n">
        <f aca="false">IF(B51="",0,N(Students!G40))</f>
        <v>0</v>
      </c>
      <c r="M51" s="23"/>
      <c r="N51" s="26" t="n">
        <f aca="false">N(K51)+N(L51)-N(M51)</f>
        <v>0</v>
      </c>
      <c r="O51" s="23"/>
      <c r="P51" s="37" t="n">
        <f aca="false">IF(B51="",0,N(Students!H40))</f>
        <v>0</v>
      </c>
      <c r="Q51" s="23"/>
      <c r="R51" s="26" t="n">
        <f aca="false">N(O51)+N(P51)-N(Q51)</f>
        <v>0</v>
      </c>
      <c r="S51" s="23"/>
      <c r="T51" s="37" t="n">
        <f aca="false">IF(B51="",0,N(Students!I40))</f>
        <v>0</v>
      </c>
      <c r="U51" s="23"/>
      <c r="V51" s="26" t="n">
        <f aca="false">N(S51)+N(T51)-N(U51)</f>
        <v>0</v>
      </c>
      <c r="W51" s="23"/>
      <c r="X51" s="37" t="n">
        <f aca="false">IF(B51="",0,N(Students!J40))</f>
        <v>0</v>
      </c>
      <c r="Y51" s="23"/>
      <c r="Z51" s="26" t="n">
        <f aca="false">N(W51)+N(X51)-N(Y51)</f>
        <v>0</v>
      </c>
      <c r="AA51" s="37" t="n">
        <f aca="false">N(E51)+N(I51)+N(M51)+N(Q51)+N(U51)+N(Y51)</f>
        <v>0</v>
      </c>
      <c r="AB51" s="26" t="n">
        <f aca="false">F51+J51+N51+R51+V51+Z51</f>
        <v>0</v>
      </c>
      <c r="AC51" s="83" t="str">
        <f aca="false">IF(B51="","",IF(AB51&lt;=0,"Clear",IF(AA51&gt;0,"Partial","Due")))</f>
        <v/>
      </c>
    </row>
    <row r="52" customFormat="false" ht="15" hidden="false" customHeight="false" outlineLevel="0" collapsed="false">
      <c r="A52" s="21" t="n">
        <v>37</v>
      </c>
      <c r="B52" s="46" t="str">
        <f aca="false">IF(Students!B41="","",Students!B41)</f>
        <v/>
      </c>
      <c r="C52" s="23"/>
      <c r="D52" s="33" t="n">
        <f aca="false">IF(B52="",0,N(Students!E41))</f>
        <v>0</v>
      </c>
      <c r="E52" s="23"/>
      <c r="F52" s="24" t="n">
        <f aca="false">N(C52)+N(D52)-N(E52)</f>
        <v>0</v>
      </c>
      <c r="G52" s="23"/>
      <c r="H52" s="33" t="n">
        <f aca="false">IF(B52="",0,N(Students!F41))</f>
        <v>0</v>
      </c>
      <c r="I52" s="23"/>
      <c r="J52" s="24" t="n">
        <f aca="false">N(G52)+N(H52)-N(I52)</f>
        <v>0</v>
      </c>
      <c r="K52" s="23"/>
      <c r="L52" s="33" t="n">
        <f aca="false">IF(B52="",0,N(Students!G41))</f>
        <v>0</v>
      </c>
      <c r="M52" s="23"/>
      <c r="N52" s="24" t="n">
        <f aca="false">N(K52)+N(L52)-N(M52)</f>
        <v>0</v>
      </c>
      <c r="O52" s="23"/>
      <c r="P52" s="33" t="n">
        <f aca="false">IF(B52="",0,N(Students!H41))</f>
        <v>0</v>
      </c>
      <c r="Q52" s="23"/>
      <c r="R52" s="24" t="n">
        <f aca="false">N(O52)+N(P52)-N(Q52)</f>
        <v>0</v>
      </c>
      <c r="S52" s="23"/>
      <c r="T52" s="33" t="n">
        <f aca="false">IF(B52="",0,N(Students!I41))</f>
        <v>0</v>
      </c>
      <c r="U52" s="23"/>
      <c r="V52" s="24" t="n">
        <f aca="false">N(S52)+N(T52)-N(U52)</f>
        <v>0</v>
      </c>
      <c r="W52" s="23"/>
      <c r="X52" s="33" t="n">
        <f aca="false">IF(B52="",0,N(Students!J41))</f>
        <v>0</v>
      </c>
      <c r="Y52" s="23"/>
      <c r="Z52" s="24" t="n">
        <f aca="false">N(W52)+N(X52)-N(Y52)</f>
        <v>0</v>
      </c>
      <c r="AA52" s="33" t="n">
        <f aca="false">N(E52)+N(I52)+N(M52)+N(Q52)+N(U52)+N(Y52)</f>
        <v>0</v>
      </c>
      <c r="AB52" s="24" t="n">
        <f aca="false">F52+J52+N52+R52+V52+Z52</f>
        <v>0</v>
      </c>
      <c r="AC52" s="81" t="str">
        <f aca="false">IF(B52="","",IF(AB52&lt;=0,"Clear",IF(AA52&gt;0,"Partial","Due")))</f>
        <v/>
      </c>
    </row>
    <row r="53" customFormat="false" ht="15" hidden="false" customHeight="false" outlineLevel="0" collapsed="false">
      <c r="A53" s="25" t="n">
        <v>38</v>
      </c>
      <c r="B53" s="82" t="str">
        <f aca="false">IF(Students!B42="","",Students!B42)</f>
        <v/>
      </c>
      <c r="C53" s="23"/>
      <c r="D53" s="37" t="n">
        <f aca="false">IF(B53="",0,N(Students!E42))</f>
        <v>0</v>
      </c>
      <c r="E53" s="23"/>
      <c r="F53" s="26" t="n">
        <f aca="false">N(C53)+N(D53)-N(E53)</f>
        <v>0</v>
      </c>
      <c r="G53" s="23"/>
      <c r="H53" s="37" t="n">
        <f aca="false">IF(B53="",0,N(Students!F42))</f>
        <v>0</v>
      </c>
      <c r="I53" s="23"/>
      <c r="J53" s="26" t="n">
        <f aca="false">N(G53)+N(H53)-N(I53)</f>
        <v>0</v>
      </c>
      <c r="K53" s="23"/>
      <c r="L53" s="37" t="n">
        <f aca="false">IF(B53="",0,N(Students!G42))</f>
        <v>0</v>
      </c>
      <c r="M53" s="23"/>
      <c r="N53" s="26" t="n">
        <f aca="false">N(K53)+N(L53)-N(M53)</f>
        <v>0</v>
      </c>
      <c r="O53" s="23"/>
      <c r="P53" s="37" t="n">
        <f aca="false">IF(B53="",0,N(Students!H42))</f>
        <v>0</v>
      </c>
      <c r="Q53" s="23"/>
      <c r="R53" s="26" t="n">
        <f aca="false">N(O53)+N(P53)-N(Q53)</f>
        <v>0</v>
      </c>
      <c r="S53" s="23"/>
      <c r="T53" s="37" t="n">
        <f aca="false">IF(B53="",0,N(Students!I42))</f>
        <v>0</v>
      </c>
      <c r="U53" s="23"/>
      <c r="V53" s="26" t="n">
        <f aca="false">N(S53)+N(T53)-N(U53)</f>
        <v>0</v>
      </c>
      <c r="W53" s="23"/>
      <c r="X53" s="37" t="n">
        <f aca="false">IF(B53="",0,N(Students!J42))</f>
        <v>0</v>
      </c>
      <c r="Y53" s="23"/>
      <c r="Z53" s="26" t="n">
        <f aca="false">N(W53)+N(X53)-N(Y53)</f>
        <v>0</v>
      </c>
      <c r="AA53" s="37" t="n">
        <f aca="false">N(E53)+N(I53)+N(M53)+N(Q53)+N(U53)+N(Y53)</f>
        <v>0</v>
      </c>
      <c r="AB53" s="26" t="n">
        <f aca="false">F53+J53+N53+R53+V53+Z53</f>
        <v>0</v>
      </c>
      <c r="AC53" s="83" t="str">
        <f aca="false">IF(B53="","",IF(AB53&lt;=0,"Clear",IF(AA53&gt;0,"Partial","Due")))</f>
        <v/>
      </c>
    </row>
    <row r="54" customFormat="false" ht="15" hidden="false" customHeight="false" outlineLevel="0" collapsed="false">
      <c r="A54" s="21" t="n">
        <v>39</v>
      </c>
      <c r="B54" s="46" t="str">
        <f aca="false">IF(Students!B43="","",Students!B43)</f>
        <v/>
      </c>
      <c r="C54" s="23"/>
      <c r="D54" s="33" t="n">
        <f aca="false">IF(B54="",0,N(Students!E43))</f>
        <v>0</v>
      </c>
      <c r="E54" s="23"/>
      <c r="F54" s="24" t="n">
        <f aca="false">N(C54)+N(D54)-N(E54)</f>
        <v>0</v>
      </c>
      <c r="G54" s="23"/>
      <c r="H54" s="33" t="n">
        <f aca="false">IF(B54="",0,N(Students!F43))</f>
        <v>0</v>
      </c>
      <c r="I54" s="23"/>
      <c r="J54" s="24" t="n">
        <f aca="false">N(G54)+N(H54)-N(I54)</f>
        <v>0</v>
      </c>
      <c r="K54" s="23"/>
      <c r="L54" s="33" t="n">
        <f aca="false">IF(B54="",0,N(Students!G43))</f>
        <v>0</v>
      </c>
      <c r="M54" s="23"/>
      <c r="N54" s="24" t="n">
        <f aca="false">N(K54)+N(L54)-N(M54)</f>
        <v>0</v>
      </c>
      <c r="O54" s="23"/>
      <c r="P54" s="33" t="n">
        <f aca="false">IF(B54="",0,N(Students!H43))</f>
        <v>0</v>
      </c>
      <c r="Q54" s="23"/>
      <c r="R54" s="24" t="n">
        <f aca="false">N(O54)+N(P54)-N(Q54)</f>
        <v>0</v>
      </c>
      <c r="S54" s="23"/>
      <c r="T54" s="33" t="n">
        <f aca="false">IF(B54="",0,N(Students!I43))</f>
        <v>0</v>
      </c>
      <c r="U54" s="23"/>
      <c r="V54" s="24" t="n">
        <f aca="false">N(S54)+N(T54)-N(U54)</f>
        <v>0</v>
      </c>
      <c r="W54" s="23"/>
      <c r="X54" s="33" t="n">
        <f aca="false">IF(B54="",0,N(Students!J43))</f>
        <v>0</v>
      </c>
      <c r="Y54" s="23"/>
      <c r="Z54" s="24" t="n">
        <f aca="false">N(W54)+N(X54)-N(Y54)</f>
        <v>0</v>
      </c>
      <c r="AA54" s="33" t="n">
        <f aca="false">N(E54)+N(I54)+N(M54)+N(Q54)+N(U54)+N(Y54)</f>
        <v>0</v>
      </c>
      <c r="AB54" s="24" t="n">
        <f aca="false">F54+J54+N54+R54+V54+Z54</f>
        <v>0</v>
      </c>
      <c r="AC54" s="81" t="str">
        <f aca="false">IF(B54="","",IF(AB54&lt;=0,"Clear",IF(AA54&gt;0,"Partial","Due")))</f>
        <v/>
      </c>
    </row>
    <row r="55" customFormat="false" ht="15" hidden="false" customHeight="false" outlineLevel="0" collapsed="false">
      <c r="A55" s="25" t="n">
        <v>40</v>
      </c>
      <c r="B55" s="82" t="str">
        <f aca="false">IF(Students!B44="","",Students!B44)</f>
        <v/>
      </c>
      <c r="C55" s="23"/>
      <c r="D55" s="37" t="n">
        <f aca="false">IF(B55="",0,N(Students!E44))</f>
        <v>0</v>
      </c>
      <c r="E55" s="23"/>
      <c r="F55" s="26" t="n">
        <f aca="false">N(C55)+N(D55)-N(E55)</f>
        <v>0</v>
      </c>
      <c r="G55" s="23"/>
      <c r="H55" s="37" t="n">
        <f aca="false">IF(B55="",0,N(Students!F44))</f>
        <v>0</v>
      </c>
      <c r="I55" s="23"/>
      <c r="J55" s="26" t="n">
        <f aca="false">N(G55)+N(H55)-N(I55)</f>
        <v>0</v>
      </c>
      <c r="K55" s="23"/>
      <c r="L55" s="37" t="n">
        <f aca="false">IF(B55="",0,N(Students!G44))</f>
        <v>0</v>
      </c>
      <c r="M55" s="23"/>
      <c r="N55" s="26" t="n">
        <f aca="false">N(K55)+N(L55)-N(M55)</f>
        <v>0</v>
      </c>
      <c r="O55" s="23"/>
      <c r="P55" s="37" t="n">
        <f aca="false">IF(B55="",0,N(Students!H44))</f>
        <v>0</v>
      </c>
      <c r="Q55" s="23"/>
      <c r="R55" s="26" t="n">
        <f aca="false">N(O55)+N(P55)-N(Q55)</f>
        <v>0</v>
      </c>
      <c r="S55" s="23"/>
      <c r="T55" s="37" t="n">
        <f aca="false">IF(B55="",0,N(Students!I44))</f>
        <v>0</v>
      </c>
      <c r="U55" s="23"/>
      <c r="V55" s="26" t="n">
        <f aca="false">N(S55)+N(T55)-N(U55)</f>
        <v>0</v>
      </c>
      <c r="W55" s="23"/>
      <c r="X55" s="37" t="n">
        <f aca="false">IF(B55="",0,N(Students!J44))</f>
        <v>0</v>
      </c>
      <c r="Y55" s="23"/>
      <c r="Z55" s="26" t="n">
        <f aca="false">N(W55)+N(X55)-N(Y55)</f>
        <v>0</v>
      </c>
      <c r="AA55" s="37" t="n">
        <f aca="false">N(E55)+N(I55)+N(M55)+N(Q55)+N(U55)+N(Y55)</f>
        <v>0</v>
      </c>
      <c r="AB55" s="26" t="n">
        <f aca="false">F55+J55+N55+R55+V55+Z55</f>
        <v>0</v>
      </c>
      <c r="AC55" s="83" t="str">
        <f aca="false">IF(B55="","",IF(AB55&lt;=0,"Clear",IF(AA55&gt;0,"Partial","Due")))</f>
        <v/>
      </c>
    </row>
    <row r="56" customFormat="false" ht="15" hidden="false" customHeight="false" outlineLevel="0" collapsed="false">
      <c r="A56" s="21" t="n">
        <v>41</v>
      </c>
      <c r="B56" s="46" t="str">
        <f aca="false">IF(Students!B45="","",Students!B45)</f>
        <v/>
      </c>
      <c r="C56" s="23"/>
      <c r="D56" s="33" t="n">
        <f aca="false">IF(B56="",0,N(Students!E45))</f>
        <v>0</v>
      </c>
      <c r="E56" s="23"/>
      <c r="F56" s="24" t="n">
        <f aca="false">N(C56)+N(D56)-N(E56)</f>
        <v>0</v>
      </c>
      <c r="G56" s="23"/>
      <c r="H56" s="33" t="n">
        <f aca="false">IF(B56="",0,N(Students!F45))</f>
        <v>0</v>
      </c>
      <c r="I56" s="23"/>
      <c r="J56" s="24" t="n">
        <f aca="false">N(G56)+N(H56)-N(I56)</f>
        <v>0</v>
      </c>
      <c r="K56" s="23"/>
      <c r="L56" s="33" t="n">
        <f aca="false">IF(B56="",0,N(Students!G45))</f>
        <v>0</v>
      </c>
      <c r="M56" s="23"/>
      <c r="N56" s="24" t="n">
        <f aca="false">N(K56)+N(L56)-N(M56)</f>
        <v>0</v>
      </c>
      <c r="O56" s="23"/>
      <c r="P56" s="33" t="n">
        <f aca="false">IF(B56="",0,N(Students!H45))</f>
        <v>0</v>
      </c>
      <c r="Q56" s="23"/>
      <c r="R56" s="24" t="n">
        <f aca="false">N(O56)+N(P56)-N(Q56)</f>
        <v>0</v>
      </c>
      <c r="S56" s="23"/>
      <c r="T56" s="33" t="n">
        <f aca="false">IF(B56="",0,N(Students!I45))</f>
        <v>0</v>
      </c>
      <c r="U56" s="23"/>
      <c r="V56" s="24" t="n">
        <f aca="false">N(S56)+N(T56)-N(U56)</f>
        <v>0</v>
      </c>
      <c r="W56" s="23"/>
      <c r="X56" s="33" t="n">
        <f aca="false">IF(B56="",0,N(Students!J45))</f>
        <v>0</v>
      </c>
      <c r="Y56" s="23"/>
      <c r="Z56" s="24" t="n">
        <f aca="false">N(W56)+N(X56)-N(Y56)</f>
        <v>0</v>
      </c>
      <c r="AA56" s="33" t="n">
        <f aca="false">N(E56)+N(I56)+N(M56)+N(Q56)+N(U56)+N(Y56)</f>
        <v>0</v>
      </c>
      <c r="AB56" s="24" t="n">
        <f aca="false">F56+J56+N56+R56+V56+Z56</f>
        <v>0</v>
      </c>
      <c r="AC56" s="81" t="str">
        <f aca="false">IF(B56="","",IF(AB56&lt;=0,"Clear",IF(AA56&gt;0,"Partial","Due")))</f>
        <v/>
      </c>
    </row>
    <row r="57" customFormat="false" ht="15" hidden="false" customHeight="false" outlineLevel="0" collapsed="false">
      <c r="A57" s="25" t="n">
        <v>42</v>
      </c>
      <c r="B57" s="82" t="str">
        <f aca="false">IF(Students!B46="","",Students!B46)</f>
        <v/>
      </c>
      <c r="C57" s="23"/>
      <c r="D57" s="37" t="n">
        <f aca="false">IF(B57="",0,N(Students!E46))</f>
        <v>0</v>
      </c>
      <c r="E57" s="23"/>
      <c r="F57" s="26" t="n">
        <f aca="false">N(C57)+N(D57)-N(E57)</f>
        <v>0</v>
      </c>
      <c r="G57" s="23"/>
      <c r="H57" s="37" t="n">
        <f aca="false">IF(B57="",0,N(Students!F46))</f>
        <v>0</v>
      </c>
      <c r="I57" s="23"/>
      <c r="J57" s="26" t="n">
        <f aca="false">N(G57)+N(H57)-N(I57)</f>
        <v>0</v>
      </c>
      <c r="K57" s="23"/>
      <c r="L57" s="37" t="n">
        <f aca="false">IF(B57="",0,N(Students!G46))</f>
        <v>0</v>
      </c>
      <c r="M57" s="23"/>
      <c r="N57" s="26" t="n">
        <f aca="false">N(K57)+N(L57)-N(M57)</f>
        <v>0</v>
      </c>
      <c r="O57" s="23"/>
      <c r="P57" s="37" t="n">
        <f aca="false">IF(B57="",0,N(Students!H46))</f>
        <v>0</v>
      </c>
      <c r="Q57" s="23"/>
      <c r="R57" s="26" t="n">
        <f aca="false">N(O57)+N(P57)-N(Q57)</f>
        <v>0</v>
      </c>
      <c r="S57" s="23"/>
      <c r="T57" s="37" t="n">
        <f aca="false">IF(B57="",0,N(Students!I46))</f>
        <v>0</v>
      </c>
      <c r="U57" s="23"/>
      <c r="V57" s="26" t="n">
        <f aca="false">N(S57)+N(T57)-N(U57)</f>
        <v>0</v>
      </c>
      <c r="W57" s="23"/>
      <c r="X57" s="37" t="n">
        <f aca="false">IF(B57="",0,N(Students!J46))</f>
        <v>0</v>
      </c>
      <c r="Y57" s="23"/>
      <c r="Z57" s="26" t="n">
        <f aca="false">N(W57)+N(X57)-N(Y57)</f>
        <v>0</v>
      </c>
      <c r="AA57" s="37" t="n">
        <f aca="false">N(E57)+N(I57)+N(M57)+N(Q57)+N(U57)+N(Y57)</f>
        <v>0</v>
      </c>
      <c r="AB57" s="26" t="n">
        <f aca="false">F57+J57+N57+R57+V57+Z57</f>
        <v>0</v>
      </c>
      <c r="AC57" s="83" t="str">
        <f aca="false">IF(B57="","",IF(AB57&lt;=0,"Clear",IF(AA57&gt;0,"Partial","Due")))</f>
        <v/>
      </c>
    </row>
    <row r="58" customFormat="false" ht="15" hidden="false" customHeight="false" outlineLevel="0" collapsed="false">
      <c r="A58" s="21" t="n">
        <v>43</v>
      </c>
      <c r="B58" s="46" t="str">
        <f aca="false">IF(Students!B47="","",Students!B47)</f>
        <v/>
      </c>
      <c r="C58" s="23"/>
      <c r="D58" s="33" t="n">
        <f aca="false">IF(B58="",0,N(Students!E47))</f>
        <v>0</v>
      </c>
      <c r="E58" s="23"/>
      <c r="F58" s="24" t="n">
        <f aca="false">N(C58)+N(D58)-N(E58)</f>
        <v>0</v>
      </c>
      <c r="G58" s="23"/>
      <c r="H58" s="33" t="n">
        <f aca="false">IF(B58="",0,N(Students!F47))</f>
        <v>0</v>
      </c>
      <c r="I58" s="23"/>
      <c r="J58" s="24" t="n">
        <f aca="false">N(G58)+N(H58)-N(I58)</f>
        <v>0</v>
      </c>
      <c r="K58" s="23"/>
      <c r="L58" s="33" t="n">
        <f aca="false">IF(B58="",0,N(Students!G47))</f>
        <v>0</v>
      </c>
      <c r="M58" s="23"/>
      <c r="N58" s="24" t="n">
        <f aca="false">N(K58)+N(L58)-N(M58)</f>
        <v>0</v>
      </c>
      <c r="O58" s="23"/>
      <c r="P58" s="33" t="n">
        <f aca="false">IF(B58="",0,N(Students!H47))</f>
        <v>0</v>
      </c>
      <c r="Q58" s="23"/>
      <c r="R58" s="24" t="n">
        <f aca="false">N(O58)+N(P58)-N(Q58)</f>
        <v>0</v>
      </c>
      <c r="S58" s="23"/>
      <c r="T58" s="33" t="n">
        <f aca="false">IF(B58="",0,N(Students!I47))</f>
        <v>0</v>
      </c>
      <c r="U58" s="23"/>
      <c r="V58" s="24" t="n">
        <f aca="false">N(S58)+N(T58)-N(U58)</f>
        <v>0</v>
      </c>
      <c r="W58" s="23"/>
      <c r="X58" s="33" t="n">
        <f aca="false">IF(B58="",0,N(Students!J47))</f>
        <v>0</v>
      </c>
      <c r="Y58" s="23"/>
      <c r="Z58" s="24" t="n">
        <f aca="false">N(W58)+N(X58)-N(Y58)</f>
        <v>0</v>
      </c>
      <c r="AA58" s="33" t="n">
        <f aca="false">N(E58)+N(I58)+N(M58)+N(Q58)+N(U58)+N(Y58)</f>
        <v>0</v>
      </c>
      <c r="AB58" s="24" t="n">
        <f aca="false">F58+J58+N58+R58+V58+Z58</f>
        <v>0</v>
      </c>
      <c r="AC58" s="81" t="str">
        <f aca="false">IF(B58="","",IF(AB58&lt;=0,"Clear",IF(AA58&gt;0,"Partial","Due")))</f>
        <v/>
      </c>
    </row>
    <row r="59" customFormat="false" ht="15" hidden="false" customHeight="false" outlineLevel="0" collapsed="false">
      <c r="A59" s="25" t="n">
        <v>44</v>
      </c>
      <c r="B59" s="82" t="str">
        <f aca="false">IF(Students!B48="","",Students!B48)</f>
        <v/>
      </c>
      <c r="C59" s="23"/>
      <c r="D59" s="37" t="n">
        <f aca="false">IF(B59="",0,N(Students!E48))</f>
        <v>0</v>
      </c>
      <c r="E59" s="23"/>
      <c r="F59" s="26" t="n">
        <f aca="false">N(C59)+N(D59)-N(E59)</f>
        <v>0</v>
      </c>
      <c r="G59" s="23"/>
      <c r="H59" s="37" t="n">
        <f aca="false">IF(B59="",0,N(Students!F48))</f>
        <v>0</v>
      </c>
      <c r="I59" s="23"/>
      <c r="J59" s="26" t="n">
        <f aca="false">N(G59)+N(H59)-N(I59)</f>
        <v>0</v>
      </c>
      <c r="K59" s="23"/>
      <c r="L59" s="37" t="n">
        <f aca="false">IF(B59="",0,N(Students!G48))</f>
        <v>0</v>
      </c>
      <c r="M59" s="23"/>
      <c r="N59" s="26" t="n">
        <f aca="false">N(K59)+N(L59)-N(M59)</f>
        <v>0</v>
      </c>
      <c r="O59" s="23"/>
      <c r="P59" s="37" t="n">
        <f aca="false">IF(B59="",0,N(Students!H48))</f>
        <v>0</v>
      </c>
      <c r="Q59" s="23"/>
      <c r="R59" s="26" t="n">
        <f aca="false">N(O59)+N(P59)-N(Q59)</f>
        <v>0</v>
      </c>
      <c r="S59" s="23"/>
      <c r="T59" s="37" t="n">
        <f aca="false">IF(B59="",0,N(Students!I48))</f>
        <v>0</v>
      </c>
      <c r="U59" s="23"/>
      <c r="V59" s="26" t="n">
        <f aca="false">N(S59)+N(T59)-N(U59)</f>
        <v>0</v>
      </c>
      <c r="W59" s="23"/>
      <c r="X59" s="37" t="n">
        <f aca="false">IF(B59="",0,N(Students!J48))</f>
        <v>0</v>
      </c>
      <c r="Y59" s="23"/>
      <c r="Z59" s="26" t="n">
        <f aca="false">N(W59)+N(X59)-N(Y59)</f>
        <v>0</v>
      </c>
      <c r="AA59" s="37" t="n">
        <f aca="false">N(E59)+N(I59)+N(M59)+N(Q59)+N(U59)+N(Y59)</f>
        <v>0</v>
      </c>
      <c r="AB59" s="26" t="n">
        <f aca="false">F59+J59+N59+R59+V59+Z59</f>
        <v>0</v>
      </c>
      <c r="AC59" s="83" t="str">
        <f aca="false">IF(B59="","",IF(AB59&lt;=0,"Clear",IF(AA59&gt;0,"Partial","Due")))</f>
        <v/>
      </c>
    </row>
    <row r="60" customFormat="false" ht="15" hidden="false" customHeight="false" outlineLevel="0" collapsed="false">
      <c r="A60" s="21" t="n">
        <v>45</v>
      </c>
      <c r="B60" s="46" t="str">
        <f aca="false">IF(Students!B49="","",Students!B49)</f>
        <v/>
      </c>
      <c r="C60" s="23"/>
      <c r="D60" s="33" t="n">
        <f aca="false">IF(B60="",0,N(Students!E49))</f>
        <v>0</v>
      </c>
      <c r="E60" s="23"/>
      <c r="F60" s="24" t="n">
        <f aca="false">N(C60)+N(D60)-N(E60)</f>
        <v>0</v>
      </c>
      <c r="G60" s="23"/>
      <c r="H60" s="33" t="n">
        <f aca="false">IF(B60="",0,N(Students!F49))</f>
        <v>0</v>
      </c>
      <c r="I60" s="23"/>
      <c r="J60" s="24" t="n">
        <f aca="false">N(G60)+N(H60)-N(I60)</f>
        <v>0</v>
      </c>
      <c r="K60" s="23"/>
      <c r="L60" s="33" t="n">
        <f aca="false">IF(B60="",0,N(Students!G49))</f>
        <v>0</v>
      </c>
      <c r="M60" s="23"/>
      <c r="N60" s="24" t="n">
        <f aca="false">N(K60)+N(L60)-N(M60)</f>
        <v>0</v>
      </c>
      <c r="O60" s="23"/>
      <c r="P60" s="33" t="n">
        <f aca="false">IF(B60="",0,N(Students!H49))</f>
        <v>0</v>
      </c>
      <c r="Q60" s="23"/>
      <c r="R60" s="24" t="n">
        <f aca="false">N(O60)+N(P60)-N(Q60)</f>
        <v>0</v>
      </c>
      <c r="S60" s="23"/>
      <c r="T60" s="33" t="n">
        <f aca="false">IF(B60="",0,N(Students!I49))</f>
        <v>0</v>
      </c>
      <c r="U60" s="23"/>
      <c r="V60" s="24" t="n">
        <f aca="false">N(S60)+N(T60)-N(U60)</f>
        <v>0</v>
      </c>
      <c r="W60" s="23"/>
      <c r="X60" s="33" t="n">
        <f aca="false">IF(B60="",0,N(Students!J49))</f>
        <v>0</v>
      </c>
      <c r="Y60" s="23"/>
      <c r="Z60" s="24" t="n">
        <f aca="false">N(W60)+N(X60)-N(Y60)</f>
        <v>0</v>
      </c>
      <c r="AA60" s="33" t="n">
        <f aca="false">N(E60)+N(I60)+N(M60)+N(Q60)+N(U60)+N(Y60)</f>
        <v>0</v>
      </c>
      <c r="AB60" s="24" t="n">
        <f aca="false">F60+J60+N60+R60+V60+Z60</f>
        <v>0</v>
      </c>
      <c r="AC60" s="81" t="str">
        <f aca="false">IF(B60="","",IF(AB60&lt;=0,"Clear",IF(AA60&gt;0,"Partial","Due")))</f>
        <v/>
      </c>
    </row>
    <row r="61" customFormat="false" ht="15" hidden="false" customHeight="false" outlineLevel="0" collapsed="false">
      <c r="A61" s="25" t="n">
        <v>46</v>
      </c>
      <c r="B61" s="82" t="str">
        <f aca="false">IF(Students!B50="","",Students!B50)</f>
        <v/>
      </c>
      <c r="C61" s="23"/>
      <c r="D61" s="37" t="n">
        <f aca="false">IF(B61="",0,N(Students!E50))</f>
        <v>0</v>
      </c>
      <c r="E61" s="23"/>
      <c r="F61" s="26" t="n">
        <f aca="false">N(C61)+N(D61)-N(E61)</f>
        <v>0</v>
      </c>
      <c r="G61" s="23"/>
      <c r="H61" s="37" t="n">
        <f aca="false">IF(B61="",0,N(Students!F50))</f>
        <v>0</v>
      </c>
      <c r="I61" s="23"/>
      <c r="J61" s="26" t="n">
        <f aca="false">N(G61)+N(H61)-N(I61)</f>
        <v>0</v>
      </c>
      <c r="K61" s="23"/>
      <c r="L61" s="37" t="n">
        <f aca="false">IF(B61="",0,N(Students!G50))</f>
        <v>0</v>
      </c>
      <c r="M61" s="23"/>
      <c r="N61" s="26" t="n">
        <f aca="false">N(K61)+N(L61)-N(M61)</f>
        <v>0</v>
      </c>
      <c r="O61" s="23"/>
      <c r="P61" s="37" t="n">
        <f aca="false">IF(B61="",0,N(Students!H50))</f>
        <v>0</v>
      </c>
      <c r="Q61" s="23"/>
      <c r="R61" s="26" t="n">
        <f aca="false">N(O61)+N(P61)-N(Q61)</f>
        <v>0</v>
      </c>
      <c r="S61" s="23"/>
      <c r="T61" s="37" t="n">
        <f aca="false">IF(B61="",0,N(Students!I50))</f>
        <v>0</v>
      </c>
      <c r="U61" s="23"/>
      <c r="V61" s="26" t="n">
        <f aca="false">N(S61)+N(T61)-N(U61)</f>
        <v>0</v>
      </c>
      <c r="W61" s="23"/>
      <c r="X61" s="37" t="n">
        <f aca="false">IF(B61="",0,N(Students!J50))</f>
        <v>0</v>
      </c>
      <c r="Y61" s="23"/>
      <c r="Z61" s="26" t="n">
        <f aca="false">N(W61)+N(X61)-N(Y61)</f>
        <v>0</v>
      </c>
      <c r="AA61" s="37" t="n">
        <f aca="false">N(E61)+N(I61)+N(M61)+N(Q61)+N(U61)+N(Y61)</f>
        <v>0</v>
      </c>
      <c r="AB61" s="26" t="n">
        <f aca="false">F61+J61+N61+R61+V61+Z61</f>
        <v>0</v>
      </c>
      <c r="AC61" s="83" t="str">
        <f aca="false">IF(B61="","",IF(AB61&lt;=0,"Clear",IF(AA61&gt;0,"Partial","Due")))</f>
        <v/>
      </c>
    </row>
    <row r="62" customFormat="false" ht="15" hidden="false" customHeight="false" outlineLevel="0" collapsed="false">
      <c r="A62" s="21" t="n">
        <v>47</v>
      </c>
      <c r="B62" s="46" t="str">
        <f aca="false">IF(Students!B51="","",Students!B51)</f>
        <v/>
      </c>
      <c r="C62" s="23"/>
      <c r="D62" s="33" t="n">
        <f aca="false">IF(B62="",0,N(Students!E51))</f>
        <v>0</v>
      </c>
      <c r="E62" s="23"/>
      <c r="F62" s="24" t="n">
        <f aca="false">N(C62)+N(D62)-N(E62)</f>
        <v>0</v>
      </c>
      <c r="G62" s="23"/>
      <c r="H62" s="33" t="n">
        <f aca="false">IF(B62="",0,N(Students!F51))</f>
        <v>0</v>
      </c>
      <c r="I62" s="23"/>
      <c r="J62" s="24" t="n">
        <f aca="false">N(G62)+N(H62)-N(I62)</f>
        <v>0</v>
      </c>
      <c r="K62" s="23"/>
      <c r="L62" s="33" t="n">
        <f aca="false">IF(B62="",0,N(Students!G51))</f>
        <v>0</v>
      </c>
      <c r="M62" s="23"/>
      <c r="N62" s="24" t="n">
        <f aca="false">N(K62)+N(L62)-N(M62)</f>
        <v>0</v>
      </c>
      <c r="O62" s="23"/>
      <c r="P62" s="33" t="n">
        <f aca="false">IF(B62="",0,N(Students!H51))</f>
        <v>0</v>
      </c>
      <c r="Q62" s="23"/>
      <c r="R62" s="24" t="n">
        <f aca="false">N(O62)+N(P62)-N(Q62)</f>
        <v>0</v>
      </c>
      <c r="S62" s="23"/>
      <c r="T62" s="33" t="n">
        <f aca="false">IF(B62="",0,N(Students!I51))</f>
        <v>0</v>
      </c>
      <c r="U62" s="23"/>
      <c r="V62" s="24" t="n">
        <f aca="false">N(S62)+N(T62)-N(U62)</f>
        <v>0</v>
      </c>
      <c r="W62" s="23"/>
      <c r="X62" s="33" t="n">
        <f aca="false">IF(B62="",0,N(Students!J51))</f>
        <v>0</v>
      </c>
      <c r="Y62" s="23"/>
      <c r="Z62" s="24" t="n">
        <f aca="false">N(W62)+N(X62)-N(Y62)</f>
        <v>0</v>
      </c>
      <c r="AA62" s="33" t="n">
        <f aca="false">N(E62)+N(I62)+N(M62)+N(Q62)+N(U62)+N(Y62)</f>
        <v>0</v>
      </c>
      <c r="AB62" s="24" t="n">
        <f aca="false">F62+J62+N62+R62+V62+Z62</f>
        <v>0</v>
      </c>
      <c r="AC62" s="81" t="str">
        <f aca="false">IF(B62="","",IF(AB62&lt;=0,"Clear",IF(AA62&gt;0,"Partial","Due")))</f>
        <v/>
      </c>
    </row>
    <row r="63" customFormat="false" ht="15" hidden="false" customHeight="false" outlineLevel="0" collapsed="false">
      <c r="A63" s="25" t="n">
        <v>48</v>
      </c>
      <c r="B63" s="82" t="str">
        <f aca="false">IF(Students!B52="","",Students!B52)</f>
        <v/>
      </c>
      <c r="C63" s="23"/>
      <c r="D63" s="37" t="n">
        <f aca="false">IF(B63="",0,N(Students!E52))</f>
        <v>0</v>
      </c>
      <c r="E63" s="23"/>
      <c r="F63" s="26" t="n">
        <f aca="false">N(C63)+N(D63)-N(E63)</f>
        <v>0</v>
      </c>
      <c r="G63" s="23"/>
      <c r="H63" s="37" t="n">
        <f aca="false">IF(B63="",0,N(Students!F52))</f>
        <v>0</v>
      </c>
      <c r="I63" s="23"/>
      <c r="J63" s="26" t="n">
        <f aca="false">N(G63)+N(H63)-N(I63)</f>
        <v>0</v>
      </c>
      <c r="K63" s="23"/>
      <c r="L63" s="37" t="n">
        <f aca="false">IF(B63="",0,N(Students!G52))</f>
        <v>0</v>
      </c>
      <c r="M63" s="23"/>
      <c r="N63" s="26" t="n">
        <f aca="false">N(K63)+N(L63)-N(M63)</f>
        <v>0</v>
      </c>
      <c r="O63" s="23"/>
      <c r="P63" s="37" t="n">
        <f aca="false">IF(B63="",0,N(Students!H52))</f>
        <v>0</v>
      </c>
      <c r="Q63" s="23"/>
      <c r="R63" s="26" t="n">
        <f aca="false">N(O63)+N(P63)-N(Q63)</f>
        <v>0</v>
      </c>
      <c r="S63" s="23"/>
      <c r="T63" s="37" t="n">
        <f aca="false">IF(B63="",0,N(Students!I52))</f>
        <v>0</v>
      </c>
      <c r="U63" s="23"/>
      <c r="V63" s="26" t="n">
        <f aca="false">N(S63)+N(T63)-N(U63)</f>
        <v>0</v>
      </c>
      <c r="W63" s="23"/>
      <c r="X63" s="37" t="n">
        <f aca="false">IF(B63="",0,N(Students!J52))</f>
        <v>0</v>
      </c>
      <c r="Y63" s="23"/>
      <c r="Z63" s="26" t="n">
        <f aca="false">N(W63)+N(X63)-N(Y63)</f>
        <v>0</v>
      </c>
      <c r="AA63" s="37" t="n">
        <f aca="false">N(E63)+N(I63)+N(M63)+N(Q63)+N(U63)+N(Y63)</f>
        <v>0</v>
      </c>
      <c r="AB63" s="26" t="n">
        <f aca="false">F63+J63+N63+R63+V63+Z63</f>
        <v>0</v>
      </c>
      <c r="AC63" s="83" t="str">
        <f aca="false">IF(B63="","",IF(AB63&lt;=0,"Clear",IF(AA63&gt;0,"Partial","Due")))</f>
        <v/>
      </c>
    </row>
    <row r="64" customFormat="false" ht="15" hidden="false" customHeight="false" outlineLevel="0" collapsed="false">
      <c r="A64" s="21" t="n">
        <v>49</v>
      </c>
      <c r="B64" s="46" t="str">
        <f aca="false">IF(Students!B53="","",Students!B53)</f>
        <v/>
      </c>
      <c r="C64" s="23"/>
      <c r="D64" s="33" t="n">
        <f aca="false">IF(B64="",0,N(Students!E53))</f>
        <v>0</v>
      </c>
      <c r="E64" s="23"/>
      <c r="F64" s="24" t="n">
        <f aca="false">N(C64)+N(D64)-N(E64)</f>
        <v>0</v>
      </c>
      <c r="G64" s="23"/>
      <c r="H64" s="33" t="n">
        <f aca="false">IF(B64="",0,N(Students!F53))</f>
        <v>0</v>
      </c>
      <c r="I64" s="23"/>
      <c r="J64" s="24" t="n">
        <f aca="false">N(G64)+N(H64)-N(I64)</f>
        <v>0</v>
      </c>
      <c r="K64" s="23"/>
      <c r="L64" s="33" t="n">
        <f aca="false">IF(B64="",0,N(Students!G53))</f>
        <v>0</v>
      </c>
      <c r="M64" s="23"/>
      <c r="N64" s="24" t="n">
        <f aca="false">N(K64)+N(L64)-N(M64)</f>
        <v>0</v>
      </c>
      <c r="O64" s="23"/>
      <c r="P64" s="33" t="n">
        <f aca="false">IF(B64="",0,N(Students!H53))</f>
        <v>0</v>
      </c>
      <c r="Q64" s="23"/>
      <c r="R64" s="24" t="n">
        <f aca="false">N(O64)+N(P64)-N(Q64)</f>
        <v>0</v>
      </c>
      <c r="S64" s="23"/>
      <c r="T64" s="33" t="n">
        <f aca="false">IF(B64="",0,N(Students!I53))</f>
        <v>0</v>
      </c>
      <c r="U64" s="23"/>
      <c r="V64" s="24" t="n">
        <f aca="false">N(S64)+N(T64)-N(U64)</f>
        <v>0</v>
      </c>
      <c r="W64" s="23"/>
      <c r="X64" s="33" t="n">
        <f aca="false">IF(B64="",0,N(Students!J53))</f>
        <v>0</v>
      </c>
      <c r="Y64" s="23"/>
      <c r="Z64" s="24" t="n">
        <f aca="false">N(W64)+N(X64)-N(Y64)</f>
        <v>0</v>
      </c>
      <c r="AA64" s="33" t="n">
        <f aca="false">N(E64)+N(I64)+N(M64)+N(Q64)+N(U64)+N(Y64)</f>
        <v>0</v>
      </c>
      <c r="AB64" s="24" t="n">
        <f aca="false">F64+J64+N64+R64+V64+Z64</f>
        <v>0</v>
      </c>
      <c r="AC64" s="81" t="str">
        <f aca="false">IF(B64="","",IF(AB64&lt;=0,"Clear",IF(AA64&gt;0,"Partial","Due")))</f>
        <v/>
      </c>
    </row>
    <row r="65" customFormat="false" ht="15" hidden="false" customHeight="false" outlineLevel="0" collapsed="false">
      <c r="A65" s="25" t="n">
        <v>50</v>
      </c>
      <c r="B65" s="82" t="str">
        <f aca="false">IF(Students!B54="","",Students!B54)</f>
        <v/>
      </c>
      <c r="C65" s="23"/>
      <c r="D65" s="37" t="n">
        <f aca="false">IF(B65="",0,N(Students!E54))</f>
        <v>0</v>
      </c>
      <c r="E65" s="23"/>
      <c r="F65" s="26" t="n">
        <f aca="false">N(C65)+N(D65)-N(E65)</f>
        <v>0</v>
      </c>
      <c r="G65" s="23"/>
      <c r="H65" s="37" t="n">
        <f aca="false">IF(B65="",0,N(Students!F54))</f>
        <v>0</v>
      </c>
      <c r="I65" s="23"/>
      <c r="J65" s="26" t="n">
        <f aca="false">N(G65)+N(H65)-N(I65)</f>
        <v>0</v>
      </c>
      <c r="K65" s="23"/>
      <c r="L65" s="37" t="n">
        <f aca="false">IF(B65="",0,N(Students!G54))</f>
        <v>0</v>
      </c>
      <c r="M65" s="23"/>
      <c r="N65" s="26" t="n">
        <f aca="false">N(K65)+N(L65)-N(M65)</f>
        <v>0</v>
      </c>
      <c r="O65" s="23"/>
      <c r="P65" s="37" t="n">
        <f aca="false">IF(B65="",0,N(Students!H54))</f>
        <v>0</v>
      </c>
      <c r="Q65" s="23"/>
      <c r="R65" s="26" t="n">
        <f aca="false">N(O65)+N(P65)-N(Q65)</f>
        <v>0</v>
      </c>
      <c r="S65" s="23"/>
      <c r="T65" s="37" t="n">
        <f aca="false">IF(B65="",0,N(Students!I54))</f>
        <v>0</v>
      </c>
      <c r="U65" s="23"/>
      <c r="V65" s="26" t="n">
        <f aca="false">N(S65)+N(T65)-N(U65)</f>
        <v>0</v>
      </c>
      <c r="W65" s="23"/>
      <c r="X65" s="37" t="n">
        <f aca="false">IF(B65="",0,N(Students!J54))</f>
        <v>0</v>
      </c>
      <c r="Y65" s="23"/>
      <c r="Z65" s="26" t="n">
        <f aca="false">N(W65)+N(X65)-N(Y65)</f>
        <v>0</v>
      </c>
      <c r="AA65" s="37" t="n">
        <f aca="false">N(E65)+N(I65)+N(M65)+N(Q65)+N(U65)+N(Y65)</f>
        <v>0</v>
      </c>
      <c r="AB65" s="26" t="n">
        <f aca="false">F65+J65+N65+R65+V65+Z65</f>
        <v>0</v>
      </c>
      <c r="AC65" s="83" t="str">
        <f aca="false">IF(B65="","",IF(AB65&lt;=0,"Clear",IF(AA65&gt;0,"Partial","Due")))</f>
        <v/>
      </c>
    </row>
    <row r="66" customFormat="false" ht="15" hidden="false" customHeight="false" outlineLevel="0" collapsed="false">
      <c r="A66" s="21" t="n">
        <v>51</v>
      </c>
      <c r="B66" s="46" t="str">
        <f aca="false">IF(Students!B55="","",Students!B55)</f>
        <v/>
      </c>
      <c r="C66" s="23"/>
      <c r="D66" s="33" t="n">
        <f aca="false">IF(B66="",0,N(Students!E55))</f>
        <v>0</v>
      </c>
      <c r="E66" s="23"/>
      <c r="F66" s="24" t="n">
        <f aca="false">N(C66)+N(D66)-N(E66)</f>
        <v>0</v>
      </c>
      <c r="G66" s="23"/>
      <c r="H66" s="33" t="n">
        <f aca="false">IF(B66="",0,N(Students!F55))</f>
        <v>0</v>
      </c>
      <c r="I66" s="23"/>
      <c r="J66" s="24" t="n">
        <f aca="false">N(G66)+N(H66)-N(I66)</f>
        <v>0</v>
      </c>
      <c r="K66" s="23"/>
      <c r="L66" s="33" t="n">
        <f aca="false">IF(B66="",0,N(Students!G55))</f>
        <v>0</v>
      </c>
      <c r="M66" s="23"/>
      <c r="N66" s="24" t="n">
        <f aca="false">N(K66)+N(L66)-N(M66)</f>
        <v>0</v>
      </c>
      <c r="O66" s="23"/>
      <c r="P66" s="33" t="n">
        <f aca="false">IF(B66="",0,N(Students!H55))</f>
        <v>0</v>
      </c>
      <c r="Q66" s="23"/>
      <c r="R66" s="24" t="n">
        <f aca="false">N(O66)+N(P66)-N(Q66)</f>
        <v>0</v>
      </c>
      <c r="S66" s="23"/>
      <c r="T66" s="33" t="n">
        <f aca="false">IF(B66="",0,N(Students!I55))</f>
        <v>0</v>
      </c>
      <c r="U66" s="23"/>
      <c r="V66" s="24" t="n">
        <f aca="false">N(S66)+N(T66)-N(U66)</f>
        <v>0</v>
      </c>
      <c r="W66" s="23"/>
      <c r="X66" s="33" t="n">
        <f aca="false">IF(B66="",0,N(Students!J55))</f>
        <v>0</v>
      </c>
      <c r="Y66" s="23"/>
      <c r="Z66" s="24" t="n">
        <f aca="false">N(W66)+N(X66)-N(Y66)</f>
        <v>0</v>
      </c>
      <c r="AA66" s="33" t="n">
        <f aca="false">N(E66)+N(I66)+N(M66)+N(Q66)+N(U66)+N(Y66)</f>
        <v>0</v>
      </c>
      <c r="AB66" s="24" t="n">
        <f aca="false">F66+J66+N66+R66+V66+Z66</f>
        <v>0</v>
      </c>
      <c r="AC66" s="81" t="str">
        <f aca="false">IF(B66="","",IF(AB66&lt;=0,"Clear",IF(AA66&gt;0,"Partial","Due")))</f>
        <v/>
      </c>
    </row>
    <row r="67" customFormat="false" ht="15" hidden="false" customHeight="false" outlineLevel="0" collapsed="false">
      <c r="A67" s="25" t="n">
        <v>52</v>
      </c>
      <c r="B67" s="82" t="str">
        <f aca="false">IF(Students!B56="","",Students!B56)</f>
        <v/>
      </c>
      <c r="C67" s="23"/>
      <c r="D67" s="37" t="n">
        <f aca="false">IF(B67="",0,N(Students!E56))</f>
        <v>0</v>
      </c>
      <c r="E67" s="23"/>
      <c r="F67" s="26" t="n">
        <f aca="false">N(C67)+N(D67)-N(E67)</f>
        <v>0</v>
      </c>
      <c r="G67" s="23"/>
      <c r="H67" s="37" t="n">
        <f aca="false">IF(B67="",0,N(Students!F56))</f>
        <v>0</v>
      </c>
      <c r="I67" s="23"/>
      <c r="J67" s="26" t="n">
        <f aca="false">N(G67)+N(H67)-N(I67)</f>
        <v>0</v>
      </c>
      <c r="K67" s="23"/>
      <c r="L67" s="37" t="n">
        <f aca="false">IF(B67="",0,N(Students!G56))</f>
        <v>0</v>
      </c>
      <c r="M67" s="23"/>
      <c r="N67" s="26" t="n">
        <f aca="false">N(K67)+N(L67)-N(M67)</f>
        <v>0</v>
      </c>
      <c r="O67" s="23"/>
      <c r="P67" s="37" t="n">
        <f aca="false">IF(B67="",0,N(Students!H56))</f>
        <v>0</v>
      </c>
      <c r="Q67" s="23"/>
      <c r="R67" s="26" t="n">
        <f aca="false">N(O67)+N(P67)-N(Q67)</f>
        <v>0</v>
      </c>
      <c r="S67" s="23"/>
      <c r="T67" s="37" t="n">
        <f aca="false">IF(B67="",0,N(Students!I56))</f>
        <v>0</v>
      </c>
      <c r="U67" s="23"/>
      <c r="V67" s="26" t="n">
        <f aca="false">N(S67)+N(T67)-N(U67)</f>
        <v>0</v>
      </c>
      <c r="W67" s="23"/>
      <c r="X67" s="37" t="n">
        <f aca="false">IF(B67="",0,N(Students!J56))</f>
        <v>0</v>
      </c>
      <c r="Y67" s="23"/>
      <c r="Z67" s="26" t="n">
        <f aca="false">N(W67)+N(X67)-N(Y67)</f>
        <v>0</v>
      </c>
      <c r="AA67" s="37" t="n">
        <f aca="false">N(E67)+N(I67)+N(M67)+N(Q67)+N(U67)+N(Y67)</f>
        <v>0</v>
      </c>
      <c r="AB67" s="26" t="n">
        <f aca="false">F67+J67+N67+R67+V67+Z67</f>
        <v>0</v>
      </c>
      <c r="AC67" s="83" t="str">
        <f aca="false">IF(B67="","",IF(AB67&lt;=0,"Clear",IF(AA67&gt;0,"Partial","Due")))</f>
        <v/>
      </c>
    </row>
    <row r="68" customFormat="false" ht="15" hidden="false" customHeight="false" outlineLevel="0" collapsed="false">
      <c r="A68" s="21" t="n">
        <v>53</v>
      </c>
      <c r="B68" s="46" t="str">
        <f aca="false">IF(Students!B57="","",Students!B57)</f>
        <v/>
      </c>
      <c r="C68" s="23"/>
      <c r="D68" s="33" t="n">
        <f aca="false">IF(B68="",0,N(Students!E57))</f>
        <v>0</v>
      </c>
      <c r="E68" s="23"/>
      <c r="F68" s="24" t="n">
        <f aca="false">N(C68)+N(D68)-N(E68)</f>
        <v>0</v>
      </c>
      <c r="G68" s="23"/>
      <c r="H68" s="33" t="n">
        <f aca="false">IF(B68="",0,N(Students!F57))</f>
        <v>0</v>
      </c>
      <c r="I68" s="23"/>
      <c r="J68" s="24" t="n">
        <f aca="false">N(G68)+N(H68)-N(I68)</f>
        <v>0</v>
      </c>
      <c r="K68" s="23"/>
      <c r="L68" s="33" t="n">
        <f aca="false">IF(B68="",0,N(Students!G57))</f>
        <v>0</v>
      </c>
      <c r="M68" s="23"/>
      <c r="N68" s="24" t="n">
        <f aca="false">N(K68)+N(L68)-N(M68)</f>
        <v>0</v>
      </c>
      <c r="O68" s="23"/>
      <c r="P68" s="33" t="n">
        <f aca="false">IF(B68="",0,N(Students!H57))</f>
        <v>0</v>
      </c>
      <c r="Q68" s="23"/>
      <c r="R68" s="24" t="n">
        <f aca="false">N(O68)+N(P68)-N(Q68)</f>
        <v>0</v>
      </c>
      <c r="S68" s="23"/>
      <c r="T68" s="33" t="n">
        <f aca="false">IF(B68="",0,N(Students!I57))</f>
        <v>0</v>
      </c>
      <c r="U68" s="23"/>
      <c r="V68" s="24" t="n">
        <f aca="false">N(S68)+N(T68)-N(U68)</f>
        <v>0</v>
      </c>
      <c r="W68" s="23"/>
      <c r="X68" s="33" t="n">
        <f aca="false">IF(B68="",0,N(Students!J57))</f>
        <v>0</v>
      </c>
      <c r="Y68" s="23"/>
      <c r="Z68" s="24" t="n">
        <f aca="false">N(W68)+N(X68)-N(Y68)</f>
        <v>0</v>
      </c>
      <c r="AA68" s="33" t="n">
        <f aca="false">N(E68)+N(I68)+N(M68)+N(Q68)+N(U68)+N(Y68)</f>
        <v>0</v>
      </c>
      <c r="AB68" s="24" t="n">
        <f aca="false">F68+J68+N68+R68+V68+Z68</f>
        <v>0</v>
      </c>
      <c r="AC68" s="81" t="str">
        <f aca="false">IF(B68="","",IF(AB68&lt;=0,"Clear",IF(AA68&gt;0,"Partial","Due")))</f>
        <v/>
      </c>
    </row>
    <row r="69" customFormat="false" ht="15" hidden="false" customHeight="false" outlineLevel="0" collapsed="false">
      <c r="A69" s="25" t="n">
        <v>54</v>
      </c>
      <c r="B69" s="82" t="str">
        <f aca="false">IF(Students!B58="","",Students!B58)</f>
        <v/>
      </c>
      <c r="C69" s="23"/>
      <c r="D69" s="37" t="n">
        <f aca="false">IF(B69="",0,N(Students!E58))</f>
        <v>0</v>
      </c>
      <c r="E69" s="23"/>
      <c r="F69" s="26" t="n">
        <f aca="false">N(C69)+N(D69)-N(E69)</f>
        <v>0</v>
      </c>
      <c r="G69" s="23"/>
      <c r="H69" s="37" t="n">
        <f aca="false">IF(B69="",0,N(Students!F58))</f>
        <v>0</v>
      </c>
      <c r="I69" s="23"/>
      <c r="J69" s="26" t="n">
        <f aca="false">N(G69)+N(H69)-N(I69)</f>
        <v>0</v>
      </c>
      <c r="K69" s="23"/>
      <c r="L69" s="37" t="n">
        <f aca="false">IF(B69="",0,N(Students!G58))</f>
        <v>0</v>
      </c>
      <c r="M69" s="23"/>
      <c r="N69" s="26" t="n">
        <f aca="false">N(K69)+N(L69)-N(M69)</f>
        <v>0</v>
      </c>
      <c r="O69" s="23"/>
      <c r="P69" s="37" t="n">
        <f aca="false">IF(B69="",0,N(Students!H58))</f>
        <v>0</v>
      </c>
      <c r="Q69" s="23"/>
      <c r="R69" s="26" t="n">
        <f aca="false">N(O69)+N(P69)-N(Q69)</f>
        <v>0</v>
      </c>
      <c r="S69" s="23"/>
      <c r="T69" s="37" t="n">
        <f aca="false">IF(B69="",0,N(Students!I58))</f>
        <v>0</v>
      </c>
      <c r="U69" s="23"/>
      <c r="V69" s="26" t="n">
        <f aca="false">N(S69)+N(T69)-N(U69)</f>
        <v>0</v>
      </c>
      <c r="W69" s="23"/>
      <c r="X69" s="37" t="n">
        <f aca="false">IF(B69="",0,N(Students!J58))</f>
        <v>0</v>
      </c>
      <c r="Y69" s="23"/>
      <c r="Z69" s="26" t="n">
        <f aca="false">N(W69)+N(X69)-N(Y69)</f>
        <v>0</v>
      </c>
      <c r="AA69" s="37" t="n">
        <f aca="false">N(E69)+N(I69)+N(M69)+N(Q69)+N(U69)+N(Y69)</f>
        <v>0</v>
      </c>
      <c r="AB69" s="26" t="n">
        <f aca="false">F69+J69+N69+R69+V69+Z69</f>
        <v>0</v>
      </c>
      <c r="AC69" s="83" t="str">
        <f aca="false">IF(B69="","",IF(AB69&lt;=0,"Clear",IF(AA69&gt;0,"Partial","Due")))</f>
        <v/>
      </c>
    </row>
    <row r="70" customFormat="false" ht="15" hidden="false" customHeight="false" outlineLevel="0" collapsed="false">
      <c r="A70" s="21" t="n">
        <v>55</v>
      </c>
      <c r="B70" s="46" t="str">
        <f aca="false">IF(Students!B59="","",Students!B59)</f>
        <v/>
      </c>
      <c r="C70" s="23"/>
      <c r="D70" s="33" t="n">
        <f aca="false">IF(B70="",0,N(Students!E59))</f>
        <v>0</v>
      </c>
      <c r="E70" s="23"/>
      <c r="F70" s="24" t="n">
        <f aca="false">N(C70)+N(D70)-N(E70)</f>
        <v>0</v>
      </c>
      <c r="G70" s="23"/>
      <c r="H70" s="33" t="n">
        <f aca="false">IF(B70="",0,N(Students!F59))</f>
        <v>0</v>
      </c>
      <c r="I70" s="23"/>
      <c r="J70" s="24" t="n">
        <f aca="false">N(G70)+N(H70)-N(I70)</f>
        <v>0</v>
      </c>
      <c r="K70" s="23"/>
      <c r="L70" s="33" t="n">
        <f aca="false">IF(B70="",0,N(Students!G59))</f>
        <v>0</v>
      </c>
      <c r="M70" s="23"/>
      <c r="N70" s="24" t="n">
        <f aca="false">N(K70)+N(L70)-N(M70)</f>
        <v>0</v>
      </c>
      <c r="O70" s="23"/>
      <c r="P70" s="33" t="n">
        <f aca="false">IF(B70="",0,N(Students!H59))</f>
        <v>0</v>
      </c>
      <c r="Q70" s="23"/>
      <c r="R70" s="24" t="n">
        <f aca="false">N(O70)+N(P70)-N(Q70)</f>
        <v>0</v>
      </c>
      <c r="S70" s="23"/>
      <c r="T70" s="33" t="n">
        <f aca="false">IF(B70="",0,N(Students!I59))</f>
        <v>0</v>
      </c>
      <c r="U70" s="23"/>
      <c r="V70" s="24" t="n">
        <f aca="false">N(S70)+N(T70)-N(U70)</f>
        <v>0</v>
      </c>
      <c r="W70" s="23"/>
      <c r="X70" s="33" t="n">
        <f aca="false">IF(B70="",0,N(Students!J59))</f>
        <v>0</v>
      </c>
      <c r="Y70" s="23"/>
      <c r="Z70" s="24" t="n">
        <f aca="false">N(W70)+N(X70)-N(Y70)</f>
        <v>0</v>
      </c>
      <c r="AA70" s="33" t="n">
        <f aca="false">N(E70)+N(I70)+N(M70)+N(Q70)+N(U70)+N(Y70)</f>
        <v>0</v>
      </c>
      <c r="AB70" s="24" t="n">
        <f aca="false">F70+J70+N70+R70+V70+Z70</f>
        <v>0</v>
      </c>
      <c r="AC70" s="81" t="str">
        <f aca="false">IF(B70="","",IF(AB70&lt;=0,"Clear",IF(AA70&gt;0,"Partial","Due")))</f>
        <v/>
      </c>
    </row>
    <row r="71" customFormat="false" ht="15" hidden="false" customHeight="false" outlineLevel="0" collapsed="false">
      <c r="A71" s="25" t="n">
        <v>56</v>
      </c>
      <c r="B71" s="82" t="str">
        <f aca="false">IF(Students!B60="","",Students!B60)</f>
        <v/>
      </c>
      <c r="C71" s="23"/>
      <c r="D71" s="37" t="n">
        <f aca="false">IF(B71="",0,N(Students!E60))</f>
        <v>0</v>
      </c>
      <c r="E71" s="23"/>
      <c r="F71" s="26" t="n">
        <f aca="false">N(C71)+N(D71)-N(E71)</f>
        <v>0</v>
      </c>
      <c r="G71" s="23"/>
      <c r="H71" s="37" t="n">
        <f aca="false">IF(B71="",0,N(Students!F60))</f>
        <v>0</v>
      </c>
      <c r="I71" s="23"/>
      <c r="J71" s="26" t="n">
        <f aca="false">N(G71)+N(H71)-N(I71)</f>
        <v>0</v>
      </c>
      <c r="K71" s="23"/>
      <c r="L71" s="37" t="n">
        <f aca="false">IF(B71="",0,N(Students!G60))</f>
        <v>0</v>
      </c>
      <c r="M71" s="23"/>
      <c r="N71" s="26" t="n">
        <f aca="false">N(K71)+N(L71)-N(M71)</f>
        <v>0</v>
      </c>
      <c r="O71" s="23"/>
      <c r="P71" s="37" t="n">
        <f aca="false">IF(B71="",0,N(Students!H60))</f>
        <v>0</v>
      </c>
      <c r="Q71" s="23"/>
      <c r="R71" s="26" t="n">
        <f aca="false">N(O71)+N(P71)-N(Q71)</f>
        <v>0</v>
      </c>
      <c r="S71" s="23"/>
      <c r="T71" s="37" t="n">
        <f aca="false">IF(B71="",0,N(Students!I60))</f>
        <v>0</v>
      </c>
      <c r="U71" s="23"/>
      <c r="V71" s="26" t="n">
        <f aca="false">N(S71)+N(T71)-N(U71)</f>
        <v>0</v>
      </c>
      <c r="W71" s="23"/>
      <c r="X71" s="37" t="n">
        <f aca="false">IF(B71="",0,N(Students!J60))</f>
        <v>0</v>
      </c>
      <c r="Y71" s="23"/>
      <c r="Z71" s="26" t="n">
        <f aca="false">N(W71)+N(X71)-N(Y71)</f>
        <v>0</v>
      </c>
      <c r="AA71" s="37" t="n">
        <f aca="false">N(E71)+N(I71)+N(M71)+N(Q71)+N(U71)+N(Y71)</f>
        <v>0</v>
      </c>
      <c r="AB71" s="26" t="n">
        <f aca="false">F71+J71+N71+R71+V71+Z71</f>
        <v>0</v>
      </c>
      <c r="AC71" s="83" t="str">
        <f aca="false">IF(B71="","",IF(AB71&lt;=0,"Clear",IF(AA71&gt;0,"Partial","Due")))</f>
        <v/>
      </c>
    </row>
    <row r="72" customFormat="false" ht="15" hidden="false" customHeight="false" outlineLevel="0" collapsed="false">
      <c r="A72" s="21" t="n">
        <v>57</v>
      </c>
      <c r="B72" s="46" t="str">
        <f aca="false">IF(Students!B61="","",Students!B61)</f>
        <v/>
      </c>
      <c r="C72" s="23"/>
      <c r="D72" s="33" t="n">
        <f aca="false">IF(B72="",0,N(Students!E61))</f>
        <v>0</v>
      </c>
      <c r="E72" s="23"/>
      <c r="F72" s="24" t="n">
        <f aca="false">N(C72)+N(D72)-N(E72)</f>
        <v>0</v>
      </c>
      <c r="G72" s="23"/>
      <c r="H72" s="33" t="n">
        <f aca="false">IF(B72="",0,N(Students!F61))</f>
        <v>0</v>
      </c>
      <c r="I72" s="23"/>
      <c r="J72" s="24" t="n">
        <f aca="false">N(G72)+N(H72)-N(I72)</f>
        <v>0</v>
      </c>
      <c r="K72" s="23"/>
      <c r="L72" s="33" t="n">
        <f aca="false">IF(B72="",0,N(Students!G61))</f>
        <v>0</v>
      </c>
      <c r="M72" s="23"/>
      <c r="N72" s="24" t="n">
        <f aca="false">N(K72)+N(L72)-N(M72)</f>
        <v>0</v>
      </c>
      <c r="O72" s="23"/>
      <c r="P72" s="33" t="n">
        <f aca="false">IF(B72="",0,N(Students!H61))</f>
        <v>0</v>
      </c>
      <c r="Q72" s="23"/>
      <c r="R72" s="24" t="n">
        <f aca="false">N(O72)+N(P72)-N(Q72)</f>
        <v>0</v>
      </c>
      <c r="S72" s="23"/>
      <c r="T72" s="33" t="n">
        <f aca="false">IF(B72="",0,N(Students!I61))</f>
        <v>0</v>
      </c>
      <c r="U72" s="23"/>
      <c r="V72" s="24" t="n">
        <f aca="false">N(S72)+N(T72)-N(U72)</f>
        <v>0</v>
      </c>
      <c r="W72" s="23"/>
      <c r="X72" s="33" t="n">
        <f aca="false">IF(B72="",0,N(Students!J61))</f>
        <v>0</v>
      </c>
      <c r="Y72" s="23"/>
      <c r="Z72" s="24" t="n">
        <f aca="false">N(W72)+N(X72)-N(Y72)</f>
        <v>0</v>
      </c>
      <c r="AA72" s="33" t="n">
        <f aca="false">N(E72)+N(I72)+N(M72)+N(Q72)+N(U72)+N(Y72)</f>
        <v>0</v>
      </c>
      <c r="AB72" s="24" t="n">
        <f aca="false">F72+J72+N72+R72+V72+Z72</f>
        <v>0</v>
      </c>
      <c r="AC72" s="81" t="str">
        <f aca="false">IF(B72="","",IF(AB72&lt;=0,"Clear",IF(AA72&gt;0,"Partial","Due")))</f>
        <v/>
      </c>
    </row>
    <row r="73" customFormat="false" ht="15" hidden="false" customHeight="false" outlineLevel="0" collapsed="false">
      <c r="A73" s="25" t="n">
        <v>58</v>
      </c>
      <c r="B73" s="82" t="str">
        <f aca="false">IF(Students!B62="","",Students!B62)</f>
        <v/>
      </c>
      <c r="C73" s="23"/>
      <c r="D73" s="37" t="n">
        <f aca="false">IF(B73="",0,N(Students!E62))</f>
        <v>0</v>
      </c>
      <c r="E73" s="23"/>
      <c r="F73" s="26" t="n">
        <f aca="false">N(C73)+N(D73)-N(E73)</f>
        <v>0</v>
      </c>
      <c r="G73" s="23"/>
      <c r="H73" s="37" t="n">
        <f aca="false">IF(B73="",0,N(Students!F62))</f>
        <v>0</v>
      </c>
      <c r="I73" s="23"/>
      <c r="J73" s="26" t="n">
        <f aca="false">N(G73)+N(H73)-N(I73)</f>
        <v>0</v>
      </c>
      <c r="K73" s="23"/>
      <c r="L73" s="37" t="n">
        <f aca="false">IF(B73="",0,N(Students!G62))</f>
        <v>0</v>
      </c>
      <c r="M73" s="23"/>
      <c r="N73" s="26" t="n">
        <f aca="false">N(K73)+N(L73)-N(M73)</f>
        <v>0</v>
      </c>
      <c r="O73" s="23"/>
      <c r="P73" s="37" t="n">
        <f aca="false">IF(B73="",0,N(Students!H62))</f>
        <v>0</v>
      </c>
      <c r="Q73" s="23"/>
      <c r="R73" s="26" t="n">
        <f aca="false">N(O73)+N(P73)-N(Q73)</f>
        <v>0</v>
      </c>
      <c r="S73" s="23"/>
      <c r="T73" s="37" t="n">
        <f aca="false">IF(B73="",0,N(Students!I62))</f>
        <v>0</v>
      </c>
      <c r="U73" s="23"/>
      <c r="V73" s="26" t="n">
        <f aca="false">N(S73)+N(T73)-N(U73)</f>
        <v>0</v>
      </c>
      <c r="W73" s="23"/>
      <c r="X73" s="37" t="n">
        <f aca="false">IF(B73="",0,N(Students!J62))</f>
        <v>0</v>
      </c>
      <c r="Y73" s="23"/>
      <c r="Z73" s="26" t="n">
        <f aca="false">N(W73)+N(X73)-N(Y73)</f>
        <v>0</v>
      </c>
      <c r="AA73" s="37" t="n">
        <f aca="false">N(E73)+N(I73)+N(M73)+N(Q73)+N(U73)+N(Y73)</f>
        <v>0</v>
      </c>
      <c r="AB73" s="26" t="n">
        <f aca="false">F73+J73+N73+R73+V73+Z73</f>
        <v>0</v>
      </c>
      <c r="AC73" s="83" t="str">
        <f aca="false">IF(B73="","",IF(AB73&lt;=0,"Clear",IF(AA73&gt;0,"Partial","Due")))</f>
        <v/>
      </c>
    </row>
    <row r="74" customFormat="false" ht="15" hidden="false" customHeight="false" outlineLevel="0" collapsed="false">
      <c r="A74" s="21" t="n">
        <v>59</v>
      </c>
      <c r="B74" s="46" t="str">
        <f aca="false">IF(Students!B63="","",Students!B63)</f>
        <v/>
      </c>
      <c r="C74" s="23"/>
      <c r="D74" s="33" t="n">
        <f aca="false">IF(B74="",0,N(Students!E63))</f>
        <v>0</v>
      </c>
      <c r="E74" s="23"/>
      <c r="F74" s="24" t="n">
        <f aca="false">N(C74)+N(D74)-N(E74)</f>
        <v>0</v>
      </c>
      <c r="G74" s="23"/>
      <c r="H74" s="33" t="n">
        <f aca="false">IF(B74="",0,N(Students!F63))</f>
        <v>0</v>
      </c>
      <c r="I74" s="23"/>
      <c r="J74" s="24" t="n">
        <f aca="false">N(G74)+N(H74)-N(I74)</f>
        <v>0</v>
      </c>
      <c r="K74" s="23"/>
      <c r="L74" s="33" t="n">
        <f aca="false">IF(B74="",0,N(Students!G63))</f>
        <v>0</v>
      </c>
      <c r="M74" s="23"/>
      <c r="N74" s="24" t="n">
        <f aca="false">N(K74)+N(L74)-N(M74)</f>
        <v>0</v>
      </c>
      <c r="O74" s="23"/>
      <c r="P74" s="33" t="n">
        <f aca="false">IF(B74="",0,N(Students!H63))</f>
        <v>0</v>
      </c>
      <c r="Q74" s="23"/>
      <c r="R74" s="24" t="n">
        <f aca="false">N(O74)+N(P74)-N(Q74)</f>
        <v>0</v>
      </c>
      <c r="S74" s="23"/>
      <c r="T74" s="33" t="n">
        <f aca="false">IF(B74="",0,N(Students!I63))</f>
        <v>0</v>
      </c>
      <c r="U74" s="23"/>
      <c r="V74" s="24" t="n">
        <f aca="false">N(S74)+N(T74)-N(U74)</f>
        <v>0</v>
      </c>
      <c r="W74" s="23"/>
      <c r="X74" s="33" t="n">
        <f aca="false">IF(B74="",0,N(Students!J63))</f>
        <v>0</v>
      </c>
      <c r="Y74" s="23"/>
      <c r="Z74" s="24" t="n">
        <f aca="false">N(W74)+N(X74)-N(Y74)</f>
        <v>0</v>
      </c>
      <c r="AA74" s="33" t="n">
        <f aca="false">N(E74)+N(I74)+N(M74)+N(Q74)+N(U74)+N(Y74)</f>
        <v>0</v>
      </c>
      <c r="AB74" s="24" t="n">
        <f aca="false">F74+J74+N74+R74+V74+Z74</f>
        <v>0</v>
      </c>
      <c r="AC74" s="81" t="str">
        <f aca="false">IF(B74="","",IF(AB74&lt;=0,"Clear",IF(AA74&gt;0,"Partial","Due")))</f>
        <v/>
      </c>
    </row>
    <row r="75" customFormat="false" ht="15" hidden="false" customHeight="false" outlineLevel="0" collapsed="false">
      <c r="A75" s="25" t="n">
        <v>60</v>
      </c>
      <c r="B75" s="82" t="str">
        <f aca="false">IF(Students!B64="","",Students!B64)</f>
        <v/>
      </c>
      <c r="C75" s="23"/>
      <c r="D75" s="37" t="n">
        <f aca="false">IF(B75="",0,N(Students!E64))</f>
        <v>0</v>
      </c>
      <c r="E75" s="23"/>
      <c r="F75" s="26" t="n">
        <f aca="false">N(C75)+N(D75)-N(E75)</f>
        <v>0</v>
      </c>
      <c r="G75" s="23"/>
      <c r="H75" s="37" t="n">
        <f aca="false">IF(B75="",0,N(Students!F64))</f>
        <v>0</v>
      </c>
      <c r="I75" s="23"/>
      <c r="J75" s="26" t="n">
        <f aca="false">N(G75)+N(H75)-N(I75)</f>
        <v>0</v>
      </c>
      <c r="K75" s="23"/>
      <c r="L75" s="37" t="n">
        <f aca="false">IF(B75="",0,N(Students!G64))</f>
        <v>0</v>
      </c>
      <c r="M75" s="23"/>
      <c r="N75" s="26" t="n">
        <f aca="false">N(K75)+N(L75)-N(M75)</f>
        <v>0</v>
      </c>
      <c r="O75" s="23"/>
      <c r="P75" s="37" t="n">
        <f aca="false">IF(B75="",0,N(Students!H64))</f>
        <v>0</v>
      </c>
      <c r="Q75" s="23"/>
      <c r="R75" s="26" t="n">
        <f aca="false">N(O75)+N(P75)-N(Q75)</f>
        <v>0</v>
      </c>
      <c r="S75" s="23"/>
      <c r="T75" s="37" t="n">
        <f aca="false">IF(B75="",0,N(Students!I64))</f>
        <v>0</v>
      </c>
      <c r="U75" s="23"/>
      <c r="V75" s="26" t="n">
        <f aca="false">N(S75)+N(T75)-N(U75)</f>
        <v>0</v>
      </c>
      <c r="W75" s="23"/>
      <c r="X75" s="37" t="n">
        <f aca="false">IF(B75="",0,N(Students!J64))</f>
        <v>0</v>
      </c>
      <c r="Y75" s="23"/>
      <c r="Z75" s="26" t="n">
        <f aca="false">N(W75)+N(X75)-N(Y75)</f>
        <v>0</v>
      </c>
      <c r="AA75" s="37" t="n">
        <f aca="false">N(E75)+N(I75)+N(M75)+N(Q75)+N(U75)+N(Y75)</f>
        <v>0</v>
      </c>
      <c r="AB75" s="26" t="n">
        <f aca="false">F75+J75+N75+R75+V75+Z75</f>
        <v>0</v>
      </c>
      <c r="AC75" s="83" t="str">
        <f aca="false">IF(B75="","",IF(AB75&lt;=0,"Clear",IF(AA75&gt;0,"Partial","Due")))</f>
        <v/>
      </c>
    </row>
    <row r="76" customFormat="false" ht="15" hidden="false" customHeight="false" outlineLevel="0" collapsed="false">
      <c r="A76" s="21" t="n">
        <v>61</v>
      </c>
      <c r="B76" s="46" t="str">
        <f aca="false">IF(Students!B65="","",Students!B65)</f>
        <v/>
      </c>
      <c r="C76" s="23"/>
      <c r="D76" s="33" t="n">
        <f aca="false">IF(B76="",0,N(Students!E65))</f>
        <v>0</v>
      </c>
      <c r="E76" s="23"/>
      <c r="F76" s="24" t="n">
        <f aca="false">N(C76)+N(D76)-N(E76)</f>
        <v>0</v>
      </c>
      <c r="G76" s="23"/>
      <c r="H76" s="33" t="n">
        <f aca="false">IF(B76="",0,N(Students!F65))</f>
        <v>0</v>
      </c>
      <c r="I76" s="23"/>
      <c r="J76" s="24" t="n">
        <f aca="false">N(G76)+N(H76)-N(I76)</f>
        <v>0</v>
      </c>
      <c r="K76" s="23"/>
      <c r="L76" s="33" t="n">
        <f aca="false">IF(B76="",0,N(Students!G65))</f>
        <v>0</v>
      </c>
      <c r="M76" s="23"/>
      <c r="N76" s="24" t="n">
        <f aca="false">N(K76)+N(L76)-N(M76)</f>
        <v>0</v>
      </c>
      <c r="O76" s="23"/>
      <c r="P76" s="33" t="n">
        <f aca="false">IF(B76="",0,N(Students!H65))</f>
        <v>0</v>
      </c>
      <c r="Q76" s="23"/>
      <c r="R76" s="24" t="n">
        <f aca="false">N(O76)+N(P76)-N(Q76)</f>
        <v>0</v>
      </c>
      <c r="S76" s="23"/>
      <c r="T76" s="33" t="n">
        <f aca="false">IF(B76="",0,N(Students!I65))</f>
        <v>0</v>
      </c>
      <c r="U76" s="23"/>
      <c r="V76" s="24" t="n">
        <f aca="false">N(S76)+N(T76)-N(U76)</f>
        <v>0</v>
      </c>
      <c r="W76" s="23"/>
      <c r="X76" s="33" t="n">
        <f aca="false">IF(B76="",0,N(Students!J65))</f>
        <v>0</v>
      </c>
      <c r="Y76" s="23"/>
      <c r="Z76" s="24" t="n">
        <f aca="false">N(W76)+N(X76)-N(Y76)</f>
        <v>0</v>
      </c>
      <c r="AA76" s="33" t="n">
        <f aca="false">N(E76)+N(I76)+N(M76)+N(Q76)+N(U76)+N(Y76)</f>
        <v>0</v>
      </c>
      <c r="AB76" s="24" t="n">
        <f aca="false">F76+J76+N76+R76+V76+Z76</f>
        <v>0</v>
      </c>
      <c r="AC76" s="81" t="str">
        <f aca="false">IF(B76="","",IF(AB76&lt;=0,"Clear",IF(AA76&gt;0,"Partial","Due")))</f>
        <v/>
      </c>
    </row>
    <row r="77" customFormat="false" ht="15" hidden="false" customHeight="false" outlineLevel="0" collapsed="false">
      <c r="A77" s="25" t="n">
        <v>62</v>
      </c>
      <c r="B77" s="82" t="str">
        <f aca="false">IF(Students!B66="","",Students!B66)</f>
        <v/>
      </c>
      <c r="C77" s="23"/>
      <c r="D77" s="37" t="n">
        <f aca="false">IF(B77="",0,N(Students!E66))</f>
        <v>0</v>
      </c>
      <c r="E77" s="23"/>
      <c r="F77" s="26" t="n">
        <f aca="false">N(C77)+N(D77)-N(E77)</f>
        <v>0</v>
      </c>
      <c r="G77" s="23"/>
      <c r="H77" s="37" t="n">
        <f aca="false">IF(B77="",0,N(Students!F66))</f>
        <v>0</v>
      </c>
      <c r="I77" s="23"/>
      <c r="J77" s="26" t="n">
        <f aca="false">N(G77)+N(H77)-N(I77)</f>
        <v>0</v>
      </c>
      <c r="K77" s="23"/>
      <c r="L77" s="37" t="n">
        <f aca="false">IF(B77="",0,N(Students!G66))</f>
        <v>0</v>
      </c>
      <c r="M77" s="23"/>
      <c r="N77" s="26" t="n">
        <f aca="false">N(K77)+N(L77)-N(M77)</f>
        <v>0</v>
      </c>
      <c r="O77" s="23"/>
      <c r="P77" s="37" t="n">
        <f aca="false">IF(B77="",0,N(Students!H66))</f>
        <v>0</v>
      </c>
      <c r="Q77" s="23"/>
      <c r="R77" s="26" t="n">
        <f aca="false">N(O77)+N(P77)-N(Q77)</f>
        <v>0</v>
      </c>
      <c r="S77" s="23"/>
      <c r="T77" s="37" t="n">
        <f aca="false">IF(B77="",0,N(Students!I66))</f>
        <v>0</v>
      </c>
      <c r="U77" s="23"/>
      <c r="V77" s="26" t="n">
        <f aca="false">N(S77)+N(T77)-N(U77)</f>
        <v>0</v>
      </c>
      <c r="W77" s="23"/>
      <c r="X77" s="37" t="n">
        <f aca="false">IF(B77="",0,N(Students!J66))</f>
        <v>0</v>
      </c>
      <c r="Y77" s="23"/>
      <c r="Z77" s="26" t="n">
        <f aca="false">N(W77)+N(X77)-N(Y77)</f>
        <v>0</v>
      </c>
      <c r="AA77" s="37" t="n">
        <f aca="false">N(E77)+N(I77)+N(M77)+N(Q77)+N(U77)+N(Y77)</f>
        <v>0</v>
      </c>
      <c r="AB77" s="26" t="n">
        <f aca="false">F77+J77+N77+R77+V77+Z77</f>
        <v>0</v>
      </c>
      <c r="AC77" s="83" t="str">
        <f aca="false">IF(B77="","",IF(AB77&lt;=0,"Clear",IF(AA77&gt;0,"Partial","Due")))</f>
        <v/>
      </c>
    </row>
    <row r="78" customFormat="false" ht="15" hidden="false" customHeight="false" outlineLevel="0" collapsed="false">
      <c r="A78" s="21" t="n">
        <v>63</v>
      </c>
      <c r="B78" s="46" t="str">
        <f aca="false">IF(Students!B67="","",Students!B67)</f>
        <v/>
      </c>
      <c r="C78" s="23"/>
      <c r="D78" s="33" t="n">
        <f aca="false">IF(B78="",0,N(Students!E67))</f>
        <v>0</v>
      </c>
      <c r="E78" s="23"/>
      <c r="F78" s="24" t="n">
        <f aca="false">N(C78)+N(D78)-N(E78)</f>
        <v>0</v>
      </c>
      <c r="G78" s="23"/>
      <c r="H78" s="33" t="n">
        <f aca="false">IF(B78="",0,N(Students!F67))</f>
        <v>0</v>
      </c>
      <c r="I78" s="23"/>
      <c r="J78" s="24" t="n">
        <f aca="false">N(G78)+N(H78)-N(I78)</f>
        <v>0</v>
      </c>
      <c r="K78" s="23"/>
      <c r="L78" s="33" t="n">
        <f aca="false">IF(B78="",0,N(Students!G67))</f>
        <v>0</v>
      </c>
      <c r="M78" s="23"/>
      <c r="N78" s="24" t="n">
        <f aca="false">N(K78)+N(L78)-N(M78)</f>
        <v>0</v>
      </c>
      <c r="O78" s="23"/>
      <c r="P78" s="33" t="n">
        <f aca="false">IF(B78="",0,N(Students!H67))</f>
        <v>0</v>
      </c>
      <c r="Q78" s="23"/>
      <c r="R78" s="24" t="n">
        <f aca="false">N(O78)+N(P78)-N(Q78)</f>
        <v>0</v>
      </c>
      <c r="S78" s="23"/>
      <c r="T78" s="33" t="n">
        <f aca="false">IF(B78="",0,N(Students!I67))</f>
        <v>0</v>
      </c>
      <c r="U78" s="23"/>
      <c r="V78" s="24" t="n">
        <f aca="false">N(S78)+N(T78)-N(U78)</f>
        <v>0</v>
      </c>
      <c r="W78" s="23"/>
      <c r="X78" s="33" t="n">
        <f aca="false">IF(B78="",0,N(Students!J67))</f>
        <v>0</v>
      </c>
      <c r="Y78" s="23"/>
      <c r="Z78" s="24" t="n">
        <f aca="false">N(W78)+N(X78)-N(Y78)</f>
        <v>0</v>
      </c>
      <c r="AA78" s="33" t="n">
        <f aca="false">N(E78)+N(I78)+N(M78)+N(Q78)+N(U78)+N(Y78)</f>
        <v>0</v>
      </c>
      <c r="AB78" s="24" t="n">
        <f aca="false">F78+J78+N78+R78+V78+Z78</f>
        <v>0</v>
      </c>
      <c r="AC78" s="81" t="str">
        <f aca="false">IF(B78="","",IF(AB78&lt;=0,"Clear",IF(AA78&gt;0,"Partial","Due")))</f>
        <v/>
      </c>
    </row>
    <row r="79" customFormat="false" ht="15" hidden="false" customHeight="false" outlineLevel="0" collapsed="false">
      <c r="A79" s="25" t="n">
        <v>64</v>
      </c>
      <c r="B79" s="82" t="str">
        <f aca="false">IF(Students!B68="","",Students!B68)</f>
        <v/>
      </c>
      <c r="C79" s="23"/>
      <c r="D79" s="37" t="n">
        <f aca="false">IF(B79="",0,N(Students!E68))</f>
        <v>0</v>
      </c>
      <c r="E79" s="23"/>
      <c r="F79" s="26" t="n">
        <f aca="false">N(C79)+N(D79)-N(E79)</f>
        <v>0</v>
      </c>
      <c r="G79" s="23"/>
      <c r="H79" s="37" t="n">
        <f aca="false">IF(B79="",0,N(Students!F68))</f>
        <v>0</v>
      </c>
      <c r="I79" s="23"/>
      <c r="J79" s="26" t="n">
        <f aca="false">N(G79)+N(H79)-N(I79)</f>
        <v>0</v>
      </c>
      <c r="K79" s="23"/>
      <c r="L79" s="37" t="n">
        <f aca="false">IF(B79="",0,N(Students!G68))</f>
        <v>0</v>
      </c>
      <c r="M79" s="23"/>
      <c r="N79" s="26" t="n">
        <f aca="false">N(K79)+N(L79)-N(M79)</f>
        <v>0</v>
      </c>
      <c r="O79" s="23"/>
      <c r="P79" s="37" t="n">
        <f aca="false">IF(B79="",0,N(Students!H68))</f>
        <v>0</v>
      </c>
      <c r="Q79" s="23"/>
      <c r="R79" s="26" t="n">
        <f aca="false">N(O79)+N(P79)-N(Q79)</f>
        <v>0</v>
      </c>
      <c r="S79" s="23"/>
      <c r="T79" s="37" t="n">
        <f aca="false">IF(B79="",0,N(Students!I68))</f>
        <v>0</v>
      </c>
      <c r="U79" s="23"/>
      <c r="V79" s="26" t="n">
        <f aca="false">N(S79)+N(T79)-N(U79)</f>
        <v>0</v>
      </c>
      <c r="W79" s="23"/>
      <c r="X79" s="37" t="n">
        <f aca="false">IF(B79="",0,N(Students!J68))</f>
        <v>0</v>
      </c>
      <c r="Y79" s="23"/>
      <c r="Z79" s="26" t="n">
        <f aca="false">N(W79)+N(X79)-N(Y79)</f>
        <v>0</v>
      </c>
      <c r="AA79" s="37" t="n">
        <f aca="false">N(E79)+N(I79)+N(M79)+N(Q79)+N(U79)+N(Y79)</f>
        <v>0</v>
      </c>
      <c r="AB79" s="26" t="n">
        <f aca="false">F79+J79+N79+R79+V79+Z79</f>
        <v>0</v>
      </c>
      <c r="AC79" s="83" t="str">
        <f aca="false">IF(B79="","",IF(AB79&lt;=0,"Clear",IF(AA79&gt;0,"Partial","Due")))</f>
        <v/>
      </c>
    </row>
    <row r="80" customFormat="false" ht="15" hidden="false" customHeight="false" outlineLevel="0" collapsed="false">
      <c r="A80" s="21" t="n">
        <v>65</v>
      </c>
      <c r="B80" s="46" t="str">
        <f aca="false">IF(Students!B69="","",Students!B69)</f>
        <v/>
      </c>
      <c r="C80" s="23"/>
      <c r="D80" s="33" t="n">
        <f aca="false">IF(B80="",0,N(Students!E69))</f>
        <v>0</v>
      </c>
      <c r="E80" s="23"/>
      <c r="F80" s="24" t="n">
        <f aca="false">N(C80)+N(D80)-N(E80)</f>
        <v>0</v>
      </c>
      <c r="G80" s="23"/>
      <c r="H80" s="33" t="n">
        <f aca="false">IF(B80="",0,N(Students!F69))</f>
        <v>0</v>
      </c>
      <c r="I80" s="23"/>
      <c r="J80" s="24" t="n">
        <f aca="false">N(G80)+N(H80)-N(I80)</f>
        <v>0</v>
      </c>
      <c r="K80" s="23"/>
      <c r="L80" s="33" t="n">
        <f aca="false">IF(B80="",0,N(Students!G69))</f>
        <v>0</v>
      </c>
      <c r="M80" s="23"/>
      <c r="N80" s="24" t="n">
        <f aca="false">N(K80)+N(L80)-N(M80)</f>
        <v>0</v>
      </c>
      <c r="O80" s="23"/>
      <c r="P80" s="33" t="n">
        <f aca="false">IF(B80="",0,N(Students!H69))</f>
        <v>0</v>
      </c>
      <c r="Q80" s="23"/>
      <c r="R80" s="24" t="n">
        <f aca="false">N(O80)+N(P80)-N(Q80)</f>
        <v>0</v>
      </c>
      <c r="S80" s="23"/>
      <c r="T80" s="33" t="n">
        <f aca="false">IF(B80="",0,N(Students!I69))</f>
        <v>0</v>
      </c>
      <c r="U80" s="23"/>
      <c r="V80" s="24" t="n">
        <f aca="false">N(S80)+N(T80)-N(U80)</f>
        <v>0</v>
      </c>
      <c r="W80" s="23"/>
      <c r="X80" s="33" t="n">
        <f aca="false">IF(B80="",0,N(Students!J69))</f>
        <v>0</v>
      </c>
      <c r="Y80" s="23"/>
      <c r="Z80" s="24" t="n">
        <f aca="false">N(W80)+N(X80)-N(Y80)</f>
        <v>0</v>
      </c>
      <c r="AA80" s="33" t="n">
        <f aca="false">N(E80)+N(I80)+N(M80)+N(Q80)+N(U80)+N(Y80)</f>
        <v>0</v>
      </c>
      <c r="AB80" s="24" t="n">
        <f aca="false">F80+J80+N80+R80+V80+Z80</f>
        <v>0</v>
      </c>
      <c r="AC80" s="81" t="str">
        <f aca="false">IF(B80="","",IF(AB80&lt;=0,"Clear",IF(AA80&gt;0,"Partial","Due")))</f>
        <v/>
      </c>
    </row>
    <row r="81" customFormat="false" ht="15" hidden="false" customHeight="false" outlineLevel="0" collapsed="false">
      <c r="A81" s="25" t="n">
        <v>66</v>
      </c>
      <c r="B81" s="82" t="str">
        <f aca="false">IF(Students!B70="","",Students!B70)</f>
        <v/>
      </c>
      <c r="C81" s="23"/>
      <c r="D81" s="37" t="n">
        <f aca="false">IF(B81="",0,N(Students!E70))</f>
        <v>0</v>
      </c>
      <c r="E81" s="23"/>
      <c r="F81" s="26" t="n">
        <f aca="false">N(C81)+N(D81)-N(E81)</f>
        <v>0</v>
      </c>
      <c r="G81" s="23"/>
      <c r="H81" s="37" t="n">
        <f aca="false">IF(B81="",0,N(Students!F70))</f>
        <v>0</v>
      </c>
      <c r="I81" s="23"/>
      <c r="J81" s="26" t="n">
        <f aca="false">N(G81)+N(H81)-N(I81)</f>
        <v>0</v>
      </c>
      <c r="K81" s="23"/>
      <c r="L81" s="37" t="n">
        <f aca="false">IF(B81="",0,N(Students!G70))</f>
        <v>0</v>
      </c>
      <c r="M81" s="23"/>
      <c r="N81" s="26" t="n">
        <f aca="false">N(K81)+N(L81)-N(M81)</f>
        <v>0</v>
      </c>
      <c r="O81" s="23"/>
      <c r="P81" s="37" t="n">
        <f aca="false">IF(B81="",0,N(Students!H70))</f>
        <v>0</v>
      </c>
      <c r="Q81" s="23"/>
      <c r="R81" s="26" t="n">
        <f aca="false">N(O81)+N(P81)-N(Q81)</f>
        <v>0</v>
      </c>
      <c r="S81" s="23"/>
      <c r="T81" s="37" t="n">
        <f aca="false">IF(B81="",0,N(Students!I70))</f>
        <v>0</v>
      </c>
      <c r="U81" s="23"/>
      <c r="V81" s="26" t="n">
        <f aca="false">N(S81)+N(T81)-N(U81)</f>
        <v>0</v>
      </c>
      <c r="W81" s="23"/>
      <c r="X81" s="37" t="n">
        <f aca="false">IF(B81="",0,N(Students!J70))</f>
        <v>0</v>
      </c>
      <c r="Y81" s="23"/>
      <c r="Z81" s="26" t="n">
        <f aca="false">N(W81)+N(X81)-N(Y81)</f>
        <v>0</v>
      </c>
      <c r="AA81" s="37" t="n">
        <f aca="false">N(E81)+N(I81)+N(M81)+N(Q81)+N(U81)+N(Y81)</f>
        <v>0</v>
      </c>
      <c r="AB81" s="26" t="n">
        <f aca="false">F81+J81+N81+R81+V81+Z81</f>
        <v>0</v>
      </c>
      <c r="AC81" s="83" t="str">
        <f aca="false">IF(B81="","",IF(AB81&lt;=0,"Clear",IF(AA81&gt;0,"Partial","Due")))</f>
        <v/>
      </c>
    </row>
    <row r="82" customFormat="false" ht="15" hidden="false" customHeight="false" outlineLevel="0" collapsed="false">
      <c r="A82" s="21" t="n">
        <v>67</v>
      </c>
      <c r="B82" s="46" t="str">
        <f aca="false">IF(Students!B71="","",Students!B71)</f>
        <v/>
      </c>
      <c r="C82" s="23"/>
      <c r="D82" s="33" t="n">
        <f aca="false">IF(B82="",0,N(Students!E71))</f>
        <v>0</v>
      </c>
      <c r="E82" s="23"/>
      <c r="F82" s="24" t="n">
        <f aca="false">N(C82)+N(D82)-N(E82)</f>
        <v>0</v>
      </c>
      <c r="G82" s="23"/>
      <c r="H82" s="33" t="n">
        <f aca="false">IF(B82="",0,N(Students!F71))</f>
        <v>0</v>
      </c>
      <c r="I82" s="23"/>
      <c r="J82" s="24" t="n">
        <f aca="false">N(G82)+N(H82)-N(I82)</f>
        <v>0</v>
      </c>
      <c r="K82" s="23"/>
      <c r="L82" s="33" t="n">
        <f aca="false">IF(B82="",0,N(Students!G71))</f>
        <v>0</v>
      </c>
      <c r="M82" s="23"/>
      <c r="N82" s="24" t="n">
        <f aca="false">N(K82)+N(L82)-N(M82)</f>
        <v>0</v>
      </c>
      <c r="O82" s="23"/>
      <c r="P82" s="33" t="n">
        <f aca="false">IF(B82="",0,N(Students!H71))</f>
        <v>0</v>
      </c>
      <c r="Q82" s="23"/>
      <c r="R82" s="24" t="n">
        <f aca="false">N(O82)+N(P82)-N(Q82)</f>
        <v>0</v>
      </c>
      <c r="S82" s="23"/>
      <c r="T82" s="33" t="n">
        <f aca="false">IF(B82="",0,N(Students!I71))</f>
        <v>0</v>
      </c>
      <c r="U82" s="23"/>
      <c r="V82" s="24" t="n">
        <f aca="false">N(S82)+N(T82)-N(U82)</f>
        <v>0</v>
      </c>
      <c r="W82" s="23"/>
      <c r="X82" s="33" t="n">
        <f aca="false">IF(B82="",0,N(Students!J71))</f>
        <v>0</v>
      </c>
      <c r="Y82" s="23"/>
      <c r="Z82" s="24" t="n">
        <f aca="false">N(W82)+N(X82)-N(Y82)</f>
        <v>0</v>
      </c>
      <c r="AA82" s="33" t="n">
        <f aca="false">N(E82)+N(I82)+N(M82)+N(Q82)+N(U82)+N(Y82)</f>
        <v>0</v>
      </c>
      <c r="AB82" s="24" t="n">
        <f aca="false">F82+J82+N82+R82+V82+Z82</f>
        <v>0</v>
      </c>
      <c r="AC82" s="81" t="str">
        <f aca="false">IF(B82="","",IF(AB82&lt;=0,"Clear",IF(AA82&gt;0,"Partial","Due")))</f>
        <v/>
      </c>
    </row>
    <row r="83" customFormat="false" ht="15" hidden="false" customHeight="false" outlineLevel="0" collapsed="false">
      <c r="A83" s="25" t="n">
        <v>68</v>
      </c>
      <c r="B83" s="82" t="str">
        <f aca="false">IF(Students!B72="","",Students!B72)</f>
        <v/>
      </c>
      <c r="C83" s="23"/>
      <c r="D83" s="37" t="n">
        <f aca="false">IF(B83="",0,N(Students!E72))</f>
        <v>0</v>
      </c>
      <c r="E83" s="23"/>
      <c r="F83" s="26" t="n">
        <f aca="false">N(C83)+N(D83)-N(E83)</f>
        <v>0</v>
      </c>
      <c r="G83" s="23"/>
      <c r="H83" s="37" t="n">
        <f aca="false">IF(B83="",0,N(Students!F72))</f>
        <v>0</v>
      </c>
      <c r="I83" s="23"/>
      <c r="J83" s="26" t="n">
        <f aca="false">N(G83)+N(H83)-N(I83)</f>
        <v>0</v>
      </c>
      <c r="K83" s="23"/>
      <c r="L83" s="37" t="n">
        <f aca="false">IF(B83="",0,N(Students!G72))</f>
        <v>0</v>
      </c>
      <c r="M83" s="23"/>
      <c r="N83" s="26" t="n">
        <f aca="false">N(K83)+N(L83)-N(M83)</f>
        <v>0</v>
      </c>
      <c r="O83" s="23"/>
      <c r="P83" s="37" t="n">
        <f aca="false">IF(B83="",0,N(Students!H72))</f>
        <v>0</v>
      </c>
      <c r="Q83" s="23"/>
      <c r="R83" s="26" t="n">
        <f aca="false">N(O83)+N(P83)-N(Q83)</f>
        <v>0</v>
      </c>
      <c r="S83" s="23"/>
      <c r="T83" s="37" t="n">
        <f aca="false">IF(B83="",0,N(Students!I72))</f>
        <v>0</v>
      </c>
      <c r="U83" s="23"/>
      <c r="V83" s="26" t="n">
        <f aca="false">N(S83)+N(T83)-N(U83)</f>
        <v>0</v>
      </c>
      <c r="W83" s="23"/>
      <c r="X83" s="37" t="n">
        <f aca="false">IF(B83="",0,N(Students!J72))</f>
        <v>0</v>
      </c>
      <c r="Y83" s="23"/>
      <c r="Z83" s="26" t="n">
        <f aca="false">N(W83)+N(X83)-N(Y83)</f>
        <v>0</v>
      </c>
      <c r="AA83" s="37" t="n">
        <f aca="false">N(E83)+N(I83)+N(M83)+N(Q83)+N(U83)+N(Y83)</f>
        <v>0</v>
      </c>
      <c r="AB83" s="26" t="n">
        <f aca="false">F83+J83+N83+R83+V83+Z83</f>
        <v>0</v>
      </c>
      <c r="AC83" s="83" t="str">
        <f aca="false">IF(B83="","",IF(AB83&lt;=0,"Clear",IF(AA83&gt;0,"Partial","Due")))</f>
        <v/>
      </c>
    </row>
    <row r="84" customFormat="false" ht="15" hidden="false" customHeight="false" outlineLevel="0" collapsed="false">
      <c r="A84" s="21" t="n">
        <v>69</v>
      </c>
      <c r="B84" s="46" t="str">
        <f aca="false">IF(Students!B73="","",Students!B73)</f>
        <v/>
      </c>
      <c r="C84" s="23"/>
      <c r="D84" s="33" t="n">
        <f aca="false">IF(B84="",0,N(Students!E73))</f>
        <v>0</v>
      </c>
      <c r="E84" s="23"/>
      <c r="F84" s="24" t="n">
        <f aca="false">N(C84)+N(D84)-N(E84)</f>
        <v>0</v>
      </c>
      <c r="G84" s="23"/>
      <c r="H84" s="33" t="n">
        <f aca="false">IF(B84="",0,N(Students!F73))</f>
        <v>0</v>
      </c>
      <c r="I84" s="23"/>
      <c r="J84" s="24" t="n">
        <f aca="false">N(G84)+N(H84)-N(I84)</f>
        <v>0</v>
      </c>
      <c r="K84" s="23"/>
      <c r="L84" s="33" t="n">
        <f aca="false">IF(B84="",0,N(Students!G73))</f>
        <v>0</v>
      </c>
      <c r="M84" s="23"/>
      <c r="N84" s="24" t="n">
        <f aca="false">N(K84)+N(L84)-N(M84)</f>
        <v>0</v>
      </c>
      <c r="O84" s="23"/>
      <c r="P84" s="33" t="n">
        <f aca="false">IF(B84="",0,N(Students!H73))</f>
        <v>0</v>
      </c>
      <c r="Q84" s="23"/>
      <c r="R84" s="24" t="n">
        <f aca="false">N(O84)+N(P84)-N(Q84)</f>
        <v>0</v>
      </c>
      <c r="S84" s="23"/>
      <c r="T84" s="33" t="n">
        <f aca="false">IF(B84="",0,N(Students!I73))</f>
        <v>0</v>
      </c>
      <c r="U84" s="23"/>
      <c r="V84" s="24" t="n">
        <f aca="false">N(S84)+N(T84)-N(U84)</f>
        <v>0</v>
      </c>
      <c r="W84" s="23"/>
      <c r="X84" s="33" t="n">
        <f aca="false">IF(B84="",0,N(Students!J73))</f>
        <v>0</v>
      </c>
      <c r="Y84" s="23"/>
      <c r="Z84" s="24" t="n">
        <f aca="false">N(W84)+N(X84)-N(Y84)</f>
        <v>0</v>
      </c>
      <c r="AA84" s="33" t="n">
        <f aca="false">N(E84)+N(I84)+N(M84)+N(Q84)+N(U84)+N(Y84)</f>
        <v>0</v>
      </c>
      <c r="AB84" s="24" t="n">
        <f aca="false">F84+J84+N84+R84+V84+Z84</f>
        <v>0</v>
      </c>
      <c r="AC84" s="81" t="str">
        <f aca="false">IF(B84="","",IF(AB84&lt;=0,"Clear",IF(AA84&gt;0,"Partial","Due")))</f>
        <v/>
      </c>
    </row>
    <row r="85" customFormat="false" ht="15" hidden="false" customHeight="false" outlineLevel="0" collapsed="false">
      <c r="A85" s="25" t="n">
        <v>70</v>
      </c>
      <c r="B85" s="82" t="str">
        <f aca="false">IF(Students!B74="","",Students!B74)</f>
        <v/>
      </c>
      <c r="C85" s="23"/>
      <c r="D85" s="37" t="n">
        <f aca="false">IF(B85="",0,N(Students!E74))</f>
        <v>0</v>
      </c>
      <c r="E85" s="23"/>
      <c r="F85" s="26" t="n">
        <f aca="false">N(C85)+N(D85)-N(E85)</f>
        <v>0</v>
      </c>
      <c r="G85" s="23"/>
      <c r="H85" s="37" t="n">
        <f aca="false">IF(B85="",0,N(Students!F74))</f>
        <v>0</v>
      </c>
      <c r="I85" s="23"/>
      <c r="J85" s="26" t="n">
        <f aca="false">N(G85)+N(H85)-N(I85)</f>
        <v>0</v>
      </c>
      <c r="K85" s="23"/>
      <c r="L85" s="37" t="n">
        <f aca="false">IF(B85="",0,N(Students!G74))</f>
        <v>0</v>
      </c>
      <c r="M85" s="23"/>
      <c r="N85" s="26" t="n">
        <f aca="false">N(K85)+N(L85)-N(M85)</f>
        <v>0</v>
      </c>
      <c r="O85" s="23"/>
      <c r="P85" s="37" t="n">
        <f aca="false">IF(B85="",0,N(Students!H74))</f>
        <v>0</v>
      </c>
      <c r="Q85" s="23"/>
      <c r="R85" s="26" t="n">
        <f aca="false">N(O85)+N(P85)-N(Q85)</f>
        <v>0</v>
      </c>
      <c r="S85" s="23"/>
      <c r="T85" s="37" t="n">
        <f aca="false">IF(B85="",0,N(Students!I74))</f>
        <v>0</v>
      </c>
      <c r="U85" s="23"/>
      <c r="V85" s="26" t="n">
        <f aca="false">N(S85)+N(T85)-N(U85)</f>
        <v>0</v>
      </c>
      <c r="W85" s="23"/>
      <c r="X85" s="37" t="n">
        <f aca="false">IF(B85="",0,N(Students!J74))</f>
        <v>0</v>
      </c>
      <c r="Y85" s="23"/>
      <c r="Z85" s="26" t="n">
        <f aca="false">N(W85)+N(X85)-N(Y85)</f>
        <v>0</v>
      </c>
      <c r="AA85" s="37" t="n">
        <f aca="false">N(E85)+N(I85)+N(M85)+N(Q85)+N(U85)+N(Y85)</f>
        <v>0</v>
      </c>
      <c r="AB85" s="26" t="n">
        <f aca="false">F85+J85+N85+R85+V85+Z85</f>
        <v>0</v>
      </c>
      <c r="AC85" s="83" t="str">
        <f aca="false">IF(B85="","",IF(AB85&lt;=0,"Clear",IF(AA85&gt;0,"Partial","Due")))</f>
        <v/>
      </c>
    </row>
    <row r="86" customFormat="false" ht="15" hidden="false" customHeight="false" outlineLevel="0" collapsed="false">
      <c r="A86" s="21" t="n">
        <v>71</v>
      </c>
      <c r="B86" s="46" t="str">
        <f aca="false">IF(Students!B75="","",Students!B75)</f>
        <v/>
      </c>
      <c r="C86" s="23"/>
      <c r="D86" s="33" t="n">
        <f aca="false">IF(B86="",0,N(Students!E75))</f>
        <v>0</v>
      </c>
      <c r="E86" s="23"/>
      <c r="F86" s="24" t="n">
        <f aca="false">N(C86)+N(D86)-N(E86)</f>
        <v>0</v>
      </c>
      <c r="G86" s="23"/>
      <c r="H86" s="33" t="n">
        <f aca="false">IF(B86="",0,N(Students!F75))</f>
        <v>0</v>
      </c>
      <c r="I86" s="23"/>
      <c r="J86" s="24" t="n">
        <f aca="false">N(G86)+N(H86)-N(I86)</f>
        <v>0</v>
      </c>
      <c r="K86" s="23"/>
      <c r="L86" s="33" t="n">
        <f aca="false">IF(B86="",0,N(Students!G75))</f>
        <v>0</v>
      </c>
      <c r="M86" s="23"/>
      <c r="N86" s="24" t="n">
        <f aca="false">N(K86)+N(L86)-N(M86)</f>
        <v>0</v>
      </c>
      <c r="O86" s="23"/>
      <c r="P86" s="33" t="n">
        <f aca="false">IF(B86="",0,N(Students!H75))</f>
        <v>0</v>
      </c>
      <c r="Q86" s="23"/>
      <c r="R86" s="24" t="n">
        <f aca="false">N(O86)+N(P86)-N(Q86)</f>
        <v>0</v>
      </c>
      <c r="S86" s="23"/>
      <c r="T86" s="33" t="n">
        <f aca="false">IF(B86="",0,N(Students!I75))</f>
        <v>0</v>
      </c>
      <c r="U86" s="23"/>
      <c r="V86" s="24" t="n">
        <f aca="false">N(S86)+N(T86)-N(U86)</f>
        <v>0</v>
      </c>
      <c r="W86" s="23"/>
      <c r="X86" s="33" t="n">
        <f aca="false">IF(B86="",0,N(Students!J75))</f>
        <v>0</v>
      </c>
      <c r="Y86" s="23"/>
      <c r="Z86" s="24" t="n">
        <f aca="false">N(W86)+N(X86)-N(Y86)</f>
        <v>0</v>
      </c>
      <c r="AA86" s="33" t="n">
        <f aca="false">N(E86)+N(I86)+N(M86)+N(Q86)+N(U86)+N(Y86)</f>
        <v>0</v>
      </c>
      <c r="AB86" s="24" t="n">
        <f aca="false">F86+J86+N86+R86+V86+Z86</f>
        <v>0</v>
      </c>
      <c r="AC86" s="81" t="str">
        <f aca="false">IF(B86="","",IF(AB86&lt;=0,"Clear",IF(AA86&gt;0,"Partial","Due")))</f>
        <v/>
      </c>
    </row>
    <row r="87" customFormat="false" ht="15" hidden="false" customHeight="false" outlineLevel="0" collapsed="false">
      <c r="A87" s="25" t="n">
        <v>72</v>
      </c>
      <c r="B87" s="82" t="str">
        <f aca="false">IF(Students!B76="","",Students!B76)</f>
        <v/>
      </c>
      <c r="C87" s="23"/>
      <c r="D87" s="37" t="n">
        <f aca="false">IF(B87="",0,N(Students!E76))</f>
        <v>0</v>
      </c>
      <c r="E87" s="23"/>
      <c r="F87" s="26" t="n">
        <f aca="false">N(C87)+N(D87)-N(E87)</f>
        <v>0</v>
      </c>
      <c r="G87" s="23"/>
      <c r="H87" s="37" t="n">
        <f aca="false">IF(B87="",0,N(Students!F76))</f>
        <v>0</v>
      </c>
      <c r="I87" s="23"/>
      <c r="J87" s="26" t="n">
        <f aca="false">N(G87)+N(H87)-N(I87)</f>
        <v>0</v>
      </c>
      <c r="K87" s="23"/>
      <c r="L87" s="37" t="n">
        <f aca="false">IF(B87="",0,N(Students!G76))</f>
        <v>0</v>
      </c>
      <c r="M87" s="23"/>
      <c r="N87" s="26" t="n">
        <f aca="false">N(K87)+N(L87)-N(M87)</f>
        <v>0</v>
      </c>
      <c r="O87" s="23"/>
      <c r="P87" s="37" t="n">
        <f aca="false">IF(B87="",0,N(Students!H76))</f>
        <v>0</v>
      </c>
      <c r="Q87" s="23"/>
      <c r="R87" s="26" t="n">
        <f aca="false">N(O87)+N(P87)-N(Q87)</f>
        <v>0</v>
      </c>
      <c r="S87" s="23"/>
      <c r="T87" s="37" t="n">
        <f aca="false">IF(B87="",0,N(Students!I76))</f>
        <v>0</v>
      </c>
      <c r="U87" s="23"/>
      <c r="V87" s="26" t="n">
        <f aca="false">N(S87)+N(T87)-N(U87)</f>
        <v>0</v>
      </c>
      <c r="W87" s="23"/>
      <c r="X87" s="37" t="n">
        <f aca="false">IF(B87="",0,N(Students!J76))</f>
        <v>0</v>
      </c>
      <c r="Y87" s="23"/>
      <c r="Z87" s="26" t="n">
        <f aca="false">N(W87)+N(X87)-N(Y87)</f>
        <v>0</v>
      </c>
      <c r="AA87" s="37" t="n">
        <f aca="false">N(E87)+N(I87)+N(M87)+N(Q87)+N(U87)+N(Y87)</f>
        <v>0</v>
      </c>
      <c r="AB87" s="26" t="n">
        <f aca="false">F87+J87+N87+R87+V87+Z87</f>
        <v>0</v>
      </c>
      <c r="AC87" s="83" t="str">
        <f aca="false">IF(B87="","",IF(AB87&lt;=0,"Clear",IF(AA87&gt;0,"Partial","Due")))</f>
        <v/>
      </c>
    </row>
    <row r="88" customFormat="false" ht="15" hidden="false" customHeight="false" outlineLevel="0" collapsed="false">
      <c r="A88" s="21" t="n">
        <v>73</v>
      </c>
      <c r="B88" s="46" t="str">
        <f aca="false">IF(Students!B77="","",Students!B77)</f>
        <v/>
      </c>
      <c r="C88" s="23"/>
      <c r="D88" s="33" t="n">
        <f aca="false">IF(B88="",0,N(Students!E77))</f>
        <v>0</v>
      </c>
      <c r="E88" s="23"/>
      <c r="F88" s="24" t="n">
        <f aca="false">N(C88)+N(D88)-N(E88)</f>
        <v>0</v>
      </c>
      <c r="G88" s="23"/>
      <c r="H88" s="33" t="n">
        <f aca="false">IF(B88="",0,N(Students!F77))</f>
        <v>0</v>
      </c>
      <c r="I88" s="23"/>
      <c r="J88" s="24" t="n">
        <f aca="false">N(G88)+N(H88)-N(I88)</f>
        <v>0</v>
      </c>
      <c r="K88" s="23"/>
      <c r="L88" s="33" t="n">
        <f aca="false">IF(B88="",0,N(Students!G77))</f>
        <v>0</v>
      </c>
      <c r="M88" s="23"/>
      <c r="N88" s="24" t="n">
        <f aca="false">N(K88)+N(L88)-N(M88)</f>
        <v>0</v>
      </c>
      <c r="O88" s="23"/>
      <c r="P88" s="33" t="n">
        <f aca="false">IF(B88="",0,N(Students!H77))</f>
        <v>0</v>
      </c>
      <c r="Q88" s="23"/>
      <c r="R88" s="24" t="n">
        <f aca="false">N(O88)+N(P88)-N(Q88)</f>
        <v>0</v>
      </c>
      <c r="S88" s="23"/>
      <c r="T88" s="33" t="n">
        <f aca="false">IF(B88="",0,N(Students!I77))</f>
        <v>0</v>
      </c>
      <c r="U88" s="23"/>
      <c r="V88" s="24" t="n">
        <f aca="false">N(S88)+N(T88)-N(U88)</f>
        <v>0</v>
      </c>
      <c r="W88" s="23"/>
      <c r="X88" s="33" t="n">
        <f aca="false">IF(B88="",0,N(Students!J77))</f>
        <v>0</v>
      </c>
      <c r="Y88" s="23"/>
      <c r="Z88" s="24" t="n">
        <f aca="false">N(W88)+N(X88)-N(Y88)</f>
        <v>0</v>
      </c>
      <c r="AA88" s="33" t="n">
        <f aca="false">N(E88)+N(I88)+N(M88)+N(Q88)+N(U88)+N(Y88)</f>
        <v>0</v>
      </c>
      <c r="AB88" s="24" t="n">
        <f aca="false">F88+J88+N88+R88+V88+Z88</f>
        <v>0</v>
      </c>
      <c r="AC88" s="81" t="str">
        <f aca="false">IF(B88="","",IF(AB88&lt;=0,"Clear",IF(AA88&gt;0,"Partial","Due")))</f>
        <v/>
      </c>
    </row>
    <row r="89" customFormat="false" ht="15" hidden="false" customHeight="false" outlineLevel="0" collapsed="false">
      <c r="A89" s="25" t="n">
        <v>74</v>
      </c>
      <c r="B89" s="82" t="str">
        <f aca="false">IF(Students!B78="","",Students!B78)</f>
        <v/>
      </c>
      <c r="C89" s="23"/>
      <c r="D89" s="37" t="n">
        <f aca="false">IF(B89="",0,N(Students!E78))</f>
        <v>0</v>
      </c>
      <c r="E89" s="23"/>
      <c r="F89" s="26" t="n">
        <f aca="false">N(C89)+N(D89)-N(E89)</f>
        <v>0</v>
      </c>
      <c r="G89" s="23"/>
      <c r="H89" s="37" t="n">
        <f aca="false">IF(B89="",0,N(Students!F78))</f>
        <v>0</v>
      </c>
      <c r="I89" s="23"/>
      <c r="J89" s="26" t="n">
        <f aca="false">N(G89)+N(H89)-N(I89)</f>
        <v>0</v>
      </c>
      <c r="K89" s="23"/>
      <c r="L89" s="37" t="n">
        <f aca="false">IF(B89="",0,N(Students!G78))</f>
        <v>0</v>
      </c>
      <c r="M89" s="23"/>
      <c r="N89" s="26" t="n">
        <f aca="false">N(K89)+N(L89)-N(M89)</f>
        <v>0</v>
      </c>
      <c r="O89" s="23"/>
      <c r="P89" s="37" t="n">
        <f aca="false">IF(B89="",0,N(Students!H78))</f>
        <v>0</v>
      </c>
      <c r="Q89" s="23"/>
      <c r="R89" s="26" t="n">
        <f aca="false">N(O89)+N(P89)-N(Q89)</f>
        <v>0</v>
      </c>
      <c r="S89" s="23"/>
      <c r="T89" s="37" t="n">
        <f aca="false">IF(B89="",0,N(Students!I78))</f>
        <v>0</v>
      </c>
      <c r="U89" s="23"/>
      <c r="V89" s="26" t="n">
        <f aca="false">N(S89)+N(T89)-N(U89)</f>
        <v>0</v>
      </c>
      <c r="W89" s="23"/>
      <c r="X89" s="37" t="n">
        <f aca="false">IF(B89="",0,N(Students!J78))</f>
        <v>0</v>
      </c>
      <c r="Y89" s="23"/>
      <c r="Z89" s="26" t="n">
        <f aca="false">N(W89)+N(X89)-N(Y89)</f>
        <v>0</v>
      </c>
      <c r="AA89" s="37" t="n">
        <f aca="false">N(E89)+N(I89)+N(M89)+N(Q89)+N(U89)+N(Y89)</f>
        <v>0</v>
      </c>
      <c r="AB89" s="26" t="n">
        <f aca="false">F89+J89+N89+R89+V89+Z89</f>
        <v>0</v>
      </c>
      <c r="AC89" s="83" t="str">
        <f aca="false">IF(B89="","",IF(AB89&lt;=0,"Clear",IF(AA89&gt;0,"Partial","Due")))</f>
        <v/>
      </c>
    </row>
    <row r="90" customFormat="false" ht="15" hidden="false" customHeight="false" outlineLevel="0" collapsed="false">
      <c r="A90" s="21" t="n">
        <v>75</v>
      </c>
      <c r="B90" s="46" t="str">
        <f aca="false">IF(Students!B79="","",Students!B79)</f>
        <v/>
      </c>
      <c r="C90" s="23"/>
      <c r="D90" s="33" t="n">
        <f aca="false">IF(B90="",0,N(Students!E79))</f>
        <v>0</v>
      </c>
      <c r="E90" s="23"/>
      <c r="F90" s="24" t="n">
        <f aca="false">N(C90)+N(D90)-N(E90)</f>
        <v>0</v>
      </c>
      <c r="G90" s="23"/>
      <c r="H90" s="33" t="n">
        <f aca="false">IF(B90="",0,N(Students!F79))</f>
        <v>0</v>
      </c>
      <c r="I90" s="23"/>
      <c r="J90" s="24" t="n">
        <f aca="false">N(G90)+N(H90)-N(I90)</f>
        <v>0</v>
      </c>
      <c r="K90" s="23"/>
      <c r="L90" s="33" t="n">
        <f aca="false">IF(B90="",0,N(Students!G79))</f>
        <v>0</v>
      </c>
      <c r="M90" s="23"/>
      <c r="N90" s="24" t="n">
        <f aca="false">N(K90)+N(L90)-N(M90)</f>
        <v>0</v>
      </c>
      <c r="O90" s="23"/>
      <c r="P90" s="33" t="n">
        <f aca="false">IF(B90="",0,N(Students!H79))</f>
        <v>0</v>
      </c>
      <c r="Q90" s="23"/>
      <c r="R90" s="24" t="n">
        <f aca="false">N(O90)+N(P90)-N(Q90)</f>
        <v>0</v>
      </c>
      <c r="S90" s="23"/>
      <c r="T90" s="33" t="n">
        <f aca="false">IF(B90="",0,N(Students!I79))</f>
        <v>0</v>
      </c>
      <c r="U90" s="23"/>
      <c r="V90" s="24" t="n">
        <f aca="false">N(S90)+N(T90)-N(U90)</f>
        <v>0</v>
      </c>
      <c r="W90" s="23"/>
      <c r="X90" s="33" t="n">
        <f aca="false">IF(B90="",0,N(Students!J79))</f>
        <v>0</v>
      </c>
      <c r="Y90" s="23"/>
      <c r="Z90" s="24" t="n">
        <f aca="false">N(W90)+N(X90)-N(Y90)</f>
        <v>0</v>
      </c>
      <c r="AA90" s="33" t="n">
        <f aca="false">N(E90)+N(I90)+N(M90)+N(Q90)+N(U90)+N(Y90)</f>
        <v>0</v>
      </c>
      <c r="AB90" s="24" t="n">
        <f aca="false">F90+J90+N90+R90+V90+Z90</f>
        <v>0</v>
      </c>
      <c r="AC90" s="81" t="str">
        <f aca="false">IF(B90="","",IF(AB90&lt;=0,"Clear",IF(AA90&gt;0,"Partial","Due")))</f>
        <v/>
      </c>
    </row>
    <row r="91" customFormat="false" ht="15" hidden="false" customHeight="false" outlineLevel="0" collapsed="false">
      <c r="A91" s="25" t="n">
        <v>76</v>
      </c>
      <c r="B91" s="82" t="str">
        <f aca="false">IF(Students!B80="","",Students!B80)</f>
        <v/>
      </c>
      <c r="C91" s="23"/>
      <c r="D91" s="37" t="n">
        <f aca="false">IF(B91="",0,N(Students!E80))</f>
        <v>0</v>
      </c>
      <c r="E91" s="23"/>
      <c r="F91" s="26" t="n">
        <f aca="false">N(C91)+N(D91)-N(E91)</f>
        <v>0</v>
      </c>
      <c r="G91" s="23"/>
      <c r="H91" s="37" t="n">
        <f aca="false">IF(B91="",0,N(Students!F80))</f>
        <v>0</v>
      </c>
      <c r="I91" s="23"/>
      <c r="J91" s="26" t="n">
        <f aca="false">N(G91)+N(H91)-N(I91)</f>
        <v>0</v>
      </c>
      <c r="K91" s="23"/>
      <c r="L91" s="37" t="n">
        <f aca="false">IF(B91="",0,N(Students!G80))</f>
        <v>0</v>
      </c>
      <c r="M91" s="23"/>
      <c r="N91" s="26" t="n">
        <f aca="false">N(K91)+N(L91)-N(M91)</f>
        <v>0</v>
      </c>
      <c r="O91" s="23"/>
      <c r="P91" s="37" t="n">
        <f aca="false">IF(B91="",0,N(Students!H80))</f>
        <v>0</v>
      </c>
      <c r="Q91" s="23"/>
      <c r="R91" s="26" t="n">
        <f aca="false">N(O91)+N(P91)-N(Q91)</f>
        <v>0</v>
      </c>
      <c r="S91" s="23"/>
      <c r="T91" s="37" t="n">
        <f aca="false">IF(B91="",0,N(Students!I80))</f>
        <v>0</v>
      </c>
      <c r="U91" s="23"/>
      <c r="V91" s="26" t="n">
        <f aca="false">N(S91)+N(T91)-N(U91)</f>
        <v>0</v>
      </c>
      <c r="W91" s="23"/>
      <c r="X91" s="37" t="n">
        <f aca="false">IF(B91="",0,N(Students!J80))</f>
        <v>0</v>
      </c>
      <c r="Y91" s="23"/>
      <c r="Z91" s="26" t="n">
        <f aca="false">N(W91)+N(X91)-N(Y91)</f>
        <v>0</v>
      </c>
      <c r="AA91" s="37" t="n">
        <f aca="false">N(E91)+N(I91)+N(M91)+N(Q91)+N(U91)+N(Y91)</f>
        <v>0</v>
      </c>
      <c r="AB91" s="26" t="n">
        <f aca="false">F91+J91+N91+R91+V91+Z91</f>
        <v>0</v>
      </c>
      <c r="AC91" s="83" t="str">
        <f aca="false">IF(B91="","",IF(AB91&lt;=0,"Clear",IF(AA91&gt;0,"Partial","Due")))</f>
        <v/>
      </c>
    </row>
    <row r="92" customFormat="false" ht="15" hidden="false" customHeight="false" outlineLevel="0" collapsed="false">
      <c r="A92" s="21" t="n">
        <v>77</v>
      </c>
      <c r="B92" s="46" t="str">
        <f aca="false">IF(Students!B81="","",Students!B81)</f>
        <v/>
      </c>
      <c r="C92" s="23"/>
      <c r="D92" s="33" t="n">
        <f aca="false">IF(B92="",0,N(Students!E81))</f>
        <v>0</v>
      </c>
      <c r="E92" s="23"/>
      <c r="F92" s="24" t="n">
        <f aca="false">N(C92)+N(D92)-N(E92)</f>
        <v>0</v>
      </c>
      <c r="G92" s="23"/>
      <c r="H92" s="33" t="n">
        <f aca="false">IF(B92="",0,N(Students!F81))</f>
        <v>0</v>
      </c>
      <c r="I92" s="23"/>
      <c r="J92" s="24" t="n">
        <f aca="false">N(G92)+N(H92)-N(I92)</f>
        <v>0</v>
      </c>
      <c r="K92" s="23"/>
      <c r="L92" s="33" t="n">
        <f aca="false">IF(B92="",0,N(Students!G81))</f>
        <v>0</v>
      </c>
      <c r="M92" s="23"/>
      <c r="N92" s="24" t="n">
        <f aca="false">N(K92)+N(L92)-N(M92)</f>
        <v>0</v>
      </c>
      <c r="O92" s="23"/>
      <c r="P92" s="33" t="n">
        <f aca="false">IF(B92="",0,N(Students!H81))</f>
        <v>0</v>
      </c>
      <c r="Q92" s="23"/>
      <c r="R92" s="24" t="n">
        <f aca="false">N(O92)+N(P92)-N(Q92)</f>
        <v>0</v>
      </c>
      <c r="S92" s="23"/>
      <c r="T92" s="33" t="n">
        <f aca="false">IF(B92="",0,N(Students!I81))</f>
        <v>0</v>
      </c>
      <c r="U92" s="23"/>
      <c r="V92" s="24" t="n">
        <f aca="false">N(S92)+N(T92)-N(U92)</f>
        <v>0</v>
      </c>
      <c r="W92" s="23"/>
      <c r="X92" s="33" t="n">
        <f aca="false">IF(B92="",0,N(Students!J81))</f>
        <v>0</v>
      </c>
      <c r="Y92" s="23"/>
      <c r="Z92" s="24" t="n">
        <f aca="false">N(W92)+N(X92)-N(Y92)</f>
        <v>0</v>
      </c>
      <c r="AA92" s="33" t="n">
        <f aca="false">N(E92)+N(I92)+N(M92)+N(Q92)+N(U92)+N(Y92)</f>
        <v>0</v>
      </c>
      <c r="AB92" s="24" t="n">
        <f aca="false">F92+J92+N92+R92+V92+Z92</f>
        <v>0</v>
      </c>
      <c r="AC92" s="81" t="str">
        <f aca="false">IF(B92="","",IF(AB92&lt;=0,"Clear",IF(AA92&gt;0,"Partial","Due")))</f>
        <v/>
      </c>
    </row>
    <row r="93" customFormat="false" ht="15" hidden="false" customHeight="false" outlineLevel="0" collapsed="false">
      <c r="A93" s="25" t="n">
        <v>78</v>
      </c>
      <c r="B93" s="82" t="str">
        <f aca="false">IF(Students!B82="","",Students!B82)</f>
        <v/>
      </c>
      <c r="C93" s="23"/>
      <c r="D93" s="37" t="n">
        <f aca="false">IF(B93="",0,N(Students!E82))</f>
        <v>0</v>
      </c>
      <c r="E93" s="23"/>
      <c r="F93" s="26" t="n">
        <f aca="false">N(C93)+N(D93)-N(E93)</f>
        <v>0</v>
      </c>
      <c r="G93" s="23"/>
      <c r="H93" s="37" t="n">
        <f aca="false">IF(B93="",0,N(Students!F82))</f>
        <v>0</v>
      </c>
      <c r="I93" s="23"/>
      <c r="J93" s="26" t="n">
        <f aca="false">N(G93)+N(H93)-N(I93)</f>
        <v>0</v>
      </c>
      <c r="K93" s="23"/>
      <c r="L93" s="37" t="n">
        <f aca="false">IF(B93="",0,N(Students!G82))</f>
        <v>0</v>
      </c>
      <c r="M93" s="23"/>
      <c r="N93" s="26" t="n">
        <f aca="false">N(K93)+N(L93)-N(M93)</f>
        <v>0</v>
      </c>
      <c r="O93" s="23"/>
      <c r="P93" s="37" t="n">
        <f aca="false">IF(B93="",0,N(Students!H82))</f>
        <v>0</v>
      </c>
      <c r="Q93" s="23"/>
      <c r="R93" s="26" t="n">
        <f aca="false">N(O93)+N(P93)-N(Q93)</f>
        <v>0</v>
      </c>
      <c r="S93" s="23"/>
      <c r="T93" s="37" t="n">
        <f aca="false">IF(B93="",0,N(Students!I82))</f>
        <v>0</v>
      </c>
      <c r="U93" s="23"/>
      <c r="V93" s="26" t="n">
        <f aca="false">N(S93)+N(T93)-N(U93)</f>
        <v>0</v>
      </c>
      <c r="W93" s="23"/>
      <c r="X93" s="37" t="n">
        <f aca="false">IF(B93="",0,N(Students!J82))</f>
        <v>0</v>
      </c>
      <c r="Y93" s="23"/>
      <c r="Z93" s="26" t="n">
        <f aca="false">N(W93)+N(X93)-N(Y93)</f>
        <v>0</v>
      </c>
      <c r="AA93" s="37" t="n">
        <f aca="false">N(E93)+N(I93)+N(M93)+N(Q93)+N(U93)+N(Y93)</f>
        <v>0</v>
      </c>
      <c r="AB93" s="26" t="n">
        <f aca="false">F93+J93+N93+R93+V93+Z93</f>
        <v>0</v>
      </c>
      <c r="AC93" s="83" t="str">
        <f aca="false">IF(B93="","",IF(AB93&lt;=0,"Clear",IF(AA93&gt;0,"Partial","Due")))</f>
        <v/>
      </c>
    </row>
    <row r="94" customFormat="false" ht="15" hidden="false" customHeight="false" outlineLevel="0" collapsed="false">
      <c r="A94" s="21" t="n">
        <v>79</v>
      </c>
      <c r="B94" s="46" t="str">
        <f aca="false">IF(Students!B83="","",Students!B83)</f>
        <v/>
      </c>
      <c r="C94" s="23"/>
      <c r="D94" s="33" t="n">
        <f aca="false">IF(B94="",0,N(Students!E83))</f>
        <v>0</v>
      </c>
      <c r="E94" s="23"/>
      <c r="F94" s="24" t="n">
        <f aca="false">N(C94)+N(D94)-N(E94)</f>
        <v>0</v>
      </c>
      <c r="G94" s="23"/>
      <c r="H94" s="33" t="n">
        <f aca="false">IF(B94="",0,N(Students!F83))</f>
        <v>0</v>
      </c>
      <c r="I94" s="23"/>
      <c r="J94" s="24" t="n">
        <f aca="false">N(G94)+N(H94)-N(I94)</f>
        <v>0</v>
      </c>
      <c r="K94" s="23"/>
      <c r="L94" s="33" t="n">
        <f aca="false">IF(B94="",0,N(Students!G83))</f>
        <v>0</v>
      </c>
      <c r="M94" s="23"/>
      <c r="N94" s="24" t="n">
        <f aca="false">N(K94)+N(L94)-N(M94)</f>
        <v>0</v>
      </c>
      <c r="O94" s="23"/>
      <c r="P94" s="33" t="n">
        <f aca="false">IF(B94="",0,N(Students!H83))</f>
        <v>0</v>
      </c>
      <c r="Q94" s="23"/>
      <c r="R94" s="24" t="n">
        <f aca="false">N(O94)+N(P94)-N(Q94)</f>
        <v>0</v>
      </c>
      <c r="S94" s="23"/>
      <c r="T94" s="33" t="n">
        <f aca="false">IF(B94="",0,N(Students!I83))</f>
        <v>0</v>
      </c>
      <c r="U94" s="23"/>
      <c r="V94" s="24" t="n">
        <f aca="false">N(S94)+N(T94)-N(U94)</f>
        <v>0</v>
      </c>
      <c r="W94" s="23"/>
      <c r="X94" s="33" t="n">
        <f aca="false">IF(B94="",0,N(Students!J83))</f>
        <v>0</v>
      </c>
      <c r="Y94" s="23"/>
      <c r="Z94" s="24" t="n">
        <f aca="false">N(W94)+N(X94)-N(Y94)</f>
        <v>0</v>
      </c>
      <c r="AA94" s="33" t="n">
        <f aca="false">N(E94)+N(I94)+N(M94)+N(Q94)+N(U94)+N(Y94)</f>
        <v>0</v>
      </c>
      <c r="AB94" s="24" t="n">
        <f aca="false">F94+J94+N94+R94+V94+Z94</f>
        <v>0</v>
      </c>
      <c r="AC94" s="81" t="str">
        <f aca="false">IF(B94="","",IF(AB94&lt;=0,"Clear",IF(AA94&gt;0,"Partial","Due")))</f>
        <v/>
      </c>
    </row>
    <row r="95" customFormat="false" ht="15" hidden="false" customHeight="false" outlineLevel="0" collapsed="false">
      <c r="A95" s="25" t="n">
        <v>80</v>
      </c>
      <c r="B95" s="82" t="str">
        <f aca="false">IF(Students!B84="","",Students!B84)</f>
        <v/>
      </c>
      <c r="C95" s="23"/>
      <c r="D95" s="37" t="n">
        <f aca="false">IF(B95="",0,N(Students!E84))</f>
        <v>0</v>
      </c>
      <c r="E95" s="23"/>
      <c r="F95" s="26" t="n">
        <f aca="false">N(C95)+N(D95)-N(E95)</f>
        <v>0</v>
      </c>
      <c r="G95" s="23"/>
      <c r="H95" s="37" t="n">
        <f aca="false">IF(B95="",0,N(Students!F84))</f>
        <v>0</v>
      </c>
      <c r="I95" s="23"/>
      <c r="J95" s="26" t="n">
        <f aca="false">N(G95)+N(H95)-N(I95)</f>
        <v>0</v>
      </c>
      <c r="K95" s="23"/>
      <c r="L95" s="37" t="n">
        <f aca="false">IF(B95="",0,N(Students!G84))</f>
        <v>0</v>
      </c>
      <c r="M95" s="23"/>
      <c r="N95" s="26" t="n">
        <f aca="false">N(K95)+N(L95)-N(M95)</f>
        <v>0</v>
      </c>
      <c r="O95" s="23"/>
      <c r="P95" s="37" t="n">
        <f aca="false">IF(B95="",0,N(Students!H84))</f>
        <v>0</v>
      </c>
      <c r="Q95" s="23"/>
      <c r="R95" s="26" t="n">
        <f aca="false">N(O95)+N(P95)-N(Q95)</f>
        <v>0</v>
      </c>
      <c r="S95" s="23"/>
      <c r="T95" s="37" t="n">
        <f aca="false">IF(B95="",0,N(Students!I84))</f>
        <v>0</v>
      </c>
      <c r="U95" s="23"/>
      <c r="V95" s="26" t="n">
        <f aca="false">N(S95)+N(T95)-N(U95)</f>
        <v>0</v>
      </c>
      <c r="W95" s="23"/>
      <c r="X95" s="37" t="n">
        <f aca="false">IF(B95="",0,N(Students!J84))</f>
        <v>0</v>
      </c>
      <c r="Y95" s="23"/>
      <c r="Z95" s="26" t="n">
        <f aca="false">N(W95)+N(X95)-N(Y95)</f>
        <v>0</v>
      </c>
      <c r="AA95" s="37" t="n">
        <f aca="false">N(E95)+N(I95)+N(M95)+N(Q95)+N(U95)+N(Y95)</f>
        <v>0</v>
      </c>
      <c r="AB95" s="26" t="n">
        <f aca="false">F95+J95+N95+R95+V95+Z95</f>
        <v>0</v>
      </c>
      <c r="AC95" s="83" t="str">
        <f aca="false">IF(B95="","",IF(AB95&lt;=0,"Clear",IF(AA95&gt;0,"Partial","Due")))</f>
        <v/>
      </c>
    </row>
    <row r="96" customFormat="false" ht="15" hidden="false" customHeight="false" outlineLevel="0" collapsed="false">
      <c r="A96" s="21" t="n">
        <v>81</v>
      </c>
      <c r="B96" s="46" t="str">
        <f aca="false">IF(Students!B85="","",Students!B85)</f>
        <v/>
      </c>
      <c r="C96" s="23"/>
      <c r="D96" s="33" t="n">
        <f aca="false">IF(B96="",0,N(Students!E85))</f>
        <v>0</v>
      </c>
      <c r="E96" s="23"/>
      <c r="F96" s="24" t="n">
        <f aca="false">N(C96)+N(D96)-N(E96)</f>
        <v>0</v>
      </c>
      <c r="G96" s="23"/>
      <c r="H96" s="33" t="n">
        <f aca="false">IF(B96="",0,N(Students!F85))</f>
        <v>0</v>
      </c>
      <c r="I96" s="23"/>
      <c r="J96" s="24" t="n">
        <f aca="false">N(G96)+N(H96)-N(I96)</f>
        <v>0</v>
      </c>
      <c r="K96" s="23"/>
      <c r="L96" s="33" t="n">
        <f aca="false">IF(B96="",0,N(Students!G85))</f>
        <v>0</v>
      </c>
      <c r="M96" s="23"/>
      <c r="N96" s="24" t="n">
        <f aca="false">N(K96)+N(L96)-N(M96)</f>
        <v>0</v>
      </c>
      <c r="O96" s="23"/>
      <c r="P96" s="33" t="n">
        <f aca="false">IF(B96="",0,N(Students!H85))</f>
        <v>0</v>
      </c>
      <c r="Q96" s="23"/>
      <c r="R96" s="24" t="n">
        <f aca="false">N(O96)+N(P96)-N(Q96)</f>
        <v>0</v>
      </c>
      <c r="S96" s="23"/>
      <c r="T96" s="33" t="n">
        <f aca="false">IF(B96="",0,N(Students!I85))</f>
        <v>0</v>
      </c>
      <c r="U96" s="23"/>
      <c r="V96" s="24" t="n">
        <f aca="false">N(S96)+N(T96)-N(U96)</f>
        <v>0</v>
      </c>
      <c r="W96" s="23"/>
      <c r="X96" s="33" t="n">
        <f aca="false">IF(B96="",0,N(Students!J85))</f>
        <v>0</v>
      </c>
      <c r="Y96" s="23"/>
      <c r="Z96" s="24" t="n">
        <f aca="false">N(W96)+N(X96)-N(Y96)</f>
        <v>0</v>
      </c>
      <c r="AA96" s="33" t="n">
        <f aca="false">N(E96)+N(I96)+N(M96)+N(Q96)+N(U96)+N(Y96)</f>
        <v>0</v>
      </c>
      <c r="AB96" s="24" t="n">
        <f aca="false">F96+J96+N96+R96+V96+Z96</f>
        <v>0</v>
      </c>
      <c r="AC96" s="81" t="str">
        <f aca="false">IF(B96="","",IF(AB96&lt;=0,"Clear",IF(AA96&gt;0,"Partial","Due")))</f>
        <v/>
      </c>
    </row>
    <row r="97" customFormat="false" ht="15" hidden="false" customHeight="false" outlineLevel="0" collapsed="false">
      <c r="A97" s="25" t="n">
        <v>82</v>
      </c>
      <c r="B97" s="82" t="str">
        <f aca="false">IF(Students!B86="","",Students!B86)</f>
        <v/>
      </c>
      <c r="C97" s="23"/>
      <c r="D97" s="37" t="n">
        <f aca="false">IF(B97="",0,N(Students!E86))</f>
        <v>0</v>
      </c>
      <c r="E97" s="23"/>
      <c r="F97" s="26" t="n">
        <f aca="false">N(C97)+N(D97)-N(E97)</f>
        <v>0</v>
      </c>
      <c r="G97" s="23"/>
      <c r="H97" s="37" t="n">
        <f aca="false">IF(B97="",0,N(Students!F86))</f>
        <v>0</v>
      </c>
      <c r="I97" s="23"/>
      <c r="J97" s="26" t="n">
        <f aca="false">N(G97)+N(H97)-N(I97)</f>
        <v>0</v>
      </c>
      <c r="K97" s="23"/>
      <c r="L97" s="37" t="n">
        <f aca="false">IF(B97="",0,N(Students!G86))</f>
        <v>0</v>
      </c>
      <c r="M97" s="23"/>
      <c r="N97" s="26" t="n">
        <f aca="false">N(K97)+N(L97)-N(M97)</f>
        <v>0</v>
      </c>
      <c r="O97" s="23"/>
      <c r="P97" s="37" t="n">
        <f aca="false">IF(B97="",0,N(Students!H86))</f>
        <v>0</v>
      </c>
      <c r="Q97" s="23"/>
      <c r="R97" s="26" t="n">
        <f aca="false">N(O97)+N(P97)-N(Q97)</f>
        <v>0</v>
      </c>
      <c r="S97" s="23"/>
      <c r="T97" s="37" t="n">
        <f aca="false">IF(B97="",0,N(Students!I86))</f>
        <v>0</v>
      </c>
      <c r="U97" s="23"/>
      <c r="V97" s="26" t="n">
        <f aca="false">N(S97)+N(T97)-N(U97)</f>
        <v>0</v>
      </c>
      <c r="W97" s="23"/>
      <c r="X97" s="37" t="n">
        <f aca="false">IF(B97="",0,N(Students!J86))</f>
        <v>0</v>
      </c>
      <c r="Y97" s="23"/>
      <c r="Z97" s="26" t="n">
        <f aca="false">N(W97)+N(X97)-N(Y97)</f>
        <v>0</v>
      </c>
      <c r="AA97" s="37" t="n">
        <f aca="false">N(E97)+N(I97)+N(M97)+N(Q97)+N(U97)+N(Y97)</f>
        <v>0</v>
      </c>
      <c r="AB97" s="26" t="n">
        <f aca="false">F97+J97+N97+R97+V97+Z97</f>
        <v>0</v>
      </c>
      <c r="AC97" s="83" t="str">
        <f aca="false">IF(B97="","",IF(AB97&lt;=0,"Clear",IF(AA97&gt;0,"Partial","Due")))</f>
        <v/>
      </c>
    </row>
    <row r="98" customFormat="false" ht="15" hidden="false" customHeight="false" outlineLevel="0" collapsed="false">
      <c r="A98" s="21" t="n">
        <v>83</v>
      </c>
      <c r="B98" s="46" t="str">
        <f aca="false">IF(Students!B87="","",Students!B87)</f>
        <v/>
      </c>
      <c r="C98" s="23"/>
      <c r="D98" s="33" t="n">
        <f aca="false">IF(B98="",0,N(Students!E87))</f>
        <v>0</v>
      </c>
      <c r="E98" s="23"/>
      <c r="F98" s="24" t="n">
        <f aca="false">N(C98)+N(D98)-N(E98)</f>
        <v>0</v>
      </c>
      <c r="G98" s="23"/>
      <c r="H98" s="33" t="n">
        <f aca="false">IF(B98="",0,N(Students!F87))</f>
        <v>0</v>
      </c>
      <c r="I98" s="23"/>
      <c r="J98" s="24" t="n">
        <f aca="false">N(G98)+N(H98)-N(I98)</f>
        <v>0</v>
      </c>
      <c r="K98" s="23"/>
      <c r="L98" s="33" t="n">
        <f aca="false">IF(B98="",0,N(Students!G87))</f>
        <v>0</v>
      </c>
      <c r="M98" s="23"/>
      <c r="N98" s="24" t="n">
        <f aca="false">N(K98)+N(L98)-N(M98)</f>
        <v>0</v>
      </c>
      <c r="O98" s="23"/>
      <c r="P98" s="33" t="n">
        <f aca="false">IF(B98="",0,N(Students!H87))</f>
        <v>0</v>
      </c>
      <c r="Q98" s="23"/>
      <c r="R98" s="24" t="n">
        <f aca="false">N(O98)+N(P98)-N(Q98)</f>
        <v>0</v>
      </c>
      <c r="S98" s="23"/>
      <c r="T98" s="33" t="n">
        <f aca="false">IF(B98="",0,N(Students!I87))</f>
        <v>0</v>
      </c>
      <c r="U98" s="23"/>
      <c r="V98" s="24" t="n">
        <f aca="false">N(S98)+N(T98)-N(U98)</f>
        <v>0</v>
      </c>
      <c r="W98" s="23"/>
      <c r="X98" s="33" t="n">
        <f aca="false">IF(B98="",0,N(Students!J87))</f>
        <v>0</v>
      </c>
      <c r="Y98" s="23"/>
      <c r="Z98" s="24" t="n">
        <f aca="false">N(W98)+N(X98)-N(Y98)</f>
        <v>0</v>
      </c>
      <c r="AA98" s="33" t="n">
        <f aca="false">N(E98)+N(I98)+N(M98)+N(Q98)+N(U98)+N(Y98)</f>
        <v>0</v>
      </c>
      <c r="AB98" s="24" t="n">
        <f aca="false">F98+J98+N98+R98+V98+Z98</f>
        <v>0</v>
      </c>
      <c r="AC98" s="81" t="str">
        <f aca="false">IF(B98="","",IF(AB98&lt;=0,"Clear",IF(AA98&gt;0,"Partial","Due")))</f>
        <v/>
      </c>
    </row>
    <row r="99" customFormat="false" ht="15" hidden="false" customHeight="false" outlineLevel="0" collapsed="false">
      <c r="A99" s="25" t="n">
        <v>84</v>
      </c>
      <c r="B99" s="82" t="str">
        <f aca="false">IF(Students!B88="","",Students!B88)</f>
        <v/>
      </c>
      <c r="C99" s="23"/>
      <c r="D99" s="37" t="n">
        <f aca="false">IF(B99="",0,N(Students!E88))</f>
        <v>0</v>
      </c>
      <c r="E99" s="23"/>
      <c r="F99" s="26" t="n">
        <f aca="false">N(C99)+N(D99)-N(E99)</f>
        <v>0</v>
      </c>
      <c r="G99" s="23"/>
      <c r="H99" s="37" t="n">
        <f aca="false">IF(B99="",0,N(Students!F88))</f>
        <v>0</v>
      </c>
      <c r="I99" s="23"/>
      <c r="J99" s="26" t="n">
        <f aca="false">N(G99)+N(H99)-N(I99)</f>
        <v>0</v>
      </c>
      <c r="K99" s="23"/>
      <c r="L99" s="37" t="n">
        <f aca="false">IF(B99="",0,N(Students!G88))</f>
        <v>0</v>
      </c>
      <c r="M99" s="23"/>
      <c r="N99" s="26" t="n">
        <f aca="false">N(K99)+N(L99)-N(M99)</f>
        <v>0</v>
      </c>
      <c r="O99" s="23"/>
      <c r="P99" s="37" t="n">
        <f aca="false">IF(B99="",0,N(Students!H88))</f>
        <v>0</v>
      </c>
      <c r="Q99" s="23"/>
      <c r="R99" s="26" t="n">
        <f aca="false">N(O99)+N(P99)-N(Q99)</f>
        <v>0</v>
      </c>
      <c r="S99" s="23"/>
      <c r="T99" s="37" t="n">
        <f aca="false">IF(B99="",0,N(Students!I88))</f>
        <v>0</v>
      </c>
      <c r="U99" s="23"/>
      <c r="V99" s="26" t="n">
        <f aca="false">N(S99)+N(T99)-N(U99)</f>
        <v>0</v>
      </c>
      <c r="W99" s="23"/>
      <c r="X99" s="37" t="n">
        <f aca="false">IF(B99="",0,N(Students!J88))</f>
        <v>0</v>
      </c>
      <c r="Y99" s="23"/>
      <c r="Z99" s="26" t="n">
        <f aca="false">N(W99)+N(X99)-N(Y99)</f>
        <v>0</v>
      </c>
      <c r="AA99" s="37" t="n">
        <f aca="false">N(E99)+N(I99)+N(M99)+N(Q99)+N(U99)+N(Y99)</f>
        <v>0</v>
      </c>
      <c r="AB99" s="26" t="n">
        <f aca="false">F99+J99+N99+R99+V99+Z99</f>
        <v>0</v>
      </c>
      <c r="AC99" s="83" t="str">
        <f aca="false">IF(B99="","",IF(AB99&lt;=0,"Clear",IF(AA99&gt;0,"Partial","Due")))</f>
        <v/>
      </c>
    </row>
    <row r="100" customFormat="false" ht="15" hidden="false" customHeight="false" outlineLevel="0" collapsed="false">
      <c r="A100" s="21" t="n">
        <v>85</v>
      </c>
      <c r="B100" s="46" t="str">
        <f aca="false">IF(Students!B89="","",Students!B89)</f>
        <v/>
      </c>
      <c r="C100" s="23"/>
      <c r="D100" s="33" t="n">
        <f aca="false">IF(B100="",0,N(Students!E89))</f>
        <v>0</v>
      </c>
      <c r="E100" s="23"/>
      <c r="F100" s="24" t="n">
        <f aca="false">N(C100)+N(D100)-N(E100)</f>
        <v>0</v>
      </c>
      <c r="G100" s="23"/>
      <c r="H100" s="33" t="n">
        <f aca="false">IF(B100="",0,N(Students!F89))</f>
        <v>0</v>
      </c>
      <c r="I100" s="23"/>
      <c r="J100" s="24" t="n">
        <f aca="false">N(G100)+N(H100)-N(I100)</f>
        <v>0</v>
      </c>
      <c r="K100" s="23"/>
      <c r="L100" s="33" t="n">
        <f aca="false">IF(B100="",0,N(Students!G89))</f>
        <v>0</v>
      </c>
      <c r="M100" s="23"/>
      <c r="N100" s="24" t="n">
        <f aca="false">N(K100)+N(L100)-N(M100)</f>
        <v>0</v>
      </c>
      <c r="O100" s="23"/>
      <c r="P100" s="33" t="n">
        <f aca="false">IF(B100="",0,N(Students!H89))</f>
        <v>0</v>
      </c>
      <c r="Q100" s="23"/>
      <c r="R100" s="24" t="n">
        <f aca="false">N(O100)+N(P100)-N(Q100)</f>
        <v>0</v>
      </c>
      <c r="S100" s="23"/>
      <c r="T100" s="33" t="n">
        <f aca="false">IF(B100="",0,N(Students!I89))</f>
        <v>0</v>
      </c>
      <c r="U100" s="23"/>
      <c r="V100" s="24" t="n">
        <f aca="false">N(S100)+N(T100)-N(U100)</f>
        <v>0</v>
      </c>
      <c r="W100" s="23"/>
      <c r="X100" s="33" t="n">
        <f aca="false">IF(B100="",0,N(Students!J89))</f>
        <v>0</v>
      </c>
      <c r="Y100" s="23"/>
      <c r="Z100" s="24" t="n">
        <f aca="false">N(W100)+N(X100)-N(Y100)</f>
        <v>0</v>
      </c>
      <c r="AA100" s="33" t="n">
        <f aca="false">N(E100)+N(I100)+N(M100)+N(Q100)+N(U100)+N(Y100)</f>
        <v>0</v>
      </c>
      <c r="AB100" s="24" t="n">
        <f aca="false">F100+J100+N100+R100+V100+Z100</f>
        <v>0</v>
      </c>
      <c r="AC100" s="81" t="str">
        <f aca="false">IF(B100="","",IF(AB100&lt;=0,"Clear",IF(AA100&gt;0,"Partial","Due")))</f>
        <v/>
      </c>
    </row>
    <row r="101" customFormat="false" ht="15" hidden="false" customHeight="false" outlineLevel="0" collapsed="false">
      <c r="A101" s="25" t="n">
        <v>86</v>
      </c>
      <c r="B101" s="82" t="str">
        <f aca="false">IF(Students!B90="","",Students!B90)</f>
        <v/>
      </c>
      <c r="C101" s="23"/>
      <c r="D101" s="37" t="n">
        <f aca="false">IF(B101="",0,N(Students!E90))</f>
        <v>0</v>
      </c>
      <c r="E101" s="23"/>
      <c r="F101" s="26" t="n">
        <f aca="false">N(C101)+N(D101)-N(E101)</f>
        <v>0</v>
      </c>
      <c r="G101" s="23"/>
      <c r="H101" s="37" t="n">
        <f aca="false">IF(B101="",0,N(Students!F90))</f>
        <v>0</v>
      </c>
      <c r="I101" s="23"/>
      <c r="J101" s="26" t="n">
        <f aca="false">N(G101)+N(H101)-N(I101)</f>
        <v>0</v>
      </c>
      <c r="K101" s="23"/>
      <c r="L101" s="37" t="n">
        <f aca="false">IF(B101="",0,N(Students!G90))</f>
        <v>0</v>
      </c>
      <c r="M101" s="23"/>
      <c r="N101" s="26" t="n">
        <f aca="false">N(K101)+N(L101)-N(M101)</f>
        <v>0</v>
      </c>
      <c r="O101" s="23"/>
      <c r="P101" s="37" t="n">
        <f aca="false">IF(B101="",0,N(Students!H90))</f>
        <v>0</v>
      </c>
      <c r="Q101" s="23"/>
      <c r="R101" s="26" t="n">
        <f aca="false">N(O101)+N(P101)-N(Q101)</f>
        <v>0</v>
      </c>
      <c r="S101" s="23"/>
      <c r="T101" s="37" t="n">
        <f aca="false">IF(B101="",0,N(Students!I90))</f>
        <v>0</v>
      </c>
      <c r="U101" s="23"/>
      <c r="V101" s="26" t="n">
        <f aca="false">N(S101)+N(T101)-N(U101)</f>
        <v>0</v>
      </c>
      <c r="W101" s="23"/>
      <c r="X101" s="37" t="n">
        <f aca="false">IF(B101="",0,N(Students!J90))</f>
        <v>0</v>
      </c>
      <c r="Y101" s="23"/>
      <c r="Z101" s="26" t="n">
        <f aca="false">N(W101)+N(X101)-N(Y101)</f>
        <v>0</v>
      </c>
      <c r="AA101" s="37" t="n">
        <f aca="false">N(E101)+N(I101)+N(M101)+N(Q101)+N(U101)+N(Y101)</f>
        <v>0</v>
      </c>
      <c r="AB101" s="26" t="n">
        <f aca="false">F101+J101+N101+R101+V101+Z101</f>
        <v>0</v>
      </c>
      <c r="AC101" s="83" t="str">
        <f aca="false">IF(B101="","",IF(AB101&lt;=0,"Clear",IF(AA101&gt;0,"Partial","Due")))</f>
        <v/>
      </c>
    </row>
    <row r="102" customFormat="false" ht="15" hidden="false" customHeight="false" outlineLevel="0" collapsed="false">
      <c r="A102" s="21" t="n">
        <v>87</v>
      </c>
      <c r="B102" s="46" t="str">
        <f aca="false">IF(Students!B91="","",Students!B91)</f>
        <v/>
      </c>
      <c r="C102" s="23"/>
      <c r="D102" s="33" t="n">
        <f aca="false">IF(B102="",0,N(Students!E91))</f>
        <v>0</v>
      </c>
      <c r="E102" s="23"/>
      <c r="F102" s="24" t="n">
        <f aca="false">N(C102)+N(D102)-N(E102)</f>
        <v>0</v>
      </c>
      <c r="G102" s="23"/>
      <c r="H102" s="33" t="n">
        <f aca="false">IF(B102="",0,N(Students!F91))</f>
        <v>0</v>
      </c>
      <c r="I102" s="23"/>
      <c r="J102" s="24" t="n">
        <f aca="false">N(G102)+N(H102)-N(I102)</f>
        <v>0</v>
      </c>
      <c r="K102" s="23"/>
      <c r="L102" s="33" t="n">
        <f aca="false">IF(B102="",0,N(Students!G91))</f>
        <v>0</v>
      </c>
      <c r="M102" s="23"/>
      <c r="N102" s="24" t="n">
        <f aca="false">N(K102)+N(L102)-N(M102)</f>
        <v>0</v>
      </c>
      <c r="O102" s="23"/>
      <c r="P102" s="33" t="n">
        <f aca="false">IF(B102="",0,N(Students!H91))</f>
        <v>0</v>
      </c>
      <c r="Q102" s="23"/>
      <c r="R102" s="24" t="n">
        <f aca="false">N(O102)+N(P102)-N(Q102)</f>
        <v>0</v>
      </c>
      <c r="S102" s="23"/>
      <c r="T102" s="33" t="n">
        <f aca="false">IF(B102="",0,N(Students!I91))</f>
        <v>0</v>
      </c>
      <c r="U102" s="23"/>
      <c r="V102" s="24" t="n">
        <f aca="false">N(S102)+N(T102)-N(U102)</f>
        <v>0</v>
      </c>
      <c r="W102" s="23"/>
      <c r="X102" s="33" t="n">
        <f aca="false">IF(B102="",0,N(Students!J91))</f>
        <v>0</v>
      </c>
      <c r="Y102" s="23"/>
      <c r="Z102" s="24" t="n">
        <f aca="false">N(W102)+N(X102)-N(Y102)</f>
        <v>0</v>
      </c>
      <c r="AA102" s="33" t="n">
        <f aca="false">N(E102)+N(I102)+N(M102)+N(Q102)+N(U102)+N(Y102)</f>
        <v>0</v>
      </c>
      <c r="AB102" s="24" t="n">
        <f aca="false">F102+J102+N102+R102+V102+Z102</f>
        <v>0</v>
      </c>
      <c r="AC102" s="81" t="str">
        <f aca="false">IF(B102="","",IF(AB102&lt;=0,"Clear",IF(AA102&gt;0,"Partial","Due")))</f>
        <v/>
      </c>
    </row>
    <row r="103" customFormat="false" ht="15" hidden="false" customHeight="false" outlineLevel="0" collapsed="false">
      <c r="A103" s="25" t="n">
        <v>88</v>
      </c>
      <c r="B103" s="82" t="str">
        <f aca="false">IF(Students!B92="","",Students!B92)</f>
        <v/>
      </c>
      <c r="C103" s="23"/>
      <c r="D103" s="37" t="n">
        <f aca="false">IF(B103="",0,N(Students!E92))</f>
        <v>0</v>
      </c>
      <c r="E103" s="23"/>
      <c r="F103" s="26" t="n">
        <f aca="false">N(C103)+N(D103)-N(E103)</f>
        <v>0</v>
      </c>
      <c r="G103" s="23"/>
      <c r="H103" s="37" t="n">
        <f aca="false">IF(B103="",0,N(Students!F92))</f>
        <v>0</v>
      </c>
      <c r="I103" s="23"/>
      <c r="J103" s="26" t="n">
        <f aca="false">N(G103)+N(H103)-N(I103)</f>
        <v>0</v>
      </c>
      <c r="K103" s="23"/>
      <c r="L103" s="37" t="n">
        <f aca="false">IF(B103="",0,N(Students!G92))</f>
        <v>0</v>
      </c>
      <c r="M103" s="23"/>
      <c r="N103" s="26" t="n">
        <f aca="false">N(K103)+N(L103)-N(M103)</f>
        <v>0</v>
      </c>
      <c r="O103" s="23"/>
      <c r="P103" s="37" t="n">
        <f aca="false">IF(B103="",0,N(Students!H92))</f>
        <v>0</v>
      </c>
      <c r="Q103" s="23"/>
      <c r="R103" s="26" t="n">
        <f aca="false">N(O103)+N(P103)-N(Q103)</f>
        <v>0</v>
      </c>
      <c r="S103" s="23"/>
      <c r="T103" s="37" t="n">
        <f aca="false">IF(B103="",0,N(Students!I92))</f>
        <v>0</v>
      </c>
      <c r="U103" s="23"/>
      <c r="V103" s="26" t="n">
        <f aca="false">N(S103)+N(T103)-N(U103)</f>
        <v>0</v>
      </c>
      <c r="W103" s="23"/>
      <c r="X103" s="37" t="n">
        <f aca="false">IF(B103="",0,N(Students!J92))</f>
        <v>0</v>
      </c>
      <c r="Y103" s="23"/>
      <c r="Z103" s="26" t="n">
        <f aca="false">N(W103)+N(X103)-N(Y103)</f>
        <v>0</v>
      </c>
      <c r="AA103" s="37" t="n">
        <f aca="false">N(E103)+N(I103)+N(M103)+N(Q103)+N(U103)+N(Y103)</f>
        <v>0</v>
      </c>
      <c r="AB103" s="26" t="n">
        <f aca="false">F103+J103+N103+R103+V103+Z103</f>
        <v>0</v>
      </c>
      <c r="AC103" s="83" t="str">
        <f aca="false">IF(B103="","",IF(AB103&lt;=0,"Clear",IF(AA103&gt;0,"Partial","Due")))</f>
        <v/>
      </c>
    </row>
    <row r="104" customFormat="false" ht="15" hidden="false" customHeight="false" outlineLevel="0" collapsed="false">
      <c r="A104" s="21" t="n">
        <v>89</v>
      </c>
      <c r="B104" s="46" t="str">
        <f aca="false">IF(Students!B93="","",Students!B93)</f>
        <v/>
      </c>
      <c r="C104" s="23"/>
      <c r="D104" s="33" t="n">
        <f aca="false">IF(B104="",0,N(Students!E93))</f>
        <v>0</v>
      </c>
      <c r="E104" s="23"/>
      <c r="F104" s="24" t="n">
        <f aca="false">N(C104)+N(D104)-N(E104)</f>
        <v>0</v>
      </c>
      <c r="G104" s="23"/>
      <c r="H104" s="33" t="n">
        <f aca="false">IF(B104="",0,N(Students!F93))</f>
        <v>0</v>
      </c>
      <c r="I104" s="23"/>
      <c r="J104" s="24" t="n">
        <f aca="false">N(G104)+N(H104)-N(I104)</f>
        <v>0</v>
      </c>
      <c r="K104" s="23"/>
      <c r="L104" s="33" t="n">
        <f aca="false">IF(B104="",0,N(Students!G93))</f>
        <v>0</v>
      </c>
      <c r="M104" s="23"/>
      <c r="N104" s="24" t="n">
        <f aca="false">N(K104)+N(L104)-N(M104)</f>
        <v>0</v>
      </c>
      <c r="O104" s="23"/>
      <c r="P104" s="33" t="n">
        <f aca="false">IF(B104="",0,N(Students!H93))</f>
        <v>0</v>
      </c>
      <c r="Q104" s="23"/>
      <c r="R104" s="24" t="n">
        <f aca="false">N(O104)+N(P104)-N(Q104)</f>
        <v>0</v>
      </c>
      <c r="S104" s="23"/>
      <c r="T104" s="33" t="n">
        <f aca="false">IF(B104="",0,N(Students!I93))</f>
        <v>0</v>
      </c>
      <c r="U104" s="23"/>
      <c r="V104" s="24" t="n">
        <f aca="false">N(S104)+N(T104)-N(U104)</f>
        <v>0</v>
      </c>
      <c r="W104" s="23"/>
      <c r="X104" s="33" t="n">
        <f aca="false">IF(B104="",0,N(Students!J93))</f>
        <v>0</v>
      </c>
      <c r="Y104" s="23"/>
      <c r="Z104" s="24" t="n">
        <f aca="false">N(W104)+N(X104)-N(Y104)</f>
        <v>0</v>
      </c>
      <c r="AA104" s="33" t="n">
        <f aca="false">N(E104)+N(I104)+N(M104)+N(Q104)+N(U104)+N(Y104)</f>
        <v>0</v>
      </c>
      <c r="AB104" s="24" t="n">
        <f aca="false">F104+J104+N104+R104+V104+Z104</f>
        <v>0</v>
      </c>
      <c r="AC104" s="81" t="str">
        <f aca="false">IF(B104="","",IF(AB104&lt;=0,"Clear",IF(AA104&gt;0,"Partial","Due")))</f>
        <v/>
      </c>
    </row>
    <row r="105" customFormat="false" ht="15" hidden="false" customHeight="false" outlineLevel="0" collapsed="false">
      <c r="A105" s="25" t="n">
        <v>90</v>
      </c>
      <c r="B105" s="82" t="str">
        <f aca="false">IF(Students!B94="","",Students!B94)</f>
        <v/>
      </c>
      <c r="C105" s="23"/>
      <c r="D105" s="37" t="n">
        <f aca="false">IF(B105="",0,N(Students!E94))</f>
        <v>0</v>
      </c>
      <c r="E105" s="23"/>
      <c r="F105" s="26" t="n">
        <f aca="false">N(C105)+N(D105)-N(E105)</f>
        <v>0</v>
      </c>
      <c r="G105" s="23"/>
      <c r="H105" s="37" t="n">
        <f aca="false">IF(B105="",0,N(Students!F94))</f>
        <v>0</v>
      </c>
      <c r="I105" s="23"/>
      <c r="J105" s="26" t="n">
        <f aca="false">N(G105)+N(H105)-N(I105)</f>
        <v>0</v>
      </c>
      <c r="K105" s="23"/>
      <c r="L105" s="37" t="n">
        <f aca="false">IF(B105="",0,N(Students!G94))</f>
        <v>0</v>
      </c>
      <c r="M105" s="23"/>
      <c r="N105" s="26" t="n">
        <f aca="false">N(K105)+N(L105)-N(M105)</f>
        <v>0</v>
      </c>
      <c r="O105" s="23"/>
      <c r="P105" s="37" t="n">
        <f aca="false">IF(B105="",0,N(Students!H94))</f>
        <v>0</v>
      </c>
      <c r="Q105" s="23"/>
      <c r="R105" s="26" t="n">
        <f aca="false">N(O105)+N(P105)-N(Q105)</f>
        <v>0</v>
      </c>
      <c r="S105" s="23"/>
      <c r="T105" s="37" t="n">
        <f aca="false">IF(B105="",0,N(Students!I94))</f>
        <v>0</v>
      </c>
      <c r="U105" s="23"/>
      <c r="V105" s="26" t="n">
        <f aca="false">N(S105)+N(T105)-N(U105)</f>
        <v>0</v>
      </c>
      <c r="W105" s="23"/>
      <c r="X105" s="37" t="n">
        <f aca="false">IF(B105="",0,N(Students!J94))</f>
        <v>0</v>
      </c>
      <c r="Y105" s="23"/>
      <c r="Z105" s="26" t="n">
        <f aca="false">N(W105)+N(X105)-N(Y105)</f>
        <v>0</v>
      </c>
      <c r="AA105" s="37" t="n">
        <f aca="false">N(E105)+N(I105)+N(M105)+N(Q105)+N(U105)+N(Y105)</f>
        <v>0</v>
      </c>
      <c r="AB105" s="26" t="n">
        <f aca="false">F105+J105+N105+R105+V105+Z105</f>
        <v>0</v>
      </c>
      <c r="AC105" s="83" t="str">
        <f aca="false">IF(B105="","",IF(AB105&lt;=0,"Clear",IF(AA105&gt;0,"Partial","Due")))</f>
        <v/>
      </c>
    </row>
    <row r="106" customFormat="false" ht="15" hidden="false" customHeight="false" outlineLevel="0" collapsed="false">
      <c r="A106" s="21" t="n">
        <v>91</v>
      </c>
      <c r="B106" s="46" t="str">
        <f aca="false">IF(Students!B95="","",Students!B95)</f>
        <v/>
      </c>
      <c r="C106" s="23"/>
      <c r="D106" s="33" t="n">
        <f aca="false">IF(B106="",0,N(Students!E95))</f>
        <v>0</v>
      </c>
      <c r="E106" s="23"/>
      <c r="F106" s="24" t="n">
        <f aca="false">N(C106)+N(D106)-N(E106)</f>
        <v>0</v>
      </c>
      <c r="G106" s="23"/>
      <c r="H106" s="33" t="n">
        <f aca="false">IF(B106="",0,N(Students!F95))</f>
        <v>0</v>
      </c>
      <c r="I106" s="23"/>
      <c r="J106" s="24" t="n">
        <f aca="false">N(G106)+N(H106)-N(I106)</f>
        <v>0</v>
      </c>
      <c r="K106" s="23"/>
      <c r="L106" s="33" t="n">
        <f aca="false">IF(B106="",0,N(Students!G95))</f>
        <v>0</v>
      </c>
      <c r="M106" s="23"/>
      <c r="N106" s="24" t="n">
        <f aca="false">N(K106)+N(L106)-N(M106)</f>
        <v>0</v>
      </c>
      <c r="O106" s="23"/>
      <c r="P106" s="33" t="n">
        <f aca="false">IF(B106="",0,N(Students!H95))</f>
        <v>0</v>
      </c>
      <c r="Q106" s="23"/>
      <c r="R106" s="24" t="n">
        <f aca="false">N(O106)+N(P106)-N(Q106)</f>
        <v>0</v>
      </c>
      <c r="S106" s="23"/>
      <c r="T106" s="33" t="n">
        <f aca="false">IF(B106="",0,N(Students!I95))</f>
        <v>0</v>
      </c>
      <c r="U106" s="23"/>
      <c r="V106" s="24" t="n">
        <f aca="false">N(S106)+N(T106)-N(U106)</f>
        <v>0</v>
      </c>
      <c r="W106" s="23"/>
      <c r="X106" s="33" t="n">
        <f aca="false">IF(B106="",0,N(Students!J95))</f>
        <v>0</v>
      </c>
      <c r="Y106" s="23"/>
      <c r="Z106" s="24" t="n">
        <f aca="false">N(W106)+N(X106)-N(Y106)</f>
        <v>0</v>
      </c>
      <c r="AA106" s="33" t="n">
        <f aca="false">N(E106)+N(I106)+N(M106)+N(Q106)+N(U106)+N(Y106)</f>
        <v>0</v>
      </c>
      <c r="AB106" s="24" t="n">
        <f aca="false">F106+J106+N106+R106+V106+Z106</f>
        <v>0</v>
      </c>
      <c r="AC106" s="81" t="str">
        <f aca="false">IF(B106="","",IF(AB106&lt;=0,"Clear",IF(AA106&gt;0,"Partial","Due")))</f>
        <v/>
      </c>
    </row>
    <row r="107" customFormat="false" ht="15" hidden="false" customHeight="false" outlineLevel="0" collapsed="false">
      <c r="A107" s="25" t="n">
        <v>92</v>
      </c>
      <c r="B107" s="82" t="str">
        <f aca="false">IF(Students!B96="","",Students!B96)</f>
        <v/>
      </c>
      <c r="C107" s="23"/>
      <c r="D107" s="37" t="n">
        <f aca="false">IF(B107="",0,N(Students!E96))</f>
        <v>0</v>
      </c>
      <c r="E107" s="23"/>
      <c r="F107" s="26" t="n">
        <f aca="false">N(C107)+N(D107)-N(E107)</f>
        <v>0</v>
      </c>
      <c r="G107" s="23"/>
      <c r="H107" s="37" t="n">
        <f aca="false">IF(B107="",0,N(Students!F96))</f>
        <v>0</v>
      </c>
      <c r="I107" s="23"/>
      <c r="J107" s="26" t="n">
        <f aca="false">N(G107)+N(H107)-N(I107)</f>
        <v>0</v>
      </c>
      <c r="K107" s="23"/>
      <c r="L107" s="37" t="n">
        <f aca="false">IF(B107="",0,N(Students!G96))</f>
        <v>0</v>
      </c>
      <c r="M107" s="23"/>
      <c r="N107" s="26" t="n">
        <f aca="false">N(K107)+N(L107)-N(M107)</f>
        <v>0</v>
      </c>
      <c r="O107" s="23"/>
      <c r="P107" s="37" t="n">
        <f aca="false">IF(B107="",0,N(Students!H96))</f>
        <v>0</v>
      </c>
      <c r="Q107" s="23"/>
      <c r="R107" s="26" t="n">
        <f aca="false">N(O107)+N(P107)-N(Q107)</f>
        <v>0</v>
      </c>
      <c r="S107" s="23"/>
      <c r="T107" s="37" t="n">
        <f aca="false">IF(B107="",0,N(Students!I96))</f>
        <v>0</v>
      </c>
      <c r="U107" s="23"/>
      <c r="V107" s="26" t="n">
        <f aca="false">N(S107)+N(T107)-N(U107)</f>
        <v>0</v>
      </c>
      <c r="W107" s="23"/>
      <c r="X107" s="37" t="n">
        <f aca="false">IF(B107="",0,N(Students!J96))</f>
        <v>0</v>
      </c>
      <c r="Y107" s="23"/>
      <c r="Z107" s="26" t="n">
        <f aca="false">N(W107)+N(X107)-N(Y107)</f>
        <v>0</v>
      </c>
      <c r="AA107" s="37" t="n">
        <f aca="false">N(E107)+N(I107)+N(M107)+N(Q107)+N(U107)+N(Y107)</f>
        <v>0</v>
      </c>
      <c r="AB107" s="26" t="n">
        <f aca="false">F107+J107+N107+R107+V107+Z107</f>
        <v>0</v>
      </c>
      <c r="AC107" s="83" t="str">
        <f aca="false">IF(B107="","",IF(AB107&lt;=0,"Clear",IF(AA107&gt;0,"Partial","Due")))</f>
        <v/>
      </c>
    </row>
    <row r="108" customFormat="false" ht="15" hidden="false" customHeight="false" outlineLevel="0" collapsed="false">
      <c r="A108" s="21" t="n">
        <v>93</v>
      </c>
      <c r="B108" s="46" t="str">
        <f aca="false">IF(Students!B97="","",Students!B97)</f>
        <v/>
      </c>
      <c r="C108" s="23"/>
      <c r="D108" s="33" t="n">
        <f aca="false">IF(B108="",0,N(Students!E97))</f>
        <v>0</v>
      </c>
      <c r="E108" s="23"/>
      <c r="F108" s="24" t="n">
        <f aca="false">N(C108)+N(D108)-N(E108)</f>
        <v>0</v>
      </c>
      <c r="G108" s="23"/>
      <c r="H108" s="33" t="n">
        <f aca="false">IF(B108="",0,N(Students!F97))</f>
        <v>0</v>
      </c>
      <c r="I108" s="23"/>
      <c r="J108" s="24" t="n">
        <f aca="false">N(G108)+N(H108)-N(I108)</f>
        <v>0</v>
      </c>
      <c r="K108" s="23"/>
      <c r="L108" s="33" t="n">
        <f aca="false">IF(B108="",0,N(Students!G97))</f>
        <v>0</v>
      </c>
      <c r="M108" s="23"/>
      <c r="N108" s="24" t="n">
        <f aca="false">N(K108)+N(L108)-N(M108)</f>
        <v>0</v>
      </c>
      <c r="O108" s="23"/>
      <c r="P108" s="33" t="n">
        <f aca="false">IF(B108="",0,N(Students!H97))</f>
        <v>0</v>
      </c>
      <c r="Q108" s="23"/>
      <c r="R108" s="24" t="n">
        <f aca="false">N(O108)+N(P108)-N(Q108)</f>
        <v>0</v>
      </c>
      <c r="S108" s="23"/>
      <c r="T108" s="33" t="n">
        <f aca="false">IF(B108="",0,N(Students!I97))</f>
        <v>0</v>
      </c>
      <c r="U108" s="23"/>
      <c r="V108" s="24" t="n">
        <f aca="false">N(S108)+N(T108)-N(U108)</f>
        <v>0</v>
      </c>
      <c r="W108" s="23"/>
      <c r="X108" s="33" t="n">
        <f aca="false">IF(B108="",0,N(Students!J97))</f>
        <v>0</v>
      </c>
      <c r="Y108" s="23"/>
      <c r="Z108" s="24" t="n">
        <f aca="false">N(W108)+N(X108)-N(Y108)</f>
        <v>0</v>
      </c>
      <c r="AA108" s="33" t="n">
        <f aca="false">N(E108)+N(I108)+N(M108)+N(Q108)+N(U108)+N(Y108)</f>
        <v>0</v>
      </c>
      <c r="AB108" s="24" t="n">
        <f aca="false">F108+J108+N108+R108+V108+Z108</f>
        <v>0</v>
      </c>
      <c r="AC108" s="81" t="str">
        <f aca="false">IF(B108="","",IF(AB108&lt;=0,"Clear",IF(AA108&gt;0,"Partial","Due")))</f>
        <v/>
      </c>
    </row>
    <row r="109" customFormat="false" ht="15" hidden="false" customHeight="false" outlineLevel="0" collapsed="false">
      <c r="A109" s="25" t="n">
        <v>94</v>
      </c>
      <c r="B109" s="82" t="str">
        <f aca="false">IF(Students!B98="","",Students!B98)</f>
        <v/>
      </c>
      <c r="C109" s="23"/>
      <c r="D109" s="37" t="n">
        <f aca="false">IF(B109="",0,N(Students!E98))</f>
        <v>0</v>
      </c>
      <c r="E109" s="23"/>
      <c r="F109" s="26" t="n">
        <f aca="false">N(C109)+N(D109)-N(E109)</f>
        <v>0</v>
      </c>
      <c r="G109" s="23"/>
      <c r="H109" s="37" t="n">
        <f aca="false">IF(B109="",0,N(Students!F98))</f>
        <v>0</v>
      </c>
      <c r="I109" s="23"/>
      <c r="J109" s="26" t="n">
        <f aca="false">N(G109)+N(H109)-N(I109)</f>
        <v>0</v>
      </c>
      <c r="K109" s="23"/>
      <c r="L109" s="37" t="n">
        <f aca="false">IF(B109="",0,N(Students!G98))</f>
        <v>0</v>
      </c>
      <c r="M109" s="23"/>
      <c r="N109" s="26" t="n">
        <f aca="false">N(K109)+N(L109)-N(M109)</f>
        <v>0</v>
      </c>
      <c r="O109" s="23"/>
      <c r="P109" s="37" t="n">
        <f aca="false">IF(B109="",0,N(Students!H98))</f>
        <v>0</v>
      </c>
      <c r="Q109" s="23"/>
      <c r="R109" s="26" t="n">
        <f aca="false">N(O109)+N(P109)-N(Q109)</f>
        <v>0</v>
      </c>
      <c r="S109" s="23"/>
      <c r="T109" s="37" t="n">
        <f aca="false">IF(B109="",0,N(Students!I98))</f>
        <v>0</v>
      </c>
      <c r="U109" s="23"/>
      <c r="V109" s="26" t="n">
        <f aca="false">N(S109)+N(T109)-N(U109)</f>
        <v>0</v>
      </c>
      <c r="W109" s="23"/>
      <c r="X109" s="37" t="n">
        <f aca="false">IF(B109="",0,N(Students!J98))</f>
        <v>0</v>
      </c>
      <c r="Y109" s="23"/>
      <c r="Z109" s="26" t="n">
        <f aca="false">N(W109)+N(X109)-N(Y109)</f>
        <v>0</v>
      </c>
      <c r="AA109" s="37" t="n">
        <f aca="false">N(E109)+N(I109)+N(M109)+N(Q109)+N(U109)+N(Y109)</f>
        <v>0</v>
      </c>
      <c r="AB109" s="26" t="n">
        <f aca="false">F109+J109+N109+R109+V109+Z109</f>
        <v>0</v>
      </c>
      <c r="AC109" s="83" t="str">
        <f aca="false">IF(B109="","",IF(AB109&lt;=0,"Clear",IF(AA109&gt;0,"Partial","Due")))</f>
        <v/>
      </c>
    </row>
    <row r="110" customFormat="false" ht="15" hidden="false" customHeight="false" outlineLevel="0" collapsed="false">
      <c r="A110" s="21" t="n">
        <v>95</v>
      </c>
      <c r="B110" s="46" t="str">
        <f aca="false">IF(Students!B99="","",Students!B99)</f>
        <v/>
      </c>
      <c r="C110" s="23"/>
      <c r="D110" s="33" t="n">
        <f aca="false">IF(B110="",0,N(Students!E99))</f>
        <v>0</v>
      </c>
      <c r="E110" s="23"/>
      <c r="F110" s="24" t="n">
        <f aca="false">N(C110)+N(D110)-N(E110)</f>
        <v>0</v>
      </c>
      <c r="G110" s="23"/>
      <c r="H110" s="33" t="n">
        <f aca="false">IF(B110="",0,N(Students!F99))</f>
        <v>0</v>
      </c>
      <c r="I110" s="23"/>
      <c r="J110" s="24" t="n">
        <f aca="false">N(G110)+N(H110)-N(I110)</f>
        <v>0</v>
      </c>
      <c r="K110" s="23"/>
      <c r="L110" s="33" t="n">
        <f aca="false">IF(B110="",0,N(Students!G99))</f>
        <v>0</v>
      </c>
      <c r="M110" s="23"/>
      <c r="N110" s="24" t="n">
        <f aca="false">N(K110)+N(L110)-N(M110)</f>
        <v>0</v>
      </c>
      <c r="O110" s="23"/>
      <c r="P110" s="33" t="n">
        <f aca="false">IF(B110="",0,N(Students!H99))</f>
        <v>0</v>
      </c>
      <c r="Q110" s="23"/>
      <c r="R110" s="24" t="n">
        <f aca="false">N(O110)+N(P110)-N(Q110)</f>
        <v>0</v>
      </c>
      <c r="S110" s="23"/>
      <c r="T110" s="33" t="n">
        <f aca="false">IF(B110="",0,N(Students!I99))</f>
        <v>0</v>
      </c>
      <c r="U110" s="23"/>
      <c r="V110" s="24" t="n">
        <f aca="false">N(S110)+N(T110)-N(U110)</f>
        <v>0</v>
      </c>
      <c r="W110" s="23"/>
      <c r="X110" s="33" t="n">
        <f aca="false">IF(B110="",0,N(Students!J99))</f>
        <v>0</v>
      </c>
      <c r="Y110" s="23"/>
      <c r="Z110" s="24" t="n">
        <f aca="false">N(W110)+N(X110)-N(Y110)</f>
        <v>0</v>
      </c>
      <c r="AA110" s="33" t="n">
        <f aca="false">N(E110)+N(I110)+N(M110)+N(Q110)+N(U110)+N(Y110)</f>
        <v>0</v>
      </c>
      <c r="AB110" s="24" t="n">
        <f aca="false">F110+J110+N110+R110+V110+Z110</f>
        <v>0</v>
      </c>
      <c r="AC110" s="81" t="str">
        <f aca="false">IF(B110="","",IF(AB110&lt;=0,"Clear",IF(AA110&gt;0,"Partial","Due")))</f>
        <v/>
      </c>
    </row>
    <row r="111" customFormat="false" ht="15" hidden="false" customHeight="false" outlineLevel="0" collapsed="false">
      <c r="A111" s="25" t="n">
        <v>96</v>
      </c>
      <c r="B111" s="82" t="str">
        <f aca="false">IF(Students!B100="","",Students!B100)</f>
        <v/>
      </c>
      <c r="C111" s="23"/>
      <c r="D111" s="37" t="n">
        <f aca="false">IF(B111="",0,N(Students!E100))</f>
        <v>0</v>
      </c>
      <c r="E111" s="23"/>
      <c r="F111" s="26" t="n">
        <f aca="false">N(C111)+N(D111)-N(E111)</f>
        <v>0</v>
      </c>
      <c r="G111" s="23"/>
      <c r="H111" s="37" t="n">
        <f aca="false">IF(B111="",0,N(Students!F100))</f>
        <v>0</v>
      </c>
      <c r="I111" s="23"/>
      <c r="J111" s="26" t="n">
        <f aca="false">N(G111)+N(H111)-N(I111)</f>
        <v>0</v>
      </c>
      <c r="K111" s="23"/>
      <c r="L111" s="37" t="n">
        <f aca="false">IF(B111="",0,N(Students!G100))</f>
        <v>0</v>
      </c>
      <c r="M111" s="23"/>
      <c r="N111" s="26" t="n">
        <f aca="false">N(K111)+N(L111)-N(M111)</f>
        <v>0</v>
      </c>
      <c r="O111" s="23"/>
      <c r="P111" s="37" t="n">
        <f aca="false">IF(B111="",0,N(Students!H100))</f>
        <v>0</v>
      </c>
      <c r="Q111" s="23"/>
      <c r="R111" s="26" t="n">
        <f aca="false">N(O111)+N(P111)-N(Q111)</f>
        <v>0</v>
      </c>
      <c r="S111" s="23"/>
      <c r="T111" s="37" t="n">
        <f aca="false">IF(B111="",0,N(Students!I100))</f>
        <v>0</v>
      </c>
      <c r="U111" s="23"/>
      <c r="V111" s="26" t="n">
        <f aca="false">N(S111)+N(T111)-N(U111)</f>
        <v>0</v>
      </c>
      <c r="W111" s="23"/>
      <c r="X111" s="37" t="n">
        <f aca="false">IF(B111="",0,N(Students!J100))</f>
        <v>0</v>
      </c>
      <c r="Y111" s="23"/>
      <c r="Z111" s="26" t="n">
        <f aca="false">N(W111)+N(X111)-N(Y111)</f>
        <v>0</v>
      </c>
      <c r="AA111" s="37" t="n">
        <f aca="false">N(E111)+N(I111)+N(M111)+N(Q111)+N(U111)+N(Y111)</f>
        <v>0</v>
      </c>
      <c r="AB111" s="26" t="n">
        <f aca="false">F111+J111+N111+R111+V111+Z111</f>
        <v>0</v>
      </c>
      <c r="AC111" s="83" t="str">
        <f aca="false">IF(B111="","",IF(AB111&lt;=0,"Clear",IF(AA111&gt;0,"Partial","Due")))</f>
        <v/>
      </c>
    </row>
    <row r="112" customFormat="false" ht="15" hidden="false" customHeight="false" outlineLevel="0" collapsed="false">
      <c r="A112" s="21" t="n">
        <v>97</v>
      </c>
      <c r="B112" s="46" t="str">
        <f aca="false">IF(Students!B101="","",Students!B101)</f>
        <v/>
      </c>
      <c r="C112" s="23"/>
      <c r="D112" s="33" t="n">
        <f aca="false">IF(B112="",0,N(Students!E101))</f>
        <v>0</v>
      </c>
      <c r="E112" s="23"/>
      <c r="F112" s="24" t="n">
        <f aca="false">N(C112)+N(D112)-N(E112)</f>
        <v>0</v>
      </c>
      <c r="G112" s="23"/>
      <c r="H112" s="33" t="n">
        <f aca="false">IF(B112="",0,N(Students!F101))</f>
        <v>0</v>
      </c>
      <c r="I112" s="23"/>
      <c r="J112" s="24" t="n">
        <f aca="false">N(G112)+N(H112)-N(I112)</f>
        <v>0</v>
      </c>
      <c r="K112" s="23"/>
      <c r="L112" s="33" t="n">
        <f aca="false">IF(B112="",0,N(Students!G101))</f>
        <v>0</v>
      </c>
      <c r="M112" s="23"/>
      <c r="N112" s="24" t="n">
        <f aca="false">N(K112)+N(L112)-N(M112)</f>
        <v>0</v>
      </c>
      <c r="O112" s="23"/>
      <c r="P112" s="33" t="n">
        <f aca="false">IF(B112="",0,N(Students!H101))</f>
        <v>0</v>
      </c>
      <c r="Q112" s="23"/>
      <c r="R112" s="24" t="n">
        <f aca="false">N(O112)+N(P112)-N(Q112)</f>
        <v>0</v>
      </c>
      <c r="S112" s="23"/>
      <c r="T112" s="33" t="n">
        <f aca="false">IF(B112="",0,N(Students!I101))</f>
        <v>0</v>
      </c>
      <c r="U112" s="23"/>
      <c r="V112" s="24" t="n">
        <f aca="false">N(S112)+N(T112)-N(U112)</f>
        <v>0</v>
      </c>
      <c r="W112" s="23"/>
      <c r="X112" s="33" t="n">
        <f aca="false">IF(B112="",0,N(Students!J101))</f>
        <v>0</v>
      </c>
      <c r="Y112" s="23"/>
      <c r="Z112" s="24" t="n">
        <f aca="false">N(W112)+N(X112)-N(Y112)</f>
        <v>0</v>
      </c>
      <c r="AA112" s="33" t="n">
        <f aca="false">N(E112)+N(I112)+N(M112)+N(Q112)+N(U112)+N(Y112)</f>
        <v>0</v>
      </c>
      <c r="AB112" s="24" t="n">
        <f aca="false">F112+J112+N112+R112+V112+Z112</f>
        <v>0</v>
      </c>
      <c r="AC112" s="81" t="str">
        <f aca="false">IF(B112="","",IF(AB112&lt;=0,"Clear",IF(AA112&gt;0,"Partial","Due")))</f>
        <v/>
      </c>
    </row>
    <row r="113" customFormat="false" ht="15" hidden="false" customHeight="false" outlineLevel="0" collapsed="false">
      <c r="A113" s="25" t="n">
        <v>98</v>
      </c>
      <c r="B113" s="82" t="str">
        <f aca="false">IF(Students!B102="","",Students!B102)</f>
        <v/>
      </c>
      <c r="C113" s="23"/>
      <c r="D113" s="37" t="n">
        <f aca="false">IF(B113="",0,N(Students!E102))</f>
        <v>0</v>
      </c>
      <c r="E113" s="23"/>
      <c r="F113" s="26" t="n">
        <f aca="false">N(C113)+N(D113)-N(E113)</f>
        <v>0</v>
      </c>
      <c r="G113" s="23"/>
      <c r="H113" s="37" t="n">
        <f aca="false">IF(B113="",0,N(Students!F102))</f>
        <v>0</v>
      </c>
      <c r="I113" s="23"/>
      <c r="J113" s="26" t="n">
        <f aca="false">N(G113)+N(H113)-N(I113)</f>
        <v>0</v>
      </c>
      <c r="K113" s="23"/>
      <c r="L113" s="37" t="n">
        <f aca="false">IF(B113="",0,N(Students!G102))</f>
        <v>0</v>
      </c>
      <c r="M113" s="23"/>
      <c r="N113" s="26" t="n">
        <f aca="false">N(K113)+N(L113)-N(M113)</f>
        <v>0</v>
      </c>
      <c r="O113" s="23"/>
      <c r="P113" s="37" t="n">
        <f aca="false">IF(B113="",0,N(Students!H102))</f>
        <v>0</v>
      </c>
      <c r="Q113" s="23"/>
      <c r="R113" s="26" t="n">
        <f aca="false">N(O113)+N(P113)-N(Q113)</f>
        <v>0</v>
      </c>
      <c r="S113" s="23"/>
      <c r="T113" s="37" t="n">
        <f aca="false">IF(B113="",0,N(Students!I102))</f>
        <v>0</v>
      </c>
      <c r="U113" s="23"/>
      <c r="V113" s="26" t="n">
        <f aca="false">N(S113)+N(T113)-N(U113)</f>
        <v>0</v>
      </c>
      <c r="W113" s="23"/>
      <c r="X113" s="37" t="n">
        <f aca="false">IF(B113="",0,N(Students!J102))</f>
        <v>0</v>
      </c>
      <c r="Y113" s="23"/>
      <c r="Z113" s="26" t="n">
        <f aca="false">N(W113)+N(X113)-N(Y113)</f>
        <v>0</v>
      </c>
      <c r="AA113" s="37" t="n">
        <f aca="false">N(E113)+N(I113)+N(M113)+N(Q113)+N(U113)+N(Y113)</f>
        <v>0</v>
      </c>
      <c r="AB113" s="26" t="n">
        <f aca="false">F113+J113+N113+R113+V113+Z113</f>
        <v>0</v>
      </c>
      <c r="AC113" s="83" t="str">
        <f aca="false">IF(B113="","",IF(AB113&lt;=0,"Clear",IF(AA113&gt;0,"Partial","Due")))</f>
        <v/>
      </c>
    </row>
    <row r="114" customFormat="false" ht="15" hidden="false" customHeight="false" outlineLevel="0" collapsed="false">
      <c r="A114" s="21" t="n">
        <v>99</v>
      </c>
      <c r="B114" s="46" t="str">
        <f aca="false">IF(Students!B103="","",Students!B103)</f>
        <v/>
      </c>
      <c r="C114" s="23"/>
      <c r="D114" s="33" t="n">
        <f aca="false">IF(B114="",0,N(Students!E103))</f>
        <v>0</v>
      </c>
      <c r="E114" s="23"/>
      <c r="F114" s="24" t="n">
        <f aca="false">N(C114)+N(D114)-N(E114)</f>
        <v>0</v>
      </c>
      <c r="G114" s="23"/>
      <c r="H114" s="33" t="n">
        <f aca="false">IF(B114="",0,N(Students!F103))</f>
        <v>0</v>
      </c>
      <c r="I114" s="23"/>
      <c r="J114" s="24" t="n">
        <f aca="false">N(G114)+N(H114)-N(I114)</f>
        <v>0</v>
      </c>
      <c r="K114" s="23"/>
      <c r="L114" s="33" t="n">
        <f aca="false">IF(B114="",0,N(Students!G103))</f>
        <v>0</v>
      </c>
      <c r="M114" s="23"/>
      <c r="N114" s="24" t="n">
        <f aca="false">N(K114)+N(L114)-N(M114)</f>
        <v>0</v>
      </c>
      <c r="O114" s="23"/>
      <c r="P114" s="33" t="n">
        <f aca="false">IF(B114="",0,N(Students!H103))</f>
        <v>0</v>
      </c>
      <c r="Q114" s="23"/>
      <c r="R114" s="24" t="n">
        <f aca="false">N(O114)+N(P114)-N(Q114)</f>
        <v>0</v>
      </c>
      <c r="S114" s="23"/>
      <c r="T114" s="33" t="n">
        <f aca="false">IF(B114="",0,N(Students!I103))</f>
        <v>0</v>
      </c>
      <c r="U114" s="23"/>
      <c r="V114" s="24" t="n">
        <f aca="false">N(S114)+N(T114)-N(U114)</f>
        <v>0</v>
      </c>
      <c r="W114" s="23"/>
      <c r="X114" s="33" t="n">
        <f aca="false">IF(B114="",0,N(Students!J103))</f>
        <v>0</v>
      </c>
      <c r="Y114" s="23"/>
      <c r="Z114" s="24" t="n">
        <f aca="false">N(W114)+N(X114)-N(Y114)</f>
        <v>0</v>
      </c>
      <c r="AA114" s="33" t="n">
        <f aca="false">N(E114)+N(I114)+N(M114)+N(Q114)+N(U114)+N(Y114)</f>
        <v>0</v>
      </c>
      <c r="AB114" s="24" t="n">
        <f aca="false">F114+J114+N114+R114+V114+Z114</f>
        <v>0</v>
      </c>
      <c r="AC114" s="81" t="str">
        <f aca="false">IF(B114="","",IF(AB114&lt;=0,"Clear",IF(AA114&gt;0,"Partial","Due")))</f>
        <v/>
      </c>
    </row>
    <row r="115" customFormat="false" ht="15" hidden="false" customHeight="false" outlineLevel="0" collapsed="false">
      <c r="A115" s="25" t="n">
        <v>100</v>
      </c>
      <c r="B115" s="82" t="str">
        <f aca="false">IF(Students!B104="","",Students!B104)</f>
        <v/>
      </c>
      <c r="C115" s="23"/>
      <c r="D115" s="37" t="n">
        <f aca="false">IF(B115="",0,N(Students!E104))</f>
        <v>0</v>
      </c>
      <c r="E115" s="23"/>
      <c r="F115" s="26" t="n">
        <f aca="false">N(C115)+N(D115)-N(E115)</f>
        <v>0</v>
      </c>
      <c r="G115" s="23"/>
      <c r="H115" s="37" t="n">
        <f aca="false">IF(B115="",0,N(Students!F104))</f>
        <v>0</v>
      </c>
      <c r="I115" s="23"/>
      <c r="J115" s="26" t="n">
        <f aca="false">N(G115)+N(H115)-N(I115)</f>
        <v>0</v>
      </c>
      <c r="K115" s="23"/>
      <c r="L115" s="37" t="n">
        <f aca="false">IF(B115="",0,N(Students!G104))</f>
        <v>0</v>
      </c>
      <c r="M115" s="23"/>
      <c r="N115" s="26" t="n">
        <f aca="false">N(K115)+N(L115)-N(M115)</f>
        <v>0</v>
      </c>
      <c r="O115" s="23"/>
      <c r="P115" s="37" t="n">
        <f aca="false">IF(B115="",0,N(Students!H104))</f>
        <v>0</v>
      </c>
      <c r="Q115" s="23"/>
      <c r="R115" s="26" t="n">
        <f aca="false">N(O115)+N(P115)-N(Q115)</f>
        <v>0</v>
      </c>
      <c r="S115" s="23"/>
      <c r="T115" s="37" t="n">
        <f aca="false">IF(B115="",0,N(Students!I104))</f>
        <v>0</v>
      </c>
      <c r="U115" s="23"/>
      <c r="V115" s="26" t="n">
        <f aca="false">N(S115)+N(T115)-N(U115)</f>
        <v>0</v>
      </c>
      <c r="W115" s="23"/>
      <c r="X115" s="37" t="n">
        <f aca="false">IF(B115="",0,N(Students!J104))</f>
        <v>0</v>
      </c>
      <c r="Y115" s="23"/>
      <c r="Z115" s="26" t="n">
        <f aca="false">N(W115)+N(X115)-N(Y115)</f>
        <v>0</v>
      </c>
      <c r="AA115" s="37" t="n">
        <f aca="false">N(E115)+N(I115)+N(M115)+N(Q115)+N(U115)+N(Y115)</f>
        <v>0</v>
      </c>
      <c r="AB115" s="26" t="n">
        <f aca="false">F115+J115+N115+R115+V115+Z115</f>
        <v>0</v>
      </c>
      <c r="AC115" s="83" t="str">
        <f aca="false">IF(B115="","",IF(AB115&lt;=0,"Clear",IF(AA115&gt;0,"Partial","Due")))</f>
        <v/>
      </c>
    </row>
    <row r="116" customFormat="false" ht="15" hidden="false" customHeight="false" outlineLevel="0" collapsed="false">
      <c r="A116" s="21" t="n">
        <v>101</v>
      </c>
      <c r="B116" s="46" t="str">
        <f aca="false">IF(Students!B105="","",Students!B105)</f>
        <v/>
      </c>
      <c r="C116" s="23"/>
      <c r="D116" s="33" t="n">
        <f aca="false">IF(B116="",0,N(Students!E105))</f>
        <v>0</v>
      </c>
      <c r="E116" s="23"/>
      <c r="F116" s="24" t="n">
        <f aca="false">N(C116)+N(D116)-N(E116)</f>
        <v>0</v>
      </c>
      <c r="G116" s="23"/>
      <c r="H116" s="33" t="n">
        <f aca="false">IF(B116="",0,N(Students!F105))</f>
        <v>0</v>
      </c>
      <c r="I116" s="23"/>
      <c r="J116" s="24" t="n">
        <f aca="false">N(G116)+N(H116)-N(I116)</f>
        <v>0</v>
      </c>
      <c r="K116" s="23"/>
      <c r="L116" s="33" t="n">
        <f aca="false">IF(B116="",0,N(Students!G105))</f>
        <v>0</v>
      </c>
      <c r="M116" s="23"/>
      <c r="N116" s="24" t="n">
        <f aca="false">N(K116)+N(L116)-N(M116)</f>
        <v>0</v>
      </c>
      <c r="O116" s="23"/>
      <c r="P116" s="33" t="n">
        <f aca="false">IF(B116="",0,N(Students!H105))</f>
        <v>0</v>
      </c>
      <c r="Q116" s="23"/>
      <c r="R116" s="24" t="n">
        <f aca="false">N(O116)+N(P116)-N(Q116)</f>
        <v>0</v>
      </c>
      <c r="S116" s="23"/>
      <c r="T116" s="33" t="n">
        <f aca="false">IF(B116="",0,N(Students!I105))</f>
        <v>0</v>
      </c>
      <c r="U116" s="23"/>
      <c r="V116" s="24" t="n">
        <f aca="false">N(S116)+N(T116)-N(U116)</f>
        <v>0</v>
      </c>
      <c r="W116" s="23"/>
      <c r="X116" s="33" t="n">
        <f aca="false">IF(B116="",0,N(Students!J105))</f>
        <v>0</v>
      </c>
      <c r="Y116" s="23"/>
      <c r="Z116" s="24" t="n">
        <f aca="false">N(W116)+N(X116)-N(Y116)</f>
        <v>0</v>
      </c>
      <c r="AA116" s="33" t="n">
        <f aca="false">N(E116)+N(I116)+N(M116)+N(Q116)+N(U116)+N(Y116)</f>
        <v>0</v>
      </c>
      <c r="AB116" s="24" t="n">
        <f aca="false">F116+J116+N116+R116+V116+Z116</f>
        <v>0</v>
      </c>
      <c r="AC116" s="81" t="str">
        <f aca="false">IF(B116="","",IF(AB116&lt;=0,"Clear",IF(AA116&gt;0,"Partial","Due")))</f>
        <v/>
      </c>
    </row>
    <row r="117" customFormat="false" ht="15" hidden="false" customHeight="false" outlineLevel="0" collapsed="false">
      <c r="A117" s="25" t="n">
        <v>102</v>
      </c>
      <c r="B117" s="82" t="str">
        <f aca="false">IF(Students!B106="","",Students!B106)</f>
        <v/>
      </c>
      <c r="C117" s="23"/>
      <c r="D117" s="37" t="n">
        <f aca="false">IF(B117="",0,N(Students!E106))</f>
        <v>0</v>
      </c>
      <c r="E117" s="23"/>
      <c r="F117" s="26" t="n">
        <f aca="false">N(C117)+N(D117)-N(E117)</f>
        <v>0</v>
      </c>
      <c r="G117" s="23"/>
      <c r="H117" s="37" t="n">
        <f aca="false">IF(B117="",0,N(Students!F106))</f>
        <v>0</v>
      </c>
      <c r="I117" s="23"/>
      <c r="J117" s="26" t="n">
        <f aca="false">N(G117)+N(H117)-N(I117)</f>
        <v>0</v>
      </c>
      <c r="K117" s="23"/>
      <c r="L117" s="37" t="n">
        <f aca="false">IF(B117="",0,N(Students!G106))</f>
        <v>0</v>
      </c>
      <c r="M117" s="23"/>
      <c r="N117" s="26" t="n">
        <f aca="false">N(K117)+N(L117)-N(M117)</f>
        <v>0</v>
      </c>
      <c r="O117" s="23"/>
      <c r="P117" s="37" t="n">
        <f aca="false">IF(B117="",0,N(Students!H106))</f>
        <v>0</v>
      </c>
      <c r="Q117" s="23"/>
      <c r="R117" s="26" t="n">
        <f aca="false">N(O117)+N(P117)-N(Q117)</f>
        <v>0</v>
      </c>
      <c r="S117" s="23"/>
      <c r="T117" s="37" t="n">
        <f aca="false">IF(B117="",0,N(Students!I106))</f>
        <v>0</v>
      </c>
      <c r="U117" s="23"/>
      <c r="V117" s="26" t="n">
        <f aca="false">N(S117)+N(T117)-N(U117)</f>
        <v>0</v>
      </c>
      <c r="W117" s="23"/>
      <c r="X117" s="37" t="n">
        <f aca="false">IF(B117="",0,N(Students!J106))</f>
        <v>0</v>
      </c>
      <c r="Y117" s="23"/>
      <c r="Z117" s="26" t="n">
        <f aca="false">N(W117)+N(X117)-N(Y117)</f>
        <v>0</v>
      </c>
      <c r="AA117" s="37" t="n">
        <f aca="false">N(E117)+N(I117)+N(M117)+N(Q117)+N(U117)+N(Y117)</f>
        <v>0</v>
      </c>
      <c r="AB117" s="26" t="n">
        <f aca="false">F117+J117+N117+R117+V117+Z117</f>
        <v>0</v>
      </c>
      <c r="AC117" s="83" t="str">
        <f aca="false">IF(B117="","",IF(AB117&lt;=0,"Clear",IF(AA117&gt;0,"Partial","Due")))</f>
        <v/>
      </c>
    </row>
    <row r="118" customFormat="false" ht="15" hidden="false" customHeight="false" outlineLevel="0" collapsed="false">
      <c r="A118" s="21" t="n">
        <v>103</v>
      </c>
      <c r="B118" s="46" t="str">
        <f aca="false">IF(Students!B107="","",Students!B107)</f>
        <v/>
      </c>
      <c r="C118" s="23"/>
      <c r="D118" s="33" t="n">
        <f aca="false">IF(B118="",0,N(Students!E107))</f>
        <v>0</v>
      </c>
      <c r="E118" s="23"/>
      <c r="F118" s="24" t="n">
        <f aca="false">N(C118)+N(D118)-N(E118)</f>
        <v>0</v>
      </c>
      <c r="G118" s="23"/>
      <c r="H118" s="33" t="n">
        <f aca="false">IF(B118="",0,N(Students!F107))</f>
        <v>0</v>
      </c>
      <c r="I118" s="23"/>
      <c r="J118" s="24" t="n">
        <f aca="false">N(G118)+N(H118)-N(I118)</f>
        <v>0</v>
      </c>
      <c r="K118" s="23"/>
      <c r="L118" s="33" t="n">
        <f aca="false">IF(B118="",0,N(Students!G107))</f>
        <v>0</v>
      </c>
      <c r="M118" s="23"/>
      <c r="N118" s="24" t="n">
        <f aca="false">N(K118)+N(L118)-N(M118)</f>
        <v>0</v>
      </c>
      <c r="O118" s="23"/>
      <c r="P118" s="33" t="n">
        <f aca="false">IF(B118="",0,N(Students!H107))</f>
        <v>0</v>
      </c>
      <c r="Q118" s="23"/>
      <c r="R118" s="24" t="n">
        <f aca="false">N(O118)+N(P118)-N(Q118)</f>
        <v>0</v>
      </c>
      <c r="S118" s="23"/>
      <c r="T118" s="33" t="n">
        <f aca="false">IF(B118="",0,N(Students!I107))</f>
        <v>0</v>
      </c>
      <c r="U118" s="23"/>
      <c r="V118" s="24" t="n">
        <f aca="false">N(S118)+N(T118)-N(U118)</f>
        <v>0</v>
      </c>
      <c r="W118" s="23"/>
      <c r="X118" s="33" t="n">
        <f aca="false">IF(B118="",0,N(Students!J107))</f>
        <v>0</v>
      </c>
      <c r="Y118" s="23"/>
      <c r="Z118" s="24" t="n">
        <f aca="false">N(W118)+N(X118)-N(Y118)</f>
        <v>0</v>
      </c>
      <c r="AA118" s="33" t="n">
        <f aca="false">N(E118)+N(I118)+N(M118)+N(Q118)+N(U118)+N(Y118)</f>
        <v>0</v>
      </c>
      <c r="AB118" s="24" t="n">
        <f aca="false">F118+J118+N118+R118+V118+Z118</f>
        <v>0</v>
      </c>
      <c r="AC118" s="81" t="str">
        <f aca="false">IF(B118="","",IF(AB118&lt;=0,"Clear",IF(AA118&gt;0,"Partial","Due")))</f>
        <v/>
      </c>
    </row>
    <row r="119" customFormat="false" ht="15" hidden="false" customHeight="false" outlineLevel="0" collapsed="false">
      <c r="A119" s="25" t="n">
        <v>104</v>
      </c>
      <c r="B119" s="82" t="str">
        <f aca="false">IF(Students!B108="","",Students!B108)</f>
        <v/>
      </c>
      <c r="C119" s="23"/>
      <c r="D119" s="37" t="n">
        <f aca="false">IF(B119="",0,N(Students!E108))</f>
        <v>0</v>
      </c>
      <c r="E119" s="23"/>
      <c r="F119" s="26" t="n">
        <f aca="false">N(C119)+N(D119)-N(E119)</f>
        <v>0</v>
      </c>
      <c r="G119" s="23"/>
      <c r="H119" s="37" t="n">
        <f aca="false">IF(B119="",0,N(Students!F108))</f>
        <v>0</v>
      </c>
      <c r="I119" s="23"/>
      <c r="J119" s="26" t="n">
        <f aca="false">N(G119)+N(H119)-N(I119)</f>
        <v>0</v>
      </c>
      <c r="K119" s="23"/>
      <c r="L119" s="37" t="n">
        <f aca="false">IF(B119="",0,N(Students!G108))</f>
        <v>0</v>
      </c>
      <c r="M119" s="23"/>
      <c r="N119" s="26" t="n">
        <f aca="false">N(K119)+N(L119)-N(M119)</f>
        <v>0</v>
      </c>
      <c r="O119" s="23"/>
      <c r="P119" s="37" t="n">
        <f aca="false">IF(B119="",0,N(Students!H108))</f>
        <v>0</v>
      </c>
      <c r="Q119" s="23"/>
      <c r="R119" s="26" t="n">
        <f aca="false">N(O119)+N(P119)-N(Q119)</f>
        <v>0</v>
      </c>
      <c r="S119" s="23"/>
      <c r="T119" s="37" t="n">
        <f aca="false">IF(B119="",0,N(Students!I108))</f>
        <v>0</v>
      </c>
      <c r="U119" s="23"/>
      <c r="V119" s="26" t="n">
        <f aca="false">N(S119)+N(T119)-N(U119)</f>
        <v>0</v>
      </c>
      <c r="W119" s="23"/>
      <c r="X119" s="37" t="n">
        <f aca="false">IF(B119="",0,N(Students!J108))</f>
        <v>0</v>
      </c>
      <c r="Y119" s="23"/>
      <c r="Z119" s="26" t="n">
        <f aca="false">N(W119)+N(X119)-N(Y119)</f>
        <v>0</v>
      </c>
      <c r="AA119" s="37" t="n">
        <f aca="false">N(E119)+N(I119)+N(M119)+N(Q119)+N(U119)+N(Y119)</f>
        <v>0</v>
      </c>
      <c r="AB119" s="26" t="n">
        <f aca="false">F119+J119+N119+R119+V119+Z119</f>
        <v>0</v>
      </c>
      <c r="AC119" s="83" t="str">
        <f aca="false">IF(B119="","",IF(AB119&lt;=0,"Clear",IF(AA119&gt;0,"Partial","Due")))</f>
        <v/>
      </c>
    </row>
    <row r="120" customFormat="false" ht="15" hidden="false" customHeight="false" outlineLevel="0" collapsed="false">
      <c r="A120" s="21" t="n">
        <v>105</v>
      </c>
      <c r="B120" s="46" t="str">
        <f aca="false">IF(Students!B109="","",Students!B109)</f>
        <v/>
      </c>
      <c r="C120" s="23"/>
      <c r="D120" s="33" t="n">
        <f aca="false">IF(B120="",0,N(Students!E109))</f>
        <v>0</v>
      </c>
      <c r="E120" s="23"/>
      <c r="F120" s="24" t="n">
        <f aca="false">N(C120)+N(D120)-N(E120)</f>
        <v>0</v>
      </c>
      <c r="G120" s="23"/>
      <c r="H120" s="33" t="n">
        <f aca="false">IF(B120="",0,N(Students!F109))</f>
        <v>0</v>
      </c>
      <c r="I120" s="23"/>
      <c r="J120" s="24" t="n">
        <f aca="false">N(G120)+N(H120)-N(I120)</f>
        <v>0</v>
      </c>
      <c r="K120" s="23"/>
      <c r="L120" s="33" t="n">
        <f aca="false">IF(B120="",0,N(Students!G109))</f>
        <v>0</v>
      </c>
      <c r="M120" s="23"/>
      <c r="N120" s="24" t="n">
        <f aca="false">N(K120)+N(L120)-N(M120)</f>
        <v>0</v>
      </c>
      <c r="O120" s="23"/>
      <c r="P120" s="33" t="n">
        <f aca="false">IF(B120="",0,N(Students!H109))</f>
        <v>0</v>
      </c>
      <c r="Q120" s="23"/>
      <c r="R120" s="24" t="n">
        <f aca="false">N(O120)+N(P120)-N(Q120)</f>
        <v>0</v>
      </c>
      <c r="S120" s="23"/>
      <c r="T120" s="33" t="n">
        <f aca="false">IF(B120="",0,N(Students!I109))</f>
        <v>0</v>
      </c>
      <c r="U120" s="23"/>
      <c r="V120" s="24" t="n">
        <f aca="false">N(S120)+N(T120)-N(U120)</f>
        <v>0</v>
      </c>
      <c r="W120" s="23"/>
      <c r="X120" s="33" t="n">
        <f aca="false">IF(B120="",0,N(Students!J109))</f>
        <v>0</v>
      </c>
      <c r="Y120" s="23"/>
      <c r="Z120" s="24" t="n">
        <f aca="false">N(W120)+N(X120)-N(Y120)</f>
        <v>0</v>
      </c>
      <c r="AA120" s="33" t="n">
        <f aca="false">N(E120)+N(I120)+N(M120)+N(Q120)+N(U120)+N(Y120)</f>
        <v>0</v>
      </c>
      <c r="AB120" s="24" t="n">
        <f aca="false">F120+J120+N120+R120+V120+Z120</f>
        <v>0</v>
      </c>
      <c r="AC120" s="81" t="str">
        <f aca="false">IF(B120="","",IF(AB120&lt;=0,"Clear",IF(AA120&gt;0,"Partial","Due")))</f>
        <v/>
      </c>
    </row>
    <row r="121" customFormat="false" ht="15" hidden="false" customHeight="false" outlineLevel="0" collapsed="false">
      <c r="A121" s="25" t="n">
        <v>106</v>
      </c>
      <c r="B121" s="82" t="str">
        <f aca="false">IF(Students!B110="","",Students!B110)</f>
        <v/>
      </c>
      <c r="C121" s="23"/>
      <c r="D121" s="37" t="n">
        <f aca="false">IF(B121="",0,N(Students!E110))</f>
        <v>0</v>
      </c>
      <c r="E121" s="23"/>
      <c r="F121" s="26" t="n">
        <f aca="false">N(C121)+N(D121)-N(E121)</f>
        <v>0</v>
      </c>
      <c r="G121" s="23"/>
      <c r="H121" s="37" t="n">
        <f aca="false">IF(B121="",0,N(Students!F110))</f>
        <v>0</v>
      </c>
      <c r="I121" s="23"/>
      <c r="J121" s="26" t="n">
        <f aca="false">N(G121)+N(H121)-N(I121)</f>
        <v>0</v>
      </c>
      <c r="K121" s="23"/>
      <c r="L121" s="37" t="n">
        <f aca="false">IF(B121="",0,N(Students!G110))</f>
        <v>0</v>
      </c>
      <c r="M121" s="23"/>
      <c r="N121" s="26" t="n">
        <f aca="false">N(K121)+N(L121)-N(M121)</f>
        <v>0</v>
      </c>
      <c r="O121" s="23"/>
      <c r="P121" s="37" t="n">
        <f aca="false">IF(B121="",0,N(Students!H110))</f>
        <v>0</v>
      </c>
      <c r="Q121" s="23"/>
      <c r="R121" s="26" t="n">
        <f aca="false">N(O121)+N(P121)-N(Q121)</f>
        <v>0</v>
      </c>
      <c r="S121" s="23"/>
      <c r="T121" s="37" t="n">
        <f aca="false">IF(B121="",0,N(Students!I110))</f>
        <v>0</v>
      </c>
      <c r="U121" s="23"/>
      <c r="V121" s="26" t="n">
        <f aca="false">N(S121)+N(T121)-N(U121)</f>
        <v>0</v>
      </c>
      <c r="W121" s="23"/>
      <c r="X121" s="37" t="n">
        <f aca="false">IF(B121="",0,N(Students!J110))</f>
        <v>0</v>
      </c>
      <c r="Y121" s="23"/>
      <c r="Z121" s="26" t="n">
        <f aca="false">N(W121)+N(X121)-N(Y121)</f>
        <v>0</v>
      </c>
      <c r="AA121" s="37" t="n">
        <f aca="false">N(E121)+N(I121)+N(M121)+N(Q121)+N(U121)+N(Y121)</f>
        <v>0</v>
      </c>
      <c r="AB121" s="26" t="n">
        <f aca="false">F121+J121+N121+R121+V121+Z121</f>
        <v>0</v>
      </c>
      <c r="AC121" s="83" t="str">
        <f aca="false">IF(B121="","",IF(AB121&lt;=0,"Clear",IF(AA121&gt;0,"Partial","Due")))</f>
        <v/>
      </c>
    </row>
    <row r="122" customFormat="false" ht="15" hidden="false" customHeight="false" outlineLevel="0" collapsed="false">
      <c r="A122" s="21" t="n">
        <v>107</v>
      </c>
      <c r="B122" s="46" t="str">
        <f aca="false">IF(Students!B111="","",Students!B111)</f>
        <v/>
      </c>
      <c r="C122" s="23"/>
      <c r="D122" s="33" t="n">
        <f aca="false">IF(B122="",0,N(Students!E111))</f>
        <v>0</v>
      </c>
      <c r="E122" s="23"/>
      <c r="F122" s="24" t="n">
        <f aca="false">N(C122)+N(D122)-N(E122)</f>
        <v>0</v>
      </c>
      <c r="G122" s="23"/>
      <c r="H122" s="33" t="n">
        <f aca="false">IF(B122="",0,N(Students!F111))</f>
        <v>0</v>
      </c>
      <c r="I122" s="23"/>
      <c r="J122" s="24" t="n">
        <f aca="false">N(G122)+N(H122)-N(I122)</f>
        <v>0</v>
      </c>
      <c r="K122" s="23"/>
      <c r="L122" s="33" t="n">
        <f aca="false">IF(B122="",0,N(Students!G111))</f>
        <v>0</v>
      </c>
      <c r="M122" s="23"/>
      <c r="N122" s="24" t="n">
        <f aca="false">N(K122)+N(L122)-N(M122)</f>
        <v>0</v>
      </c>
      <c r="O122" s="23"/>
      <c r="P122" s="33" t="n">
        <f aca="false">IF(B122="",0,N(Students!H111))</f>
        <v>0</v>
      </c>
      <c r="Q122" s="23"/>
      <c r="R122" s="24" t="n">
        <f aca="false">N(O122)+N(P122)-N(Q122)</f>
        <v>0</v>
      </c>
      <c r="S122" s="23"/>
      <c r="T122" s="33" t="n">
        <f aca="false">IF(B122="",0,N(Students!I111))</f>
        <v>0</v>
      </c>
      <c r="U122" s="23"/>
      <c r="V122" s="24" t="n">
        <f aca="false">N(S122)+N(T122)-N(U122)</f>
        <v>0</v>
      </c>
      <c r="W122" s="23"/>
      <c r="X122" s="33" t="n">
        <f aca="false">IF(B122="",0,N(Students!J111))</f>
        <v>0</v>
      </c>
      <c r="Y122" s="23"/>
      <c r="Z122" s="24" t="n">
        <f aca="false">N(W122)+N(X122)-N(Y122)</f>
        <v>0</v>
      </c>
      <c r="AA122" s="33" t="n">
        <f aca="false">N(E122)+N(I122)+N(M122)+N(Q122)+N(U122)+N(Y122)</f>
        <v>0</v>
      </c>
      <c r="AB122" s="24" t="n">
        <f aca="false">F122+J122+N122+R122+V122+Z122</f>
        <v>0</v>
      </c>
      <c r="AC122" s="81" t="str">
        <f aca="false">IF(B122="","",IF(AB122&lt;=0,"Clear",IF(AA122&gt;0,"Partial","Due")))</f>
        <v/>
      </c>
    </row>
    <row r="123" customFormat="false" ht="15" hidden="false" customHeight="false" outlineLevel="0" collapsed="false">
      <c r="A123" s="25" t="n">
        <v>108</v>
      </c>
      <c r="B123" s="82" t="str">
        <f aca="false">IF(Students!B112="","",Students!B112)</f>
        <v/>
      </c>
      <c r="C123" s="23"/>
      <c r="D123" s="37" t="n">
        <f aca="false">IF(B123="",0,N(Students!E112))</f>
        <v>0</v>
      </c>
      <c r="E123" s="23"/>
      <c r="F123" s="26" t="n">
        <f aca="false">N(C123)+N(D123)-N(E123)</f>
        <v>0</v>
      </c>
      <c r="G123" s="23"/>
      <c r="H123" s="37" t="n">
        <f aca="false">IF(B123="",0,N(Students!F112))</f>
        <v>0</v>
      </c>
      <c r="I123" s="23"/>
      <c r="J123" s="26" t="n">
        <f aca="false">N(G123)+N(H123)-N(I123)</f>
        <v>0</v>
      </c>
      <c r="K123" s="23"/>
      <c r="L123" s="37" t="n">
        <f aca="false">IF(B123="",0,N(Students!G112))</f>
        <v>0</v>
      </c>
      <c r="M123" s="23"/>
      <c r="N123" s="26" t="n">
        <f aca="false">N(K123)+N(L123)-N(M123)</f>
        <v>0</v>
      </c>
      <c r="O123" s="23"/>
      <c r="P123" s="37" t="n">
        <f aca="false">IF(B123="",0,N(Students!H112))</f>
        <v>0</v>
      </c>
      <c r="Q123" s="23"/>
      <c r="R123" s="26" t="n">
        <f aca="false">N(O123)+N(P123)-N(Q123)</f>
        <v>0</v>
      </c>
      <c r="S123" s="23"/>
      <c r="T123" s="37" t="n">
        <f aca="false">IF(B123="",0,N(Students!I112))</f>
        <v>0</v>
      </c>
      <c r="U123" s="23"/>
      <c r="V123" s="26" t="n">
        <f aca="false">N(S123)+N(T123)-N(U123)</f>
        <v>0</v>
      </c>
      <c r="W123" s="23"/>
      <c r="X123" s="37" t="n">
        <f aca="false">IF(B123="",0,N(Students!J112))</f>
        <v>0</v>
      </c>
      <c r="Y123" s="23"/>
      <c r="Z123" s="26" t="n">
        <f aca="false">N(W123)+N(X123)-N(Y123)</f>
        <v>0</v>
      </c>
      <c r="AA123" s="37" t="n">
        <f aca="false">N(E123)+N(I123)+N(M123)+N(Q123)+N(U123)+N(Y123)</f>
        <v>0</v>
      </c>
      <c r="AB123" s="26" t="n">
        <f aca="false">F123+J123+N123+R123+V123+Z123</f>
        <v>0</v>
      </c>
      <c r="AC123" s="83" t="str">
        <f aca="false">IF(B123="","",IF(AB123&lt;=0,"Clear",IF(AA123&gt;0,"Partial","Due")))</f>
        <v/>
      </c>
    </row>
    <row r="124" customFormat="false" ht="15" hidden="false" customHeight="false" outlineLevel="0" collapsed="false">
      <c r="A124" s="21" t="n">
        <v>109</v>
      </c>
      <c r="B124" s="46" t="str">
        <f aca="false">IF(Students!B113="","",Students!B113)</f>
        <v/>
      </c>
      <c r="C124" s="23"/>
      <c r="D124" s="33" t="n">
        <f aca="false">IF(B124="",0,N(Students!E113))</f>
        <v>0</v>
      </c>
      <c r="E124" s="23"/>
      <c r="F124" s="24" t="n">
        <f aca="false">N(C124)+N(D124)-N(E124)</f>
        <v>0</v>
      </c>
      <c r="G124" s="23"/>
      <c r="H124" s="33" t="n">
        <f aca="false">IF(B124="",0,N(Students!F113))</f>
        <v>0</v>
      </c>
      <c r="I124" s="23"/>
      <c r="J124" s="24" t="n">
        <f aca="false">N(G124)+N(H124)-N(I124)</f>
        <v>0</v>
      </c>
      <c r="K124" s="23"/>
      <c r="L124" s="33" t="n">
        <f aca="false">IF(B124="",0,N(Students!G113))</f>
        <v>0</v>
      </c>
      <c r="M124" s="23"/>
      <c r="N124" s="24" t="n">
        <f aca="false">N(K124)+N(L124)-N(M124)</f>
        <v>0</v>
      </c>
      <c r="O124" s="23"/>
      <c r="P124" s="33" t="n">
        <f aca="false">IF(B124="",0,N(Students!H113))</f>
        <v>0</v>
      </c>
      <c r="Q124" s="23"/>
      <c r="R124" s="24" t="n">
        <f aca="false">N(O124)+N(P124)-N(Q124)</f>
        <v>0</v>
      </c>
      <c r="S124" s="23"/>
      <c r="T124" s="33" t="n">
        <f aca="false">IF(B124="",0,N(Students!I113))</f>
        <v>0</v>
      </c>
      <c r="U124" s="23"/>
      <c r="V124" s="24" t="n">
        <f aca="false">N(S124)+N(T124)-N(U124)</f>
        <v>0</v>
      </c>
      <c r="W124" s="23"/>
      <c r="X124" s="33" t="n">
        <f aca="false">IF(B124="",0,N(Students!J113))</f>
        <v>0</v>
      </c>
      <c r="Y124" s="23"/>
      <c r="Z124" s="24" t="n">
        <f aca="false">N(W124)+N(X124)-N(Y124)</f>
        <v>0</v>
      </c>
      <c r="AA124" s="33" t="n">
        <f aca="false">N(E124)+N(I124)+N(M124)+N(Q124)+N(U124)+N(Y124)</f>
        <v>0</v>
      </c>
      <c r="AB124" s="24" t="n">
        <f aca="false">F124+J124+N124+R124+V124+Z124</f>
        <v>0</v>
      </c>
      <c r="AC124" s="81" t="str">
        <f aca="false">IF(B124="","",IF(AB124&lt;=0,"Clear",IF(AA124&gt;0,"Partial","Due")))</f>
        <v/>
      </c>
    </row>
    <row r="125" customFormat="false" ht="15" hidden="false" customHeight="false" outlineLevel="0" collapsed="false">
      <c r="A125" s="25" t="n">
        <v>110</v>
      </c>
      <c r="B125" s="82" t="str">
        <f aca="false">IF(Students!B114="","",Students!B114)</f>
        <v/>
      </c>
      <c r="C125" s="23"/>
      <c r="D125" s="37" t="n">
        <f aca="false">IF(B125="",0,N(Students!E114))</f>
        <v>0</v>
      </c>
      <c r="E125" s="23"/>
      <c r="F125" s="26" t="n">
        <f aca="false">N(C125)+N(D125)-N(E125)</f>
        <v>0</v>
      </c>
      <c r="G125" s="23"/>
      <c r="H125" s="37" t="n">
        <f aca="false">IF(B125="",0,N(Students!F114))</f>
        <v>0</v>
      </c>
      <c r="I125" s="23"/>
      <c r="J125" s="26" t="n">
        <f aca="false">N(G125)+N(H125)-N(I125)</f>
        <v>0</v>
      </c>
      <c r="K125" s="23"/>
      <c r="L125" s="37" t="n">
        <f aca="false">IF(B125="",0,N(Students!G114))</f>
        <v>0</v>
      </c>
      <c r="M125" s="23"/>
      <c r="N125" s="26" t="n">
        <f aca="false">N(K125)+N(L125)-N(M125)</f>
        <v>0</v>
      </c>
      <c r="O125" s="23"/>
      <c r="P125" s="37" t="n">
        <f aca="false">IF(B125="",0,N(Students!H114))</f>
        <v>0</v>
      </c>
      <c r="Q125" s="23"/>
      <c r="R125" s="26" t="n">
        <f aca="false">N(O125)+N(P125)-N(Q125)</f>
        <v>0</v>
      </c>
      <c r="S125" s="23"/>
      <c r="T125" s="37" t="n">
        <f aca="false">IF(B125="",0,N(Students!I114))</f>
        <v>0</v>
      </c>
      <c r="U125" s="23"/>
      <c r="V125" s="26" t="n">
        <f aca="false">N(S125)+N(T125)-N(U125)</f>
        <v>0</v>
      </c>
      <c r="W125" s="23"/>
      <c r="X125" s="37" t="n">
        <f aca="false">IF(B125="",0,N(Students!J114))</f>
        <v>0</v>
      </c>
      <c r="Y125" s="23"/>
      <c r="Z125" s="26" t="n">
        <f aca="false">N(W125)+N(X125)-N(Y125)</f>
        <v>0</v>
      </c>
      <c r="AA125" s="37" t="n">
        <f aca="false">N(E125)+N(I125)+N(M125)+N(Q125)+N(U125)+N(Y125)</f>
        <v>0</v>
      </c>
      <c r="AB125" s="26" t="n">
        <f aca="false">F125+J125+N125+R125+V125+Z125</f>
        <v>0</v>
      </c>
      <c r="AC125" s="83" t="str">
        <f aca="false">IF(B125="","",IF(AB125&lt;=0,"Clear",IF(AA125&gt;0,"Partial","Due")))</f>
        <v/>
      </c>
    </row>
    <row r="126" customFormat="false" ht="15" hidden="false" customHeight="false" outlineLevel="0" collapsed="false">
      <c r="A126" s="21" t="n">
        <v>111</v>
      </c>
      <c r="B126" s="46" t="str">
        <f aca="false">IF(Students!B115="","",Students!B115)</f>
        <v/>
      </c>
      <c r="C126" s="23"/>
      <c r="D126" s="33" t="n">
        <f aca="false">IF(B126="",0,N(Students!E115))</f>
        <v>0</v>
      </c>
      <c r="E126" s="23"/>
      <c r="F126" s="24" t="n">
        <f aca="false">N(C126)+N(D126)-N(E126)</f>
        <v>0</v>
      </c>
      <c r="G126" s="23"/>
      <c r="H126" s="33" t="n">
        <f aca="false">IF(B126="",0,N(Students!F115))</f>
        <v>0</v>
      </c>
      <c r="I126" s="23"/>
      <c r="J126" s="24" t="n">
        <f aca="false">N(G126)+N(H126)-N(I126)</f>
        <v>0</v>
      </c>
      <c r="K126" s="23"/>
      <c r="L126" s="33" t="n">
        <f aca="false">IF(B126="",0,N(Students!G115))</f>
        <v>0</v>
      </c>
      <c r="M126" s="23"/>
      <c r="N126" s="24" t="n">
        <f aca="false">N(K126)+N(L126)-N(M126)</f>
        <v>0</v>
      </c>
      <c r="O126" s="23"/>
      <c r="P126" s="33" t="n">
        <f aca="false">IF(B126="",0,N(Students!H115))</f>
        <v>0</v>
      </c>
      <c r="Q126" s="23"/>
      <c r="R126" s="24" t="n">
        <f aca="false">N(O126)+N(P126)-N(Q126)</f>
        <v>0</v>
      </c>
      <c r="S126" s="23"/>
      <c r="T126" s="33" t="n">
        <f aca="false">IF(B126="",0,N(Students!I115))</f>
        <v>0</v>
      </c>
      <c r="U126" s="23"/>
      <c r="V126" s="24" t="n">
        <f aca="false">N(S126)+N(T126)-N(U126)</f>
        <v>0</v>
      </c>
      <c r="W126" s="23"/>
      <c r="X126" s="33" t="n">
        <f aca="false">IF(B126="",0,N(Students!J115))</f>
        <v>0</v>
      </c>
      <c r="Y126" s="23"/>
      <c r="Z126" s="24" t="n">
        <f aca="false">N(W126)+N(X126)-N(Y126)</f>
        <v>0</v>
      </c>
      <c r="AA126" s="33" t="n">
        <f aca="false">N(E126)+N(I126)+N(M126)+N(Q126)+N(U126)+N(Y126)</f>
        <v>0</v>
      </c>
      <c r="AB126" s="24" t="n">
        <f aca="false">F126+J126+N126+R126+V126+Z126</f>
        <v>0</v>
      </c>
      <c r="AC126" s="81" t="str">
        <f aca="false">IF(B126="","",IF(AB126&lt;=0,"Clear",IF(AA126&gt;0,"Partial","Due")))</f>
        <v/>
      </c>
    </row>
    <row r="127" customFormat="false" ht="15" hidden="false" customHeight="false" outlineLevel="0" collapsed="false">
      <c r="A127" s="25" t="n">
        <v>112</v>
      </c>
      <c r="B127" s="82" t="str">
        <f aca="false">IF(Students!B116="","",Students!B116)</f>
        <v/>
      </c>
      <c r="C127" s="23"/>
      <c r="D127" s="37" t="n">
        <f aca="false">IF(B127="",0,N(Students!E116))</f>
        <v>0</v>
      </c>
      <c r="E127" s="23"/>
      <c r="F127" s="26" t="n">
        <f aca="false">N(C127)+N(D127)-N(E127)</f>
        <v>0</v>
      </c>
      <c r="G127" s="23"/>
      <c r="H127" s="37" t="n">
        <f aca="false">IF(B127="",0,N(Students!F116))</f>
        <v>0</v>
      </c>
      <c r="I127" s="23"/>
      <c r="J127" s="26" t="n">
        <f aca="false">N(G127)+N(H127)-N(I127)</f>
        <v>0</v>
      </c>
      <c r="K127" s="23"/>
      <c r="L127" s="37" t="n">
        <f aca="false">IF(B127="",0,N(Students!G116))</f>
        <v>0</v>
      </c>
      <c r="M127" s="23"/>
      <c r="N127" s="26" t="n">
        <f aca="false">N(K127)+N(L127)-N(M127)</f>
        <v>0</v>
      </c>
      <c r="O127" s="23"/>
      <c r="P127" s="37" t="n">
        <f aca="false">IF(B127="",0,N(Students!H116))</f>
        <v>0</v>
      </c>
      <c r="Q127" s="23"/>
      <c r="R127" s="26" t="n">
        <f aca="false">N(O127)+N(P127)-N(Q127)</f>
        <v>0</v>
      </c>
      <c r="S127" s="23"/>
      <c r="T127" s="37" t="n">
        <f aca="false">IF(B127="",0,N(Students!I116))</f>
        <v>0</v>
      </c>
      <c r="U127" s="23"/>
      <c r="V127" s="26" t="n">
        <f aca="false">N(S127)+N(T127)-N(U127)</f>
        <v>0</v>
      </c>
      <c r="W127" s="23"/>
      <c r="X127" s="37" t="n">
        <f aca="false">IF(B127="",0,N(Students!J116))</f>
        <v>0</v>
      </c>
      <c r="Y127" s="23"/>
      <c r="Z127" s="26" t="n">
        <f aca="false">N(W127)+N(X127)-N(Y127)</f>
        <v>0</v>
      </c>
      <c r="AA127" s="37" t="n">
        <f aca="false">N(E127)+N(I127)+N(M127)+N(Q127)+N(U127)+N(Y127)</f>
        <v>0</v>
      </c>
      <c r="AB127" s="26" t="n">
        <f aca="false">F127+J127+N127+R127+V127+Z127</f>
        <v>0</v>
      </c>
      <c r="AC127" s="83" t="str">
        <f aca="false">IF(B127="","",IF(AB127&lt;=0,"Clear",IF(AA127&gt;0,"Partial","Due")))</f>
        <v/>
      </c>
    </row>
    <row r="128" customFormat="false" ht="15" hidden="false" customHeight="false" outlineLevel="0" collapsed="false">
      <c r="A128" s="21" t="n">
        <v>113</v>
      </c>
      <c r="B128" s="46" t="str">
        <f aca="false">IF(Students!B117="","",Students!B117)</f>
        <v/>
      </c>
      <c r="C128" s="23"/>
      <c r="D128" s="33" t="n">
        <f aca="false">IF(B128="",0,N(Students!E117))</f>
        <v>0</v>
      </c>
      <c r="E128" s="23"/>
      <c r="F128" s="24" t="n">
        <f aca="false">N(C128)+N(D128)-N(E128)</f>
        <v>0</v>
      </c>
      <c r="G128" s="23"/>
      <c r="H128" s="33" t="n">
        <f aca="false">IF(B128="",0,N(Students!F117))</f>
        <v>0</v>
      </c>
      <c r="I128" s="23"/>
      <c r="J128" s="24" t="n">
        <f aca="false">N(G128)+N(H128)-N(I128)</f>
        <v>0</v>
      </c>
      <c r="K128" s="23"/>
      <c r="L128" s="33" t="n">
        <f aca="false">IF(B128="",0,N(Students!G117))</f>
        <v>0</v>
      </c>
      <c r="M128" s="23"/>
      <c r="N128" s="24" t="n">
        <f aca="false">N(K128)+N(L128)-N(M128)</f>
        <v>0</v>
      </c>
      <c r="O128" s="23"/>
      <c r="P128" s="33" t="n">
        <f aca="false">IF(B128="",0,N(Students!H117))</f>
        <v>0</v>
      </c>
      <c r="Q128" s="23"/>
      <c r="R128" s="24" t="n">
        <f aca="false">N(O128)+N(P128)-N(Q128)</f>
        <v>0</v>
      </c>
      <c r="S128" s="23"/>
      <c r="T128" s="33" t="n">
        <f aca="false">IF(B128="",0,N(Students!I117))</f>
        <v>0</v>
      </c>
      <c r="U128" s="23"/>
      <c r="V128" s="24" t="n">
        <f aca="false">N(S128)+N(T128)-N(U128)</f>
        <v>0</v>
      </c>
      <c r="W128" s="23"/>
      <c r="X128" s="33" t="n">
        <f aca="false">IF(B128="",0,N(Students!J117))</f>
        <v>0</v>
      </c>
      <c r="Y128" s="23"/>
      <c r="Z128" s="24" t="n">
        <f aca="false">N(W128)+N(X128)-N(Y128)</f>
        <v>0</v>
      </c>
      <c r="AA128" s="33" t="n">
        <f aca="false">N(E128)+N(I128)+N(M128)+N(Q128)+N(U128)+N(Y128)</f>
        <v>0</v>
      </c>
      <c r="AB128" s="24" t="n">
        <f aca="false">F128+J128+N128+R128+V128+Z128</f>
        <v>0</v>
      </c>
      <c r="AC128" s="81" t="str">
        <f aca="false">IF(B128="","",IF(AB128&lt;=0,"Clear",IF(AA128&gt;0,"Partial","Due")))</f>
        <v/>
      </c>
    </row>
    <row r="129" customFormat="false" ht="15" hidden="false" customHeight="false" outlineLevel="0" collapsed="false">
      <c r="A129" s="25" t="n">
        <v>114</v>
      </c>
      <c r="B129" s="82" t="str">
        <f aca="false">IF(Students!B118="","",Students!B118)</f>
        <v/>
      </c>
      <c r="C129" s="23"/>
      <c r="D129" s="37" t="n">
        <f aca="false">IF(B129="",0,N(Students!E118))</f>
        <v>0</v>
      </c>
      <c r="E129" s="23"/>
      <c r="F129" s="26" t="n">
        <f aca="false">N(C129)+N(D129)-N(E129)</f>
        <v>0</v>
      </c>
      <c r="G129" s="23"/>
      <c r="H129" s="37" t="n">
        <f aca="false">IF(B129="",0,N(Students!F118))</f>
        <v>0</v>
      </c>
      <c r="I129" s="23"/>
      <c r="J129" s="26" t="n">
        <f aca="false">N(G129)+N(H129)-N(I129)</f>
        <v>0</v>
      </c>
      <c r="K129" s="23"/>
      <c r="L129" s="37" t="n">
        <f aca="false">IF(B129="",0,N(Students!G118))</f>
        <v>0</v>
      </c>
      <c r="M129" s="23"/>
      <c r="N129" s="26" t="n">
        <f aca="false">N(K129)+N(L129)-N(M129)</f>
        <v>0</v>
      </c>
      <c r="O129" s="23"/>
      <c r="P129" s="37" t="n">
        <f aca="false">IF(B129="",0,N(Students!H118))</f>
        <v>0</v>
      </c>
      <c r="Q129" s="23"/>
      <c r="R129" s="26" t="n">
        <f aca="false">N(O129)+N(P129)-N(Q129)</f>
        <v>0</v>
      </c>
      <c r="S129" s="23"/>
      <c r="T129" s="37" t="n">
        <f aca="false">IF(B129="",0,N(Students!I118))</f>
        <v>0</v>
      </c>
      <c r="U129" s="23"/>
      <c r="V129" s="26" t="n">
        <f aca="false">N(S129)+N(T129)-N(U129)</f>
        <v>0</v>
      </c>
      <c r="W129" s="23"/>
      <c r="X129" s="37" t="n">
        <f aca="false">IF(B129="",0,N(Students!J118))</f>
        <v>0</v>
      </c>
      <c r="Y129" s="23"/>
      <c r="Z129" s="26" t="n">
        <f aca="false">N(W129)+N(X129)-N(Y129)</f>
        <v>0</v>
      </c>
      <c r="AA129" s="37" t="n">
        <f aca="false">N(E129)+N(I129)+N(M129)+N(Q129)+N(U129)+N(Y129)</f>
        <v>0</v>
      </c>
      <c r="AB129" s="26" t="n">
        <f aca="false">F129+J129+N129+R129+V129+Z129</f>
        <v>0</v>
      </c>
      <c r="AC129" s="83" t="str">
        <f aca="false">IF(B129="","",IF(AB129&lt;=0,"Clear",IF(AA129&gt;0,"Partial","Due")))</f>
        <v/>
      </c>
    </row>
    <row r="130" customFormat="false" ht="15" hidden="false" customHeight="false" outlineLevel="0" collapsed="false">
      <c r="A130" s="21" t="n">
        <v>115</v>
      </c>
      <c r="B130" s="46" t="str">
        <f aca="false">IF(Students!B119="","",Students!B119)</f>
        <v/>
      </c>
      <c r="C130" s="23"/>
      <c r="D130" s="33" t="n">
        <f aca="false">IF(B130="",0,N(Students!E119))</f>
        <v>0</v>
      </c>
      <c r="E130" s="23"/>
      <c r="F130" s="24" t="n">
        <f aca="false">N(C130)+N(D130)-N(E130)</f>
        <v>0</v>
      </c>
      <c r="G130" s="23"/>
      <c r="H130" s="33" t="n">
        <f aca="false">IF(B130="",0,N(Students!F119))</f>
        <v>0</v>
      </c>
      <c r="I130" s="23"/>
      <c r="J130" s="24" t="n">
        <f aca="false">N(G130)+N(H130)-N(I130)</f>
        <v>0</v>
      </c>
      <c r="K130" s="23"/>
      <c r="L130" s="33" t="n">
        <f aca="false">IF(B130="",0,N(Students!G119))</f>
        <v>0</v>
      </c>
      <c r="M130" s="23"/>
      <c r="N130" s="24" t="n">
        <f aca="false">N(K130)+N(L130)-N(M130)</f>
        <v>0</v>
      </c>
      <c r="O130" s="23"/>
      <c r="P130" s="33" t="n">
        <f aca="false">IF(B130="",0,N(Students!H119))</f>
        <v>0</v>
      </c>
      <c r="Q130" s="23"/>
      <c r="R130" s="24" t="n">
        <f aca="false">N(O130)+N(P130)-N(Q130)</f>
        <v>0</v>
      </c>
      <c r="S130" s="23"/>
      <c r="T130" s="33" t="n">
        <f aca="false">IF(B130="",0,N(Students!I119))</f>
        <v>0</v>
      </c>
      <c r="U130" s="23"/>
      <c r="V130" s="24" t="n">
        <f aca="false">N(S130)+N(T130)-N(U130)</f>
        <v>0</v>
      </c>
      <c r="W130" s="23"/>
      <c r="X130" s="33" t="n">
        <f aca="false">IF(B130="",0,N(Students!J119))</f>
        <v>0</v>
      </c>
      <c r="Y130" s="23"/>
      <c r="Z130" s="24" t="n">
        <f aca="false">N(W130)+N(X130)-N(Y130)</f>
        <v>0</v>
      </c>
      <c r="AA130" s="33" t="n">
        <f aca="false">N(E130)+N(I130)+N(M130)+N(Q130)+N(U130)+N(Y130)</f>
        <v>0</v>
      </c>
      <c r="AB130" s="24" t="n">
        <f aca="false">F130+J130+N130+R130+V130+Z130</f>
        <v>0</v>
      </c>
      <c r="AC130" s="81" t="str">
        <f aca="false">IF(B130="","",IF(AB130&lt;=0,"Clear",IF(AA130&gt;0,"Partial","Due")))</f>
        <v/>
      </c>
    </row>
    <row r="131" customFormat="false" ht="15" hidden="false" customHeight="false" outlineLevel="0" collapsed="false">
      <c r="A131" s="25" t="n">
        <v>116</v>
      </c>
      <c r="B131" s="82" t="str">
        <f aca="false">IF(Students!B120="","",Students!B120)</f>
        <v/>
      </c>
      <c r="C131" s="23"/>
      <c r="D131" s="37" t="n">
        <f aca="false">IF(B131="",0,N(Students!E120))</f>
        <v>0</v>
      </c>
      <c r="E131" s="23"/>
      <c r="F131" s="26" t="n">
        <f aca="false">N(C131)+N(D131)-N(E131)</f>
        <v>0</v>
      </c>
      <c r="G131" s="23"/>
      <c r="H131" s="37" t="n">
        <f aca="false">IF(B131="",0,N(Students!F120))</f>
        <v>0</v>
      </c>
      <c r="I131" s="23"/>
      <c r="J131" s="26" t="n">
        <f aca="false">N(G131)+N(H131)-N(I131)</f>
        <v>0</v>
      </c>
      <c r="K131" s="23"/>
      <c r="L131" s="37" t="n">
        <f aca="false">IF(B131="",0,N(Students!G120))</f>
        <v>0</v>
      </c>
      <c r="M131" s="23"/>
      <c r="N131" s="26" t="n">
        <f aca="false">N(K131)+N(L131)-N(M131)</f>
        <v>0</v>
      </c>
      <c r="O131" s="23"/>
      <c r="P131" s="37" t="n">
        <f aca="false">IF(B131="",0,N(Students!H120))</f>
        <v>0</v>
      </c>
      <c r="Q131" s="23"/>
      <c r="R131" s="26" t="n">
        <f aca="false">N(O131)+N(P131)-N(Q131)</f>
        <v>0</v>
      </c>
      <c r="S131" s="23"/>
      <c r="T131" s="37" t="n">
        <f aca="false">IF(B131="",0,N(Students!I120))</f>
        <v>0</v>
      </c>
      <c r="U131" s="23"/>
      <c r="V131" s="26" t="n">
        <f aca="false">N(S131)+N(T131)-N(U131)</f>
        <v>0</v>
      </c>
      <c r="W131" s="23"/>
      <c r="X131" s="37" t="n">
        <f aca="false">IF(B131="",0,N(Students!J120))</f>
        <v>0</v>
      </c>
      <c r="Y131" s="23"/>
      <c r="Z131" s="26" t="n">
        <f aca="false">N(W131)+N(X131)-N(Y131)</f>
        <v>0</v>
      </c>
      <c r="AA131" s="37" t="n">
        <f aca="false">N(E131)+N(I131)+N(M131)+N(Q131)+N(U131)+N(Y131)</f>
        <v>0</v>
      </c>
      <c r="AB131" s="26" t="n">
        <f aca="false">F131+J131+N131+R131+V131+Z131</f>
        <v>0</v>
      </c>
      <c r="AC131" s="83" t="str">
        <f aca="false">IF(B131="","",IF(AB131&lt;=0,"Clear",IF(AA131&gt;0,"Partial","Due")))</f>
        <v/>
      </c>
    </row>
    <row r="132" customFormat="false" ht="15" hidden="false" customHeight="false" outlineLevel="0" collapsed="false">
      <c r="A132" s="21" t="n">
        <v>117</v>
      </c>
      <c r="B132" s="46" t="str">
        <f aca="false">IF(Students!B121="","",Students!B121)</f>
        <v/>
      </c>
      <c r="C132" s="23"/>
      <c r="D132" s="33" t="n">
        <f aca="false">IF(B132="",0,N(Students!E121))</f>
        <v>0</v>
      </c>
      <c r="E132" s="23"/>
      <c r="F132" s="24" t="n">
        <f aca="false">N(C132)+N(D132)-N(E132)</f>
        <v>0</v>
      </c>
      <c r="G132" s="23"/>
      <c r="H132" s="33" t="n">
        <f aca="false">IF(B132="",0,N(Students!F121))</f>
        <v>0</v>
      </c>
      <c r="I132" s="23"/>
      <c r="J132" s="24" t="n">
        <f aca="false">N(G132)+N(H132)-N(I132)</f>
        <v>0</v>
      </c>
      <c r="K132" s="23"/>
      <c r="L132" s="33" t="n">
        <f aca="false">IF(B132="",0,N(Students!G121))</f>
        <v>0</v>
      </c>
      <c r="M132" s="23"/>
      <c r="N132" s="24" t="n">
        <f aca="false">N(K132)+N(L132)-N(M132)</f>
        <v>0</v>
      </c>
      <c r="O132" s="23"/>
      <c r="P132" s="33" t="n">
        <f aca="false">IF(B132="",0,N(Students!H121))</f>
        <v>0</v>
      </c>
      <c r="Q132" s="23"/>
      <c r="R132" s="24" t="n">
        <f aca="false">N(O132)+N(P132)-N(Q132)</f>
        <v>0</v>
      </c>
      <c r="S132" s="23"/>
      <c r="T132" s="33" t="n">
        <f aca="false">IF(B132="",0,N(Students!I121))</f>
        <v>0</v>
      </c>
      <c r="U132" s="23"/>
      <c r="V132" s="24" t="n">
        <f aca="false">N(S132)+N(T132)-N(U132)</f>
        <v>0</v>
      </c>
      <c r="W132" s="23"/>
      <c r="X132" s="33" t="n">
        <f aca="false">IF(B132="",0,N(Students!J121))</f>
        <v>0</v>
      </c>
      <c r="Y132" s="23"/>
      <c r="Z132" s="24" t="n">
        <f aca="false">N(W132)+N(X132)-N(Y132)</f>
        <v>0</v>
      </c>
      <c r="AA132" s="33" t="n">
        <f aca="false">N(E132)+N(I132)+N(M132)+N(Q132)+N(U132)+N(Y132)</f>
        <v>0</v>
      </c>
      <c r="AB132" s="24" t="n">
        <f aca="false">F132+J132+N132+R132+V132+Z132</f>
        <v>0</v>
      </c>
      <c r="AC132" s="81" t="str">
        <f aca="false">IF(B132="","",IF(AB132&lt;=0,"Clear",IF(AA132&gt;0,"Partial","Due")))</f>
        <v/>
      </c>
    </row>
    <row r="133" customFormat="false" ht="15" hidden="false" customHeight="false" outlineLevel="0" collapsed="false">
      <c r="A133" s="25" t="n">
        <v>118</v>
      </c>
      <c r="B133" s="82" t="str">
        <f aca="false">IF(Students!B122="","",Students!B122)</f>
        <v/>
      </c>
      <c r="C133" s="23"/>
      <c r="D133" s="37" t="n">
        <f aca="false">IF(B133="",0,N(Students!E122))</f>
        <v>0</v>
      </c>
      <c r="E133" s="23"/>
      <c r="F133" s="26" t="n">
        <f aca="false">N(C133)+N(D133)-N(E133)</f>
        <v>0</v>
      </c>
      <c r="G133" s="23"/>
      <c r="H133" s="37" t="n">
        <f aca="false">IF(B133="",0,N(Students!F122))</f>
        <v>0</v>
      </c>
      <c r="I133" s="23"/>
      <c r="J133" s="26" t="n">
        <f aca="false">N(G133)+N(H133)-N(I133)</f>
        <v>0</v>
      </c>
      <c r="K133" s="23"/>
      <c r="L133" s="37" t="n">
        <f aca="false">IF(B133="",0,N(Students!G122))</f>
        <v>0</v>
      </c>
      <c r="M133" s="23"/>
      <c r="N133" s="26" t="n">
        <f aca="false">N(K133)+N(L133)-N(M133)</f>
        <v>0</v>
      </c>
      <c r="O133" s="23"/>
      <c r="P133" s="37" t="n">
        <f aca="false">IF(B133="",0,N(Students!H122))</f>
        <v>0</v>
      </c>
      <c r="Q133" s="23"/>
      <c r="R133" s="26" t="n">
        <f aca="false">N(O133)+N(P133)-N(Q133)</f>
        <v>0</v>
      </c>
      <c r="S133" s="23"/>
      <c r="T133" s="37" t="n">
        <f aca="false">IF(B133="",0,N(Students!I122))</f>
        <v>0</v>
      </c>
      <c r="U133" s="23"/>
      <c r="V133" s="26" t="n">
        <f aca="false">N(S133)+N(T133)-N(U133)</f>
        <v>0</v>
      </c>
      <c r="W133" s="23"/>
      <c r="X133" s="37" t="n">
        <f aca="false">IF(B133="",0,N(Students!J122))</f>
        <v>0</v>
      </c>
      <c r="Y133" s="23"/>
      <c r="Z133" s="26" t="n">
        <f aca="false">N(W133)+N(X133)-N(Y133)</f>
        <v>0</v>
      </c>
      <c r="AA133" s="37" t="n">
        <f aca="false">N(E133)+N(I133)+N(M133)+N(Q133)+N(U133)+N(Y133)</f>
        <v>0</v>
      </c>
      <c r="AB133" s="26" t="n">
        <f aca="false">F133+J133+N133+R133+V133+Z133</f>
        <v>0</v>
      </c>
      <c r="AC133" s="83" t="str">
        <f aca="false">IF(B133="","",IF(AB133&lt;=0,"Clear",IF(AA133&gt;0,"Partial","Due")))</f>
        <v/>
      </c>
    </row>
    <row r="134" customFormat="false" ht="15" hidden="false" customHeight="false" outlineLevel="0" collapsed="false">
      <c r="A134" s="21" t="n">
        <v>119</v>
      </c>
      <c r="B134" s="46" t="str">
        <f aca="false">IF(Students!B123="","",Students!B123)</f>
        <v/>
      </c>
      <c r="C134" s="23"/>
      <c r="D134" s="33" t="n">
        <f aca="false">IF(B134="",0,N(Students!E123))</f>
        <v>0</v>
      </c>
      <c r="E134" s="23"/>
      <c r="F134" s="24" t="n">
        <f aca="false">N(C134)+N(D134)-N(E134)</f>
        <v>0</v>
      </c>
      <c r="G134" s="23"/>
      <c r="H134" s="33" t="n">
        <f aca="false">IF(B134="",0,N(Students!F123))</f>
        <v>0</v>
      </c>
      <c r="I134" s="23"/>
      <c r="J134" s="24" t="n">
        <f aca="false">N(G134)+N(H134)-N(I134)</f>
        <v>0</v>
      </c>
      <c r="K134" s="23"/>
      <c r="L134" s="33" t="n">
        <f aca="false">IF(B134="",0,N(Students!G123))</f>
        <v>0</v>
      </c>
      <c r="M134" s="23"/>
      <c r="N134" s="24" t="n">
        <f aca="false">N(K134)+N(L134)-N(M134)</f>
        <v>0</v>
      </c>
      <c r="O134" s="23"/>
      <c r="P134" s="33" t="n">
        <f aca="false">IF(B134="",0,N(Students!H123))</f>
        <v>0</v>
      </c>
      <c r="Q134" s="23"/>
      <c r="R134" s="24" t="n">
        <f aca="false">N(O134)+N(P134)-N(Q134)</f>
        <v>0</v>
      </c>
      <c r="S134" s="23"/>
      <c r="T134" s="33" t="n">
        <f aca="false">IF(B134="",0,N(Students!I123))</f>
        <v>0</v>
      </c>
      <c r="U134" s="23"/>
      <c r="V134" s="24" t="n">
        <f aca="false">N(S134)+N(T134)-N(U134)</f>
        <v>0</v>
      </c>
      <c r="W134" s="23"/>
      <c r="X134" s="33" t="n">
        <f aca="false">IF(B134="",0,N(Students!J123))</f>
        <v>0</v>
      </c>
      <c r="Y134" s="23"/>
      <c r="Z134" s="24" t="n">
        <f aca="false">N(W134)+N(X134)-N(Y134)</f>
        <v>0</v>
      </c>
      <c r="AA134" s="33" t="n">
        <f aca="false">N(E134)+N(I134)+N(M134)+N(Q134)+N(U134)+N(Y134)</f>
        <v>0</v>
      </c>
      <c r="AB134" s="24" t="n">
        <f aca="false">F134+J134+N134+R134+V134+Z134</f>
        <v>0</v>
      </c>
      <c r="AC134" s="81" t="str">
        <f aca="false">IF(B134="","",IF(AB134&lt;=0,"Clear",IF(AA134&gt;0,"Partial","Due")))</f>
        <v/>
      </c>
    </row>
    <row r="135" customFormat="false" ht="15" hidden="false" customHeight="false" outlineLevel="0" collapsed="false">
      <c r="A135" s="25" t="n">
        <v>120</v>
      </c>
      <c r="B135" s="82" t="str">
        <f aca="false">IF(Students!B124="","",Students!B124)</f>
        <v/>
      </c>
      <c r="C135" s="23"/>
      <c r="D135" s="37" t="n">
        <f aca="false">IF(B135="",0,N(Students!E124))</f>
        <v>0</v>
      </c>
      <c r="E135" s="23"/>
      <c r="F135" s="26" t="n">
        <f aca="false">N(C135)+N(D135)-N(E135)</f>
        <v>0</v>
      </c>
      <c r="G135" s="23"/>
      <c r="H135" s="37" t="n">
        <f aca="false">IF(B135="",0,N(Students!F124))</f>
        <v>0</v>
      </c>
      <c r="I135" s="23"/>
      <c r="J135" s="26" t="n">
        <f aca="false">N(G135)+N(H135)-N(I135)</f>
        <v>0</v>
      </c>
      <c r="K135" s="23"/>
      <c r="L135" s="37" t="n">
        <f aca="false">IF(B135="",0,N(Students!G124))</f>
        <v>0</v>
      </c>
      <c r="M135" s="23"/>
      <c r="N135" s="26" t="n">
        <f aca="false">N(K135)+N(L135)-N(M135)</f>
        <v>0</v>
      </c>
      <c r="O135" s="23"/>
      <c r="P135" s="37" t="n">
        <f aca="false">IF(B135="",0,N(Students!H124))</f>
        <v>0</v>
      </c>
      <c r="Q135" s="23"/>
      <c r="R135" s="26" t="n">
        <f aca="false">N(O135)+N(P135)-N(Q135)</f>
        <v>0</v>
      </c>
      <c r="S135" s="23"/>
      <c r="T135" s="37" t="n">
        <f aca="false">IF(B135="",0,N(Students!I124))</f>
        <v>0</v>
      </c>
      <c r="U135" s="23"/>
      <c r="V135" s="26" t="n">
        <f aca="false">N(S135)+N(T135)-N(U135)</f>
        <v>0</v>
      </c>
      <c r="W135" s="23"/>
      <c r="X135" s="37" t="n">
        <f aca="false">IF(B135="",0,N(Students!J124))</f>
        <v>0</v>
      </c>
      <c r="Y135" s="23"/>
      <c r="Z135" s="26" t="n">
        <f aca="false">N(W135)+N(X135)-N(Y135)</f>
        <v>0</v>
      </c>
      <c r="AA135" s="37" t="n">
        <f aca="false">N(E135)+N(I135)+N(M135)+N(Q135)+N(U135)+N(Y135)</f>
        <v>0</v>
      </c>
      <c r="AB135" s="26" t="n">
        <f aca="false">F135+J135+N135+R135+V135+Z135</f>
        <v>0</v>
      </c>
      <c r="AC135" s="83" t="str">
        <f aca="false">IF(B135="","",IF(AB135&lt;=0,"Clear",IF(AA135&gt;0,"Partial","Due")))</f>
        <v/>
      </c>
    </row>
    <row r="136" customFormat="false" ht="15" hidden="false" customHeight="false" outlineLevel="0" collapsed="false">
      <c r="A136" s="21" t="n">
        <v>121</v>
      </c>
      <c r="B136" s="46" t="str">
        <f aca="false">IF(Students!B125="","",Students!B125)</f>
        <v/>
      </c>
      <c r="C136" s="23"/>
      <c r="D136" s="33" t="n">
        <f aca="false">IF(B136="",0,N(Students!E125))</f>
        <v>0</v>
      </c>
      <c r="E136" s="23"/>
      <c r="F136" s="24" t="n">
        <f aca="false">N(C136)+N(D136)-N(E136)</f>
        <v>0</v>
      </c>
      <c r="G136" s="23"/>
      <c r="H136" s="33" t="n">
        <f aca="false">IF(B136="",0,N(Students!F125))</f>
        <v>0</v>
      </c>
      <c r="I136" s="23"/>
      <c r="J136" s="24" t="n">
        <f aca="false">N(G136)+N(H136)-N(I136)</f>
        <v>0</v>
      </c>
      <c r="K136" s="23"/>
      <c r="L136" s="33" t="n">
        <f aca="false">IF(B136="",0,N(Students!G125))</f>
        <v>0</v>
      </c>
      <c r="M136" s="23"/>
      <c r="N136" s="24" t="n">
        <f aca="false">N(K136)+N(L136)-N(M136)</f>
        <v>0</v>
      </c>
      <c r="O136" s="23"/>
      <c r="P136" s="33" t="n">
        <f aca="false">IF(B136="",0,N(Students!H125))</f>
        <v>0</v>
      </c>
      <c r="Q136" s="23"/>
      <c r="R136" s="24" t="n">
        <f aca="false">N(O136)+N(P136)-N(Q136)</f>
        <v>0</v>
      </c>
      <c r="S136" s="23"/>
      <c r="T136" s="33" t="n">
        <f aca="false">IF(B136="",0,N(Students!I125))</f>
        <v>0</v>
      </c>
      <c r="U136" s="23"/>
      <c r="V136" s="24" t="n">
        <f aca="false">N(S136)+N(T136)-N(U136)</f>
        <v>0</v>
      </c>
      <c r="W136" s="23"/>
      <c r="X136" s="33" t="n">
        <f aca="false">IF(B136="",0,N(Students!J125))</f>
        <v>0</v>
      </c>
      <c r="Y136" s="23"/>
      <c r="Z136" s="24" t="n">
        <f aca="false">N(W136)+N(X136)-N(Y136)</f>
        <v>0</v>
      </c>
      <c r="AA136" s="33" t="n">
        <f aca="false">N(E136)+N(I136)+N(M136)+N(Q136)+N(U136)+N(Y136)</f>
        <v>0</v>
      </c>
      <c r="AB136" s="24" t="n">
        <f aca="false">F136+J136+N136+R136+V136+Z136</f>
        <v>0</v>
      </c>
      <c r="AC136" s="81" t="str">
        <f aca="false">IF(B136="","",IF(AB136&lt;=0,"Clear",IF(AA136&gt;0,"Partial","Due")))</f>
        <v/>
      </c>
    </row>
    <row r="137" customFormat="false" ht="15" hidden="false" customHeight="false" outlineLevel="0" collapsed="false">
      <c r="A137" s="25" t="n">
        <v>122</v>
      </c>
      <c r="B137" s="82" t="str">
        <f aca="false">IF(Students!B126="","",Students!B126)</f>
        <v/>
      </c>
      <c r="C137" s="23"/>
      <c r="D137" s="37" t="n">
        <f aca="false">IF(B137="",0,N(Students!E126))</f>
        <v>0</v>
      </c>
      <c r="E137" s="23"/>
      <c r="F137" s="26" t="n">
        <f aca="false">N(C137)+N(D137)-N(E137)</f>
        <v>0</v>
      </c>
      <c r="G137" s="23"/>
      <c r="H137" s="37" t="n">
        <f aca="false">IF(B137="",0,N(Students!F126))</f>
        <v>0</v>
      </c>
      <c r="I137" s="23"/>
      <c r="J137" s="26" t="n">
        <f aca="false">N(G137)+N(H137)-N(I137)</f>
        <v>0</v>
      </c>
      <c r="K137" s="23"/>
      <c r="L137" s="37" t="n">
        <f aca="false">IF(B137="",0,N(Students!G126))</f>
        <v>0</v>
      </c>
      <c r="M137" s="23"/>
      <c r="N137" s="26" t="n">
        <f aca="false">N(K137)+N(L137)-N(M137)</f>
        <v>0</v>
      </c>
      <c r="O137" s="23"/>
      <c r="P137" s="37" t="n">
        <f aca="false">IF(B137="",0,N(Students!H126))</f>
        <v>0</v>
      </c>
      <c r="Q137" s="23"/>
      <c r="R137" s="26" t="n">
        <f aca="false">N(O137)+N(P137)-N(Q137)</f>
        <v>0</v>
      </c>
      <c r="S137" s="23"/>
      <c r="T137" s="37" t="n">
        <f aca="false">IF(B137="",0,N(Students!I126))</f>
        <v>0</v>
      </c>
      <c r="U137" s="23"/>
      <c r="V137" s="26" t="n">
        <f aca="false">N(S137)+N(T137)-N(U137)</f>
        <v>0</v>
      </c>
      <c r="W137" s="23"/>
      <c r="X137" s="37" t="n">
        <f aca="false">IF(B137="",0,N(Students!J126))</f>
        <v>0</v>
      </c>
      <c r="Y137" s="23"/>
      <c r="Z137" s="26" t="n">
        <f aca="false">N(W137)+N(X137)-N(Y137)</f>
        <v>0</v>
      </c>
      <c r="AA137" s="37" t="n">
        <f aca="false">N(E137)+N(I137)+N(M137)+N(Q137)+N(U137)+N(Y137)</f>
        <v>0</v>
      </c>
      <c r="AB137" s="26" t="n">
        <f aca="false">F137+J137+N137+R137+V137+Z137</f>
        <v>0</v>
      </c>
      <c r="AC137" s="83" t="str">
        <f aca="false">IF(B137="","",IF(AB137&lt;=0,"Clear",IF(AA137&gt;0,"Partial","Due")))</f>
        <v/>
      </c>
    </row>
    <row r="138" customFormat="false" ht="15" hidden="false" customHeight="false" outlineLevel="0" collapsed="false">
      <c r="A138" s="21" t="n">
        <v>123</v>
      </c>
      <c r="B138" s="46" t="str">
        <f aca="false">IF(Students!B127="","",Students!B127)</f>
        <v/>
      </c>
      <c r="C138" s="23"/>
      <c r="D138" s="33" t="n">
        <f aca="false">IF(B138="",0,N(Students!E127))</f>
        <v>0</v>
      </c>
      <c r="E138" s="23"/>
      <c r="F138" s="24" t="n">
        <f aca="false">N(C138)+N(D138)-N(E138)</f>
        <v>0</v>
      </c>
      <c r="G138" s="23"/>
      <c r="H138" s="33" t="n">
        <f aca="false">IF(B138="",0,N(Students!F127))</f>
        <v>0</v>
      </c>
      <c r="I138" s="23"/>
      <c r="J138" s="24" t="n">
        <f aca="false">N(G138)+N(H138)-N(I138)</f>
        <v>0</v>
      </c>
      <c r="K138" s="23"/>
      <c r="L138" s="33" t="n">
        <f aca="false">IF(B138="",0,N(Students!G127))</f>
        <v>0</v>
      </c>
      <c r="M138" s="23"/>
      <c r="N138" s="24" t="n">
        <f aca="false">N(K138)+N(L138)-N(M138)</f>
        <v>0</v>
      </c>
      <c r="O138" s="23"/>
      <c r="P138" s="33" t="n">
        <f aca="false">IF(B138="",0,N(Students!H127))</f>
        <v>0</v>
      </c>
      <c r="Q138" s="23"/>
      <c r="R138" s="24" t="n">
        <f aca="false">N(O138)+N(P138)-N(Q138)</f>
        <v>0</v>
      </c>
      <c r="S138" s="23"/>
      <c r="T138" s="33" t="n">
        <f aca="false">IF(B138="",0,N(Students!I127))</f>
        <v>0</v>
      </c>
      <c r="U138" s="23"/>
      <c r="V138" s="24" t="n">
        <f aca="false">N(S138)+N(T138)-N(U138)</f>
        <v>0</v>
      </c>
      <c r="W138" s="23"/>
      <c r="X138" s="33" t="n">
        <f aca="false">IF(B138="",0,N(Students!J127))</f>
        <v>0</v>
      </c>
      <c r="Y138" s="23"/>
      <c r="Z138" s="24" t="n">
        <f aca="false">N(W138)+N(X138)-N(Y138)</f>
        <v>0</v>
      </c>
      <c r="AA138" s="33" t="n">
        <f aca="false">N(E138)+N(I138)+N(M138)+N(Q138)+N(U138)+N(Y138)</f>
        <v>0</v>
      </c>
      <c r="AB138" s="24" t="n">
        <f aca="false">F138+J138+N138+R138+V138+Z138</f>
        <v>0</v>
      </c>
      <c r="AC138" s="81" t="str">
        <f aca="false">IF(B138="","",IF(AB138&lt;=0,"Clear",IF(AA138&gt;0,"Partial","Due")))</f>
        <v/>
      </c>
    </row>
    <row r="139" customFormat="false" ht="15" hidden="false" customHeight="false" outlineLevel="0" collapsed="false">
      <c r="A139" s="25" t="n">
        <v>124</v>
      </c>
      <c r="B139" s="82" t="str">
        <f aca="false">IF(Students!B128="","",Students!B128)</f>
        <v/>
      </c>
      <c r="C139" s="23"/>
      <c r="D139" s="37" t="n">
        <f aca="false">IF(B139="",0,N(Students!E128))</f>
        <v>0</v>
      </c>
      <c r="E139" s="23"/>
      <c r="F139" s="26" t="n">
        <f aca="false">N(C139)+N(D139)-N(E139)</f>
        <v>0</v>
      </c>
      <c r="G139" s="23"/>
      <c r="H139" s="37" t="n">
        <f aca="false">IF(B139="",0,N(Students!F128))</f>
        <v>0</v>
      </c>
      <c r="I139" s="23"/>
      <c r="J139" s="26" t="n">
        <f aca="false">N(G139)+N(H139)-N(I139)</f>
        <v>0</v>
      </c>
      <c r="K139" s="23"/>
      <c r="L139" s="37" t="n">
        <f aca="false">IF(B139="",0,N(Students!G128))</f>
        <v>0</v>
      </c>
      <c r="M139" s="23"/>
      <c r="N139" s="26" t="n">
        <f aca="false">N(K139)+N(L139)-N(M139)</f>
        <v>0</v>
      </c>
      <c r="O139" s="23"/>
      <c r="P139" s="37" t="n">
        <f aca="false">IF(B139="",0,N(Students!H128))</f>
        <v>0</v>
      </c>
      <c r="Q139" s="23"/>
      <c r="R139" s="26" t="n">
        <f aca="false">N(O139)+N(P139)-N(Q139)</f>
        <v>0</v>
      </c>
      <c r="S139" s="23"/>
      <c r="T139" s="37" t="n">
        <f aca="false">IF(B139="",0,N(Students!I128))</f>
        <v>0</v>
      </c>
      <c r="U139" s="23"/>
      <c r="V139" s="26" t="n">
        <f aca="false">N(S139)+N(T139)-N(U139)</f>
        <v>0</v>
      </c>
      <c r="W139" s="23"/>
      <c r="X139" s="37" t="n">
        <f aca="false">IF(B139="",0,N(Students!J128))</f>
        <v>0</v>
      </c>
      <c r="Y139" s="23"/>
      <c r="Z139" s="26" t="n">
        <f aca="false">N(W139)+N(X139)-N(Y139)</f>
        <v>0</v>
      </c>
      <c r="AA139" s="37" t="n">
        <f aca="false">N(E139)+N(I139)+N(M139)+N(Q139)+N(U139)+N(Y139)</f>
        <v>0</v>
      </c>
      <c r="AB139" s="26" t="n">
        <f aca="false">F139+J139+N139+R139+V139+Z139</f>
        <v>0</v>
      </c>
      <c r="AC139" s="83" t="str">
        <f aca="false">IF(B139="","",IF(AB139&lt;=0,"Clear",IF(AA139&gt;0,"Partial","Due")))</f>
        <v/>
      </c>
    </row>
    <row r="140" customFormat="false" ht="15" hidden="false" customHeight="false" outlineLevel="0" collapsed="false">
      <c r="A140" s="21" t="n">
        <v>125</v>
      </c>
      <c r="B140" s="46" t="str">
        <f aca="false">IF(Students!B129="","",Students!B129)</f>
        <v/>
      </c>
      <c r="C140" s="23"/>
      <c r="D140" s="33" t="n">
        <f aca="false">IF(B140="",0,N(Students!E129))</f>
        <v>0</v>
      </c>
      <c r="E140" s="23"/>
      <c r="F140" s="24" t="n">
        <f aca="false">N(C140)+N(D140)-N(E140)</f>
        <v>0</v>
      </c>
      <c r="G140" s="23"/>
      <c r="H140" s="33" t="n">
        <f aca="false">IF(B140="",0,N(Students!F129))</f>
        <v>0</v>
      </c>
      <c r="I140" s="23"/>
      <c r="J140" s="24" t="n">
        <f aca="false">N(G140)+N(H140)-N(I140)</f>
        <v>0</v>
      </c>
      <c r="K140" s="23"/>
      <c r="L140" s="33" t="n">
        <f aca="false">IF(B140="",0,N(Students!G129))</f>
        <v>0</v>
      </c>
      <c r="M140" s="23"/>
      <c r="N140" s="24" t="n">
        <f aca="false">N(K140)+N(L140)-N(M140)</f>
        <v>0</v>
      </c>
      <c r="O140" s="23"/>
      <c r="P140" s="33" t="n">
        <f aca="false">IF(B140="",0,N(Students!H129))</f>
        <v>0</v>
      </c>
      <c r="Q140" s="23"/>
      <c r="R140" s="24" t="n">
        <f aca="false">N(O140)+N(P140)-N(Q140)</f>
        <v>0</v>
      </c>
      <c r="S140" s="23"/>
      <c r="T140" s="33" t="n">
        <f aca="false">IF(B140="",0,N(Students!I129))</f>
        <v>0</v>
      </c>
      <c r="U140" s="23"/>
      <c r="V140" s="24" t="n">
        <f aca="false">N(S140)+N(T140)-N(U140)</f>
        <v>0</v>
      </c>
      <c r="W140" s="23"/>
      <c r="X140" s="33" t="n">
        <f aca="false">IF(B140="",0,N(Students!J129))</f>
        <v>0</v>
      </c>
      <c r="Y140" s="23"/>
      <c r="Z140" s="24" t="n">
        <f aca="false">N(W140)+N(X140)-N(Y140)</f>
        <v>0</v>
      </c>
      <c r="AA140" s="33" t="n">
        <f aca="false">N(E140)+N(I140)+N(M140)+N(Q140)+N(U140)+N(Y140)</f>
        <v>0</v>
      </c>
      <c r="AB140" s="24" t="n">
        <f aca="false">F140+J140+N140+R140+V140+Z140</f>
        <v>0</v>
      </c>
      <c r="AC140" s="81" t="str">
        <f aca="false">IF(B140="","",IF(AB140&lt;=0,"Clear",IF(AA140&gt;0,"Partial","Due")))</f>
        <v/>
      </c>
    </row>
    <row r="141" customFormat="false" ht="15" hidden="false" customHeight="false" outlineLevel="0" collapsed="false">
      <c r="A141" s="25" t="n">
        <v>126</v>
      </c>
      <c r="B141" s="82" t="str">
        <f aca="false">IF(Students!B130="","",Students!B130)</f>
        <v/>
      </c>
      <c r="C141" s="23"/>
      <c r="D141" s="37" t="n">
        <f aca="false">IF(B141="",0,N(Students!E130))</f>
        <v>0</v>
      </c>
      <c r="E141" s="23"/>
      <c r="F141" s="26" t="n">
        <f aca="false">N(C141)+N(D141)-N(E141)</f>
        <v>0</v>
      </c>
      <c r="G141" s="23"/>
      <c r="H141" s="37" t="n">
        <f aca="false">IF(B141="",0,N(Students!F130))</f>
        <v>0</v>
      </c>
      <c r="I141" s="23"/>
      <c r="J141" s="26" t="n">
        <f aca="false">N(G141)+N(H141)-N(I141)</f>
        <v>0</v>
      </c>
      <c r="K141" s="23"/>
      <c r="L141" s="37" t="n">
        <f aca="false">IF(B141="",0,N(Students!G130))</f>
        <v>0</v>
      </c>
      <c r="M141" s="23"/>
      <c r="N141" s="26" t="n">
        <f aca="false">N(K141)+N(L141)-N(M141)</f>
        <v>0</v>
      </c>
      <c r="O141" s="23"/>
      <c r="P141" s="37" t="n">
        <f aca="false">IF(B141="",0,N(Students!H130))</f>
        <v>0</v>
      </c>
      <c r="Q141" s="23"/>
      <c r="R141" s="26" t="n">
        <f aca="false">N(O141)+N(P141)-N(Q141)</f>
        <v>0</v>
      </c>
      <c r="S141" s="23"/>
      <c r="T141" s="37" t="n">
        <f aca="false">IF(B141="",0,N(Students!I130))</f>
        <v>0</v>
      </c>
      <c r="U141" s="23"/>
      <c r="V141" s="26" t="n">
        <f aca="false">N(S141)+N(T141)-N(U141)</f>
        <v>0</v>
      </c>
      <c r="W141" s="23"/>
      <c r="X141" s="37" t="n">
        <f aca="false">IF(B141="",0,N(Students!J130))</f>
        <v>0</v>
      </c>
      <c r="Y141" s="23"/>
      <c r="Z141" s="26" t="n">
        <f aca="false">N(W141)+N(X141)-N(Y141)</f>
        <v>0</v>
      </c>
      <c r="AA141" s="37" t="n">
        <f aca="false">N(E141)+N(I141)+N(M141)+N(Q141)+N(U141)+N(Y141)</f>
        <v>0</v>
      </c>
      <c r="AB141" s="26" t="n">
        <f aca="false">F141+J141+N141+R141+V141+Z141</f>
        <v>0</v>
      </c>
      <c r="AC141" s="83" t="str">
        <f aca="false">IF(B141="","",IF(AB141&lt;=0,"Clear",IF(AA141&gt;0,"Partial","Due")))</f>
        <v/>
      </c>
    </row>
    <row r="142" customFormat="false" ht="15" hidden="false" customHeight="false" outlineLevel="0" collapsed="false">
      <c r="A142" s="21" t="n">
        <v>127</v>
      </c>
      <c r="B142" s="46" t="str">
        <f aca="false">IF(Students!B131="","",Students!B131)</f>
        <v/>
      </c>
      <c r="C142" s="23"/>
      <c r="D142" s="33" t="n">
        <f aca="false">IF(B142="",0,N(Students!E131))</f>
        <v>0</v>
      </c>
      <c r="E142" s="23"/>
      <c r="F142" s="24" t="n">
        <f aca="false">N(C142)+N(D142)-N(E142)</f>
        <v>0</v>
      </c>
      <c r="G142" s="23"/>
      <c r="H142" s="33" t="n">
        <f aca="false">IF(B142="",0,N(Students!F131))</f>
        <v>0</v>
      </c>
      <c r="I142" s="23"/>
      <c r="J142" s="24" t="n">
        <f aca="false">N(G142)+N(H142)-N(I142)</f>
        <v>0</v>
      </c>
      <c r="K142" s="23"/>
      <c r="L142" s="33" t="n">
        <f aca="false">IF(B142="",0,N(Students!G131))</f>
        <v>0</v>
      </c>
      <c r="M142" s="23"/>
      <c r="N142" s="24" t="n">
        <f aca="false">N(K142)+N(L142)-N(M142)</f>
        <v>0</v>
      </c>
      <c r="O142" s="23"/>
      <c r="P142" s="33" t="n">
        <f aca="false">IF(B142="",0,N(Students!H131))</f>
        <v>0</v>
      </c>
      <c r="Q142" s="23"/>
      <c r="R142" s="24" t="n">
        <f aca="false">N(O142)+N(P142)-N(Q142)</f>
        <v>0</v>
      </c>
      <c r="S142" s="23"/>
      <c r="T142" s="33" t="n">
        <f aca="false">IF(B142="",0,N(Students!I131))</f>
        <v>0</v>
      </c>
      <c r="U142" s="23"/>
      <c r="V142" s="24" t="n">
        <f aca="false">N(S142)+N(T142)-N(U142)</f>
        <v>0</v>
      </c>
      <c r="W142" s="23"/>
      <c r="X142" s="33" t="n">
        <f aca="false">IF(B142="",0,N(Students!J131))</f>
        <v>0</v>
      </c>
      <c r="Y142" s="23"/>
      <c r="Z142" s="24" t="n">
        <f aca="false">N(W142)+N(X142)-N(Y142)</f>
        <v>0</v>
      </c>
      <c r="AA142" s="33" t="n">
        <f aca="false">N(E142)+N(I142)+N(M142)+N(Q142)+N(U142)+N(Y142)</f>
        <v>0</v>
      </c>
      <c r="AB142" s="24" t="n">
        <f aca="false">F142+J142+N142+R142+V142+Z142</f>
        <v>0</v>
      </c>
      <c r="AC142" s="81" t="str">
        <f aca="false">IF(B142="","",IF(AB142&lt;=0,"Clear",IF(AA142&gt;0,"Partial","Due")))</f>
        <v/>
      </c>
    </row>
    <row r="143" customFormat="false" ht="15" hidden="false" customHeight="false" outlineLevel="0" collapsed="false">
      <c r="A143" s="25" t="n">
        <v>128</v>
      </c>
      <c r="B143" s="82" t="str">
        <f aca="false">IF(Students!B132="","",Students!B132)</f>
        <v/>
      </c>
      <c r="C143" s="23"/>
      <c r="D143" s="37" t="n">
        <f aca="false">IF(B143="",0,N(Students!E132))</f>
        <v>0</v>
      </c>
      <c r="E143" s="23"/>
      <c r="F143" s="26" t="n">
        <f aca="false">N(C143)+N(D143)-N(E143)</f>
        <v>0</v>
      </c>
      <c r="G143" s="23"/>
      <c r="H143" s="37" t="n">
        <f aca="false">IF(B143="",0,N(Students!F132))</f>
        <v>0</v>
      </c>
      <c r="I143" s="23"/>
      <c r="J143" s="26" t="n">
        <f aca="false">N(G143)+N(H143)-N(I143)</f>
        <v>0</v>
      </c>
      <c r="K143" s="23"/>
      <c r="L143" s="37" t="n">
        <f aca="false">IF(B143="",0,N(Students!G132))</f>
        <v>0</v>
      </c>
      <c r="M143" s="23"/>
      <c r="N143" s="26" t="n">
        <f aca="false">N(K143)+N(L143)-N(M143)</f>
        <v>0</v>
      </c>
      <c r="O143" s="23"/>
      <c r="P143" s="37" t="n">
        <f aca="false">IF(B143="",0,N(Students!H132))</f>
        <v>0</v>
      </c>
      <c r="Q143" s="23"/>
      <c r="R143" s="26" t="n">
        <f aca="false">N(O143)+N(P143)-N(Q143)</f>
        <v>0</v>
      </c>
      <c r="S143" s="23"/>
      <c r="T143" s="37" t="n">
        <f aca="false">IF(B143="",0,N(Students!I132))</f>
        <v>0</v>
      </c>
      <c r="U143" s="23"/>
      <c r="V143" s="26" t="n">
        <f aca="false">N(S143)+N(T143)-N(U143)</f>
        <v>0</v>
      </c>
      <c r="W143" s="23"/>
      <c r="X143" s="37" t="n">
        <f aca="false">IF(B143="",0,N(Students!J132))</f>
        <v>0</v>
      </c>
      <c r="Y143" s="23"/>
      <c r="Z143" s="26" t="n">
        <f aca="false">N(W143)+N(X143)-N(Y143)</f>
        <v>0</v>
      </c>
      <c r="AA143" s="37" t="n">
        <f aca="false">N(E143)+N(I143)+N(M143)+N(Q143)+N(U143)+N(Y143)</f>
        <v>0</v>
      </c>
      <c r="AB143" s="26" t="n">
        <f aca="false">F143+J143+N143+R143+V143+Z143</f>
        <v>0</v>
      </c>
      <c r="AC143" s="83" t="str">
        <f aca="false">IF(B143="","",IF(AB143&lt;=0,"Clear",IF(AA143&gt;0,"Partial","Due")))</f>
        <v/>
      </c>
    </row>
    <row r="144" customFormat="false" ht="15" hidden="false" customHeight="false" outlineLevel="0" collapsed="false">
      <c r="A144" s="21" t="n">
        <v>129</v>
      </c>
      <c r="B144" s="46" t="str">
        <f aca="false">IF(Students!B133="","",Students!B133)</f>
        <v/>
      </c>
      <c r="C144" s="23"/>
      <c r="D144" s="33" t="n">
        <f aca="false">IF(B144="",0,N(Students!E133))</f>
        <v>0</v>
      </c>
      <c r="E144" s="23"/>
      <c r="F144" s="24" t="n">
        <f aca="false">N(C144)+N(D144)-N(E144)</f>
        <v>0</v>
      </c>
      <c r="G144" s="23"/>
      <c r="H144" s="33" t="n">
        <f aca="false">IF(B144="",0,N(Students!F133))</f>
        <v>0</v>
      </c>
      <c r="I144" s="23"/>
      <c r="J144" s="24" t="n">
        <f aca="false">N(G144)+N(H144)-N(I144)</f>
        <v>0</v>
      </c>
      <c r="K144" s="23"/>
      <c r="L144" s="33" t="n">
        <f aca="false">IF(B144="",0,N(Students!G133))</f>
        <v>0</v>
      </c>
      <c r="M144" s="23"/>
      <c r="N144" s="24" t="n">
        <f aca="false">N(K144)+N(L144)-N(M144)</f>
        <v>0</v>
      </c>
      <c r="O144" s="23"/>
      <c r="P144" s="33" t="n">
        <f aca="false">IF(B144="",0,N(Students!H133))</f>
        <v>0</v>
      </c>
      <c r="Q144" s="23"/>
      <c r="R144" s="24" t="n">
        <f aca="false">N(O144)+N(P144)-N(Q144)</f>
        <v>0</v>
      </c>
      <c r="S144" s="23"/>
      <c r="T144" s="33" t="n">
        <f aca="false">IF(B144="",0,N(Students!I133))</f>
        <v>0</v>
      </c>
      <c r="U144" s="23"/>
      <c r="V144" s="24" t="n">
        <f aca="false">N(S144)+N(T144)-N(U144)</f>
        <v>0</v>
      </c>
      <c r="W144" s="23"/>
      <c r="X144" s="33" t="n">
        <f aca="false">IF(B144="",0,N(Students!J133))</f>
        <v>0</v>
      </c>
      <c r="Y144" s="23"/>
      <c r="Z144" s="24" t="n">
        <f aca="false">N(W144)+N(X144)-N(Y144)</f>
        <v>0</v>
      </c>
      <c r="AA144" s="33" t="n">
        <f aca="false">N(E144)+N(I144)+N(M144)+N(Q144)+N(U144)+N(Y144)</f>
        <v>0</v>
      </c>
      <c r="AB144" s="24" t="n">
        <f aca="false">F144+J144+N144+R144+V144+Z144</f>
        <v>0</v>
      </c>
      <c r="AC144" s="81" t="str">
        <f aca="false">IF(B144="","",IF(AB144&lt;=0,"Clear",IF(AA144&gt;0,"Partial","Due")))</f>
        <v/>
      </c>
    </row>
    <row r="145" customFormat="false" ht="15" hidden="false" customHeight="false" outlineLevel="0" collapsed="false">
      <c r="A145" s="25" t="n">
        <v>130</v>
      </c>
      <c r="B145" s="82" t="str">
        <f aca="false">IF(Students!B134="","",Students!B134)</f>
        <v/>
      </c>
      <c r="C145" s="23"/>
      <c r="D145" s="37" t="n">
        <f aca="false">IF(B145="",0,N(Students!E134))</f>
        <v>0</v>
      </c>
      <c r="E145" s="23"/>
      <c r="F145" s="26" t="n">
        <f aca="false">N(C145)+N(D145)-N(E145)</f>
        <v>0</v>
      </c>
      <c r="G145" s="23"/>
      <c r="H145" s="37" t="n">
        <f aca="false">IF(B145="",0,N(Students!F134))</f>
        <v>0</v>
      </c>
      <c r="I145" s="23"/>
      <c r="J145" s="26" t="n">
        <f aca="false">N(G145)+N(H145)-N(I145)</f>
        <v>0</v>
      </c>
      <c r="K145" s="23"/>
      <c r="L145" s="37" t="n">
        <f aca="false">IF(B145="",0,N(Students!G134))</f>
        <v>0</v>
      </c>
      <c r="M145" s="23"/>
      <c r="N145" s="26" t="n">
        <f aca="false">N(K145)+N(L145)-N(M145)</f>
        <v>0</v>
      </c>
      <c r="O145" s="23"/>
      <c r="P145" s="37" t="n">
        <f aca="false">IF(B145="",0,N(Students!H134))</f>
        <v>0</v>
      </c>
      <c r="Q145" s="23"/>
      <c r="R145" s="26" t="n">
        <f aca="false">N(O145)+N(P145)-N(Q145)</f>
        <v>0</v>
      </c>
      <c r="S145" s="23"/>
      <c r="T145" s="37" t="n">
        <f aca="false">IF(B145="",0,N(Students!I134))</f>
        <v>0</v>
      </c>
      <c r="U145" s="23"/>
      <c r="V145" s="26" t="n">
        <f aca="false">N(S145)+N(T145)-N(U145)</f>
        <v>0</v>
      </c>
      <c r="W145" s="23"/>
      <c r="X145" s="37" t="n">
        <f aca="false">IF(B145="",0,N(Students!J134))</f>
        <v>0</v>
      </c>
      <c r="Y145" s="23"/>
      <c r="Z145" s="26" t="n">
        <f aca="false">N(W145)+N(X145)-N(Y145)</f>
        <v>0</v>
      </c>
      <c r="AA145" s="37" t="n">
        <f aca="false">N(E145)+N(I145)+N(M145)+N(Q145)+N(U145)+N(Y145)</f>
        <v>0</v>
      </c>
      <c r="AB145" s="26" t="n">
        <f aca="false">F145+J145+N145+R145+V145+Z145</f>
        <v>0</v>
      </c>
      <c r="AC145" s="83" t="str">
        <f aca="false">IF(B145="","",IF(AB145&lt;=0,"Clear",IF(AA145&gt;0,"Partial","Due")))</f>
        <v/>
      </c>
    </row>
    <row r="146" customFormat="false" ht="15" hidden="false" customHeight="false" outlineLevel="0" collapsed="false">
      <c r="A146" s="21" t="n">
        <v>131</v>
      </c>
      <c r="B146" s="46" t="str">
        <f aca="false">IF(Students!B135="","",Students!B135)</f>
        <v/>
      </c>
      <c r="C146" s="23"/>
      <c r="D146" s="33" t="n">
        <f aca="false">IF(B146="",0,N(Students!E135))</f>
        <v>0</v>
      </c>
      <c r="E146" s="23"/>
      <c r="F146" s="24" t="n">
        <f aca="false">N(C146)+N(D146)-N(E146)</f>
        <v>0</v>
      </c>
      <c r="G146" s="23"/>
      <c r="H146" s="33" t="n">
        <f aca="false">IF(B146="",0,N(Students!F135))</f>
        <v>0</v>
      </c>
      <c r="I146" s="23"/>
      <c r="J146" s="24" t="n">
        <f aca="false">N(G146)+N(H146)-N(I146)</f>
        <v>0</v>
      </c>
      <c r="K146" s="23"/>
      <c r="L146" s="33" t="n">
        <f aca="false">IF(B146="",0,N(Students!G135))</f>
        <v>0</v>
      </c>
      <c r="M146" s="23"/>
      <c r="N146" s="24" t="n">
        <f aca="false">N(K146)+N(L146)-N(M146)</f>
        <v>0</v>
      </c>
      <c r="O146" s="23"/>
      <c r="P146" s="33" t="n">
        <f aca="false">IF(B146="",0,N(Students!H135))</f>
        <v>0</v>
      </c>
      <c r="Q146" s="23"/>
      <c r="R146" s="24" t="n">
        <f aca="false">N(O146)+N(P146)-N(Q146)</f>
        <v>0</v>
      </c>
      <c r="S146" s="23"/>
      <c r="T146" s="33" t="n">
        <f aca="false">IF(B146="",0,N(Students!I135))</f>
        <v>0</v>
      </c>
      <c r="U146" s="23"/>
      <c r="V146" s="24" t="n">
        <f aca="false">N(S146)+N(T146)-N(U146)</f>
        <v>0</v>
      </c>
      <c r="W146" s="23"/>
      <c r="X146" s="33" t="n">
        <f aca="false">IF(B146="",0,N(Students!J135))</f>
        <v>0</v>
      </c>
      <c r="Y146" s="23"/>
      <c r="Z146" s="24" t="n">
        <f aca="false">N(W146)+N(X146)-N(Y146)</f>
        <v>0</v>
      </c>
      <c r="AA146" s="33" t="n">
        <f aca="false">N(E146)+N(I146)+N(M146)+N(Q146)+N(U146)+N(Y146)</f>
        <v>0</v>
      </c>
      <c r="AB146" s="24" t="n">
        <f aca="false">F146+J146+N146+R146+V146+Z146</f>
        <v>0</v>
      </c>
      <c r="AC146" s="81" t="str">
        <f aca="false">IF(B146="","",IF(AB146&lt;=0,"Clear",IF(AA146&gt;0,"Partial","Due")))</f>
        <v/>
      </c>
    </row>
    <row r="147" customFormat="false" ht="15" hidden="false" customHeight="false" outlineLevel="0" collapsed="false">
      <c r="A147" s="25" t="n">
        <v>132</v>
      </c>
      <c r="B147" s="82" t="str">
        <f aca="false">IF(Students!B136="","",Students!B136)</f>
        <v/>
      </c>
      <c r="C147" s="23"/>
      <c r="D147" s="37" t="n">
        <f aca="false">IF(B147="",0,N(Students!E136))</f>
        <v>0</v>
      </c>
      <c r="E147" s="23"/>
      <c r="F147" s="26" t="n">
        <f aca="false">N(C147)+N(D147)-N(E147)</f>
        <v>0</v>
      </c>
      <c r="G147" s="23"/>
      <c r="H147" s="37" t="n">
        <f aca="false">IF(B147="",0,N(Students!F136))</f>
        <v>0</v>
      </c>
      <c r="I147" s="23"/>
      <c r="J147" s="26" t="n">
        <f aca="false">N(G147)+N(H147)-N(I147)</f>
        <v>0</v>
      </c>
      <c r="K147" s="23"/>
      <c r="L147" s="37" t="n">
        <f aca="false">IF(B147="",0,N(Students!G136))</f>
        <v>0</v>
      </c>
      <c r="M147" s="23"/>
      <c r="N147" s="26" t="n">
        <f aca="false">N(K147)+N(L147)-N(M147)</f>
        <v>0</v>
      </c>
      <c r="O147" s="23"/>
      <c r="P147" s="37" t="n">
        <f aca="false">IF(B147="",0,N(Students!H136))</f>
        <v>0</v>
      </c>
      <c r="Q147" s="23"/>
      <c r="R147" s="26" t="n">
        <f aca="false">N(O147)+N(P147)-N(Q147)</f>
        <v>0</v>
      </c>
      <c r="S147" s="23"/>
      <c r="T147" s="37" t="n">
        <f aca="false">IF(B147="",0,N(Students!I136))</f>
        <v>0</v>
      </c>
      <c r="U147" s="23"/>
      <c r="V147" s="26" t="n">
        <f aca="false">N(S147)+N(T147)-N(U147)</f>
        <v>0</v>
      </c>
      <c r="W147" s="23"/>
      <c r="X147" s="37" t="n">
        <f aca="false">IF(B147="",0,N(Students!J136))</f>
        <v>0</v>
      </c>
      <c r="Y147" s="23"/>
      <c r="Z147" s="26" t="n">
        <f aca="false">N(W147)+N(X147)-N(Y147)</f>
        <v>0</v>
      </c>
      <c r="AA147" s="37" t="n">
        <f aca="false">N(E147)+N(I147)+N(M147)+N(Q147)+N(U147)+N(Y147)</f>
        <v>0</v>
      </c>
      <c r="AB147" s="26" t="n">
        <f aca="false">F147+J147+N147+R147+V147+Z147</f>
        <v>0</v>
      </c>
      <c r="AC147" s="83" t="str">
        <f aca="false">IF(B147="","",IF(AB147&lt;=0,"Clear",IF(AA147&gt;0,"Partial","Due")))</f>
        <v/>
      </c>
    </row>
    <row r="148" customFormat="false" ht="15" hidden="false" customHeight="false" outlineLevel="0" collapsed="false">
      <c r="A148" s="21" t="n">
        <v>133</v>
      </c>
      <c r="B148" s="46" t="str">
        <f aca="false">IF(Students!B137="","",Students!B137)</f>
        <v/>
      </c>
      <c r="C148" s="23"/>
      <c r="D148" s="33" t="n">
        <f aca="false">IF(B148="",0,N(Students!E137))</f>
        <v>0</v>
      </c>
      <c r="E148" s="23"/>
      <c r="F148" s="24" t="n">
        <f aca="false">N(C148)+N(D148)-N(E148)</f>
        <v>0</v>
      </c>
      <c r="G148" s="23"/>
      <c r="H148" s="33" t="n">
        <f aca="false">IF(B148="",0,N(Students!F137))</f>
        <v>0</v>
      </c>
      <c r="I148" s="23"/>
      <c r="J148" s="24" t="n">
        <f aca="false">N(G148)+N(H148)-N(I148)</f>
        <v>0</v>
      </c>
      <c r="K148" s="23"/>
      <c r="L148" s="33" t="n">
        <f aca="false">IF(B148="",0,N(Students!G137))</f>
        <v>0</v>
      </c>
      <c r="M148" s="23"/>
      <c r="N148" s="24" t="n">
        <f aca="false">N(K148)+N(L148)-N(M148)</f>
        <v>0</v>
      </c>
      <c r="O148" s="23"/>
      <c r="P148" s="33" t="n">
        <f aca="false">IF(B148="",0,N(Students!H137))</f>
        <v>0</v>
      </c>
      <c r="Q148" s="23"/>
      <c r="R148" s="24" t="n">
        <f aca="false">N(O148)+N(P148)-N(Q148)</f>
        <v>0</v>
      </c>
      <c r="S148" s="23"/>
      <c r="T148" s="33" t="n">
        <f aca="false">IF(B148="",0,N(Students!I137))</f>
        <v>0</v>
      </c>
      <c r="U148" s="23"/>
      <c r="V148" s="24" t="n">
        <f aca="false">N(S148)+N(T148)-N(U148)</f>
        <v>0</v>
      </c>
      <c r="W148" s="23"/>
      <c r="X148" s="33" t="n">
        <f aca="false">IF(B148="",0,N(Students!J137))</f>
        <v>0</v>
      </c>
      <c r="Y148" s="23"/>
      <c r="Z148" s="24" t="n">
        <f aca="false">N(W148)+N(X148)-N(Y148)</f>
        <v>0</v>
      </c>
      <c r="AA148" s="33" t="n">
        <f aca="false">N(E148)+N(I148)+N(M148)+N(Q148)+N(U148)+N(Y148)</f>
        <v>0</v>
      </c>
      <c r="AB148" s="24" t="n">
        <f aca="false">F148+J148+N148+R148+V148+Z148</f>
        <v>0</v>
      </c>
      <c r="AC148" s="81" t="str">
        <f aca="false">IF(B148="","",IF(AB148&lt;=0,"Clear",IF(AA148&gt;0,"Partial","Due")))</f>
        <v/>
      </c>
    </row>
    <row r="149" customFormat="false" ht="15" hidden="false" customHeight="false" outlineLevel="0" collapsed="false">
      <c r="A149" s="25" t="n">
        <v>134</v>
      </c>
      <c r="B149" s="82" t="str">
        <f aca="false">IF(Students!B138="","",Students!B138)</f>
        <v/>
      </c>
      <c r="C149" s="23"/>
      <c r="D149" s="37" t="n">
        <f aca="false">IF(B149="",0,N(Students!E138))</f>
        <v>0</v>
      </c>
      <c r="E149" s="23"/>
      <c r="F149" s="26" t="n">
        <f aca="false">N(C149)+N(D149)-N(E149)</f>
        <v>0</v>
      </c>
      <c r="G149" s="23"/>
      <c r="H149" s="37" t="n">
        <f aca="false">IF(B149="",0,N(Students!F138))</f>
        <v>0</v>
      </c>
      <c r="I149" s="23"/>
      <c r="J149" s="26" t="n">
        <f aca="false">N(G149)+N(H149)-N(I149)</f>
        <v>0</v>
      </c>
      <c r="K149" s="23"/>
      <c r="L149" s="37" t="n">
        <f aca="false">IF(B149="",0,N(Students!G138))</f>
        <v>0</v>
      </c>
      <c r="M149" s="23"/>
      <c r="N149" s="26" t="n">
        <f aca="false">N(K149)+N(L149)-N(M149)</f>
        <v>0</v>
      </c>
      <c r="O149" s="23"/>
      <c r="P149" s="37" t="n">
        <f aca="false">IF(B149="",0,N(Students!H138))</f>
        <v>0</v>
      </c>
      <c r="Q149" s="23"/>
      <c r="R149" s="26" t="n">
        <f aca="false">N(O149)+N(P149)-N(Q149)</f>
        <v>0</v>
      </c>
      <c r="S149" s="23"/>
      <c r="T149" s="37" t="n">
        <f aca="false">IF(B149="",0,N(Students!I138))</f>
        <v>0</v>
      </c>
      <c r="U149" s="23"/>
      <c r="V149" s="26" t="n">
        <f aca="false">N(S149)+N(T149)-N(U149)</f>
        <v>0</v>
      </c>
      <c r="W149" s="23"/>
      <c r="X149" s="37" t="n">
        <f aca="false">IF(B149="",0,N(Students!J138))</f>
        <v>0</v>
      </c>
      <c r="Y149" s="23"/>
      <c r="Z149" s="26" t="n">
        <f aca="false">N(W149)+N(X149)-N(Y149)</f>
        <v>0</v>
      </c>
      <c r="AA149" s="37" t="n">
        <f aca="false">N(E149)+N(I149)+N(M149)+N(Q149)+N(U149)+N(Y149)</f>
        <v>0</v>
      </c>
      <c r="AB149" s="26" t="n">
        <f aca="false">F149+J149+N149+R149+V149+Z149</f>
        <v>0</v>
      </c>
      <c r="AC149" s="83" t="str">
        <f aca="false">IF(B149="","",IF(AB149&lt;=0,"Clear",IF(AA149&gt;0,"Partial","Due")))</f>
        <v/>
      </c>
    </row>
    <row r="150" customFormat="false" ht="15" hidden="false" customHeight="false" outlineLevel="0" collapsed="false">
      <c r="A150" s="21" t="n">
        <v>135</v>
      </c>
      <c r="B150" s="46" t="str">
        <f aca="false">IF(Students!B139="","",Students!B139)</f>
        <v/>
      </c>
      <c r="C150" s="23"/>
      <c r="D150" s="33" t="n">
        <f aca="false">IF(B150="",0,N(Students!E139))</f>
        <v>0</v>
      </c>
      <c r="E150" s="23"/>
      <c r="F150" s="24" t="n">
        <f aca="false">N(C150)+N(D150)-N(E150)</f>
        <v>0</v>
      </c>
      <c r="G150" s="23"/>
      <c r="H150" s="33" t="n">
        <f aca="false">IF(B150="",0,N(Students!F139))</f>
        <v>0</v>
      </c>
      <c r="I150" s="23"/>
      <c r="J150" s="24" t="n">
        <f aca="false">N(G150)+N(H150)-N(I150)</f>
        <v>0</v>
      </c>
      <c r="K150" s="23"/>
      <c r="L150" s="33" t="n">
        <f aca="false">IF(B150="",0,N(Students!G139))</f>
        <v>0</v>
      </c>
      <c r="M150" s="23"/>
      <c r="N150" s="24" t="n">
        <f aca="false">N(K150)+N(L150)-N(M150)</f>
        <v>0</v>
      </c>
      <c r="O150" s="23"/>
      <c r="P150" s="33" t="n">
        <f aca="false">IF(B150="",0,N(Students!H139))</f>
        <v>0</v>
      </c>
      <c r="Q150" s="23"/>
      <c r="R150" s="24" t="n">
        <f aca="false">N(O150)+N(P150)-N(Q150)</f>
        <v>0</v>
      </c>
      <c r="S150" s="23"/>
      <c r="T150" s="33" t="n">
        <f aca="false">IF(B150="",0,N(Students!I139))</f>
        <v>0</v>
      </c>
      <c r="U150" s="23"/>
      <c r="V150" s="24" t="n">
        <f aca="false">N(S150)+N(T150)-N(U150)</f>
        <v>0</v>
      </c>
      <c r="W150" s="23"/>
      <c r="X150" s="33" t="n">
        <f aca="false">IF(B150="",0,N(Students!J139))</f>
        <v>0</v>
      </c>
      <c r="Y150" s="23"/>
      <c r="Z150" s="24" t="n">
        <f aca="false">N(W150)+N(X150)-N(Y150)</f>
        <v>0</v>
      </c>
      <c r="AA150" s="33" t="n">
        <f aca="false">N(E150)+N(I150)+N(M150)+N(Q150)+N(U150)+N(Y150)</f>
        <v>0</v>
      </c>
      <c r="AB150" s="24" t="n">
        <f aca="false">F150+J150+N150+R150+V150+Z150</f>
        <v>0</v>
      </c>
      <c r="AC150" s="81" t="str">
        <f aca="false">IF(B150="","",IF(AB150&lt;=0,"Clear",IF(AA150&gt;0,"Partial","Due")))</f>
        <v/>
      </c>
    </row>
    <row r="151" customFormat="false" ht="15" hidden="false" customHeight="false" outlineLevel="0" collapsed="false">
      <c r="A151" s="25" t="n">
        <v>136</v>
      </c>
      <c r="B151" s="82" t="str">
        <f aca="false">IF(Students!B140="","",Students!B140)</f>
        <v/>
      </c>
      <c r="C151" s="23"/>
      <c r="D151" s="37" t="n">
        <f aca="false">IF(B151="",0,N(Students!E140))</f>
        <v>0</v>
      </c>
      <c r="E151" s="23"/>
      <c r="F151" s="26" t="n">
        <f aca="false">N(C151)+N(D151)-N(E151)</f>
        <v>0</v>
      </c>
      <c r="G151" s="23"/>
      <c r="H151" s="37" t="n">
        <f aca="false">IF(B151="",0,N(Students!F140))</f>
        <v>0</v>
      </c>
      <c r="I151" s="23"/>
      <c r="J151" s="26" t="n">
        <f aca="false">N(G151)+N(H151)-N(I151)</f>
        <v>0</v>
      </c>
      <c r="K151" s="23"/>
      <c r="L151" s="37" t="n">
        <f aca="false">IF(B151="",0,N(Students!G140))</f>
        <v>0</v>
      </c>
      <c r="M151" s="23"/>
      <c r="N151" s="26" t="n">
        <f aca="false">N(K151)+N(L151)-N(M151)</f>
        <v>0</v>
      </c>
      <c r="O151" s="23"/>
      <c r="P151" s="37" t="n">
        <f aca="false">IF(B151="",0,N(Students!H140))</f>
        <v>0</v>
      </c>
      <c r="Q151" s="23"/>
      <c r="R151" s="26" t="n">
        <f aca="false">N(O151)+N(P151)-N(Q151)</f>
        <v>0</v>
      </c>
      <c r="S151" s="23"/>
      <c r="T151" s="37" t="n">
        <f aca="false">IF(B151="",0,N(Students!I140))</f>
        <v>0</v>
      </c>
      <c r="U151" s="23"/>
      <c r="V151" s="26" t="n">
        <f aca="false">N(S151)+N(T151)-N(U151)</f>
        <v>0</v>
      </c>
      <c r="W151" s="23"/>
      <c r="X151" s="37" t="n">
        <f aca="false">IF(B151="",0,N(Students!J140))</f>
        <v>0</v>
      </c>
      <c r="Y151" s="23"/>
      <c r="Z151" s="26" t="n">
        <f aca="false">N(W151)+N(X151)-N(Y151)</f>
        <v>0</v>
      </c>
      <c r="AA151" s="37" t="n">
        <f aca="false">N(E151)+N(I151)+N(M151)+N(Q151)+N(U151)+N(Y151)</f>
        <v>0</v>
      </c>
      <c r="AB151" s="26" t="n">
        <f aca="false">F151+J151+N151+R151+V151+Z151</f>
        <v>0</v>
      </c>
      <c r="AC151" s="83" t="str">
        <f aca="false">IF(B151="","",IF(AB151&lt;=0,"Clear",IF(AA151&gt;0,"Partial","Due")))</f>
        <v/>
      </c>
    </row>
    <row r="152" customFormat="false" ht="15" hidden="false" customHeight="false" outlineLevel="0" collapsed="false">
      <c r="A152" s="21" t="n">
        <v>137</v>
      </c>
      <c r="B152" s="46" t="str">
        <f aca="false">IF(Students!B141="","",Students!B141)</f>
        <v/>
      </c>
      <c r="C152" s="23"/>
      <c r="D152" s="33" t="n">
        <f aca="false">IF(B152="",0,N(Students!E141))</f>
        <v>0</v>
      </c>
      <c r="E152" s="23"/>
      <c r="F152" s="24" t="n">
        <f aca="false">N(C152)+N(D152)-N(E152)</f>
        <v>0</v>
      </c>
      <c r="G152" s="23"/>
      <c r="H152" s="33" t="n">
        <f aca="false">IF(B152="",0,N(Students!F141))</f>
        <v>0</v>
      </c>
      <c r="I152" s="23"/>
      <c r="J152" s="24" t="n">
        <f aca="false">N(G152)+N(H152)-N(I152)</f>
        <v>0</v>
      </c>
      <c r="K152" s="23"/>
      <c r="L152" s="33" t="n">
        <f aca="false">IF(B152="",0,N(Students!G141))</f>
        <v>0</v>
      </c>
      <c r="M152" s="23"/>
      <c r="N152" s="24" t="n">
        <f aca="false">N(K152)+N(L152)-N(M152)</f>
        <v>0</v>
      </c>
      <c r="O152" s="23"/>
      <c r="P152" s="33" t="n">
        <f aca="false">IF(B152="",0,N(Students!H141))</f>
        <v>0</v>
      </c>
      <c r="Q152" s="23"/>
      <c r="R152" s="24" t="n">
        <f aca="false">N(O152)+N(P152)-N(Q152)</f>
        <v>0</v>
      </c>
      <c r="S152" s="23"/>
      <c r="T152" s="33" t="n">
        <f aca="false">IF(B152="",0,N(Students!I141))</f>
        <v>0</v>
      </c>
      <c r="U152" s="23"/>
      <c r="V152" s="24" t="n">
        <f aca="false">N(S152)+N(T152)-N(U152)</f>
        <v>0</v>
      </c>
      <c r="W152" s="23"/>
      <c r="X152" s="33" t="n">
        <f aca="false">IF(B152="",0,N(Students!J141))</f>
        <v>0</v>
      </c>
      <c r="Y152" s="23"/>
      <c r="Z152" s="24" t="n">
        <f aca="false">N(W152)+N(X152)-N(Y152)</f>
        <v>0</v>
      </c>
      <c r="AA152" s="33" t="n">
        <f aca="false">N(E152)+N(I152)+N(M152)+N(Q152)+N(U152)+N(Y152)</f>
        <v>0</v>
      </c>
      <c r="AB152" s="24" t="n">
        <f aca="false">F152+J152+N152+R152+V152+Z152</f>
        <v>0</v>
      </c>
      <c r="AC152" s="81" t="str">
        <f aca="false">IF(B152="","",IF(AB152&lt;=0,"Clear",IF(AA152&gt;0,"Partial","Due")))</f>
        <v/>
      </c>
    </row>
    <row r="153" customFormat="false" ht="15" hidden="false" customHeight="false" outlineLevel="0" collapsed="false">
      <c r="A153" s="25" t="n">
        <v>138</v>
      </c>
      <c r="B153" s="82" t="str">
        <f aca="false">IF(Students!B142="","",Students!B142)</f>
        <v/>
      </c>
      <c r="C153" s="23"/>
      <c r="D153" s="37" t="n">
        <f aca="false">IF(B153="",0,N(Students!E142))</f>
        <v>0</v>
      </c>
      <c r="E153" s="23"/>
      <c r="F153" s="26" t="n">
        <f aca="false">N(C153)+N(D153)-N(E153)</f>
        <v>0</v>
      </c>
      <c r="G153" s="23"/>
      <c r="H153" s="37" t="n">
        <f aca="false">IF(B153="",0,N(Students!F142))</f>
        <v>0</v>
      </c>
      <c r="I153" s="23"/>
      <c r="J153" s="26" t="n">
        <f aca="false">N(G153)+N(H153)-N(I153)</f>
        <v>0</v>
      </c>
      <c r="K153" s="23"/>
      <c r="L153" s="37" t="n">
        <f aca="false">IF(B153="",0,N(Students!G142))</f>
        <v>0</v>
      </c>
      <c r="M153" s="23"/>
      <c r="N153" s="26" t="n">
        <f aca="false">N(K153)+N(L153)-N(M153)</f>
        <v>0</v>
      </c>
      <c r="O153" s="23"/>
      <c r="P153" s="37" t="n">
        <f aca="false">IF(B153="",0,N(Students!H142))</f>
        <v>0</v>
      </c>
      <c r="Q153" s="23"/>
      <c r="R153" s="26" t="n">
        <f aca="false">N(O153)+N(P153)-N(Q153)</f>
        <v>0</v>
      </c>
      <c r="S153" s="23"/>
      <c r="T153" s="37" t="n">
        <f aca="false">IF(B153="",0,N(Students!I142))</f>
        <v>0</v>
      </c>
      <c r="U153" s="23"/>
      <c r="V153" s="26" t="n">
        <f aca="false">N(S153)+N(T153)-N(U153)</f>
        <v>0</v>
      </c>
      <c r="W153" s="23"/>
      <c r="X153" s="37" t="n">
        <f aca="false">IF(B153="",0,N(Students!J142))</f>
        <v>0</v>
      </c>
      <c r="Y153" s="23"/>
      <c r="Z153" s="26" t="n">
        <f aca="false">N(W153)+N(X153)-N(Y153)</f>
        <v>0</v>
      </c>
      <c r="AA153" s="37" t="n">
        <f aca="false">N(E153)+N(I153)+N(M153)+N(Q153)+N(U153)+N(Y153)</f>
        <v>0</v>
      </c>
      <c r="AB153" s="26" t="n">
        <f aca="false">F153+J153+N153+R153+V153+Z153</f>
        <v>0</v>
      </c>
      <c r="AC153" s="83" t="str">
        <f aca="false">IF(B153="","",IF(AB153&lt;=0,"Clear",IF(AA153&gt;0,"Partial","Due")))</f>
        <v/>
      </c>
    </row>
    <row r="154" customFormat="false" ht="15" hidden="false" customHeight="false" outlineLevel="0" collapsed="false">
      <c r="A154" s="21" t="n">
        <v>139</v>
      </c>
      <c r="B154" s="46" t="str">
        <f aca="false">IF(Students!B143="","",Students!B143)</f>
        <v/>
      </c>
      <c r="C154" s="23"/>
      <c r="D154" s="33" t="n">
        <f aca="false">IF(B154="",0,N(Students!E143))</f>
        <v>0</v>
      </c>
      <c r="E154" s="23"/>
      <c r="F154" s="24" t="n">
        <f aca="false">N(C154)+N(D154)-N(E154)</f>
        <v>0</v>
      </c>
      <c r="G154" s="23"/>
      <c r="H154" s="33" t="n">
        <f aca="false">IF(B154="",0,N(Students!F143))</f>
        <v>0</v>
      </c>
      <c r="I154" s="23"/>
      <c r="J154" s="24" t="n">
        <f aca="false">N(G154)+N(H154)-N(I154)</f>
        <v>0</v>
      </c>
      <c r="K154" s="23"/>
      <c r="L154" s="33" t="n">
        <f aca="false">IF(B154="",0,N(Students!G143))</f>
        <v>0</v>
      </c>
      <c r="M154" s="23"/>
      <c r="N154" s="24" t="n">
        <f aca="false">N(K154)+N(L154)-N(M154)</f>
        <v>0</v>
      </c>
      <c r="O154" s="23"/>
      <c r="P154" s="33" t="n">
        <f aca="false">IF(B154="",0,N(Students!H143))</f>
        <v>0</v>
      </c>
      <c r="Q154" s="23"/>
      <c r="R154" s="24" t="n">
        <f aca="false">N(O154)+N(P154)-N(Q154)</f>
        <v>0</v>
      </c>
      <c r="S154" s="23"/>
      <c r="T154" s="33" t="n">
        <f aca="false">IF(B154="",0,N(Students!I143))</f>
        <v>0</v>
      </c>
      <c r="U154" s="23"/>
      <c r="V154" s="24" t="n">
        <f aca="false">N(S154)+N(T154)-N(U154)</f>
        <v>0</v>
      </c>
      <c r="W154" s="23"/>
      <c r="X154" s="33" t="n">
        <f aca="false">IF(B154="",0,N(Students!J143))</f>
        <v>0</v>
      </c>
      <c r="Y154" s="23"/>
      <c r="Z154" s="24" t="n">
        <f aca="false">N(W154)+N(X154)-N(Y154)</f>
        <v>0</v>
      </c>
      <c r="AA154" s="33" t="n">
        <f aca="false">N(E154)+N(I154)+N(M154)+N(Q154)+N(U154)+N(Y154)</f>
        <v>0</v>
      </c>
      <c r="AB154" s="24" t="n">
        <f aca="false">F154+J154+N154+R154+V154+Z154</f>
        <v>0</v>
      </c>
      <c r="AC154" s="81" t="str">
        <f aca="false">IF(B154="","",IF(AB154&lt;=0,"Clear",IF(AA154&gt;0,"Partial","Due")))</f>
        <v/>
      </c>
    </row>
    <row r="155" customFormat="false" ht="15" hidden="false" customHeight="false" outlineLevel="0" collapsed="false">
      <c r="A155" s="25" t="n">
        <v>140</v>
      </c>
      <c r="B155" s="82" t="str">
        <f aca="false">IF(Students!B144="","",Students!B144)</f>
        <v/>
      </c>
      <c r="C155" s="23"/>
      <c r="D155" s="37" t="n">
        <f aca="false">IF(B155="",0,N(Students!E144))</f>
        <v>0</v>
      </c>
      <c r="E155" s="23"/>
      <c r="F155" s="26" t="n">
        <f aca="false">N(C155)+N(D155)-N(E155)</f>
        <v>0</v>
      </c>
      <c r="G155" s="23"/>
      <c r="H155" s="37" t="n">
        <f aca="false">IF(B155="",0,N(Students!F144))</f>
        <v>0</v>
      </c>
      <c r="I155" s="23"/>
      <c r="J155" s="26" t="n">
        <f aca="false">N(G155)+N(H155)-N(I155)</f>
        <v>0</v>
      </c>
      <c r="K155" s="23"/>
      <c r="L155" s="37" t="n">
        <f aca="false">IF(B155="",0,N(Students!G144))</f>
        <v>0</v>
      </c>
      <c r="M155" s="23"/>
      <c r="N155" s="26" t="n">
        <f aca="false">N(K155)+N(L155)-N(M155)</f>
        <v>0</v>
      </c>
      <c r="O155" s="23"/>
      <c r="P155" s="37" t="n">
        <f aca="false">IF(B155="",0,N(Students!H144))</f>
        <v>0</v>
      </c>
      <c r="Q155" s="23"/>
      <c r="R155" s="26" t="n">
        <f aca="false">N(O155)+N(P155)-N(Q155)</f>
        <v>0</v>
      </c>
      <c r="S155" s="23"/>
      <c r="T155" s="37" t="n">
        <f aca="false">IF(B155="",0,N(Students!I144))</f>
        <v>0</v>
      </c>
      <c r="U155" s="23"/>
      <c r="V155" s="26" t="n">
        <f aca="false">N(S155)+N(T155)-N(U155)</f>
        <v>0</v>
      </c>
      <c r="W155" s="23"/>
      <c r="X155" s="37" t="n">
        <f aca="false">IF(B155="",0,N(Students!J144))</f>
        <v>0</v>
      </c>
      <c r="Y155" s="23"/>
      <c r="Z155" s="26" t="n">
        <f aca="false">N(W155)+N(X155)-N(Y155)</f>
        <v>0</v>
      </c>
      <c r="AA155" s="37" t="n">
        <f aca="false">N(E155)+N(I155)+N(M155)+N(Q155)+N(U155)+N(Y155)</f>
        <v>0</v>
      </c>
      <c r="AB155" s="26" t="n">
        <f aca="false">F155+J155+N155+R155+V155+Z155</f>
        <v>0</v>
      </c>
      <c r="AC155" s="83" t="str">
        <f aca="false">IF(B155="","",IF(AB155&lt;=0,"Clear",IF(AA155&gt;0,"Partial","Due")))</f>
        <v/>
      </c>
    </row>
    <row r="156" customFormat="false" ht="15" hidden="false" customHeight="false" outlineLevel="0" collapsed="false">
      <c r="A156" s="21" t="n">
        <v>141</v>
      </c>
      <c r="B156" s="46" t="str">
        <f aca="false">IF(Students!B145="","",Students!B145)</f>
        <v/>
      </c>
      <c r="C156" s="23"/>
      <c r="D156" s="33" t="n">
        <f aca="false">IF(B156="",0,N(Students!E145))</f>
        <v>0</v>
      </c>
      <c r="E156" s="23"/>
      <c r="F156" s="24" t="n">
        <f aca="false">N(C156)+N(D156)-N(E156)</f>
        <v>0</v>
      </c>
      <c r="G156" s="23"/>
      <c r="H156" s="33" t="n">
        <f aca="false">IF(B156="",0,N(Students!F145))</f>
        <v>0</v>
      </c>
      <c r="I156" s="23"/>
      <c r="J156" s="24" t="n">
        <f aca="false">N(G156)+N(H156)-N(I156)</f>
        <v>0</v>
      </c>
      <c r="K156" s="23"/>
      <c r="L156" s="33" t="n">
        <f aca="false">IF(B156="",0,N(Students!G145))</f>
        <v>0</v>
      </c>
      <c r="M156" s="23"/>
      <c r="N156" s="24" t="n">
        <f aca="false">N(K156)+N(L156)-N(M156)</f>
        <v>0</v>
      </c>
      <c r="O156" s="23"/>
      <c r="P156" s="33" t="n">
        <f aca="false">IF(B156="",0,N(Students!H145))</f>
        <v>0</v>
      </c>
      <c r="Q156" s="23"/>
      <c r="R156" s="24" t="n">
        <f aca="false">N(O156)+N(P156)-N(Q156)</f>
        <v>0</v>
      </c>
      <c r="S156" s="23"/>
      <c r="T156" s="33" t="n">
        <f aca="false">IF(B156="",0,N(Students!I145))</f>
        <v>0</v>
      </c>
      <c r="U156" s="23"/>
      <c r="V156" s="24" t="n">
        <f aca="false">N(S156)+N(T156)-N(U156)</f>
        <v>0</v>
      </c>
      <c r="W156" s="23"/>
      <c r="X156" s="33" t="n">
        <f aca="false">IF(B156="",0,N(Students!J145))</f>
        <v>0</v>
      </c>
      <c r="Y156" s="23"/>
      <c r="Z156" s="24" t="n">
        <f aca="false">N(W156)+N(X156)-N(Y156)</f>
        <v>0</v>
      </c>
      <c r="AA156" s="33" t="n">
        <f aca="false">N(E156)+N(I156)+N(M156)+N(Q156)+N(U156)+N(Y156)</f>
        <v>0</v>
      </c>
      <c r="AB156" s="24" t="n">
        <f aca="false">F156+J156+N156+R156+V156+Z156</f>
        <v>0</v>
      </c>
      <c r="AC156" s="81" t="str">
        <f aca="false">IF(B156="","",IF(AB156&lt;=0,"Clear",IF(AA156&gt;0,"Partial","Due")))</f>
        <v/>
      </c>
    </row>
    <row r="157" customFormat="false" ht="15" hidden="false" customHeight="false" outlineLevel="0" collapsed="false">
      <c r="A157" s="25" t="n">
        <v>142</v>
      </c>
      <c r="B157" s="82" t="str">
        <f aca="false">IF(Students!B146="","",Students!B146)</f>
        <v/>
      </c>
      <c r="C157" s="23"/>
      <c r="D157" s="37" t="n">
        <f aca="false">IF(B157="",0,N(Students!E146))</f>
        <v>0</v>
      </c>
      <c r="E157" s="23"/>
      <c r="F157" s="26" t="n">
        <f aca="false">N(C157)+N(D157)-N(E157)</f>
        <v>0</v>
      </c>
      <c r="G157" s="23"/>
      <c r="H157" s="37" t="n">
        <f aca="false">IF(B157="",0,N(Students!F146))</f>
        <v>0</v>
      </c>
      <c r="I157" s="23"/>
      <c r="J157" s="26" t="n">
        <f aca="false">N(G157)+N(H157)-N(I157)</f>
        <v>0</v>
      </c>
      <c r="K157" s="23"/>
      <c r="L157" s="37" t="n">
        <f aca="false">IF(B157="",0,N(Students!G146))</f>
        <v>0</v>
      </c>
      <c r="M157" s="23"/>
      <c r="N157" s="26" t="n">
        <f aca="false">N(K157)+N(L157)-N(M157)</f>
        <v>0</v>
      </c>
      <c r="O157" s="23"/>
      <c r="P157" s="37" t="n">
        <f aca="false">IF(B157="",0,N(Students!H146))</f>
        <v>0</v>
      </c>
      <c r="Q157" s="23"/>
      <c r="R157" s="26" t="n">
        <f aca="false">N(O157)+N(P157)-N(Q157)</f>
        <v>0</v>
      </c>
      <c r="S157" s="23"/>
      <c r="T157" s="37" t="n">
        <f aca="false">IF(B157="",0,N(Students!I146))</f>
        <v>0</v>
      </c>
      <c r="U157" s="23"/>
      <c r="V157" s="26" t="n">
        <f aca="false">N(S157)+N(T157)-N(U157)</f>
        <v>0</v>
      </c>
      <c r="W157" s="23"/>
      <c r="X157" s="37" t="n">
        <f aca="false">IF(B157="",0,N(Students!J146))</f>
        <v>0</v>
      </c>
      <c r="Y157" s="23"/>
      <c r="Z157" s="26" t="n">
        <f aca="false">N(W157)+N(X157)-N(Y157)</f>
        <v>0</v>
      </c>
      <c r="AA157" s="37" t="n">
        <f aca="false">N(E157)+N(I157)+N(M157)+N(Q157)+N(U157)+N(Y157)</f>
        <v>0</v>
      </c>
      <c r="AB157" s="26" t="n">
        <f aca="false">F157+J157+N157+R157+V157+Z157</f>
        <v>0</v>
      </c>
      <c r="AC157" s="83" t="str">
        <f aca="false">IF(B157="","",IF(AB157&lt;=0,"Clear",IF(AA157&gt;0,"Partial","Due")))</f>
        <v/>
      </c>
    </row>
    <row r="158" customFormat="false" ht="15" hidden="false" customHeight="false" outlineLevel="0" collapsed="false">
      <c r="A158" s="21" t="n">
        <v>143</v>
      </c>
      <c r="B158" s="46" t="str">
        <f aca="false">IF(Students!B147="","",Students!B147)</f>
        <v/>
      </c>
      <c r="C158" s="23"/>
      <c r="D158" s="33" t="n">
        <f aca="false">IF(B158="",0,N(Students!E147))</f>
        <v>0</v>
      </c>
      <c r="E158" s="23"/>
      <c r="F158" s="24" t="n">
        <f aca="false">N(C158)+N(D158)-N(E158)</f>
        <v>0</v>
      </c>
      <c r="G158" s="23"/>
      <c r="H158" s="33" t="n">
        <f aca="false">IF(B158="",0,N(Students!F147))</f>
        <v>0</v>
      </c>
      <c r="I158" s="23"/>
      <c r="J158" s="24" t="n">
        <f aca="false">N(G158)+N(H158)-N(I158)</f>
        <v>0</v>
      </c>
      <c r="K158" s="23"/>
      <c r="L158" s="33" t="n">
        <f aca="false">IF(B158="",0,N(Students!G147))</f>
        <v>0</v>
      </c>
      <c r="M158" s="23"/>
      <c r="N158" s="24" t="n">
        <f aca="false">N(K158)+N(L158)-N(M158)</f>
        <v>0</v>
      </c>
      <c r="O158" s="23"/>
      <c r="P158" s="33" t="n">
        <f aca="false">IF(B158="",0,N(Students!H147))</f>
        <v>0</v>
      </c>
      <c r="Q158" s="23"/>
      <c r="R158" s="24" t="n">
        <f aca="false">N(O158)+N(P158)-N(Q158)</f>
        <v>0</v>
      </c>
      <c r="S158" s="23"/>
      <c r="T158" s="33" t="n">
        <f aca="false">IF(B158="",0,N(Students!I147))</f>
        <v>0</v>
      </c>
      <c r="U158" s="23"/>
      <c r="V158" s="24" t="n">
        <f aca="false">N(S158)+N(T158)-N(U158)</f>
        <v>0</v>
      </c>
      <c r="W158" s="23"/>
      <c r="X158" s="33" t="n">
        <f aca="false">IF(B158="",0,N(Students!J147))</f>
        <v>0</v>
      </c>
      <c r="Y158" s="23"/>
      <c r="Z158" s="24" t="n">
        <f aca="false">N(W158)+N(X158)-N(Y158)</f>
        <v>0</v>
      </c>
      <c r="AA158" s="33" t="n">
        <f aca="false">N(E158)+N(I158)+N(M158)+N(Q158)+N(U158)+N(Y158)</f>
        <v>0</v>
      </c>
      <c r="AB158" s="24" t="n">
        <f aca="false">F158+J158+N158+R158+V158+Z158</f>
        <v>0</v>
      </c>
      <c r="AC158" s="81" t="str">
        <f aca="false">IF(B158="","",IF(AB158&lt;=0,"Clear",IF(AA158&gt;0,"Partial","Due")))</f>
        <v/>
      </c>
    </row>
    <row r="159" customFormat="false" ht="15" hidden="false" customHeight="false" outlineLevel="0" collapsed="false">
      <c r="A159" s="25" t="n">
        <v>144</v>
      </c>
      <c r="B159" s="82" t="str">
        <f aca="false">IF(Students!B148="","",Students!B148)</f>
        <v/>
      </c>
      <c r="C159" s="23"/>
      <c r="D159" s="37" t="n">
        <f aca="false">IF(B159="",0,N(Students!E148))</f>
        <v>0</v>
      </c>
      <c r="E159" s="23"/>
      <c r="F159" s="26" t="n">
        <f aca="false">N(C159)+N(D159)-N(E159)</f>
        <v>0</v>
      </c>
      <c r="G159" s="23"/>
      <c r="H159" s="37" t="n">
        <f aca="false">IF(B159="",0,N(Students!F148))</f>
        <v>0</v>
      </c>
      <c r="I159" s="23"/>
      <c r="J159" s="26" t="n">
        <f aca="false">N(G159)+N(H159)-N(I159)</f>
        <v>0</v>
      </c>
      <c r="K159" s="23"/>
      <c r="L159" s="37" t="n">
        <f aca="false">IF(B159="",0,N(Students!G148))</f>
        <v>0</v>
      </c>
      <c r="M159" s="23"/>
      <c r="N159" s="26" t="n">
        <f aca="false">N(K159)+N(L159)-N(M159)</f>
        <v>0</v>
      </c>
      <c r="O159" s="23"/>
      <c r="P159" s="37" t="n">
        <f aca="false">IF(B159="",0,N(Students!H148))</f>
        <v>0</v>
      </c>
      <c r="Q159" s="23"/>
      <c r="R159" s="26" t="n">
        <f aca="false">N(O159)+N(P159)-N(Q159)</f>
        <v>0</v>
      </c>
      <c r="S159" s="23"/>
      <c r="T159" s="37" t="n">
        <f aca="false">IF(B159="",0,N(Students!I148))</f>
        <v>0</v>
      </c>
      <c r="U159" s="23"/>
      <c r="V159" s="26" t="n">
        <f aca="false">N(S159)+N(T159)-N(U159)</f>
        <v>0</v>
      </c>
      <c r="W159" s="23"/>
      <c r="X159" s="37" t="n">
        <f aca="false">IF(B159="",0,N(Students!J148))</f>
        <v>0</v>
      </c>
      <c r="Y159" s="23"/>
      <c r="Z159" s="26" t="n">
        <f aca="false">N(W159)+N(X159)-N(Y159)</f>
        <v>0</v>
      </c>
      <c r="AA159" s="37" t="n">
        <f aca="false">N(E159)+N(I159)+N(M159)+N(Q159)+N(U159)+N(Y159)</f>
        <v>0</v>
      </c>
      <c r="AB159" s="26" t="n">
        <f aca="false">F159+J159+N159+R159+V159+Z159</f>
        <v>0</v>
      </c>
      <c r="AC159" s="83" t="str">
        <f aca="false">IF(B159="","",IF(AB159&lt;=0,"Clear",IF(AA159&gt;0,"Partial","Due")))</f>
        <v/>
      </c>
    </row>
    <row r="160" customFormat="false" ht="15" hidden="false" customHeight="false" outlineLevel="0" collapsed="false">
      <c r="A160" s="21" t="n">
        <v>145</v>
      </c>
      <c r="B160" s="46" t="str">
        <f aca="false">IF(Students!B149="","",Students!B149)</f>
        <v/>
      </c>
      <c r="C160" s="23"/>
      <c r="D160" s="33" t="n">
        <f aca="false">IF(B160="",0,N(Students!E149))</f>
        <v>0</v>
      </c>
      <c r="E160" s="23"/>
      <c r="F160" s="24" t="n">
        <f aca="false">N(C160)+N(D160)-N(E160)</f>
        <v>0</v>
      </c>
      <c r="G160" s="23"/>
      <c r="H160" s="33" t="n">
        <f aca="false">IF(B160="",0,N(Students!F149))</f>
        <v>0</v>
      </c>
      <c r="I160" s="23"/>
      <c r="J160" s="24" t="n">
        <f aca="false">N(G160)+N(H160)-N(I160)</f>
        <v>0</v>
      </c>
      <c r="K160" s="23"/>
      <c r="L160" s="33" t="n">
        <f aca="false">IF(B160="",0,N(Students!G149))</f>
        <v>0</v>
      </c>
      <c r="M160" s="23"/>
      <c r="N160" s="24" t="n">
        <f aca="false">N(K160)+N(L160)-N(M160)</f>
        <v>0</v>
      </c>
      <c r="O160" s="23"/>
      <c r="P160" s="33" t="n">
        <f aca="false">IF(B160="",0,N(Students!H149))</f>
        <v>0</v>
      </c>
      <c r="Q160" s="23"/>
      <c r="R160" s="24" t="n">
        <f aca="false">N(O160)+N(P160)-N(Q160)</f>
        <v>0</v>
      </c>
      <c r="S160" s="23"/>
      <c r="T160" s="33" t="n">
        <f aca="false">IF(B160="",0,N(Students!I149))</f>
        <v>0</v>
      </c>
      <c r="U160" s="23"/>
      <c r="V160" s="24" t="n">
        <f aca="false">N(S160)+N(T160)-N(U160)</f>
        <v>0</v>
      </c>
      <c r="W160" s="23"/>
      <c r="X160" s="33" t="n">
        <f aca="false">IF(B160="",0,N(Students!J149))</f>
        <v>0</v>
      </c>
      <c r="Y160" s="23"/>
      <c r="Z160" s="24" t="n">
        <f aca="false">N(W160)+N(X160)-N(Y160)</f>
        <v>0</v>
      </c>
      <c r="AA160" s="33" t="n">
        <f aca="false">N(E160)+N(I160)+N(M160)+N(Q160)+N(U160)+N(Y160)</f>
        <v>0</v>
      </c>
      <c r="AB160" s="24" t="n">
        <f aca="false">F160+J160+N160+R160+V160+Z160</f>
        <v>0</v>
      </c>
      <c r="AC160" s="81" t="str">
        <f aca="false">IF(B160="","",IF(AB160&lt;=0,"Clear",IF(AA160&gt;0,"Partial","Due")))</f>
        <v/>
      </c>
    </row>
    <row r="161" customFormat="false" ht="15" hidden="false" customHeight="false" outlineLevel="0" collapsed="false">
      <c r="A161" s="25" t="n">
        <v>146</v>
      </c>
      <c r="B161" s="82" t="str">
        <f aca="false">IF(Students!B150="","",Students!B150)</f>
        <v/>
      </c>
      <c r="C161" s="23"/>
      <c r="D161" s="37" t="n">
        <f aca="false">IF(B161="",0,N(Students!E150))</f>
        <v>0</v>
      </c>
      <c r="E161" s="23"/>
      <c r="F161" s="26" t="n">
        <f aca="false">N(C161)+N(D161)-N(E161)</f>
        <v>0</v>
      </c>
      <c r="G161" s="23"/>
      <c r="H161" s="37" t="n">
        <f aca="false">IF(B161="",0,N(Students!F150))</f>
        <v>0</v>
      </c>
      <c r="I161" s="23"/>
      <c r="J161" s="26" t="n">
        <f aca="false">N(G161)+N(H161)-N(I161)</f>
        <v>0</v>
      </c>
      <c r="K161" s="23"/>
      <c r="L161" s="37" t="n">
        <f aca="false">IF(B161="",0,N(Students!G150))</f>
        <v>0</v>
      </c>
      <c r="M161" s="23"/>
      <c r="N161" s="26" t="n">
        <f aca="false">N(K161)+N(L161)-N(M161)</f>
        <v>0</v>
      </c>
      <c r="O161" s="23"/>
      <c r="P161" s="37" t="n">
        <f aca="false">IF(B161="",0,N(Students!H150))</f>
        <v>0</v>
      </c>
      <c r="Q161" s="23"/>
      <c r="R161" s="26" t="n">
        <f aca="false">N(O161)+N(P161)-N(Q161)</f>
        <v>0</v>
      </c>
      <c r="S161" s="23"/>
      <c r="T161" s="37" t="n">
        <f aca="false">IF(B161="",0,N(Students!I150))</f>
        <v>0</v>
      </c>
      <c r="U161" s="23"/>
      <c r="V161" s="26" t="n">
        <f aca="false">N(S161)+N(T161)-N(U161)</f>
        <v>0</v>
      </c>
      <c r="W161" s="23"/>
      <c r="X161" s="37" t="n">
        <f aca="false">IF(B161="",0,N(Students!J150))</f>
        <v>0</v>
      </c>
      <c r="Y161" s="23"/>
      <c r="Z161" s="26" t="n">
        <f aca="false">N(W161)+N(X161)-N(Y161)</f>
        <v>0</v>
      </c>
      <c r="AA161" s="37" t="n">
        <f aca="false">N(E161)+N(I161)+N(M161)+N(Q161)+N(U161)+N(Y161)</f>
        <v>0</v>
      </c>
      <c r="AB161" s="26" t="n">
        <f aca="false">F161+J161+N161+R161+V161+Z161</f>
        <v>0</v>
      </c>
      <c r="AC161" s="83" t="str">
        <f aca="false">IF(B161="","",IF(AB161&lt;=0,"Clear",IF(AA161&gt;0,"Partial","Due")))</f>
        <v/>
      </c>
    </row>
    <row r="162" customFormat="false" ht="15" hidden="false" customHeight="false" outlineLevel="0" collapsed="false">
      <c r="A162" s="21" t="n">
        <v>147</v>
      </c>
      <c r="B162" s="46" t="str">
        <f aca="false">IF(Students!B151="","",Students!B151)</f>
        <v/>
      </c>
      <c r="C162" s="23"/>
      <c r="D162" s="33" t="n">
        <f aca="false">IF(B162="",0,N(Students!E151))</f>
        <v>0</v>
      </c>
      <c r="E162" s="23"/>
      <c r="F162" s="24" t="n">
        <f aca="false">N(C162)+N(D162)-N(E162)</f>
        <v>0</v>
      </c>
      <c r="G162" s="23"/>
      <c r="H162" s="33" t="n">
        <f aca="false">IF(B162="",0,N(Students!F151))</f>
        <v>0</v>
      </c>
      <c r="I162" s="23"/>
      <c r="J162" s="24" t="n">
        <f aca="false">N(G162)+N(H162)-N(I162)</f>
        <v>0</v>
      </c>
      <c r="K162" s="23"/>
      <c r="L162" s="33" t="n">
        <f aca="false">IF(B162="",0,N(Students!G151))</f>
        <v>0</v>
      </c>
      <c r="M162" s="23"/>
      <c r="N162" s="24" t="n">
        <f aca="false">N(K162)+N(L162)-N(M162)</f>
        <v>0</v>
      </c>
      <c r="O162" s="23"/>
      <c r="P162" s="33" t="n">
        <f aca="false">IF(B162="",0,N(Students!H151))</f>
        <v>0</v>
      </c>
      <c r="Q162" s="23"/>
      <c r="R162" s="24" t="n">
        <f aca="false">N(O162)+N(P162)-N(Q162)</f>
        <v>0</v>
      </c>
      <c r="S162" s="23"/>
      <c r="T162" s="33" t="n">
        <f aca="false">IF(B162="",0,N(Students!I151))</f>
        <v>0</v>
      </c>
      <c r="U162" s="23"/>
      <c r="V162" s="24" t="n">
        <f aca="false">N(S162)+N(T162)-N(U162)</f>
        <v>0</v>
      </c>
      <c r="W162" s="23"/>
      <c r="X162" s="33" t="n">
        <f aca="false">IF(B162="",0,N(Students!J151))</f>
        <v>0</v>
      </c>
      <c r="Y162" s="23"/>
      <c r="Z162" s="24" t="n">
        <f aca="false">N(W162)+N(X162)-N(Y162)</f>
        <v>0</v>
      </c>
      <c r="AA162" s="33" t="n">
        <f aca="false">N(E162)+N(I162)+N(M162)+N(Q162)+N(U162)+N(Y162)</f>
        <v>0</v>
      </c>
      <c r="AB162" s="24" t="n">
        <f aca="false">F162+J162+N162+R162+V162+Z162</f>
        <v>0</v>
      </c>
      <c r="AC162" s="81" t="str">
        <f aca="false">IF(B162="","",IF(AB162&lt;=0,"Clear",IF(AA162&gt;0,"Partial","Due")))</f>
        <v/>
      </c>
    </row>
    <row r="163" customFormat="false" ht="15" hidden="false" customHeight="false" outlineLevel="0" collapsed="false">
      <c r="A163" s="25" t="n">
        <v>148</v>
      </c>
      <c r="B163" s="82" t="str">
        <f aca="false">IF(Students!B152="","",Students!B152)</f>
        <v/>
      </c>
      <c r="C163" s="23"/>
      <c r="D163" s="37" t="n">
        <f aca="false">IF(B163="",0,N(Students!E152))</f>
        <v>0</v>
      </c>
      <c r="E163" s="23"/>
      <c r="F163" s="26" t="n">
        <f aca="false">N(C163)+N(D163)-N(E163)</f>
        <v>0</v>
      </c>
      <c r="G163" s="23"/>
      <c r="H163" s="37" t="n">
        <f aca="false">IF(B163="",0,N(Students!F152))</f>
        <v>0</v>
      </c>
      <c r="I163" s="23"/>
      <c r="J163" s="26" t="n">
        <f aca="false">N(G163)+N(H163)-N(I163)</f>
        <v>0</v>
      </c>
      <c r="K163" s="23"/>
      <c r="L163" s="37" t="n">
        <f aca="false">IF(B163="",0,N(Students!G152))</f>
        <v>0</v>
      </c>
      <c r="M163" s="23"/>
      <c r="N163" s="26" t="n">
        <f aca="false">N(K163)+N(L163)-N(M163)</f>
        <v>0</v>
      </c>
      <c r="O163" s="23"/>
      <c r="P163" s="37" t="n">
        <f aca="false">IF(B163="",0,N(Students!H152))</f>
        <v>0</v>
      </c>
      <c r="Q163" s="23"/>
      <c r="R163" s="26" t="n">
        <f aca="false">N(O163)+N(P163)-N(Q163)</f>
        <v>0</v>
      </c>
      <c r="S163" s="23"/>
      <c r="T163" s="37" t="n">
        <f aca="false">IF(B163="",0,N(Students!I152))</f>
        <v>0</v>
      </c>
      <c r="U163" s="23"/>
      <c r="V163" s="26" t="n">
        <f aca="false">N(S163)+N(T163)-N(U163)</f>
        <v>0</v>
      </c>
      <c r="W163" s="23"/>
      <c r="X163" s="37" t="n">
        <f aca="false">IF(B163="",0,N(Students!J152))</f>
        <v>0</v>
      </c>
      <c r="Y163" s="23"/>
      <c r="Z163" s="26" t="n">
        <f aca="false">N(W163)+N(X163)-N(Y163)</f>
        <v>0</v>
      </c>
      <c r="AA163" s="37" t="n">
        <f aca="false">N(E163)+N(I163)+N(M163)+N(Q163)+N(U163)+N(Y163)</f>
        <v>0</v>
      </c>
      <c r="AB163" s="26" t="n">
        <f aca="false">F163+J163+N163+R163+V163+Z163</f>
        <v>0</v>
      </c>
      <c r="AC163" s="83" t="str">
        <f aca="false">IF(B163="","",IF(AB163&lt;=0,"Clear",IF(AA163&gt;0,"Partial","Due")))</f>
        <v/>
      </c>
    </row>
    <row r="164" customFormat="false" ht="15" hidden="false" customHeight="false" outlineLevel="0" collapsed="false">
      <c r="A164" s="21" t="n">
        <v>149</v>
      </c>
      <c r="B164" s="46" t="str">
        <f aca="false">IF(Students!B153="","",Students!B153)</f>
        <v/>
      </c>
      <c r="C164" s="23"/>
      <c r="D164" s="33" t="n">
        <f aca="false">IF(B164="",0,N(Students!E153))</f>
        <v>0</v>
      </c>
      <c r="E164" s="23"/>
      <c r="F164" s="24" t="n">
        <f aca="false">N(C164)+N(D164)-N(E164)</f>
        <v>0</v>
      </c>
      <c r="G164" s="23"/>
      <c r="H164" s="33" t="n">
        <f aca="false">IF(B164="",0,N(Students!F153))</f>
        <v>0</v>
      </c>
      <c r="I164" s="23"/>
      <c r="J164" s="24" t="n">
        <f aca="false">N(G164)+N(H164)-N(I164)</f>
        <v>0</v>
      </c>
      <c r="K164" s="23"/>
      <c r="L164" s="33" t="n">
        <f aca="false">IF(B164="",0,N(Students!G153))</f>
        <v>0</v>
      </c>
      <c r="M164" s="23"/>
      <c r="N164" s="24" t="n">
        <f aca="false">N(K164)+N(L164)-N(M164)</f>
        <v>0</v>
      </c>
      <c r="O164" s="23"/>
      <c r="P164" s="33" t="n">
        <f aca="false">IF(B164="",0,N(Students!H153))</f>
        <v>0</v>
      </c>
      <c r="Q164" s="23"/>
      <c r="R164" s="24" t="n">
        <f aca="false">N(O164)+N(P164)-N(Q164)</f>
        <v>0</v>
      </c>
      <c r="S164" s="23"/>
      <c r="T164" s="33" t="n">
        <f aca="false">IF(B164="",0,N(Students!I153))</f>
        <v>0</v>
      </c>
      <c r="U164" s="23"/>
      <c r="V164" s="24" t="n">
        <f aca="false">N(S164)+N(T164)-N(U164)</f>
        <v>0</v>
      </c>
      <c r="W164" s="23"/>
      <c r="X164" s="33" t="n">
        <f aca="false">IF(B164="",0,N(Students!J153))</f>
        <v>0</v>
      </c>
      <c r="Y164" s="23"/>
      <c r="Z164" s="24" t="n">
        <f aca="false">N(W164)+N(X164)-N(Y164)</f>
        <v>0</v>
      </c>
      <c r="AA164" s="33" t="n">
        <f aca="false">N(E164)+N(I164)+N(M164)+N(Q164)+N(U164)+N(Y164)</f>
        <v>0</v>
      </c>
      <c r="AB164" s="24" t="n">
        <f aca="false">F164+J164+N164+R164+V164+Z164</f>
        <v>0</v>
      </c>
      <c r="AC164" s="81" t="str">
        <f aca="false">IF(B164="","",IF(AB164&lt;=0,"Clear",IF(AA164&gt;0,"Partial","Due")))</f>
        <v/>
      </c>
    </row>
    <row r="165" customFormat="false" ht="15" hidden="false" customHeight="false" outlineLevel="0" collapsed="false">
      <c r="A165" s="25" t="n">
        <v>150</v>
      </c>
      <c r="B165" s="82" t="str">
        <f aca="false">IF(Students!B154="","",Students!B154)</f>
        <v/>
      </c>
      <c r="C165" s="23"/>
      <c r="D165" s="37" t="n">
        <f aca="false">IF(B165="",0,N(Students!E154))</f>
        <v>0</v>
      </c>
      <c r="E165" s="23"/>
      <c r="F165" s="26" t="n">
        <f aca="false">N(C165)+N(D165)-N(E165)</f>
        <v>0</v>
      </c>
      <c r="G165" s="23"/>
      <c r="H165" s="37" t="n">
        <f aca="false">IF(B165="",0,N(Students!F154))</f>
        <v>0</v>
      </c>
      <c r="I165" s="23"/>
      <c r="J165" s="26" t="n">
        <f aca="false">N(G165)+N(H165)-N(I165)</f>
        <v>0</v>
      </c>
      <c r="K165" s="23"/>
      <c r="L165" s="37" t="n">
        <f aca="false">IF(B165="",0,N(Students!G154))</f>
        <v>0</v>
      </c>
      <c r="M165" s="23"/>
      <c r="N165" s="26" t="n">
        <f aca="false">N(K165)+N(L165)-N(M165)</f>
        <v>0</v>
      </c>
      <c r="O165" s="23"/>
      <c r="P165" s="37" t="n">
        <f aca="false">IF(B165="",0,N(Students!H154))</f>
        <v>0</v>
      </c>
      <c r="Q165" s="23"/>
      <c r="R165" s="26" t="n">
        <f aca="false">N(O165)+N(P165)-N(Q165)</f>
        <v>0</v>
      </c>
      <c r="S165" s="23"/>
      <c r="T165" s="37" t="n">
        <f aca="false">IF(B165="",0,N(Students!I154))</f>
        <v>0</v>
      </c>
      <c r="U165" s="23"/>
      <c r="V165" s="26" t="n">
        <f aca="false">N(S165)+N(T165)-N(U165)</f>
        <v>0</v>
      </c>
      <c r="W165" s="23"/>
      <c r="X165" s="37" t="n">
        <f aca="false">IF(B165="",0,N(Students!J154))</f>
        <v>0</v>
      </c>
      <c r="Y165" s="23"/>
      <c r="Z165" s="26" t="n">
        <f aca="false">N(W165)+N(X165)-N(Y165)</f>
        <v>0</v>
      </c>
      <c r="AA165" s="37" t="n">
        <f aca="false">N(E165)+N(I165)+N(M165)+N(Q165)+N(U165)+N(Y165)</f>
        <v>0</v>
      </c>
      <c r="AB165" s="26" t="n">
        <f aca="false">F165+J165+N165+R165+V165+Z165</f>
        <v>0</v>
      </c>
      <c r="AC165" s="83" t="str">
        <f aca="false">IF(B165="","",IF(AB165&lt;=0,"Clear",IF(AA165&gt;0,"Partial","Due")))</f>
        <v/>
      </c>
    </row>
    <row r="166" customFormat="false" ht="15" hidden="false" customHeight="true" outlineLevel="0" collapsed="false">
      <c r="A166" s="4" t="s">
        <v>79</v>
      </c>
      <c r="B166" s="4"/>
      <c r="C166" s="41" t="n">
        <f aca="false">SUM(C16:C165)</f>
        <v>0</v>
      </c>
      <c r="D166" s="41" t="n">
        <f aca="false">SUM(D16:D165)</f>
        <v>0</v>
      </c>
      <c r="E166" s="41" t="n">
        <f aca="false">SUM(E16:E165)</f>
        <v>0</v>
      </c>
      <c r="F166" s="41" t="n">
        <f aca="false">SUM(F16:F165)</f>
        <v>0</v>
      </c>
      <c r="G166" s="41" t="n">
        <f aca="false">SUM(G16:G165)</f>
        <v>0</v>
      </c>
      <c r="H166" s="41" t="n">
        <f aca="false">SUM(H16:H165)</f>
        <v>2000</v>
      </c>
      <c r="I166" s="41" t="n">
        <f aca="false">SUM(I16:I165)</f>
        <v>2000</v>
      </c>
      <c r="J166" s="41" t="n">
        <f aca="false">SUM(J16:J165)</f>
        <v>0</v>
      </c>
      <c r="K166" s="41" t="n">
        <f aca="false">SUM(K16:K165)</f>
        <v>0</v>
      </c>
      <c r="L166" s="41" t="n">
        <f aca="false">SUM(L16:L165)</f>
        <v>0</v>
      </c>
      <c r="M166" s="41" t="n">
        <f aca="false">SUM(M16:M165)</f>
        <v>0</v>
      </c>
      <c r="N166" s="41" t="n">
        <f aca="false">SUM(N16:N165)</f>
        <v>0</v>
      </c>
      <c r="O166" s="41" t="n">
        <f aca="false">SUM(O16:O165)</f>
        <v>0</v>
      </c>
      <c r="P166" s="41" t="n">
        <f aca="false">SUM(P16:P165)</f>
        <v>1500</v>
      </c>
      <c r="Q166" s="41" t="n">
        <f aca="false">SUM(Q16:Q165)</f>
        <v>1000</v>
      </c>
      <c r="R166" s="41" t="n">
        <f aca="false">SUM(R16:R165)</f>
        <v>500</v>
      </c>
      <c r="S166" s="41" t="n">
        <f aca="false">SUM(S16:S165)</f>
        <v>0</v>
      </c>
      <c r="T166" s="41" t="n">
        <f aca="false">SUM(T16:T165)</f>
        <v>0</v>
      </c>
      <c r="U166" s="41" t="n">
        <f aca="false">SUM(U16:U165)</f>
        <v>0</v>
      </c>
      <c r="V166" s="41" t="n">
        <f aca="false">SUM(V16:V165)</f>
        <v>0</v>
      </c>
      <c r="W166" s="41" t="n">
        <f aca="false">SUM(W16:W165)</f>
        <v>0</v>
      </c>
      <c r="X166" s="41" t="n">
        <f aca="false">SUM(X16:X165)</f>
        <v>0</v>
      </c>
      <c r="Y166" s="41" t="n">
        <f aca="false">SUM(Y16:Y165)</f>
        <v>0</v>
      </c>
      <c r="Z166" s="41" t="n">
        <f aca="false">SUM(Z16:Z165)</f>
        <v>0</v>
      </c>
      <c r="AA166" s="41" t="n">
        <f aca="false">SUM(AA16:AA165)</f>
        <v>3000</v>
      </c>
      <c r="AB166" s="41" t="n">
        <f aca="false">SUM(AB16:AB165)</f>
        <v>500</v>
      </c>
      <c r="AC166" s="43"/>
    </row>
  </sheetData>
  <mergeCells count="34">
    <mergeCell ref="A1:AC1"/>
    <mergeCell ref="A2:AC2"/>
    <mergeCell ref="B4:I4"/>
    <mergeCell ref="K4:N4"/>
    <mergeCell ref="C5:D5"/>
    <mergeCell ref="K5:M5"/>
    <mergeCell ref="P5:R5"/>
    <mergeCell ref="T5:V5"/>
    <mergeCell ref="X5:Z5"/>
    <mergeCell ref="C6:D6"/>
    <mergeCell ref="K6:M6"/>
    <mergeCell ref="P6:R7"/>
    <mergeCell ref="T6:V7"/>
    <mergeCell ref="X6:Z7"/>
    <mergeCell ref="C7:D7"/>
    <mergeCell ref="K7:M7"/>
    <mergeCell ref="C8:D8"/>
    <mergeCell ref="K8:M8"/>
    <mergeCell ref="C9:D9"/>
    <mergeCell ref="P9:Z9"/>
    <mergeCell ref="C10:D10"/>
    <mergeCell ref="K10:M10"/>
    <mergeCell ref="C11:D11"/>
    <mergeCell ref="K11:N11"/>
    <mergeCell ref="C12:D12"/>
    <mergeCell ref="A14:B14"/>
    <mergeCell ref="C14:F14"/>
    <mergeCell ref="G14:J14"/>
    <mergeCell ref="K14:N14"/>
    <mergeCell ref="O14:R14"/>
    <mergeCell ref="S14:V14"/>
    <mergeCell ref="W14:Z14"/>
    <mergeCell ref="AA14:AC14"/>
    <mergeCell ref="A166:B166"/>
  </mergeCells>
  <conditionalFormatting sqref="AC16:AC165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F16:F165 J16:J165 N16:N165 R16:R165 V16:V165 Z16:Z165 AB16:AB165">
    <cfRule type="cellIs" priority="5" operator="greaterThan" aboveAverage="0" equalAverage="0" bottom="0" percent="0" rank="0" text="" dxfId="0">
      <formula>0</formula>
    </cfRule>
  </conditionalFormatting>
  <conditionalFormatting sqref="N10"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AC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29" min="5" style="0" width="11.5"/>
  </cols>
  <sheetData>
    <row r="1" customFormat="false" ht="31.5" hidden="false" customHeight="true" outlineLevel="0" collapsed="false">
      <c r="A1" s="54" t="str">
        <f aca="false">UPPER(Setup!B3)</f>
        <v>FUTURE TALENT ACADEMY JAMSHORO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customFormat="false" ht="21.75" hidden="false" customHeight="true" outlineLevel="0" collapsed="false">
      <c r="A2" s="55" t="s">
        <v>103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customFormat="false" ht="15" hidden="false" customHeight="true" outlineLevel="0" collapsed="false">
      <c r="B4" s="4" t="s">
        <v>82</v>
      </c>
      <c r="C4" s="4"/>
      <c r="D4" s="4"/>
      <c r="E4" s="4"/>
      <c r="F4" s="4"/>
      <c r="G4" s="4"/>
      <c r="H4" s="4"/>
      <c r="I4" s="4"/>
      <c r="K4" s="28" t="s">
        <v>83</v>
      </c>
      <c r="L4" s="28"/>
      <c r="M4" s="28"/>
      <c r="N4" s="28"/>
    </row>
    <row r="5" customFormat="false" ht="22.35" hidden="false" customHeight="true" outlineLevel="0" collapsed="false">
      <c r="B5" s="56" t="s">
        <v>76</v>
      </c>
      <c r="C5" s="56" t="s">
        <v>77</v>
      </c>
      <c r="D5" s="56"/>
      <c r="E5" s="56" t="s">
        <v>84</v>
      </c>
      <c r="F5" s="56" t="s">
        <v>85</v>
      </c>
      <c r="G5" s="56" t="s">
        <v>5</v>
      </c>
      <c r="H5" s="56" t="s">
        <v>6</v>
      </c>
      <c r="I5" s="56" t="s">
        <v>86</v>
      </c>
      <c r="K5" s="57" t="s">
        <v>87</v>
      </c>
      <c r="L5" s="57"/>
      <c r="M5" s="57"/>
      <c r="N5" s="58" t="n">
        <f aca="false">H12</f>
        <v>0</v>
      </c>
      <c r="P5" s="59" t="s">
        <v>88</v>
      </c>
      <c r="Q5" s="59"/>
      <c r="R5" s="59"/>
      <c r="T5" s="60" t="s">
        <v>89</v>
      </c>
      <c r="U5" s="60"/>
      <c r="V5" s="60"/>
      <c r="X5" s="61" t="s">
        <v>90</v>
      </c>
      <c r="Y5" s="61"/>
      <c r="Z5" s="61"/>
    </row>
    <row r="6" customFormat="false" ht="15" hidden="false" customHeight="true" outlineLevel="0" collapsed="false">
      <c r="B6" s="62" t="str">
        <f aca="false">Setup!A6</f>
        <v>English</v>
      </c>
      <c r="C6" s="63" t="str">
        <f aca="false">Setup!B6</f>
        <v>Sir Sajjad Ali Birhmani</v>
      </c>
      <c r="D6" s="63"/>
      <c r="E6" s="64" t="n">
        <f aca="false">D166</f>
        <v>0</v>
      </c>
      <c r="F6" s="58" t="n">
        <f aca="false">E166</f>
        <v>0</v>
      </c>
      <c r="G6" s="65" t="n">
        <f aca="false">F6*Setup!C6</f>
        <v>0</v>
      </c>
      <c r="H6" s="66" t="n">
        <f aca="false">F6-G6</f>
        <v>0</v>
      </c>
      <c r="I6" s="67" t="n">
        <f aca="false">F166</f>
        <v>0</v>
      </c>
      <c r="K6" s="57" t="s">
        <v>91</v>
      </c>
      <c r="L6" s="57"/>
      <c r="M6" s="57"/>
      <c r="N6" s="65" t="n">
        <f aca="false">SUMIFS(Administration!$G$5:$G$304,Administration!$C$5:$C$304,"Nov 2026",Administration!$D$5:$D$304,"Other Income")</f>
        <v>0</v>
      </c>
      <c r="P6" s="68" t="n">
        <f aca="false">F12</f>
        <v>0</v>
      </c>
      <c r="Q6" s="68"/>
      <c r="R6" s="68"/>
      <c r="T6" s="69" t="n">
        <f aca="false">G12</f>
        <v>0</v>
      </c>
      <c r="U6" s="69"/>
      <c r="V6" s="69"/>
      <c r="X6" s="70" t="n">
        <f aca="false">I12</f>
        <v>4000</v>
      </c>
      <c r="Y6" s="70"/>
      <c r="Z6" s="70"/>
    </row>
    <row r="7" customFormat="false" ht="15" hidden="false" customHeight="true" outlineLevel="0" collapsed="false">
      <c r="B7" s="71" t="str">
        <f aca="false">Setup!A7</f>
        <v>Computer</v>
      </c>
      <c r="C7" s="63" t="str">
        <f aca="false">Setup!B7</f>
        <v>Sir Nazeer Ahmed Jamali</v>
      </c>
      <c r="D7" s="63"/>
      <c r="E7" s="64" t="n">
        <f aca="false">H166</f>
        <v>2000</v>
      </c>
      <c r="F7" s="58" t="n">
        <f aca="false">I166</f>
        <v>0</v>
      </c>
      <c r="G7" s="65" t="n">
        <f aca="false">F7*Setup!C7</f>
        <v>0</v>
      </c>
      <c r="H7" s="66" t="n">
        <f aca="false">F7-G7</f>
        <v>0</v>
      </c>
      <c r="I7" s="67" t="n">
        <f aca="false">J166</f>
        <v>2000</v>
      </c>
      <c r="K7" s="57" t="s">
        <v>92</v>
      </c>
      <c r="L7" s="57"/>
      <c r="M7" s="57"/>
      <c r="N7" s="72" t="n">
        <f aca="false">SUMIFS(Administration!$G$5:$G$304,Administration!$C$5:$C$304,"Nov 2026",Administration!$D$5:$D$304,"Expense")</f>
        <v>0</v>
      </c>
      <c r="P7" s="68"/>
      <c r="Q7" s="68"/>
      <c r="R7" s="68"/>
      <c r="T7" s="69"/>
      <c r="U7" s="69"/>
      <c r="V7" s="69"/>
      <c r="X7" s="70"/>
      <c r="Y7" s="70"/>
      <c r="Z7" s="70"/>
    </row>
    <row r="8" customFormat="false" ht="15" hidden="false" customHeight="true" outlineLevel="0" collapsed="false">
      <c r="B8" s="73" t="str">
        <f aca="false">Setup!A8</f>
        <v>Biology</v>
      </c>
      <c r="C8" s="63" t="str">
        <f aca="false">Setup!B8</f>
        <v>Sir Azhar Ali Chandio</v>
      </c>
      <c r="D8" s="63"/>
      <c r="E8" s="64" t="n">
        <f aca="false">L166</f>
        <v>0</v>
      </c>
      <c r="F8" s="58" t="n">
        <f aca="false">M166</f>
        <v>0</v>
      </c>
      <c r="G8" s="65" t="n">
        <f aca="false">F8*Setup!C8</f>
        <v>0</v>
      </c>
      <c r="H8" s="66" t="n">
        <f aca="false">F8-G8</f>
        <v>0</v>
      </c>
      <c r="I8" s="67" t="n">
        <f aca="false">N166</f>
        <v>0</v>
      </c>
      <c r="K8" s="57" t="s">
        <v>93</v>
      </c>
      <c r="L8" s="57"/>
      <c r="M8" s="57"/>
      <c r="N8" s="72" t="n">
        <f aca="false">SUMIFS(Administration!$G$5:$G$304,Administration!$C$5:$C$304,"Nov 2026",Administration!$D$5:$D$304,"Investment")</f>
        <v>0</v>
      </c>
    </row>
    <row r="9" customFormat="false" ht="15" hidden="false" customHeight="false" outlineLevel="0" collapsed="false">
      <c r="B9" s="74" t="str">
        <f aca="false">Setup!A9</f>
        <v>Math</v>
      </c>
      <c r="C9" s="63" t="str">
        <f aca="false">Setup!B9</f>
        <v>Sir M. Faheem</v>
      </c>
      <c r="D9" s="63"/>
      <c r="E9" s="64" t="n">
        <f aca="false">P166</f>
        <v>1500</v>
      </c>
      <c r="F9" s="58" t="n">
        <f aca="false">Q166</f>
        <v>0</v>
      </c>
      <c r="G9" s="65" t="n">
        <f aca="false">F9*Setup!C9</f>
        <v>0</v>
      </c>
      <c r="H9" s="66" t="n">
        <f aca="false">F9-G9</f>
        <v>0</v>
      </c>
      <c r="I9" s="67" t="n">
        <f aca="false">R166</f>
        <v>2000</v>
      </c>
      <c r="P9" s="75" t="str">
        <f aca="false">COUNTIF(AC16:AC165,"Clear")&amp;" students fully paid   •   "&amp;(COUNTIF(AC16:AC165,"Due")+COUNTIF(AC16:AC165,"Partial"))&amp;" students with dues"</f>
        <v>0 students fully paid   •   1 students with dues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15" hidden="false" customHeight="true" outlineLevel="0" collapsed="false">
      <c r="B10" s="76" t="str">
        <f aca="false">Setup!A10</f>
        <v>Kids Coaching (Class 1)</v>
      </c>
      <c r="C10" s="63" t="str">
        <f aca="false">Setup!B10</f>
        <v>Miss Farzana</v>
      </c>
      <c r="D10" s="63"/>
      <c r="E10" s="64" t="n">
        <f aca="false">T166</f>
        <v>0</v>
      </c>
      <c r="F10" s="58" t="n">
        <f aca="false">U166</f>
        <v>0</v>
      </c>
      <c r="G10" s="65" t="n">
        <f aca="false">F10*Setup!C10</f>
        <v>0</v>
      </c>
      <c r="H10" s="66" t="n">
        <f aca="false">F10-G10</f>
        <v>0</v>
      </c>
      <c r="I10" s="67" t="n">
        <f aca="false">V166</f>
        <v>0</v>
      </c>
      <c r="K10" s="77" t="s">
        <v>59</v>
      </c>
      <c r="L10" s="77"/>
      <c r="M10" s="77"/>
      <c r="N10" s="78" t="n">
        <f aca="false">N5+N6-N7-N8</f>
        <v>0</v>
      </c>
    </row>
    <row r="11" customFormat="false" ht="15" hidden="false" customHeight="true" outlineLevel="0" collapsed="false">
      <c r="B11" s="79" t="str">
        <f aca="false">Setup!A11</f>
        <v>Kids Coaching (Class 2)</v>
      </c>
      <c r="C11" s="63" t="str">
        <f aca="false">Setup!B11</f>
        <v>Miss Fozia</v>
      </c>
      <c r="D11" s="63"/>
      <c r="E11" s="64" t="n">
        <f aca="false">X166</f>
        <v>0</v>
      </c>
      <c r="F11" s="58" t="n">
        <f aca="false">Y166</f>
        <v>0</v>
      </c>
      <c r="G11" s="65" t="n">
        <f aca="false">F11*Setup!C11</f>
        <v>0</v>
      </c>
      <c r="H11" s="66" t="n">
        <f aca="false">F11-G11</f>
        <v>0</v>
      </c>
      <c r="I11" s="67" t="n">
        <f aca="false">Z166</f>
        <v>0</v>
      </c>
      <c r="K11" s="53" t="s">
        <v>94</v>
      </c>
      <c r="L11" s="53"/>
      <c r="M11" s="53"/>
      <c r="N11" s="53"/>
    </row>
    <row r="12" customFormat="false" ht="15" hidden="false" customHeight="false" outlineLevel="0" collapsed="false">
      <c r="B12" s="40" t="s">
        <v>79</v>
      </c>
      <c r="C12" s="43"/>
      <c r="D12" s="43"/>
      <c r="E12" s="41" t="n">
        <f aca="false">SUM(E6:E11)</f>
        <v>3500</v>
      </c>
      <c r="F12" s="41" t="n">
        <f aca="false">SUM(F6:F11)</f>
        <v>0</v>
      </c>
      <c r="G12" s="41" t="n">
        <f aca="false">SUM(G6:G11)</f>
        <v>0</v>
      </c>
      <c r="H12" s="41" t="n">
        <f aca="false">SUM(H6:H11)</f>
        <v>0</v>
      </c>
      <c r="I12" s="41" t="n">
        <f aca="false">SUM(I6:I11)</f>
        <v>4000</v>
      </c>
    </row>
    <row r="14" customFormat="false" ht="25.5" hidden="false" customHeight="true" outlineLevel="0" collapsed="false">
      <c r="A14" s="4" t="s">
        <v>28</v>
      </c>
      <c r="B14" s="4"/>
      <c r="C14" s="14" t="str">
        <f aca="false">Setup!A6&amp;" — "&amp;Setup!B6</f>
        <v>English — Sir Sajjad Ali Birhmani</v>
      </c>
      <c r="D14" s="14"/>
      <c r="E14" s="14"/>
      <c r="F14" s="14"/>
      <c r="G14" s="15" t="str">
        <f aca="false">Setup!A7&amp;" — "&amp;Setup!B7</f>
        <v>Computer — Sir Nazeer Ahmed Jamali</v>
      </c>
      <c r="H14" s="15"/>
      <c r="I14" s="15"/>
      <c r="J14" s="15"/>
      <c r="K14" s="16" t="str">
        <f aca="false">Setup!A8&amp;" — "&amp;Setup!B8</f>
        <v>Biology — Sir Azhar Ali Chandio</v>
      </c>
      <c r="L14" s="16"/>
      <c r="M14" s="16"/>
      <c r="N14" s="16"/>
      <c r="O14" s="17" t="str">
        <f aca="false">Setup!A9&amp;" — "&amp;Setup!B9</f>
        <v>Math — Sir M. Faheem</v>
      </c>
      <c r="P14" s="17"/>
      <c r="Q14" s="17"/>
      <c r="R14" s="17"/>
      <c r="S14" s="18" t="str">
        <f aca="false">Setup!A10&amp;" — "&amp;Setup!B10</f>
        <v>Kids Coaching (Class 1) — Miss Farzana</v>
      </c>
      <c r="T14" s="18"/>
      <c r="U14" s="18"/>
      <c r="V14" s="18"/>
      <c r="W14" s="19" t="str">
        <f aca="false">Setup!A11&amp;" — "&amp;Setup!B11</f>
        <v>Kids Coaching (Class 2) — Miss Fozia</v>
      </c>
      <c r="X14" s="19"/>
      <c r="Y14" s="19"/>
      <c r="Z14" s="19"/>
      <c r="AA14" s="80" t="s">
        <v>95</v>
      </c>
      <c r="AB14" s="80"/>
      <c r="AC14" s="80"/>
    </row>
    <row r="15" customFormat="false" ht="30" hidden="false" customHeight="true" outlineLevel="0" collapsed="false">
      <c r="A15" s="13" t="s">
        <v>30</v>
      </c>
      <c r="B15" s="13" t="s">
        <v>31</v>
      </c>
      <c r="C15" s="14" t="s">
        <v>96</v>
      </c>
      <c r="D15" s="14" t="s">
        <v>97</v>
      </c>
      <c r="E15" s="14" t="s">
        <v>98</v>
      </c>
      <c r="F15" s="14" t="s">
        <v>99</v>
      </c>
      <c r="G15" s="15" t="s">
        <v>96</v>
      </c>
      <c r="H15" s="15" t="s">
        <v>97</v>
      </c>
      <c r="I15" s="15" t="s">
        <v>98</v>
      </c>
      <c r="J15" s="15" t="s">
        <v>99</v>
      </c>
      <c r="K15" s="16" t="s">
        <v>96</v>
      </c>
      <c r="L15" s="16" t="s">
        <v>97</v>
      </c>
      <c r="M15" s="16" t="s">
        <v>98</v>
      </c>
      <c r="N15" s="16" t="s">
        <v>99</v>
      </c>
      <c r="O15" s="17" t="s">
        <v>96</v>
      </c>
      <c r="P15" s="17" t="s">
        <v>97</v>
      </c>
      <c r="Q15" s="17" t="s">
        <v>98</v>
      </c>
      <c r="R15" s="17" t="s">
        <v>99</v>
      </c>
      <c r="S15" s="18" t="s">
        <v>96</v>
      </c>
      <c r="T15" s="18" t="s">
        <v>97</v>
      </c>
      <c r="U15" s="18" t="s">
        <v>98</v>
      </c>
      <c r="V15" s="18" t="s">
        <v>99</v>
      </c>
      <c r="W15" s="19" t="s">
        <v>96</v>
      </c>
      <c r="X15" s="19" t="s">
        <v>97</v>
      </c>
      <c r="Y15" s="19" t="s">
        <v>98</v>
      </c>
      <c r="Z15" s="19" t="s">
        <v>99</v>
      </c>
      <c r="AA15" s="20" t="s">
        <v>100</v>
      </c>
      <c r="AB15" s="20" t="s">
        <v>101</v>
      </c>
      <c r="AC15" s="20" t="s">
        <v>102</v>
      </c>
    </row>
    <row r="16" customFormat="false" ht="15" hidden="false" customHeight="false" outlineLevel="0" collapsed="false">
      <c r="A16" s="21" t="n">
        <v>1</v>
      </c>
      <c r="B16" s="46" t="str">
        <f aca="false">IF(Students!B5="","",Students!B5)</f>
        <v>Ali (example)</v>
      </c>
      <c r="C16" s="33" t="n">
        <f aca="false">'Oct 2026'!F16</f>
        <v>0</v>
      </c>
      <c r="D16" s="33" t="n">
        <f aca="false">IF(B16="",0,N(Students!E5))</f>
        <v>0</v>
      </c>
      <c r="E16" s="23"/>
      <c r="F16" s="24" t="n">
        <f aca="false">N(C16)+N(D16)-N(E16)</f>
        <v>0</v>
      </c>
      <c r="G16" s="33" t="n">
        <f aca="false">'Oct 2026'!J16</f>
        <v>0</v>
      </c>
      <c r="H16" s="33" t="n">
        <f aca="false">IF(B16="",0,N(Students!F5))</f>
        <v>2000</v>
      </c>
      <c r="I16" s="23"/>
      <c r="J16" s="24" t="n">
        <f aca="false">N(G16)+N(H16)-N(I16)</f>
        <v>2000</v>
      </c>
      <c r="K16" s="33" t="n">
        <f aca="false">'Oct 2026'!N16</f>
        <v>0</v>
      </c>
      <c r="L16" s="33" t="n">
        <f aca="false">IF(B16="",0,N(Students!G5))</f>
        <v>0</v>
      </c>
      <c r="M16" s="23"/>
      <c r="N16" s="24" t="n">
        <f aca="false">N(K16)+N(L16)-N(M16)</f>
        <v>0</v>
      </c>
      <c r="O16" s="33" t="n">
        <f aca="false">'Oct 2026'!R16</f>
        <v>500</v>
      </c>
      <c r="P16" s="33" t="n">
        <f aca="false">IF(B16="",0,N(Students!H5))</f>
        <v>1500</v>
      </c>
      <c r="Q16" s="23"/>
      <c r="R16" s="24" t="n">
        <f aca="false">N(O16)+N(P16)-N(Q16)</f>
        <v>2000</v>
      </c>
      <c r="S16" s="33" t="n">
        <f aca="false">'Oct 2026'!V16</f>
        <v>0</v>
      </c>
      <c r="T16" s="33" t="n">
        <f aca="false">IF(B16="",0,N(Students!I5))</f>
        <v>0</v>
      </c>
      <c r="U16" s="23"/>
      <c r="V16" s="24" t="n">
        <f aca="false">N(S16)+N(T16)-N(U16)</f>
        <v>0</v>
      </c>
      <c r="W16" s="33" t="n">
        <f aca="false">'Oct 2026'!Z16</f>
        <v>0</v>
      </c>
      <c r="X16" s="33" t="n">
        <f aca="false">IF(B16="",0,N(Students!J5))</f>
        <v>0</v>
      </c>
      <c r="Y16" s="23"/>
      <c r="Z16" s="24" t="n">
        <f aca="false">N(W16)+N(X16)-N(Y16)</f>
        <v>0</v>
      </c>
      <c r="AA16" s="33" t="n">
        <f aca="false">N(E16)+N(I16)+N(M16)+N(Q16)+N(U16)+N(Y16)</f>
        <v>0</v>
      </c>
      <c r="AB16" s="24" t="n">
        <f aca="false">F16+J16+N16+R16+V16+Z16</f>
        <v>4000</v>
      </c>
      <c r="AC16" s="81" t="str">
        <f aca="false">IF(B16="","",IF(AB16&lt;=0,"Clear",IF(AA16&gt;0,"Partial","Due")))</f>
        <v>Due</v>
      </c>
    </row>
    <row r="17" customFormat="false" ht="15" hidden="false" customHeight="false" outlineLevel="0" collapsed="false">
      <c r="A17" s="25" t="n">
        <v>2</v>
      </c>
      <c r="B17" s="82" t="str">
        <f aca="false">IF(Students!B6="","",Students!B6)</f>
        <v/>
      </c>
      <c r="C17" s="37" t="n">
        <f aca="false">'Oct 2026'!F17</f>
        <v>0</v>
      </c>
      <c r="D17" s="37" t="n">
        <f aca="false">IF(B17="",0,N(Students!E6))</f>
        <v>0</v>
      </c>
      <c r="E17" s="23"/>
      <c r="F17" s="26" t="n">
        <f aca="false">N(C17)+N(D17)-N(E17)</f>
        <v>0</v>
      </c>
      <c r="G17" s="37" t="n">
        <f aca="false">'Oct 2026'!J17</f>
        <v>0</v>
      </c>
      <c r="H17" s="37" t="n">
        <f aca="false">IF(B17="",0,N(Students!F6))</f>
        <v>0</v>
      </c>
      <c r="I17" s="23"/>
      <c r="J17" s="26" t="n">
        <f aca="false">N(G17)+N(H17)-N(I17)</f>
        <v>0</v>
      </c>
      <c r="K17" s="37" t="n">
        <f aca="false">'Oct 2026'!N17</f>
        <v>0</v>
      </c>
      <c r="L17" s="37" t="n">
        <f aca="false">IF(B17="",0,N(Students!G6))</f>
        <v>0</v>
      </c>
      <c r="M17" s="23"/>
      <c r="N17" s="26" t="n">
        <f aca="false">N(K17)+N(L17)-N(M17)</f>
        <v>0</v>
      </c>
      <c r="O17" s="37" t="n">
        <f aca="false">'Oct 2026'!R17</f>
        <v>0</v>
      </c>
      <c r="P17" s="37" t="n">
        <f aca="false">IF(B17="",0,N(Students!H6))</f>
        <v>0</v>
      </c>
      <c r="Q17" s="23"/>
      <c r="R17" s="26" t="n">
        <f aca="false">N(O17)+N(P17)-N(Q17)</f>
        <v>0</v>
      </c>
      <c r="S17" s="37" t="n">
        <f aca="false">'Oct 2026'!V17</f>
        <v>0</v>
      </c>
      <c r="T17" s="37" t="n">
        <f aca="false">IF(B17="",0,N(Students!I6))</f>
        <v>0</v>
      </c>
      <c r="U17" s="23"/>
      <c r="V17" s="26" t="n">
        <f aca="false">N(S17)+N(T17)-N(U17)</f>
        <v>0</v>
      </c>
      <c r="W17" s="37" t="n">
        <f aca="false">'Oct 2026'!Z17</f>
        <v>0</v>
      </c>
      <c r="X17" s="37" t="n">
        <f aca="false">IF(B17="",0,N(Students!J6))</f>
        <v>0</v>
      </c>
      <c r="Y17" s="23"/>
      <c r="Z17" s="26" t="n">
        <f aca="false">N(W17)+N(X17)-N(Y17)</f>
        <v>0</v>
      </c>
      <c r="AA17" s="37" t="n">
        <f aca="false">N(E17)+N(I17)+N(M17)+N(Q17)+N(U17)+N(Y17)</f>
        <v>0</v>
      </c>
      <c r="AB17" s="26" t="n">
        <f aca="false">F17+J17+N17+R17+V17+Z17</f>
        <v>0</v>
      </c>
      <c r="AC17" s="83" t="str">
        <f aca="false">IF(B17="","",IF(AB17&lt;=0,"Clear",IF(AA17&gt;0,"Partial","Due")))</f>
        <v/>
      </c>
    </row>
    <row r="18" customFormat="false" ht="15" hidden="false" customHeight="false" outlineLevel="0" collapsed="false">
      <c r="A18" s="21" t="n">
        <v>3</v>
      </c>
      <c r="B18" s="46" t="str">
        <f aca="false">IF(Students!B7="","",Students!B7)</f>
        <v/>
      </c>
      <c r="C18" s="33" t="n">
        <f aca="false">'Oct 2026'!F18</f>
        <v>0</v>
      </c>
      <c r="D18" s="33" t="n">
        <f aca="false">IF(B18="",0,N(Students!E7))</f>
        <v>0</v>
      </c>
      <c r="E18" s="23"/>
      <c r="F18" s="24" t="n">
        <f aca="false">N(C18)+N(D18)-N(E18)</f>
        <v>0</v>
      </c>
      <c r="G18" s="33" t="n">
        <f aca="false">'Oct 2026'!J18</f>
        <v>0</v>
      </c>
      <c r="H18" s="33" t="n">
        <f aca="false">IF(B18="",0,N(Students!F7))</f>
        <v>0</v>
      </c>
      <c r="I18" s="23"/>
      <c r="J18" s="24" t="n">
        <f aca="false">N(G18)+N(H18)-N(I18)</f>
        <v>0</v>
      </c>
      <c r="K18" s="33" t="n">
        <f aca="false">'Oct 2026'!N18</f>
        <v>0</v>
      </c>
      <c r="L18" s="33" t="n">
        <f aca="false">IF(B18="",0,N(Students!G7))</f>
        <v>0</v>
      </c>
      <c r="M18" s="23"/>
      <c r="N18" s="24" t="n">
        <f aca="false">N(K18)+N(L18)-N(M18)</f>
        <v>0</v>
      </c>
      <c r="O18" s="33" t="n">
        <f aca="false">'Oct 2026'!R18</f>
        <v>0</v>
      </c>
      <c r="P18" s="33" t="n">
        <f aca="false">IF(B18="",0,N(Students!H7))</f>
        <v>0</v>
      </c>
      <c r="Q18" s="23"/>
      <c r="R18" s="24" t="n">
        <f aca="false">N(O18)+N(P18)-N(Q18)</f>
        <v>0</v>
      </c>
      <c r="S18" s="33" t="n">
        <f aca="false">'Oct 2026'!V18</f>
        <v>0</v>
      </c>
      <c r="T18" s="33" t="n">
        <f aca="false">IF(B18="",0,N(Students!I7))</f>
        <v>0</v>
      </c>
      <c r="U18" s="23"/>
      <c r="V18" s="24" t="n">
        <f aca="false">N(S18)+N(T18)-N(U18)</f>
        <v>0</v>
      </c>
      <c r="W18" s="33" t="n">
        <f aca="false">'Oct 2026'!Z18</f>
        <v>0</v>
      </c>
      <c r="X18" s="33" t="n">
        <f aca="false">IF(B18="",0,N(Students!J7))</f>
        <v>0</v>
      </c>
      <c r="Y18" s="23"/>
      <c r="Z18" s="24" t="n">
        <f aca="false">N(W18)+N(X18)-N(Y18)</f>
        <v>0</v>
      </c>
      <c r="AA18" s="33" t="n">
        <f aca="false">N(E18)+N(I18)+N(M18)+N(Q18)+N(U18)+N(Y18)</f>
        <v>0</v>
      </c>
      <c r="AB18" s="24" t="n">
        <f aca="false">F18+J18+N18+R18+V18+Z18</f>
        <v>0</v>
      </c>
      <c r="AC18" s="81" t="str">
        <f aca="false">IF(B18="","",IF(AB18&lt;=0,"Clear",IF(AA18&gt;0,"Partial","Due")))</f>
        <v/>
      </c>
    </row>
    <row r="19" customFormat="false" ht="15" hidden="false" customHeight="false" outlineLevel="0" collapsed="false">
      <c r="A19" s="25" t="n">
        <v>4</v>
      </c>
      <c r="B19" s="82" t="str">
        <f aca="false">IF(Students!B8="","",Students!B8)</f>
        <v/>
      </c>
      <c r="C19" s="37" t="n">
        <f aca="false">'Oct 2026'!F19</f>
        <v>0</v>
      </c>
      <c r="D19" s="37" t="n">
        <f aca="false">IF(B19="",0,N(Students!E8))</f>
        <v>0</v>
      </c>
      <c r="E19" s="23"/>
      <c r="F19" s="26" t="n">
        <f aca="false">N(C19)+N(D19)-N(E19)</f>
        <v>0</v>
      </c>
      <c r="G19" s="37" t="n">
        <f aca="false">'Oct 2026'!J19</f>
        <v>0</v>
      </c>
      <c r="H19" s="37" t="n">
        <f aca="false">IF(B19="",0,N(Students!F8))</f>
        <v>0</v>
      </c>
      <c r="I19" s="23"/>
      <c r="J19" s="26" t="n">
        <f aca="false">N(G19)+N(H19)-N(I19)</f>
        <v>0</v>
      </c>
      <c r="K19" s="37" t="n">
        <f aca="false">'Oct 2026'!N19</f>
        <v>0</v>
      </c>
      <c r="L19" s="37" t="n">
        <f aca="false">IF(B19="",0,N(Students!G8))</f>
        <v>0</v>
      </c>
      <c r="M19" s="23"/>
      <c r="N19" s="26" t="n">
        <f aca="false">N(K19)+N(L19)-N(M19)</f>
        <v>0</v>
      </c>
      <c r="O19" s="37" t="n">
        <f aca="false">'Oct 2026'!R19</f>
        <v>0</v>
      </c>
      <c r="P19" s="37" t="n">
        <f aca="false">IF(B19="",0,N(Students!H8))</f>
        <v>0</v>
      </c>
      <c r="Q19" s="23"/>
      <c r="R19" s="26" t="n">
        <f aca="false">N(O19)+N(P19)-N(Q19)</f>
        <v>0</v>
      </c>
      <c r="S19" s="37" t="n">
        <f aca="false">'Oct 2026'!V19</f>
        <v>0</v>
      </c>
      <c r="T19" s="37" t="n">
        <f aca="false">IF(B19="",0,N(Students!I8))</f>
        <v>0</v>
      </c>
      <c r="U19" s="23"/>
      <c r="V19" s="26" t="n">
        <f aca="false">N(S19)+N(T19)-N(U19)</f>
        <v>0</v>
      </c>
      <c r="W19" s="37" t="n">
        <f aca="false">'Oct 2026'!Z19</f>
        <v>0</v>
      </c>
      <c r="X19" s="37" t="n">
        <f aca="false">IF(B19="",0,N(Students!J8))</f>
        <v>0</v>
      </c>
      <c r="Y19" s="23"/>
      <c r="Z19" s="26" t="n">
        <f aca="false">N(W19)+N(X19)-N(Y19)</f>
        <v>0</v>
      </c>
      <c r="AA19" s="37" t="n">
        <f aca="false">N(E19)+N(I19)+N(M19)+N(Q19)+N(U19)+N(Y19)</f>
        <v>0</v>
      </c>
      <c r="AB19" s="26" t="n">
        <f aca="false">F19+J19+N19+R19+V19+Z19</f>
        <v>0</v>
      </c>
      <c r="AC19" s="83" t="str">
        <f aca="false">IF(B19="","",IF(AB19&lt;=0,"Clear",IF(AA19&gt;0,"Partial","Due")))</f>
        <v/>
      </c>
    </row>
    <row r="20" customFormat="false" ht="15" hidden="false" customHeight="false" outlineLevel="0" collapsed="false">
      <c r="A20" s="21" t="n">
        <v>5</v>
      </c>
      <c r="B20" s="46" t="str">
        <f aca="false">IF(Students!B9="","",Students!B9)</f>
        <v/>
      </c>
      <c r="C20" s="33" t="n">
        <f aca="false">'Oct 2026'!F20</f>
        <v>0</v>
      </c>
      <c r="D20" s="33" t="n">
        <f aca="false">IF(B20="",0,N(Students!E9))</f>
        <v>0</v>
      </c>
      <c r="E20" s="23"/>
      <c r="F20" s="24" t="n">
        <f aca="false">N(C20)+N(D20)-N(E20)</f>
        <v>0</v>
      </c>
      <c r="G20" s="33" t="n">
        <f aca="false">'Oct 2026'!J20</f>
        <v>0</v>
      </c>
      <c r="H20" s="33" t="n">
        <f aca="false">IF(B20="",0,N(Students!F9))</f>
        <v>0</v>
      </c>
      <c r="I20" s="23"/>
      <c r="J20" s="24" t="n">
        <f aca="false">N(G20)+N(H20)-N(I20)</f>
        <v>0</v>
      </c>
      <c r="K20" s="33" t="n">
        <f aca="false">'Oct 2026'!N20</f>
        <v>0</v>
      </c>
      <c r="L20" s="33" t="n">
        <f aca="false">IF(B20="",0,N(Students!G9))</f>
        <v>0</v>
      </c>
      <c r="M20" s="23"/>
      <c r="N20" s="24" t="n">
        <f aca="false">N(K20)+N(L20)-N(M20)</f>
        <v>0</v>
      </c>
      <c r="O20" s="33" t="n">
        <f aca="false">'Oct 2026'!R20</f>
        <v>0</v>
      </c>
      <c r="P20" s="33" t="n">
        <f aca="false">IF(B20="",0,N(Students!H9))</f>
        <v>0</v>
      </c>
      <c r="Q20" s="23"/>
      <c r="R20" s="24" t="n">
        <f aca="false">N(O20)+N(P20)-N(Q20)</f>
        <v>0</v>
      </c>
      <c r="S20" s="33" t="n">
        <f aca="false">'Oct 2026'!V20</f>
        <v>0</v>
      </c>
      <c r="T20" s="33" t="n">
        <f aca="false">IF(B20="",0,N(Students!I9))</f>
        <v>0</v>
      </c>
      <c r="U20" s="23"/>
      <c r="V20" s="24" t="n">
        <f aca="false">N(S20)+N(T20)-N(U20)</f>
        <v>0</v>
      </c>
      <c r="W20" s="33" t="n">
        <f aca="false">'Oct 2026'!Z20</f>
        <v>0</v>
      </c>
      <c r="X20" s="33" t="n">
        <f aca="false">IF(B20="",0,N(Students!J9))</f>
        <v>0</v>
      </c>
      <c r="Y20" s="23"/>
      <c r="Z20" s="24" t="n">
        <f aca="false">N(W20)+N(X20)-N(Y20)</f>
        <v>0</v>
      </c>
      <c r="AA20" s="33" t="n">
        <f aca="false">N(E20)+N(I20)+N(M20)+N(Q20)+N(U20)+N(Y20)</f>
        <v>0</v>
      </c>
      <c r="AB20" s="24" t="n">
        <f aca="false">F20+J20+N20+R20+V20+Z20</f>
        <v>0</v>
      </c>
      <c r="AC20" s="81" t="str">
        <f aca="false">IF(B20="","",IF(AB20&lt;=0,"Clear",IF(AA20&gt;0,"Partial","Due")))</f>
        <v/>
      </c>
    </row>
    <row r="21" customFormat="false" ht="15" hidden="false" customHeight="false" outlineLevel="0" collapsed="false">
      <c r="A21" s="25" t="n">
        <v>6</v>
      </c>
      <c r="B21" s="82" t="str">
        <f aca="false">IF(Students!B10="","",Students!B10)</f>
        <v/>
      </c>
      <c r="C21" s="37" t="n">
        <f aca="false">'Oct 2026'!F21</f>
        <v>0</v>
      </c>
      <c r="D21" s="37" t="n">
        <f aca="false">IF(B21="",0,N(Students!E10))</f>
        <v>0</v>
      </c>
      <c r="E21" s="23"/>
      <c r="F21" s="26" t="n">
        <f aca="false">N(C21)+N(D21)-N(E21)</f>
        <v>0</v>
      </c>
      <c r="G21" s="37" t="n">
        <f aca="false">'Oct 2026'!J21</f>
        <v>0</v>
      </c>
      <c r="H21" s="37" t="n">
        <f aca="false">IF(B21="",0,N(Students!F10))</f>
        <v>0</v>
      </c>
      <c r="I21" s="23"/>
      <c r="J21" s="26" t="n">
        <f aca="false">N(G21)+N(H21)-N(I21)</f>
        <v>0</v>
      </c>
      <c r="K21" s="37" t="n">
        <f aca="false">'Oct 2026'!N21</f>
        <v>0</v>
      </c>
      <c r="L21" s="37" t="n">
        <f aca="false">IF(B21="",0,N(Students!G10))</f>
        <v>0</v>
      </c>
      <c r="M21" s="23"/>
      <c r="N21" s="26" t="n">
        <f aca="false">N(K21)+N(L21)-N(M21)</f>
        <v>0</v>
      </c>
      <c r="O21" s="37" t="n">
        <f aca="false">'Oct 2026'!R21</f>
        <v>0</v>
      </c>
      <c r="P21" s="37" t="n">
        <f aca="false">IF(B21="",0,N(Students!H10))</f>
        <v>0</v>
      </c>
      <c r="Q21" s="23"/>
      <c r="R21" s="26" t="n">
        <f aca="false">N(O21)+N(P21)-N(Q21)</f>
        <v>0</v>
      </c>
      <c r="S21" s="37" t="n">
        <f aca="false">'Oct 2026'!V21</f>
        <v>0</v>
      </c>
      <c r="T21" s="37" t="n">
        <f aca="false">IF(B21="",0,N(Students!I10))</f>
        <v>0</v>
      </c>
      <c r="U21" s="23"/>
      <c r="V21" s="26" t="n">
        <f aca="false">N(S21)+N(T21)-N(U21)</f>
        <v>0</v>
      </c>
      <c r="W21" s="37" t="n">
        <f aca="false">'Oct 2026'!Z21</f>
        <v>0</v>
      </c>
      <c r="X21" s="37" t="n">
        <f aca="false">IF(B21="",0,N(Students!J10))</f>
        <v>0</v>
      </c>
      <c r="Y21" s="23"/>
      <c r="Z21" s="26" t="n">
        <f aca="false">N(W21)+N(X21)-N(Y21)</f>
        <v>0</v>
      </c>
      <c r="AA21" s="37" t="n">
        <f aca="false">N(E21)+N(I21)+N(M21)+N(Q21)+N(U21)+N(Y21)</f>
        <v>0</v>
      </c>
      <c r="AB21" s="26" t="n">
        <f aca="false">F21+J21+N21+R21+V21+Z21</f>
        <v>0</v>
      </c>
      <c r="AC21" s="83" t="str">
        <f aca="false">IF(B21="","",IF(AB21&lt;=0,"Clear",IF(AA21&gt;0,"Partial","Due")))</f>
        <v/>
      </c>
    </row>
    <row r="22" customFormat="false" ht="15" hidden="false" customHeight="false" outlineLevel="0" collapsed="false">
      <c r="A22" s="21" t="n">
        <v>7</v>
      </c>
      <c r="B22" s="46" t="str">
        <f aca="false">IF(Students!B11="","",Students!B11)</f>
        <v/>
      </c>
      <c r="C22" s="33" t="n">
        <f aca="false">'Oct 2026'!F22</f>
        <v>0</v>
      </c>
      <c r="D22" s="33" t="n">
        <f aca="false">IF(B22="",0,N(Students!E11))</f>
        <v>0</v>
      </c>
      <c r="E22" s="23"/>
      <c r="F22" s="24" t="n">
        <f aca="false">N(C22)+N(D22)-N(E22)</f>
        <v>0</v>
      </c>
      <c r="G22" s="33" t="n">
        <f aca="false">'Oct 2026'!J22</f>
        <v>0</v>
      </c>
      <c r="H22" s="33" t="n">
        <f aca="false">IF(B22="",0,N(Students!F11))</f>
        <v>0</v>
      </c>
      <c r="I22" s="23"/>
      <c r="J22" s="24" t="n">
        <f aca="false">N(G22)+N(H22)-N(I22)</f>
        <v>0</v>
      </c>
      <c r="K22" s="33" t="n">
        <f aca="false">'Oct 2026'!N22</f>
        <v>0</v>
      </c>
      <c r="L22" s="33" t="n">
        <f aca="false">IF(B22="",0,N(Students!G11))</f>
        <v>0</v>
      </c>
      <c r="M22" s="23"/>
      <c r="N22" s="24" t="n">
        <f aca="false">N(K22)+N(L22)-N(M22)</f>
        <v>0</v>
      </c>
      <c r="O22" s="33" t="n">
        <f aca="false">'Oct 2026'!R22</f>
        <v>0</v>
      </c>
      <c r="P22" s="33" t="n">
        <f aca="false">IF(B22="",0,N(Students!H11))</f>
        <v>0</v>
      </c>
      <c r="Q22" s="23"/>
      <c r="R22" s="24" t="n">
        <f aca="false">N(O22)+N(P22)-N(Q22)</f>
        <v>0</v>
      </c>
      <c r="S22" s="33" t="n">
        <f aca="false">'Oct 2026'!V22</f>
        <v>0</v>
      </c>
      <c r="T22" s="33" t="n">
        <f aca="false">IF(B22="",0,N(Students!I11))</f>
        <v>0</v>
      </c>
      <c r="U22" s="23"/>
      <c r="V22" s="24" t="n">
        <f aca="false">N(S22)+N(T22)-N(U22)</f>
        <v>0</v>
      </c>
      <c r="W22" s="33" t="n">
        <f aca="false">'Oct 2026'!Z22</f>
        <v>0</v>
      </c>
      <c r="X22" s="33" t="n">
        <f aca="false">IF(B22="",0,N(Students!J11))</f>
        <v>0</v>
      </c>
      <c r="Y22" s="23"/>
      <c r="Z22" s="24" t="n">
        <f aca="false">N(W22)+N(X22)-N(Y22)</f>
        <v>0</v>
      </c>
      <c r="AA22" s="33" t="n">
        <f aca="false">N(E22)+N(I22)+N(M22)+N(Q22)+N(U22)+N(Y22)</f>
        <v>0</v>
      </c>
      <c r="AB22" s="24" t="n">
        <f aca="false">F22+J22+N22+R22+V22+Z22</f>
        <v>0</v>
      </c>
      <c r="AC22" s="81" t="str">
        <f aca="false">IF(B22="","",IF(AB22&lt;=0,"Clear",IF(AA22&gt;0,"Partial","Due")))</f>
        <v/>
      </c>
    </row>
    <row r="23" customFormat="false" ht="15" hidden="false" customHeight="false" outlineLevel="0" collapsed="false">
      <c r="A23" s="25" t="n">
        <v>8</v>
      </c>
      <c r="B23" s="82" t="str">
        <f aca="false">IF(Students!B12="","",Students!B12)</f>
        <v/>
      </c>
      <c r="C23" s="37" t="n">
        <f aca="false">'Oct 2026'!F23</f>
        <v>0</v>
      </c>
      <c r="D23" s="37" t="n">
        <f aca="false">IF(B23="",0,N(Students!E12))</f>
        <v>0</v>
      </c>
      <c r="E23" s="23"/>
      <c r="F23" s="26" t="n">
        <f aca="false">N(C23)+N(D23)-N(E23)</f>
        <v>0</v>
      </c>
      <c r="G23" s="37" t="n">
        <f aca="false">'Oct 2026'!J23</f>
        <v>0</v>
      </c>
      <c r="H23" s="37" t="n">
        <f aca="false">IF(B23="",0,N(Students!F12))</f>
        <v>0</v>
      </c>
      <c r="I23" s="23"/>
      <c r="J23" s="26" t="n">
        <f aca="false">N(G23)+N(H23)-N(I23)</f>
        <v>0</v>
      </c>
      <c r="K23" s="37" t="n">
        <f aca="false">'Oct 2026'!N23</f>
        <v>0</v>
      </c>
      <c r="L23" s="37" t="n">
        <f aca="false">IF(B23="",0,N(Students!G12))</f>
        <v>0</v>
      </c>
      <c r="M23" s="23"/>
      <c r="N23" s="26" t="n">
        <f aca="false">N(K23)+N(L23)-N(M23)</f>
        <v>0</v>
      </c>
      <c r="O23" s="37" t="n">
        <f aca="false">'Oct 2026'!R23</f>
        <v>0</v>
      </c>
      <c r="P23" s="37" t="n">
        <f aca="false">IF(B23="",0,N(Students!H12))</f>
        <v>0</v>
      </c>
      <c r="Q23" s="23"/>
      <c r="R23" s="26" t="n">
        <f aca="false">N(O23)+N(P23)-N(Q23)</f>
        <v>0</v>
      </c>
      <c r="S23" s="37" t="n">
        <f aca="false">'Oct 2026'!V23</f>
        <v>0</v>
      </c>
      <c r="T23" s="37" t="n">
        <f aca="false">IF(B23="",0,N(Students!I12))</f>
        <v>0</v>
      </c>
      <c r="U23" s="23"/>
      <c r="V23" s="26" t="n">
        <f aca="false">N(S23)+N(T23)-N(U23)</f>
        <v>0</v>
      </c>
      <c r="W23" s="37" t="n">
        <f aca="false">'Oct 2026'!Z23</f>
        <v>0</v>
      </c>
      <c r="X23" s="37" t="n">
        <f aca="false">IF(B23="",0,N(Students!J12))</f>
        <v>0</v>
      </c>
      <c r="Y23" s="23"/>
      <c r="Z23" s="26" t="n">
        <f aca="false">N(W23)+N(X23)-N(Y23)</f>
        <v>0</v>
      </c>
      <c r="AA23" s="37" t="n">
        <f aca="false">N(E23)+N(I23)+N(M23)+N(Q23)+N(U23)+N(Y23)</f>
        <v>0</v>
      </c>
      <c r="AB23" s="26" t="n">
        <f aca="false">F23+J23+N23+R23+V23+Z23</f>
        <v>0</v>
      </c>
      <c r="AC23" s="83" t="str">
        <f aca="false">IF(B23="","",IF(AB23&lt;=0,"Clear",IF(AA23&gt;0,"Partial","Due")))</f>
        <v/>
      </c>
    </row>
    <row r="24" customFormat="false" ht="15" hidden="false" customHeight="false" outlineLevel="0" collapsed="false">
      <c r="A24" s="21" t="n">
        <v>9</v>
      </c>
      <c r="B24" s="46" t="str">
        <f aca="false">IF(Students!B13="","",Students!B13)</f>
        <v/>
      </c>
      <c r="C24" s="33" t="n">
        <f aca="false">'Oct 2026'!F24</f>
        <v>0</v>
      </c>
      <c r="D24" s="33" t="n">
        <f aca="false">IF(B24="",0,N(Students!E13))</f>
        <v>0</v>
      </c>
      <c r="E24" s="23"/>
      <c r="F24" s="24" t="n">
        <f aca="false">N(C24)+N(D24)-N(E24)</f>
        <v>0</v>
      </c>
      <c r="G24" s="33" t="n">
        <f aca="false">'Oct 2026'!J24</f>
        <v>0</v>
      </c>
      <c r="H24" s="33" t="n">
        <f aca="false">IF(B24="",0,N(Students!F13))</f>
        <v>0</v>
      </c>
      <c r="I24" s="23"/>
      <c r="J24" s="24" t="n">
        <f aca="false">N(G24)+N(H24)-N(I24)</f>
        <v>0</v>
      </c>
      <c r="K24" s="33" t="n">
        <f aca="false">'Oct 2026'!N24</f>
        <v>0</v>
      </c>
      <c r="L24" s="33" t="n">
        <f aca="false">IF(B24="",0,N(Students!G13))</f>
        <v>0</v>
      </c>
      <c r="M24" s="23"/>
      <c r="N24" s="24" t="n">
        <f aca="false">N(K24)+N(L24)-N(M24)</f>
        <v>0</v>
      </c>
      <c r="O24" s="33" t="n">
        <f aca="false">'Oct 2026'!R24</f>
        <v>0</v>
      </c>
      <c r="P24" s="33" t="n">
        <f aca="false">IF(B24="",0,N(Students!H13))</f>
        <v>0</v>
      </c>
      <c r="Q24" s="23"/>
      <c r="R24" s="24" t="n">
        <f aca="false">N(O24)+N(P24)-N(Q24)</f>
        <v>0</v>
      </c>
      <c r="S24" s="33" t="n">
        <f aca="false">'Oct 2026'!V24</f>
        <v>0</v>
      </c>
      <c r="T24" s="33" t="n">
        <f aca="false">IF(B24="",0,N(Students!I13))</f>
        <v>0</v>
      </c>
      <c r="U24" s="23"/>
      <c r="V24" s="24" t="n">
        <f aca="false">N(S24)+N(T24)-N(U24)</f>
        <v>0</v>
      </c>
      <c r="W24" s="33" t="n">
        <f aca="false">'Oct 2026'!Z24</f>
        <v>0</v>
      </c>
      <c r="X24" s="33" t="n">
        <f aca="false">IF(B24="",0,N(Students!J13))</f>
        <v>0</v>
      </c>
      <c r="Y24" s="23"/>
      <c r="Z24" s="24" t="n">
        <f aca="false">N(W24)+N(X24)-N(Y24)</f>
        <v>0</v>
      </c>
      <c r="AA24" s="33" t="n">
        <f aca="false">N(E24)+N(I24)+N(M24)+N(Q24)+N(U24)+N(Y24)</f>
        <v>0</v>
      </c>
      <c r="AB24" s="24" t="n">
        <f aca="false">F24+J24+N24+R24+V24+Z24</f>
        <v>0</v>
      </c>
      <c r="AC24" s="81" t="str">
        <f aca="false">IF(B24="","",IF(AB24&lt;=0,"Clear",IF(AA24&gt;0,"Partial","Due")))</f>
        <v/>
      </c>
    </row>
    <row r="25" customFormat="false" ht="15" hidden="false" customHeight="false" outlineLevel="0" collapsed="false">
      <c r="A25" s="25" t="n">
        <v>10</v>
      </c>
      <c r="B25" s="82" t="str">
        <f aca="false">IF(Students!B14="","",Students!B14)</f>
        <v/>
      </c>
      <c r="C25" s="37" t="n">
        <f aca="false">'Oct 2026'!F25</f>
        <v>0</v>
      </c>
      <c r="D25" s="37" t="n">
        <f aca="false">IF(B25="",0,N(Students!E14))</f>
        <v>0</v>
      </c>
      <c r="E25" s="23"/>
      <c r="F25" s="26" t="n">
        <f aca="false">N(C25)+N(D25)-N(E25)</f>
        <v>0</v>
      </c>
      <c r="G25" s="37" t="n">
        <f aca="false">'Oct 2026'!J25</f>
        <v>0</v>
      </c>
      <c r="H25" s="37" t="n">
        <f aca="false">IF(B25="",0,N(Students!F14))</f>
        <v>0</v>
      </c>
      <c r="I25" s="23"/>
      <c r="J25" s="26" t="n">
        <f aca="false">N(G25)+N(H25)-N(I25)</f>
        <v>0</v>
      </c>
      <c r="K25" s="37" t="n">
        <f aca="false">'Oct 2026'!N25</f>
        <v>0</v>
      </c>
      <c r="L25" s="37" t="n">
        <f aca="false">IF(B25="",0,N(Students!G14))</f>
        <v>0</v>
      </c>
      <c r="M25" s="23"/>
      <c r="N25" s="26" t="n">
        <f aca="false">N(K25)+N(L25)-N(M25)</f>
        <v>0</v>
      </c>
      <c r="O25" s="37" t="n">
        <f aca="false">'Oct 2026'!R25</f>
        <v>0</v>
      </c>
      <c r="P25" s="37" t="n">
        <f aca="false">IF(B25="",0,N(Students!H14))</f>
        <v>0</v>
      </c>
      <c r="Q25" s="23"/>
      <c r="R25" s="26" t="n">
        <f aca="false">N(O25)+N(P25)-N(Q25)</f>
        <v>0</v>
      </c>
      <c r="S25" s="37" t="n">
        <f aca="false">'Oct 2026'!V25</f>
        <v>0</v>
      </c>
      <c r="T25" s="37" t="n">
        <f aca="false">IF(B25="",0,N(Students!I14))</f>
        <v>0</v>
      </c>
      <c r="U25" s="23"/>
      <c r="V25" s="26" t="n">
        <f aca="false">N(S25)+N(T25)-N(U25)</f>
        <v>0</v>
      </c>
      <c r="W25" s="37" t="n">
        <f aca="false">'Oct 2026'!Z25</f>
        <v>0</v>
      </c>
      <c r="X25" s="37" t="n">
        <f aca="false">IF(B25="",0,N(Students!J14))</f>
        <v>0</v>
      </c>
      <c r="Y25" s="23"/>
      <c r="Z25" s="26" t="n">
        <f aca="false">N(W25)+N(X25)-N(Y25)</f>
        <v>0</v>
      </c>
      <c r="AA25" s="37" t="n">
        <f aca="false">N(E25)+N(I25)+N(M25)+N(Q25)+N(U25)+N(Y25)</f>
        <v>0</v>
      </c>
      <c r="AB25" s="26" t="n">
        <f aca="false">F25+J25+N25+R25+V25+Z25</f>
        <v>0</v>
      </c>
      <c r="AC25" s="83" t="str">
        <f aca="false">IF(B25="","",IF(AB25&lt;=0,"Clear",IF(AA25&gt;0,"Partial","Due")))</f>
        <v/>
      </c>
    </row>
    <row r="26" customFormat="false" ht="15" hidden="false" customHeight="false" outlineLevel="0" collapsed="false">
      <c r="A26" s="21" t="n">
        <v>11</v>
      </c>
      <c r="B26" s="46" t="str">
        <f aca="false">IF(Students!B15="","",Students!B15)</f>
        <v/>
      </c>
      <c r="C26" s="33" t="n">
        <f aca="false">'Oct 2026'!F26</f>
        <v>0</v>
      </c>
      <c r="D26" s="33" t="n">
        <f aca="false">IF(B26="",0,N(Students!E15))</f>
        <v>0</v>
      </c>
      <c r="E26" s="23"/>
      <c r="F26" s="24" t="n">
        <f aca="false">N(C26)+N(D26)-N(E26)</f>
        <v>0</v>
      </c>
      <c r="G26" s="33" t="n">
        <f aca="false">'Oct 2026'!J26</f>
        <v>0</v>
      </c>
      <c r="H26" s="33" t="n">
        <f aca="false">IF(B26="",0,N(Students!F15))</f>
        <v>0</v>
      </c>
      <c r="I26" s="23"/>
      <c r="J26" s="24" t="n">
        <f aca="false">N(G26)+N(H26)-N(I26)</f>
        <v>0</v>
      </c>
      <c r="K26" s="33" t="n">
        <f aca="false">'Oct 2026'!N26</f>
        <v>0</v>
      </c>
      <c r="L26" s="33" t="n">
        <f aca="false">IF(B26="",0,N(Students!G15))</f>
        <v>0</v>
      </c>
      <c r="M26" s="23"/>
      <c r="N26" s="24" t="n">
        <f aca="false">N(K26)+N(L26)-N(M26)</f>
        <v>0</v>
      </c>
      <c r="O26" s="33" t="n">
        <f aca="false">'Oct 2026'!R26</f>
        <v>0</v>
      </c>
      <c r="P26" s="33" t="n">
        <f aca="false">IF(B26="",0,N(Students!H15))</f>
        <v>0</v>
      </c>
      <c r="Q26" s="23"/>
      <c r="R26" s="24" t="n">
        <f aca="false">N(O26)+N(P26)-N(Q26)</f>
        <v>0</v>
      </c>
      <c r="S26" s="33" t="n">
        <f aca="false">'Oct 2026'!V26</f>
        <v>0</v>
      </c>
      <c r="T26" s="33" t="n">
        <f aca="false">IF(B26="",0,N(Students!I15))</f>
        <v>0</v>
      </c>
      <c r="U26" s="23"/>
      <c r="V26" s="24" t="n">
        <f aca="false">N(S26)+N(T26)-N(U26)</f>
        <v>0</v>
      </c>
      <c r="W26" s="33" t="n">
        <f aca="false">'Oct 2026'!Z26</f>
        <v>0</v>
      </c>
      <c r="X26" s="33" t="n">
        <f aca="false">IF(B26="",0,N(Students!J15))</f>
        <v>0</v>
      </c>
      <c r="Y26" s="23"/>
      <c r="Z26" s="24" t="n">
        <f aca="false">N(W26)+N(X26)-N(Y26)</f>
        <v>0</v>
      </c>
      <c r="AA26" s="33" t="n">
        <f aca="false">N(E26)+N(I26)+N(M26)+N(Q26)+N(U26)+N(Y26)</f>
        <v>0</v>
      </c>
      <c r="AB26" s="24" t="n">
        <f aca="false">F26+J26+N26+R26+V26+Z26</f>
        <v>0</v>
      </c>
      <c r="AC26" s="81" t="str">
        <f aca="false">IF(B26="","",IF(AB26&lt;=0,"Clear",IF(AA26&gt;0,"Partial","Due")))</f>
        <v/>
      </c>
    </row>
    <row r="27" customFormat="false" ht="15" hidden="false" customHeight="false" outlineLevel="0" collapsed="false">
      <c r="A27" s="25" t="n">
        <v>12</v>
      </c>
      <c r="B27" s="82" t="str">
        <f aca="false">IF(Students!B16="","",Students!B16)</f>
        <v/>
      </c>
      <c r="C27" s="37" t="n">
        <f aca="false">'Oct 2026'!F27</f>
        <v>0</v>
      </c>
      <c r="D27" s="37" t="n">
        <f aca="false">IF(B27="",0,N(Students!E16))</f>
        <v>0</v>
      </c>
      <c r="E27" s="23"/>
      <c r="F27" s="26" t="n">
        <f aca="false">N(C27)+N(D27)-N(E27)</f>
        <v>0</v>
      </c>
      <c r="G27" s="37" t="n">
        <f aca="false">'Oct 2026'!J27</f>
        <v>0</v>
      </c>
      <c r="H27" s="37" t="n">
        <f aca="false">IF(B27="",0,N(Students!F16))</f>
        <v>0</v>
      </c>
      <c r="I27" s="23"/>
      <c r="J27" s="26" t="n">
        <f aca="false">N(G27)+N(H27)-N(I27)</f>
        <v>0</v>
      </c>
      <c r="K27" s="37" t="n">
        <f aca="false">'Oct 2026'!N27</f>
        <v>0</v>
      </c>
      <c r="L27" s="37" t="n">
        <f aca="false">IF(B27="",0,N(Students!G16))</f>
        <v>0</v>
      </c>
      <c r="M27" s="23"/>
      <c r="N27" s="26" t="n">
        <f aca="false">N(K27)+N(L27)-N(M27)</f>
        <v>0</v>
      </c>
      <c r="O27" s="37" t="n">
        <f aca="false">'Oct 2026'!R27</f>
        <v>0</v>
      </c>
      <c r="P27" s="37" t="n">
        <f aca="false">IF(B27="",0,N(Students!H16))</f>
        <v>0</v>
      </c>
      <c r="Q27" s="23"/>
      <c r="R27" s="26" t="n">
        <f aca="false">N(O27)+N(P27)-N(Q27)</f>
        <v>0</v>
      </c>
      <c r="S27" s="37" t="n">
        <f aca="false">'Oct 2026'!V27</f>
        <v>0</v>
      </c>
      <c r="T27" s="37" t="n">
        <f aca="false">IF(B27="",0,N(Students!I16))</f>
        <v>0</v>
      </c>
      <c r="U27" s="23"/>
      <c r="V27" s="26" t="n">
        <f aca="false">N(S27)+N(T27)-N(U27)</f>
        <v>0</v>
      </c>
      <c r="W27" s="37" t="n">
        <f aca="false">'Oct 2026'!Z27</f>
        <v>0</v>
      </c>
      <c r="X27" s="37" t="n">
        <f aca="false">IF(B27="",0,N(Students!J16))</f>
        <v>0</v>
      </c>
      <c r="Y27" s="23"/>
      <c r="Z27" s="26" t="n">
        <f aca="false">N(W27)+N(X27)-N(Y27)</f>
        <v>0</v>
      </c>
      <c r="AA27" s="37" t="n">
        <f aca="false">N(E27)+N(I27)+N(M27)+N(Q27)+N(U27)+N(Y27)</f>
        <v>0</v>
      </c>
      <c r="AB27" s="26" t="n">
        <f aca="false">F27+J27+N27+R27+V27+Z27</f>
        <v>0</v>
      </c>
      <c r="AC27" s="83" t="str">
        <f aca="false">IF(B27="","",IF(AB27&lt;=0,"Clear",IF(AA27&gt;0,"Partial","Due")))</f>
        <v/>
      </c>
    </row>
    <row r="28" customFormat="false" ht="15" hidden="false" customHeight="false" outlineLevel="0" collapsed="false">
      <c r="A28" s="21" t="n">
        <v>13</v>
      </c>
      <c r="B28" s="46" t="str">
        <f aca="false">IF(Students!B17="","",Students!B17)</f>
        <v/>
      </c>
      <c r="C28" s="33" t="n">
        <f aca="false">'Oct 2026'!F28</f>
        <v>0</v>
      </c>
      <c r="D28" s="33" t="n">
        <f aca="false">IF(B28="",0,N(Students!E17))</f>
        <v>0</v>
      </c>
      <c r="E28" s="23"/>
      <c r="F28" s="24" t="n">
        <f aca="false">N(C28)+N(D28)-N(E28)</f>
        <v>0</v>
      </c>
      <c r="G28" s="33" t="n">
        <f aca="false">'Oct 2026'!J28</f>
        <v>0</v>
      </c>
      <c r="H28" s="33" t="n">
        <f aca="false">IF(B28="",0,N(Students!F17))</f>
        <v>0</v>
      </c>
      <c r="I28" s="23"/>
      <c r="J28" s="24" t="n">
        <f aca="false">N(G28)+N(H28)-N(I28)</f>
        <v>0</v>
      </c>
      <c r="K28" s="33" t="n">
        <f aca="false">'Oct 2026'!N28</f>
        <v>0</v>
      </c>
      <c r="L28" s="33" t="n">
        <f aca="false">IF(B28="",0,N(Students!G17))</f>
        <v>0</v>
      </c>
      <c r="M28" s="23"/>
      <c r="N28" s="24" t="n">
        <f aca="false">N(K28)+N(L28)-N(M28)</f>
        <v>0</v>
      </c>
      <c r="O28" s="33" t="n">
        <f aca="false">'Oct 2026'!R28</f>
        <v>0</v>
      </c>
      <c r="P28" s="33" t="n">
        <f aca="false">IF(B28="",0,N(Students!H17))</f>
        <v>0</v>
      </c>
      <c r="Q28" s="23"/>
      <c r="R28" s="24" t="n">
        <f aca="false">N(O28)+N(P28)-N(Q28)</f>
        <v>0</v>
      </c>
      <c r="S28" s="33" t="n">
        <f aca="false">'Oct 2026'!V28</f>
        <v>0</v>
      </c>
      <c r="T28" s="33" t="n">
        <f aca="false">IF(B28="",0,N(Students!I17))</f>
        <v>0</v>
      </c>
      <c r="U28" s="23"/>
      <c r="V28" s="24" t="n">
        <f aca="false">N(S28)+N(T28)-N(U28)</f>
        <v>0</v>
      </c>
      <c r="W28" s="33" t="n">
        <f aca="false">'Oct 2026'!Z28</f>
        <v>0</v>
      </c>
      <c r="X28" s="33" t="n">
        <f aca="false">IF(B28="",0,N(Students!J17))</f>
        <v>0</v>
      </c>
      <c r="Y28" s="23"/>
      <c r="Z28" s="24" t="n">
        <f aca="false">N(W28)+N(X28)-N(Y28)</f>
        <v>0</v>
      </c>
      <c r="AA28" s="33" t="n">
        <f aca="false">N(E28)+N(I28)+N(M28)+N(Q28)+N(U28)+N(Y28)</f>
        <v>0</v>
      </c>
      <c r="AB28" s="24" t="n">
        <f aca="false">F28+J28+N28+R28+V28+Z28</f>
        <v>0</v>
      </c>
      <c r="AC28" s="81" t="str">
        <f aca="false">IF(B28="","",IF(AB28&lt;=0,"Clear",IF(AA28&gt;0,"Partial","Due")))</f>
        <v/>
      </c>
    </row>
    <row r="29" customFormat="false" ht="15" hidden="false" customHeight="false" outlineLevel="0" collapsed="false">
      <c r="A29" s="25" t="n">
        <v>14</v>
      </c>
      <c r="B29" s="82" t="str">
        <f aca="false">IF(Students!B18="","",Students!B18)</f>
        <v/>
      </c>
      <c r="C29" s="37" t="n">
        <f aca="false">'Oct 2026'!F29</f>
        <v>0</v>
      </c>
      <c r="D29" s="37" t="n">
        <f aca="false">IF(B29="",0,N(Students!E18))</f>
        <v>0</v>
      </c>
      <c r="E29" s="23"/>
      <c r="F29" s="26" t="n">
        <f aca="false">N(C29)+N(D29)-N(E29)</f>
        <v>0</v>
      </c>
      <c r="G29" s="37" t="n">
        <f aca="false">'Oct 2026'!J29</f>
        <v>0</v>
      </c>
      <c r="H29" s="37" t="n">
        <f aca="false">IF(B29="",0,N(Students!F18))</f>
        <v>0</v>
      </c>
      <c r="I29" s="23"/>
      <c r="J29" s="26" t="n">
        <f aca="false">N(G29)+N(H29)-N(I29)</f>
        <v>0</v>
      </c>
      <c r="K29" s="37" t="n">
        <f aca="false">'Oct 2026'!N29</f>
        <v>0</v>
      </c>
      <c r="L29" s="37" t="n">
        <f aca="false">IF(B29="",0,N(Students!G18))</f>
        <v>0</v>
      </c>
      <c r="M29" s="23"/>
      <c r="N29" s="26" t="n">
        <f aca="false">N(K29)+N(L29)-N(M29)</f>
        <v>0</v>
      </c>
      <c r="O29" s="37" t="n">
        <f aca="false">'Oct 2026'!R29</f>
        <v>0</v>
      </c>
      <c r="P29" s="37" t="n">
        <f aca="false">IF(B29="",0,N(Students!H18))</f>
        <v>0</v>
      </c>
      <c r="Q29" s="23"/>
      <c r="R29" s="26" t="n">
        <f aca="false">N(O29)+N(P29)-N(Q29)</f>
        <v>0</v>
      </c>
      <c r="S29" s="37" t="n">
        <f aca="false">'Oct 2026'!V29</f>
        <v>0</v>
      </c>
      <c r="T29" s="37" t="n">
        <f aca="false">IF(B29="",0,N(Students!I18))</f>
        <v>0</v>
      </c>
      <c r="U29" s="23"/>
      <c r="V29" s="26" t="n">
        <f aca="false">N(S29)+N(T29)-N(U29)</f>
        <v>0</v>
      </c>
      <c r="W29" s="37" t="n">
        <f aca="false">'Oct 2026'!Z29</f>
        <v>0</v>
      </c>
      <c r="X29" s="37" t="n">
        <f aca="false">IF(B29="",0,N(Students!J18))</f>
        <v>0</v>
      </c>
      <c r="Y29" s="23"/>
      <c r="Z29" s="26" t="n">
        <f aca="false">N(W29)+N(X29)-N(Y29)</f>
        <v>0</v>
      </c>
      <c r="AA29" s="37" t="n">
        <f aca="false">N(E29)+N(I29)+N(M29)+N(Q29)+N(U29)+N(Y29)</f>
        <v>0</v>
      </c>
      <c r="AB29" s="26" t="n">
        <f aca="false">F29+J29+N29+R29+V29+Z29</f>
        <v>0</v>
      </c>
      <c r="AC29" s="83" t="str">
        <f aca="false">IF(B29="","",IF(AB29&lt;=0,"Clear",IF(AA29&gt;0,"Partial","Due")))</f>
        <v/>
      </c>
    </row>
    <row r="30" customFormat="false" ht="15" hidden="false" customHeight="false" outlineLevel="0" collapsed="false">
      <c r="A30" s="21" t="n">
        <v>15</v>
      </c>
      <c r="B30" s="46" t="str">
        <f aca="false">IF(Students!B19="","",Students!B19)</f>
        <v/>
      </c>
      <c r="C30" s="33" t="n">
        <f aca="false">'Oct 2026'!F30</f>
        <v>0</v>
      </c>
      <c r="D30" s="33" t="n">
        <f aca="false">IF(B30="",0,N(Students!E19))</f>
        <v>0</v>
      </c>
      <c r="E30" s="23"/>
      <c r="F30" s="24" t="n">
        <f aca="false">N(C30)+N(D30)-N(E30)</f>
        <v>0</v>
      </c>
      <c r="G30" s="33" t="n">
        <f aca="false">'Oct 2026'!J30</f>
        <v>0</v>
      </c>
      <c r="H30" s="33" t="n">
        <f aca="false">IF(B30="",0,N(Students!F19))</f>
        <v>0</v>
      </c>
      <c r="I30" s="23"/>
      <c r="J30" s="24" t="n">
        <f aca="false">N(G30)+N(H30)-N(I30)</f>
        <v>0</v>
      </c>
      <c r="K30" s="33" t="n">
        <f aca="false">'Oct 2026'!N30</f>
        <v>0</v>
      </c>
      <c r="L30" s="33" t="n">
        <f aca="false">IF(B30="",0,N(Students!G19))</f>
        <v>0</v>
      </c>
      <c r="M30" s="23"/>
      <c r="N30" s="24" t="n">
        <f aca="false">N(K30)+N(L30)-N(M30)</f>
        <v>0</v>
      </c>
      <c r="O30" s="33" t="n">
        <f aca="false">'Oct 2026'!R30</f>
        <v>0</v>
      </c>
      <c r="P30" s="33" t="n">
        <f aca="false">IF(B30="",0,N(Students!H19))</f>
        <v>0</v>
      </c>
      <c r="Q30" s="23"/>
      <c r="R30" s="24" t="n">
        <f aca="false">N(O30)+N(P30)-N(Q30)</f>
        <v>0</v>
      </c>
      <c r="S30" s="33" t="n">
        <f aca="false">'Oct 2026'!V30</f>
        <v>0</v>
      </c>
      <c r="T30" s="33" t="n">
        <f aca="false">IF(B30="",0,N(Students!I19))</f>
        <v>0</v>
      </c>
      <c r="U30" s="23"/>
      <c r="V30" s="24" t="n">
        <f aca="false">N(S30)+N(T30)-N(U30)</f>
        <v>0</v>
      </c>
      <c r="W30" s="33" t="n">
        <f aca="false">'Oct 2026'!Z30</f>
        <v>0</v>
      </c>
      <c r="X30" s="33" t="n">
        <f aca="false">IF(B30="",0,N(Students!J19))</f>
        <v>0</v>
      </c>
      <c r="Y30" s="23"/>
      <c r="Z30" s="24" t="n">
        <f aca="false">N(W30)+N(X30)-N(Y30)</f>
        <v>0</v>
      </c>
      <c r="AA30" s="33" t="n">
        <f aca="false">N(E30)+N(I30)+N(M30)+N(Q30)+N(U30)+N(Y30)</f>
        <v>0</v>
      </c>
      <c r="AB30" s="24" t="n">
        <f aca="false">F30+J30+N30+R30+V30+Z30</f>
        <v>0</v>
      </c>
      <c r="AC30" s="81" t="str">
        <f aca="false">IF(B30="","",IF(AB30&lt;=0,"Clear",IF(AA30&gt;0,"Partial","Due")))</f>
        <v/>
      </c>
    </row>
    <row r="31" customFormat="false" ht="15" hidden="false" customHeight="false" outlineLevel="0" collapsed="false">
      <c r="A31" s="25" t="n">
        <v>16</v>
      </c>
      <c r="B31" s="82" t="str">
        <f aca="false">IF(Students!B20="","",Students!B20)</f>
        <v/>
      </c>
      <c r="C31" s="37" t="n">
        <f aca="false">'Oct 2026'!F31</f>
        <v>0</v>
      </c>
      <c r="D31" s="37" t="n">
        <f aca="false">IF(B31="",0,N(Students!E20))</f>
        <v>0</v>
      </c>
      <c r="E31" s="23"/>
      <c r="F31" s="26" t="n">
        <f aca="false">N(C31)+N(D31)-N(E31)</f>
        <v>0</v>
      </c>
      <c r="G31" s="37" t="n">
        <f aca="false">'Oct 2026'!J31</f>
        <v>0</v>
      </c>
      <c r="H31" s="37" t="n">
        <f aca="false">IF(B31="",0,N(Students!F20))</f>
        <v>0</v>
      </c>
      <c r="I31" s="23"/>
      <c r="J31" s="26" t="n">
        <f aca="false">N(G31)+N(H31)-N(I31)</f>
        <v>0</v>
      </c>
      <c r="K31" s="37" t="n">
        <f aca="false">'Oct 2026'!N31</f>
        <v>0</v>
      </c>
      <c r="L31" s="37" t="n">
        <f aca="false">IF(B31="",0,N(Students!G20))</f>
        <v>0</v>
      </c>
      <c r="M31" s="23"/>
      <c r="N31" s="26" t="n">
        <f aca="false">N(K31)+N(L31)-N(M31)</f>
        <v>0</v>
      </c>
      <c r="O31" s="37" t="n">
        <f aca="false">'Oct 2026'!R31</f>
        <v>0</v>
      </c>
      <c r="P31" s="37" t="n">
        <f aca="false">IF(B31="",0,N(Students!H20))</f>
        <v>0</v>
      </c>
      <c r="Q31" s="23"/>
      <c r="R31" s="26" t="n">
        <f aca="false">N(O31)+N(P31)-N(Q31)</f>
        <v>0</v>
      </c>
      <c r="S31" s="37" t="n">
        <f aca="false">'Oct 2026'!V31</f>
        <v>0</v>
      </c>
      <c r="T31" s="37" t="n">
        <f aca="false">IF(B31="",0,N(Students!I20))</f>
        <v>0</v>
      </c>
      <c r="U31" s="23"/>
      <c r="V31" s="26" t="n">
        <f aca="false">N(S31)+N(T31)-N(U31)</f>
        <v>0</v>
      </c>
      <c r="W31" s="37" t="n">
        <f aca="false">'Oct 2026'!Z31</f>
        <v>0</v>
      </c>
      <c r="X31" s="37" t="n">
        <f aca="false">IF(B31="",0,N(Students!J20))</f>
        <v>0</v>
      </c>
      <c r="Y31" s="23"/>
      <c r="Z31" s="26" t="n">
        <f aca="false">N(W31)+N(X31)-N(Y31)</f>
        <v>0</v>
      </c>
      <c r="AA31" s="37" t="n">
        <f aca="false">N(E31)+N(I31)+N(M31)+N(Q31)+N(U31)+N(Y31)</f>
        <v>0</v>
      </c>
      <c r="AB31" s="26" t="n">
        <f aca="false">F31+J31+N31+R31+V31+Z31</f>
        <v>0</v>
      </c>
      <c r="AC31" s="83" t="str">
        <f aca="false">IF(B31="","",IF(AB31&lt;=0,"Clear",IF(AA31&gt;0,"Partial","Due")))</f>
        <v/>
      </c>
    </row>
    <row r="32" customFormat="false" ht="15" hidden="false" customHeight="false" outlineLevel="0" collapsed="false">
      <c r="A32" s="21" t="n">
        <v>17</v>
      </c>
      <c r="B32" s="46" t="str">
        <f aca="false">IF(Students!B21="","",Students!B21)</f>
        <v/>
      </c>
      <c r="C32" s="33" t="n">
        <f aca="false">'Oct 2026'!F32</f>
        <v>0</v>
      </c>
      <c r="D32" s="33" t="n">
        <f aca="false">IF(B32="",0,N(Students!E21))</f>
        <v>0</v>
      </c>
      <c r="E32" s="23"/>
      <c r="F32" s="24" t="n">
        <f aca="false">N(C32)+N(D32)-N(E32)</f>
        <v>0</v>
      </c>
      <c r="G32" s="33" t="n">
        <f aca="false">'Oct 2026'!J32</f>
        <v>0</v>
      </c>
      <c r="H32" s="33" t="n">
        <f aca="false">IF(B32="",0,N(Students!F21))</f>
        <v>0</v>
      </c>
      <c r="I32" s="23"/>
      <c r="J32" s="24" t="n">
        <f aca="false">N(G32)+N(H32)-N(I32)</f>
        <v>0</v>
      </c>
      <c r="K32" s="33" t="n">
        <f aca="false">'Oct 2026'!N32</f>
        <v>0</v>
      </c>
      <c r="L32" s="33" t="n">
        <f aca="false">IF(B32="",0,N(Students!G21))</f>
        <v>0</v>
      </c>
      <c r="M32" s="23"/>
      <c r="N32" s="24" t="n">
        <f aca="false">N(K32)+N(L32)-N(M32)</f>
        <v>0</v>
      </c>
      <c r="O32" s="33" t="n">
        <f aca="false">'Oct 2026'!R32</f>
        <v>0</v>
      </c>
      <c r="P32" s="33" t="n">
        <f aca="false">IF(B32="",0,N(Students!H21))</f>
        <v>0</v>
      </c>
      <c r="Q32" s="23"/>
      <c r="R32" s="24" t="n">
        <f aca="false">N(O32)+N(P32)-N(Q32)</f>
        <v>0</v>
      </c>
      <c r="S32" s="33" t="n">
        <f aca="false">'Oct 2026'!V32</f>
        <v>0</v>
      </c>
      <c r="T32" s="33" t="n">
        <f aca="false">IF(B32="",0,N(Students!I21))</f>
        <v>0</v>
      </c>
      <c r="U32" s="23"/>
      <c r="V32" s="24" t="n">
        <f aca="false">N(S32)+N(T32)-N(U32)</f>
        <v>0</v>
      </c>
      <c r="W32" s="33" t="n">
        <f aca="false">'Oct 2026'!Z32</f>
        <v>0</v>
      </c>
      <c r="X32" s="33" t="n">
        <f aca="false">IF(B32="",0,N(Students!J21))</f>
        <v>0</v>
      </c>
      <c r="Y32" s="23"/>
      <c r="Z32" s="24" t="n">
        <f aca="false">N(W32)+N(X32)-N(Y32)</f>
        <v>0</v>
      </c>
      <c r="AA32" s="33" t="n">
        <f aca="false">N(E32)+N(I32)+N(M32)+N(Q32)+N(U32)+N(Y32)</f>
        <v>0</v>
      </c>
      <c r="AB32" s="24" t="n">
        <f aca="false">F32+J32+N32+R32+V32+Z32</f>
        <v>0</v>
      </c>
      <c r="AC32" s="81" t="str">
        <f aca="false">IF(B32="","",IF(AB32&lt;=0,"Clear",IF(AA32&gt;0,"Partial","Due")))</f>
        <v/>
      </c>
    </row>
    <row r="33" customFormat="false" ht="15" hidden="false" customHeight="false" outlineLevel="0" collapsed="false">
      <c r="A33" s="25" t="n">
        <v>18</v>
      </c>
      <c r="B33" s="82" t="str">
        <f aca="false">IF(Students!B22="","",Students!B22)</f>
        <v/>
      </c>
      <c r="C33" s="37" t="n">
        <f aca="false">'Oct 2026'!F33</f>
        <v>0</v>
      </c>
      <c r="D33" s="37" t="n">
        <f aca="false">IF(B33="",0,N(Students!E22))</f>
        <v>0</v>
      </c>
      <c r="E33" s="23"/>
      <c r="F33" s="26" t="n">
        <f aca="false">N(C33)+N(D33)-N(E33)</f>
        <v>0</v>
      </c>
      <c r="G33" s="37" t="n">
        <f aca="false">'Oct 2026'!J33</f>
        <v>0</v>
      </c>
      <c r="H33" s="37" t="n">
        <f aca="false">IF(B33="",0,N(Students!F22))</f>
        <v>0</v>
      </c>
      <c r="I33" s="23"/>
      <c r="J33" s="26" t="n">
        <f aca="false">N(G33)+N(H33)-N(I33)</f>
        <v>0</v>
      </c>
      <c r="K33" s="37" t="n">
        <f aca="false">'Oct 2026'!N33</f>
        <v>0</v>
      </c>
      <c r="L33" s="37" t="n">
        <f aca="false">IF(B33="",0,N(Students!G22))</f>
        <v>0</v>
      </c>
      <c r="M33" s="23"/>
      <c r="N33" s="26" t="n">
        <f aca="false">N(K33)+N(L33)-N(M33)</f>
        <v>0</v>
      </c>
      <c r="O33" s="37" t="n">
        <f aca="false">'Oct 2026'!R33</f>
        <v>0</v>
      </c>
      <c r="P33" s="37" t="n">
        <f aca="false">IF(B33="",0,N(Students!H22))</f>
        <v>0</v>
      </c>
      <c r="Q33" s="23"/>
      <c r="R33" s="26" t="n">
        <f aca="false">N(O33)+N(P33)-N(Q33)</f>
        <v>0</v>
      </c>
      <c r="S33" s="37" t="n">
        <f aca="false">'Oct 2026'!V33</f>
        <v>0</v>
      </c>
      <c r="T33" s="37" t="n">
        <f aca="false">IF(B33="",0,N(Students!I22))</f>
        <v>0</v>
      </c>
      <c r="U33" s="23"/>
      <c r="V33" s="26" t="n">
        <f aca="false">N(S33)+N(T33)-N(U33)</f>
        <v>0</v>
      </c>
      <c r="W33" s="37" t="n">
        <f aca="false">'Oct 2026'!Z33</f>
        <v>0</v>
      </c>
      <c r="X33" s="37" t="n">
        <f aca="false">IF(B33="",0,N(Students!J22))</f>
        <v>0</v>
      </c>
      <c r="Y33" s="23"/>
      <c r="Z33" s="26" t="n">
        <f aca="false">N(W33)+N(X33)-N(Y33)</f>
        <v>0</v>
      </c>
      <c r="AA33" s="37" t="n">
        <f aca="false">N(E33)+N(I33)+N(M33)+N(Q33)+N(U33)+N(Y33)</f>
        <v>0</v>
      </c>
      <c r="AB33" s="26" t="n">
        <f aca="false">F33+J33+N33+R33+V33+Z33</f>
        <v>0</v>
      </c>
      <c r="AC33" s="83" t="str">
        <f aca="false">IF(B33="","",IF(AB33&lt;=0,"Clear",IF(AA33&gt;0,"Partial","Due")))</f>
        <v/>
      </c>
    </row>
    <row r="34" customFormat="false" ht="15" hidden="false" customHeight="false" outlineLevel="0" collapsed="false">
      <c r="A34" s="21" t="n">
        <v>19</v>
      </c>
      <c r="B34" s="46" t="str">
        <f aca="false">IF(Students!B23="","",Students!B23)</f>
        <v/>
      </c>
      <c r="C34" s="33" t="n">
        <f aca="false">'Oct 2026'!F34</f>
        <v>0</v>
      </c>
      <c r="D34" s="33" t="n">
        <f aca="false">IF(B34="",0,N(Students!E23))</f>
        <v>0</v>
      </c>
      <c r="E34" s="23"/>
      <c r="F34" s="24" t="n">
        <f aca="false">N(C34)+N(D34)-N(E34)</f>
        <v>0</v>
      </c>
      <c r="G34" s="33" t="n">
        <f aca="false">'Oct 2026'!J34</f>
        <v>0</v>
      </c>
      <c r="H34" s="33" t="n">
        <f aca="false">IF(B34="",0,N(Students!F23))</f>
        <v>0</v>
      </c>
      <c r="I34" s="23"/>
      <c r="J34" s="24" t="n">
        <f aca="false">N(G34)+N(H34)-N(I34)</f>
        <v>0</v>
      </c>
      <c r="K34" s="33" t="n">
        <f aca="false">'Oct 2026'!N34</f>
        <v>0</v>
      </c>
      <c r="L34" s="33" t="n">
        <f aca="false">IF(B34="",0,N(Students!G23))</f>
        <v>0</v>
      </c>
      <c r="M34" s="23"/>
      <c r="N34" s="24" t="n">
        <f aca="false">N(K34)+N(L34)-N(M34)</f>
        <v>0</v>
      </c>
      <c r="O34" s="33" t="n">
        <f aca="false">'Oct 2026'!R34</f>
        <v>0</v>
      </c>
      <c r="P34" s="33" t="n">
        <f aca="false">IF(B34="",0,N(Students!H23))</f>
        <v>0</v>
      </c>
      <c r="Q34" s="23"/>
      <c r="R34" s="24" t="n">
        <f aca="false">N(O34)+N(P34)-N(Q34)</f>
        <v>0</v>
      </c>
      <c r="S34" s="33" t="n">
        <f aca="false">'Oct 2026'!V34</f>
        <v>0</v>
      </c>
      <c r="T34" s="33" t="n">
        <f aca="false">IF(B34="",0,N(Students!I23))</f>
        <v>0</v>
      </c>
      <c r="U34" s="23"/>
      <c r="V34" s="24" t="n">
        <f aca="false">N(S34)+N(T34)-N(U34)</f>
        <v>0</v>
      </c>
      <c r="W34" s="33" t="n">
        <f aca="false">'Oct 2026'!Z34</f>
        <v>0</v>
      </c>
      <c r="X34" s="33" t="n">
        <f aca="false">IF(B34="",0,N(Students!J23))</f>
        <v>0</v>
      </c>
      <c r="Y34" s="23"/>
      <c r="Z34" s="24" t="n">
        <f aca="false">N(W34)+N(X34)-N(Y34)</f>
        <v>0</v>
      </c>
      <c r="AA34" s="33" t="n">
        <f aca="false">N(E34)+N(I34)+N(M34)+N(Q34)+N(U34)+N(Y34)</f>
        <v>0</v>
      </c>
      <c r="AB34" s="24" t="n">
        <f aca="false">F34+J34+N34+R34+V34+Z34</f>
        <v>0</v>
      </c>
      <c r="AC34" s="81" t="str">
        <f aca="false">IF(B34="","",IF(AB34&lt;=0,"Clear",IF(AA34&gt;0,"Partial","Due")))</f>
        <v/>
      </c>
    </row>
    <row r="35" customFormat="false" ht="15" hidden="false" customHeight="false" outlineLevel="0" collapsed="false">
      <c r="A35" s="25" t="n">
        <v>20</v>
      </c>
      <c r="B35" s="82" t="str">
        <f aca="false">IF(Students!B24="","",Students!B24)</f>
        <v/>
      </c>
      <c r="C35" s="37" t="n">
        <f aca="false">'Oct 2026'!F35</f>
        <v>0</v>
      </c>
      <c r="D35" s="37" t="n">
        <f aca="false">IF(B35="",0,N(Students!E24))</f>
        <v>0</v>
      </c>
      <c r="E35" s="23"/>
      <c r="F35" s="26" t="n">
        <f aca="false">N(C35)+N(D35)-N(E35)</f>
        <v>0</v>
      </c>
      <c r="G35" s="37" t="n">
        <f aca="false">'Oct 2026'!J35</f>
        <v>0</v>
      </c>
      <c r="H35" s="37" t="n">
        <f aca="false">IF(B35="",0,N(Students!F24))</f>
        <v>0</v>
      </c>
      <c r="I35" s="23"/>
      <c r="J35" s="26" t="n">
        <f aca="false">N(G35)+N(H35)-N(I35)</f>
        <v>0</v>
      </c>
      <c r="K35" s="37" t="n">
        <f aca="false">'Oct 2026'!N35</f>
        <v>0</v>
      </c>
      <c r="L35" s="37" t="n">
        <f aca="false">IF(B35="",0,N(Students!G24))</f>
        <v>0</v>
      </c>
      <c r="M35" s="23"/>
      <c r="N35" s="26" t="n">
        <f aca="false">N(K35)+N(L35)-N(M35)</f>
        <v>0</v>
      </c>
      <c r="O35" s="37" t="n">
        <f aca="false">'Oct 2026'!R35</f>
        <v>0</v>
      </c>
      <c r="P35" s="37" t="n">
        <f aca="false">IF(B35="",0,N(Students!H24))</f>
        <v>0</v>
      </c>
      <c r="Q35" s="23"/>
      <c r="R35" s="26" t="n">
        <f aca="false">N(O35)+N(P35)-N(Q35)</f>
        <v>0</v>
      </c>
      <c r="S35" s="37" t="n">
        <f aca="false">'Oct 2026'!V35</f>
        <v>0</v>
      </c>
      <c r="T35" s="37" t="n">
        <f aca="false">IF(B35="",0,N(Students!I24))</f>
        <v>0</v>
      </c>
      <c r="U35" s="23"/>
      <c r="V35" s="26" t="n">
        <f aca="false">N(S35)+N(T35)-N(U35)</f>
        <v>0</v>
      </c>
      <c r="W35" s="37" t="n">
        <f aca="false">'Oct 2026'!Z35</f>
        <v>0</v>
      </c>
      <c r="X35" s="37" t="n">
        <f aca="false">IF(B35="",0,N(Students!J24))</f>
        <v>0</v>
      </c>
      <c r="Y35" s="23"/>
      <c r="Z35" s="26" t="n">
        <f aca="false">N(W35)+N(X35)-N(Y35)</f>
        <v>0</v>
      </c>
      <c r="AA35" s="37" t="n">
        <f aca="false">N(E35)+N(I35)+N(M35)+N(Q35)+N(U35)+N(Y35)</f>
        <v>0</v>
      </c>
      <c r="AB35" s="26" t="n">
        <f aca="false">F35+J35+N35+R35+V35+Z35</f>
        <v>0</v>
      </c>
      <c r="AC35" s="83" t="str">
        <f aca="false">IF(B35="","",IF(AB35&lt;=0,"Clear",IF(AA35&gt;0,"Partial","Due")))</f>
        <v/>
      </c>
    </row>
    <row r="36" customFormat="false" ht="15" hidden="false" customHeight="false" outlineLevel="0" collapsed="false">
      <c r="A36" s="21" t="n">
        <v>21</v>
      </c>
      <c r="B36" s="46" t="str">
        <f aca="false">IF(Students!B25="","",Students!B25)</f>
        <v/>
      </c>
      <c r="C36" s="33" t="n">
        <f aca="false">'Oct 2026'!F36</f>
        <v>0</v>
      </c>
      <c r="D36" s="33" t="n">
        <f aca="false">IF(B36="",0,N(Students!E25))</f>
        <v>0</v>
      </c>
      <c r="E36" s="23"/>
      <c r="F36" s="24" t="n">
        <f aca="false">N(C36)+N(D36)-N(E36)</f>
        <v>0</v>
      </c>
      <c r="G36" s="33" t="n">
        <f aca="false">'Oct 2026'!J36</f>
        <v>0</v>
      </c>
      <c r="H36" s="33" t="n">
        <f aca="false">IF(B36="",0,N(Students!F25))</f>
        <v>0</v>
      </c>
      <c r="I36" s="23"/>
      <c r="J36" s="24" t="n">
        <f aca="false">N(G36)+N(H36)-N(I36)</f>
        <v>0</v>
      </c>
      <c r="K36" s="33" t="n">
        <f aca="false">'Oct 2026'!N36</f>
        <v>0</v>
      </c>
      <c r="L36" s="33" t="n">
        <f aca="false">IF(B36="",0,N(Students!G25))</f>
        <v>0</v>
      </c>
      <c r="M36" s="23"/>
      <c r="N36" s="24" t="n">
        <f aca="false">N(K36)+N(L36)-N(M36)</f>
        <v>0</v>
      </c>
      <c r="O36" s="33" t="n">
        <f aca="false">'Oct 2026'!R36</f>
        <v>0</v>
      </c>
      <c r="P36" s="33" t="n">
        <f aca="false">IF(B36="",0,N(Students!H25))</f>
        <v>0</v>
      </c>
      <c r="Q36" s="23"/>
      <c r="R36" s="24" t="n">
        <f aca="false">N(O36)+N(P36)-N(Q36)</f>
        <v>0</v>
      </c>
      <c r="S36" s="33" t="n">
        <f aca="false">'Oct 2026'!V36</f>
        <v>0</v>
      </c>
      <c r="T36" s="33" t="n">
        <f aca="false">IF(B36="",0,N(Students!I25))</f>
        <v>0</v>
      </c>
      <c r="U36" s="23"/>
      <c r="V36" s="24" t="n">
        <f aca="false">N(S36)+N(T36)-N(U36)</f>
        <v>0</v>
      </c>
      <c r="W36" s="33" t="n">
        <f aca="false">'Oct 2026'!Z36</f>
        <v>0</v>
      </c>
      <c r="X36" s="33" t="n">
        <f aca="false">IF(B36="",0,N(Students!J25))</f>
        <v>0</v>
      </c>
      <c r="Y36" s="23"/>
      <c r="Z36" s="24" t="n">
        <f aca="false">N(W36)+N(X36)-N(Y36)</f>
        <v>0</v>
      </c>
      <c r="AA36" s="33" t="n">
        <f aca="false">N(E36)+N(I36)+N(M36)+N(Q36)+N(U36)+N(Y36)</f>
        <v>0</v>
      </c>
      <c r="AB36" s="24" t="n">
        <f aca="false">F36+J36+N36+R36+V36+Z36</f>
        <v>0</v>
      </c>
      <c r="AC36" s="81" t="str">
        <f aca="false">IF(B36="","",IF(AB36&lt;=0,"Clear",IF(AA36&gt;0,"Partial","Due")))</f>
        <v/>
      </c>
    </row>
    <row r="37" customFormat="false" ht="15" hidden="false" customHeight="false" outlineLevel="0" collapsed="false">
      <c r="A37" s="25" t="n">
        <v>22</v>
      </c>
      <c r="B37" s="82" t="str">
        <f aca="false">IF(Students!B26="","",Students!B26)</f>
        <v/>
      </c>
      <c r="C37" s="37" t="n">
        <f aca="false">'Oct 2026'!F37</f>
        <v>0</v>
      </c>
      <c r="D37" s="37" t="n">
        <f aca="false">IF(B37="",0,N(Students!E26))</f>
        <v>0</v>
      </c>
      <c r="E37" s="23"/>
      <c r="F37" s="26" t="n">
        <f aca="false">N(C37)+N(D37)-N(E37)</f>
        <v>0</v>
      </c>
      <c r="G37" s="37" t="n">
        <f aca="false">'Oct 2026'!J37</f>
        <v>0</v>
      </c>
      <c r="H37" s="37" t="n">
        <f aca="false">IF(B37="",0,N(Students!F26))</f>
        <v>0</v>
      </c>
      <c r="I37" s="23"/>
      <c r="J37" s="26" t="n">
        <f aca="false">N(G37)+N(H37)-N(I37)</f>
        <v>0</v>
      </c>
      <c r="K37" s="37" t="n">
        <f aca="false">'Oct 2026'!N37</f>
        <v>0</v>
      </c>
      <c r="L37" s="37" t="n">
        <f aca="false">IF(B37="",0,N(Students!G26))</f>
        <v>0</v>
      </c>
      <c r="M37" s="23"/>
      <c r="N37" s="26" t="n">
        <f aca="false">N(K37)+N(L37)-N(M37)</f>
        <v>0</v>
      </c>
      <c r="O37" s="37" t="n">
        <f aca="false">'Oct 2026'!R37</f>
        <v>0</v>
      </c>
      <c r="P37" s="37" t="n">
        <f aca="false">IF(B37="",0,N(Students!H26))</f>
        <v>0</v>
      </c>
      <c r="Q37" s="23"/>
      <c r="R37" s="26" t="n">
        <f aca="false">N(O37)+N(P37)-N(Q37)</f>
        <v>0</v>
      </c>
      <c r="S37" s="37" t="n">
        <f aca="false">'Oct 2026'!V37</f>
        <v>0</v>
      </c>
      <c r="T37" s="37" t="n">
        <f aca="false">IF(B37="",0,N(Students!I26))</f>
        <v>0</v>
      </c>
      <c r="U37" s="23"/>
      <c r="V37" s="26" t="n">
        <f aca="false">N(S37)+N(T37)-N(U37)</f>
        <v>0</v>
      </c>
      <c r="W37" s="37" t="n">
        <f aca="false">'Oct 2026'!Z37</f>
        <v>0</v>
      </c>
      <c r="X37" s="37" t="n">
        <f aca="false">IF(B37="",0,N(Students!J26))</f>
        <v>0</v>
      </c>
      <c r="Y37" s="23"/>
      <c r="Z37" s="26" t="n">
        <f aca="false">N(W37)+N(X37)-N(Y37)</f>
        <v>0</v>
      </c>
      <c r="AA37" s="37" t="n">
        <f aca="false">N(E37)+N(I37)+N(M37)+N(Q37)+N(U37)+N(Y37)</f>
        <v>0</v>
      </c>
      <c r="AB37" s="26" t="n">
        <f aca="false">F37+J37+N37+R37+V37+Z37</f>
        <v>0</v>
      </c>
      <c r="AC37" s="83" t="str">
        <f aca="false">IF(B37="","",IF(AB37&lt;=0,"Clear",IF(AA37&gt;0,"Partial","Due")))</f>
        <v/>
      </c>
    </row>
    <row r="38" customFormat="false" ht="15" hidden="false" customHeight="false" outlineLevel="0" collapsed="false">
      <c r="A38" s="21" t="n">
        <v>23</v>
      </c>
      <c r="B38" s="46" t="str">
        <f aca="false">IF(Students!B27="","",Students!B27)</f>
        <v/>
      </c>
      <c r="C38" s="33" t="n">
        <f aca="false">'Oct 2026'!F38</f>
        <v>0</v>
      </c>
      <c r="D38" s="33" t="n">
        <f aca="false">IF(B38="",0,N(Students!E27))</f>
        <v>0</v>
      </c>
      <c r="E38" s="23"/>
      <c r="F38" s="24" t="n">
        <f aca="false">N(C38)+N(D38)-N(E38)</f>
        <v>0</v>
      </c>
      <c r="G38" s="33" t="n">
        <f aca="false">'Oct 2026'!J38</f>
        <v>0</v>
      </c>
      <c r="H38" s="33" t="n">
        <f aca="false">IF(B38="",0,N(Students!F27))</f>
        <v>0</v>
      </c>
      <c r="I38" s="23"/>
      <c r="J38" s="24" t="n">
        <f aca="false">N(G38)+N(H38)-N(I38)</f>
        <v>0</v>
      </c>
      <c r="K38" s="33" t="n">
        <f aca="false">'Oct 2026'!N38</f>
        <v>0</v>
      </c>
      <c r="L38" s="33" t="n">
        <f aca="false">IF(B38="",0,N(Students!G27))</f>
        <v>0</v>
      </c>
      <c r="M38" s="23"/>
      <c r="N38" s="24" t="n">
        <f aca="false">N(K38)+N(L38)-N(M38)</f>
        <v>0</v>
      </c>
      <c r="O38" s="33" t="n">
        <f aca="false">'Oct 2026'!R38</f>
        <v>0</v>
      </c>
      <c r="P38" s="33" t="n">
        <f aca="false">IF(B38="",0,N(Students!H27))</f>
        <v>0</v>
      </c>
      <c r="Q38" s="23"/>
      <c r="R38" s="24" t="n">
        <f aca="false">N(O38)+N(P38)-N(Q38)</f>
        <v>0</v>
      </c>
      <c r="S38" s="33" t="n">
        <f aca="false">'Oct 2026'!V38</f>
        <v>0</v>
      </c>
      <c r="T38" s="33" t="n">
        <f aca="false">IF(B38="",0,N(Students!I27))</f>
        <v>0</v>
      </c>
      <c r="U38" s="23"/>
      <c r="V38" s="24" t="n">
        <f aca="false">N(S38)+N(T38)-N(U38)</f>
        <v>0</v>
      </c>
      <c r="W38" s="33" t="n">
        <f aca="false">'Oct 2026'!Z38</f>
        <v>0</v>
      </c>
      <c r="X38" s="33" t="n">
        <f aca="false">IF(B38="",0,N(Students!J27))</f>
        <v>0</v>
      </c>
      <c r="Y38" s="23"/>
      <c r="Z38" s="24" t="n">
        <f aca="false">N(W38)+N(X38)-N(Y38)</f>
        <v>0</v>
      </c>
      <c r="AA38" s="33" t="n">
        <f aca="false">N(E38)+N(I38)+N(M38)+N(Q38)+N(U38)+N(Y38)</f>
        <v>0</v>
      </c>
      <c r="AB38" s="24" t="n">
        <f aca="false">F38+J38+N38+R38+V38+Z38</f>
        <v>0</v>
      </c>
      <c r="AC38" s="81" t="str">
        <f aca="false">IF(B38="","",IF(AB38&lt;=0,"Clear",IF(AA38&gt;0,"Partial","Due")))</f>
        <v/>
      </c>
    </row>
    <row r="39" customFormat="false" ht="15" hidden="false" customHeight="false" outlineLevel="0" collapsed="false">
      <c r="A39" s="25" t="n">
        <v>24</v>
      </c>
      <c r="B39" s="82" t="str">
        <f aca="false">IF(Students!B28="","",Students!B28)</f>
        <v/>
      </c>
      <c r="C39" s="37" t="n">
        <f aca="false">'Oct 2026'!F39</f>
        <v>0</v>
      </c>
      <c r="D39" s="37" t="n">
        <f aca="false">IF(B39="",0,N(Students!E28))</f>
        <v>0</v>
      </c>
      <c r="E39" s="23"/>
      <c r="F39" s="26" t="n">
        <f aca="false">N(C39)+N(D39)-N(E39)</f>
        <v>0</v>
      </c>
      <c r="G39" s="37" t="n">
        <f aca="false">'Oct 2026'!J39</f>
        <v>0</v>
      </c>
      <c r="H39" s="37" t="n">
        <f aca="false">IF(B39="",0,N(Students!F28))</f>
        <v>0</v>
      </c>
      <c r="I39" s="23"/>
      <c r="J39" s="26" t="n">
        <f aca="false">N(G39)+N(H39)-N(I39)</f>
        <v>0</v>
      </c>
      <c r="K39" s="37" t="n">
        <f aca="false">'Oct 2026'!N39</f>
        <v>0</v>
      </c>
      <c r="L39" s="37" t="n">
        <f aca="false">IF(B39="",0,N(Students!G28))</f>
        <v>0</v>
      </c>
      <c r="M39" s="23"/>
      <c r="N39" s="26" t="n">
        <f aca="false">N(K39)+N(L39)-N(M39)</f>
        <v>0</v>
      </c>
      <c r="O39" s="37" t="n">
        <f aca="false">'Oct 2026'!R39</f>
        <v>0</v>
      </c>
      <c r="P39" s="37" t="n">
        <f aca="false">IF(B39="",0,N(Students!H28))</f>
        <v>0</v>
      </c>
      <c r="Q39" s="23"/>
      <c r="R39" s="26" t="n">
        <f aca="false">N(O39)+N(P39)-N(Q39)</f>
        <v>0</v>
      </c>
      <c r="S39" s="37" t="n">
        <f aca="false">'Oct 2026'!V39</f>
        <v>0</v>
      </c>
      <c r="T39" s="37" t="n">
        <f aca="false">IF(B39="",0,N(Students!I28))</f>
        <v>0</v>
      </c>
      <c r="U39" s="23"/>
      <c r="V39" s="26" t="n">
        <f aca="false">N(S39)+N(T39)-N(U39)</f>
        <v>0</v>
      </c>
      <c r="W39" s="37" t="n">
        <f aca="false">'Oct 2026'!Z39</f>
        <v>0</v>
      </c>
      <c r="X39" s="37" t="n">
        <f aca="false">IF(B39="",0,N(Students!J28))</f>
        <v>0</v>
      </c>
      <c r="Y39" s="23"/>
      <c r="Z39" s="26" t="n">
        <f aca="false">N(W39)+N(X39)-N(Y39)</f>
        <v>0</v>
      </c>
      <c r="AA39" s="37" t="n">
        <f aca="false">N(E39)+N(I39)+N(M39)+N(Q39)+N(U39)+N(Y39)</f>
        <v>0</v>
      </c>
      <c r="AB39" s="26" t="n">
        <f aca="false">F39+J39+N39+R39+V39+Z39</f>
        <v>0</v>
      </c>
      <c r="AC39" s="83" t="str">
        <f aca="false">IF(B39="","",IF(AB39&lt;=0,"Clear",IF(AA39&gt;0,"Partial","Due")))</f>
        <v/>
      </c>
    </row>
    <row r="40" customFormat="false" ht="15" hidden="false" customHeight="false" outlineLevel="0" collapsed="false">
      <c r="A40" s="21" t="n">
        <v>25</v>
      </c>
      <c r="B40" s="46" t="str">
        <f aca="false">IF(Students!B29="","",Students!B29)</f>
        <v/>
      </c>
      <c r="C40" s="33" t="n">
        <f aca="false">'Oct 2026'!F40</f>
        <v>0</v>
      </c>
      <c r="D40" s="33" t="n">
        <f aca="false">IF(B40="",0,N(Students!E29))</f>
        <v>0</v>
      </c>
      <c r="E40" s="23"/>
      <c r="F40" s="24" t="n">
        <f aca="false">N(C40)+N(D40)-N(E40)</f>
        <v>0</v>
      </c>
      <c r="G40" s="33" t="n">
        <f aca="false">'Oct 2026'!J40</f>
        <v>0</v>
      </c>
      <c r="H40" s="33" t="n">
        <f aca="false">IF(B40="",0,N(Students!F29))</f>
        <v>0</v>
      </c>
      <c r="I40" s="23"/>
      <c r="J40" s="24" t="n">
        <f aca="false">N(G40)+N(H40)-N(I40)</f>
        <v>0</v>
      </c>
      <c r="K40" s="33" t="n">
        <f aca="false">'Oct 2026'!N40</f>
        <v>0</v>
      </c>
      <c r="L40" s="33" t="n">
        <f aca="false">IF(B40="",0,N(Students!G29))</f>
        <v>0</v>
      </c>
      <c r="M40" s="23"/>
      <c r="N40" s="24" t="n">
        <f aca="false">N(K40)+N(L40)-N(M40)</f>
        <v>0</v>
      </c>
      <c r="O40" s="33" t="n">
        <f aca="false">'Oct 2026'!R40</f>
        <v>0</v>
      </c>
      <c r="P40" s="33" t="n">
        <f aca="false">IF(B40="",0,N(Students!H29))</f>
        <v>0</v>
      </c>
      <c r="Q40" s="23"/>
      <c r="R40" s="24" t="n">
        <f aca="false">N(O40)+N(P40)-N(Q40)</f>
        <v>0</v>
      </c>
      <c r="S40" s="33" t="n">
        <f aca="false">'Oct 2026'!V40</f>
        <v>0</v>
      </c>
      <c r="T40" s="33" t="n">
        <f aca="false">IF(B40="",0,N(Students!I29))</f>
        <v>0</v>
      </c>
      <c r="U40" s="23"/>
      <c r="V40" s="24" t="n">
        <f aca="false">N(S40)+N(T40)-N(U40)</f>
        <v>0</v>
      </c>
      <c r="W40" s="33" t="n">
        <f aca="false">'Oct 2026'!Z40</f>
        <v>0</v>
      </c>
      <c r="X40" s="33" t="n">
        <f aca="false">IF(B40="",0,N(Students!J29))</f>
        <v>0</v>
      </c>
      <c r="Y40" s="23"/>
      <c r="Z40" s="24" t="n">
        <f aca="false">N(W40)+N(X40)-N(Y40)</f>
        <v>0</v>
      </c>
      <c r="AA40" s="33" t="n">
        <f aca="false">N(E40)+N(I40)+N(M40)+N(Q40)+N(U40)+N(Y40)</f>
        <v>0</v>
      </c>
      <c r="AB40" s="24" t="n">
        <f aca="false">F40+J40+N40+R40+V40+Z40</f>
        <v>0</v>
      </c>
      <c r="AC40" s="81" t="str">
        <f aca="false">IF(B40="","",IF(AB40&lt;=0,"Clear",IF(AA40&gt;0,"Partial","Due")))</f>
        <v/>
      </c>
    </row>
    <row r="41" customFormat="false" ht="15" hidden="false" customHeight="false" outlineLevel="0" collapsed="false">
      <c r="A41" s="25" t="n">
        <v>26</v>
      </c>
      <c r="B41" s="82" t="str">
        <f aca="false">IF(Students!B30="","",Students!B30)</f>
        <v/>
      </c>
      <c r="C41" s="37" t="n">
        <f aca="false">'Oct 2026'!F41</f>
        <v>0</v>
      </c>
      <c r="D41" s="37" t="n">
        <f aca="false">IF(B41="",0,N(Students!E30))</f>
        <v>0</v>
      </c>
      <c r="E41" s="23"/>
      <c r="F41" s="26" t="n">
        <f aca="false">N(C41)+N(D41)-N(E41)</f>
        <v>0</v>
      </c>
      <c r="G41" s="37" t="n">
        <f aca="false">'Oct 2026'!J41</f>
        <v>0</v>
      </c>
      <c r="H41" s="37" t="n">
        <f aca="false">IF(B41="",0,N(Students!F30))</f>
        <v>0</v>
      </c>
      <c r="I41" s="23"/>
      <c r="J41" s="26" t="n">
        <f aca="false">N(G41)+N(H41)-N(I41)</f>
        <v>0</v>
      </c>
      <c r="K41" s="37" t="n">
        <f aca="false">'Oct 2026'!N41</f>
        <v>0</v>
      </c>
      <c r="L41" s="37" t="n">
        <f aca="false">IF(B41="",0,N(Students!G30))</f>
        <v>0</v>
      </c>
      <c r="M41" s="23"/>
      <c r="N41" s="26" t="n">
        <f aca="false">N(K41)+N(L41)-N(M41)</f>
        <v>0</v>
      </c>
      <c r="O41" s="37" t="n">
        <f aca="false">'Oct 2026'!R41</f>
        <v>0</v>
      </c>
      <c r="P41" s="37" t="n">
        <f aca="false">IF(B41="",0,N(Students!H30))</f>
        <v>0</v>
      </c>
      <c r="Q41" s="23"/>
      <c r="R41" s="26" t="n">
        <f aca="false">N(O41)+N(P41)-N(Q41)</f>
        <v>0</v>
      </c>
      <c r="S41" s="37" t="n">
        <f aca="false">'Oct 2026'!V41</f>
        <v>0</v>
      </c>
      <c r="T41" s="37" t="n">
        <f aca="false">IF(B41="",0,N(Students!I30))</f>
        <v>0</v>
      </c>
      <c r="U41" s="23"/>
      <c r="V41" s="26" t="n">
        <f aca="false">N(S41)+N(T41)-N(U41)</f>
        <v>0</v>
      </c>
      <c r="W41" s="37" t="n">
        <f aca="false">'Oct 2026'!Z41</f>
        <v>0</v>
      </c>
      <c r="X41" s="37" t="n">
        <f aca="false">IF(B41="",0,N(Students!J30))</f>
        <v>0</v>
      </c>
      <c r="Y41" s="23"/>
      <c r="Z41" s="26" t="n">
        <f aca="false">N(W41)+N(X41)-N(Y41)</f>
        <v>0</v>
      </c>
      <c r="AA41" s="37" t="n">
        <f aca="false">N(E41)+N(I41)+N(M41)+N(Q41)+N(U41)+N(Y41)</f>
        <v>0</v>
      </c>
      <c r="AB41" s="26" t="n">
        <f aca="false">F41+J41+N41+R41+V41+Z41</f>
        <v>0</v>
      </c>
      <c r="AC41" s="83" t="str">
        <f aca="false">IF(B41="","",IF(AB41&lt;=0,"Clear",IF(AA41&gt;0,"Partial","Due")))</f>
        <v/>
      </c>
    </row>
    <row r="42" customFormat="false" ht="15" hidden="false" customHeight="false" outlineLevel="0" collapsed="false">
      <c r="A42" s="21" t="n">
        <v>27</v>
      </c>
      <c r="B42" s="46" t="str">
        <f aca="false">IF(Students!B31="","",Students!B31)</f>
        <v/>
      </c>
      <c r="C42" s="33" t="n">
        <f aca="false">'Oct 2026'!F42</f>
        <v>0</v>
      </c>
      <c r="D42" s="33" t="n">
        <f aca="false">IF(B42="",0,N(Students!E31))</f>
        <v>0</v>
      </c>
      <c r="E42" s="23"/>
      <c r="F42" s="24" t="n">
        <f aca="false">N(C42)+N(D42)-N(E42)</f>
        <v>0</v>
      </c>
      <c r="G42" s="33" t="n">
        <f aca="false">'Oct 2026'!J42</f>
        <v>0</v>
      </c>
      <c r="H42" s="33" t="n">
        <f aca="false">IF(B42="",0,N(Students!F31))</f>
        <v>0</v>
      </c>
      <c r="I42" s="23"/>
      <c r="J42" s="24" t="n">
        <f aca="false">N(G42)+N(H42)-N(I42)</f>
        <v>0</v>
      </c>
      <c r="K42" s="33" t="n">
        <f aca="false">'Oct 2026'!N42</f>
        <v>0</v>
      </c>
      <c r="L42" s="33" t="n">
        <f aca="false">IF(B42="",0,N(Students!G31))</f>
        <v>0</v>
      </c>
      <c r="M42" s="23"/>
      <c r="N42" s="24" t="n">
        <f aca="false">N(K42)+N(L42)-N(M42)</f>
        <v>0</v>
      </c>
      <c r="O42" s="33" t="n">
        <f aca="false">'Oct 2026'!R42</f>
        <v>0</v>
      </c>
      <c r="P42" s="33" t="n">
        <f aca="false">IF(B42="",0,N(Students!H31))</f>
        <v>0</v>
      </c>
      <c r="Q42" s="23"/>
      <c r="R42" s="24" t="n">
        <f aca="false">N(O42)+N(P42)-N(Q42)</f>
        <v>0</v>
      </c>
      <c r="S42" s="33" t="n">
        <f aca="false">'Oct 2026'!V42</f>
        <v>0</v>
      </c>
      <c r="T42" s="33" t="n">
        <f aca="false">IF(B42="",0,N(Students!I31))</f>
        <v>0</v>
      </c>
      <c r="U42" s="23"/>
      <c r="V42" s="24" t="n">
        <f aca="false">N(S42)+N(T42)-N(U42)</f>
        <v>0</v>
      </c>
      <c r="W42" s="33" t="n">
        <f aca="false">'Oct 2026'!Z42</f>
        <v>0</v>
      </c>
      <c r="X42" s="33" t="n">
        <f aca="false">IF(B42="",0,N(Students!J31))</f>
        <v>0</v>
      </c>
      <c r="Y42" s="23"/>
      <c r="Z42" s="24" t="n">
        <f aca="false">N(W42)+N(X42)-N(Y42)</f>
        <v>0</v>
      </c>
      <c r="AA42" s="33" t="n">
        <f aca="false">N(E42)+N(I42)+N(M42)+N(Q42)+N(U42)+N(Y42)</f>
        <v>0</v>
      </c>
      <c r="AB42" s="24" t="n">
        <f aca="false">F42+J42+N42+R42+V42+Z42</f>
        <v>0</v>
      </c>
      <c r="AC42" s="81" t="str">
        <f aca="false">IF(B42="","",IF(AB42&lt;=0,"Clear",IF(AA42&gt;0,"Partial","Due")))</f>
        <v/>
      </c>
    </row>
    <row r="43" customFormat="false" ht="15" hidden="false" customHeight="false" outlineLevel="0" collapsed="false">
      <c r="A43" s="25" t="n">
        <v>28</v>
      </c>
      <c r="B43" s="82" t="str">
        <f aca="false">IF(Students!B32="","",Students!B32)</f>
        <v/>
      </c>
      <c r="C43" s="37" t="n">
        <f aca="false">'Oct 2026'!F43</f>
        <v>0</v>
      </c>
      <c r="D43" s="37" t="n">
        <f aca="false">IF(B43="",0,N(Students!E32))</f>
        <v>0</v>
      </c>
      <c r="E43" s="23"/>
      <c r="F43" s="26" t="n">
        <f aca="false">N(C43)+N(D43)-N(E43)</f>
        <v>0</v>
      </c>
      <c r="G43" s="37" t="n">
        <f aca="false">'Oct 2026'!J43</f>
        <v>0</v>
      </c>
      <c r="H43" s="37" t="n">
        <f aca="false">IF(B43="",0,N(Students!F32))</f>
        <v>0</v>
      </c>
      <c r="I43" s="23"/>
      <c r="J43" s="26" t="n">
        <f aca="false">N(G43)+N(H43)-N(I43)</f>
        <v>0</v>
      </c>
      <c r="K43" s="37" t="n">
        <f aca="false">'Oct 2026'!N43</f>
        <v>0</v>
      </c>
      <c r="L43" s="37" t="n">
        <f aca="false">IF(B43="",0,N(Students!G32))</f>
        <v>0</v>
      </c>
      <c r="M43" s="23"/>
      <c r="N43" s="26" t="n">
        <f aca="false">N(K43)+N(L43)-N(M43)</f>
        <v>0</v>
      </c>
      <c r="O43" s="37" t="n">
        <f aca="false">'Oct 2026'!R43</f>
        <v>0</v>
      </c>
      <c r="P43" s="37" t="n">
        <f aca="false">IF(B43="",0,N(Students!H32))</f>
        <v>0</v>
      </c>
      <c r="Q43" s="23"/>
      <c r="R43" s="26" t="n">
        <f aca="false">N(O43)+N(P43)-N(Q43)</f>
        <v>0</v>
      </c>
      <c r="S43" s="37" t="n">
        <f aca="false">'Oct 2026'!V43</f>
        <v>0</v>
      </c>
      <c r="T43" s="37" t="n">
        <f aca="false">IF(B43="",0,N(Students!I32))</f>
        <v>0</v>
      </c>
      <c r="U43" s="23"/>
      <c r="V43" s="26" t="n">
        <f aca="false">N(S43)+N(T43)-N(U43)</f>
        <v>0</v>
      </c>
      <c r="W43" s="37" t="n">
        <f aca="false">'Oct 2026'!Z43</f>
        <v>0</v>
      </c>
      <c r="X43" s="37" t="n">
        <f aca="false">IF(B43="",0,N(Students!J32))</f>
        <v>0</v>
      </c>
      <c r="Y43" s="23"/>
      <c r="Z43" s="26" t="n">
        <f aca="false">N(W43)+N(X43)-N(Y43)</f>
        <v>0</v>
      </c>
      <c r="AA43" s="37" t="n">
        <f aca="false">N(E43)+N(I43)+N(M43)+N(Q43)+N(U43)+N(Y43)</f>
        <v>0</v>
      </c>
      <c r="AB43" s="26" t="n">
        <f aca="false">F43+J43+N43+R43+V43+Z43</f>
        <v>0</v>
      </c>
      <c r="AC43" s="83" t="str">
        <f aca="false">IF(B43="","",IF(AB43&lt;=0,"Clear",IF(AA43&gt;0,"Partial","Due")))</f>
        <v/>
      </c>
    </row>
    <row r="44" customFormat="false" ht="15" hidden="false" customHeight="false" outlineLevel="0" collapsed="false">
      <c r="A44" s="21" t="n">
        <v>29</v>
      </c>
      <c r="B44" s="46" t="str">
        <f aca="false">IF(Students!B33="","",Students!B33)</f>
        <v/>
      </c>
      <c r="C44" s="33" t="n">
        <f aca="false">'Oct 2026'!F44</f>
        <v>0</v>
      </c>
      <c r="D44" s="33" t="n">
        <f aca="false">IF(B44="",0,N(Students!E33))</f>
        <v>0</v>
      </c>
      <c r="E44" s="23"/>
      <c r="F44" s="24" t="n">
        <f aca="false">N(C44)+N(D44)-N(E44)</f>
        <v>0</v>
      </c>
      <c r="G44" s="33" t="n">
        <f aca="false">'Oct 2026'!J44</f>
        <v>0</v>
      </c>
      <c r="H44" s="33" t="n">
        <f aca="false">IF(B44="",0,N(Students!F33))</f>
        <v>0</v>
      </c>
      <c r="I44" s="23"/>
      <c r="J44" s="24" t="n">
        <f aca="false">N(G44)+N(H44)-N(I44)</f>
        <v>0</v>
      </c>
      <c r="K44" s="33" t="n">
        <f aca="false">'Oct 2026'!N44</f>
        <v>0</v>
      </c>
      <c r="L44" s="33" t="n">
        <f aca="false">IF(B44="",0,N(Students!G33))</f>
        <v>0</v>
      </c>
      <c r="M44" s="23"/>
      <c r="N44" s="24" t="n">
        <f aca="false">N(K44)+N(L44)-N(M44)</f>
        <v>0</v>
      </c>
      <c r="O44" s="33" t="n">
        <f aca="false">'Oct 2026'!R44</f>
        <v>0</v>
      </c>
      <c r="P44" s="33" t="n">
        <f aca="false">IF(B44="",0,N(Students!H33))</f>
        <v>0</v>
      </c>
      <c r="Q44" s="23"/>
      <c r="R44" s="24" t="n">
        <f aca="false">N(O44)+N(P44)-N(Q44)</f>
        <v>0</v>
      </c>
      <c r="S44" s="33" t="n">
        <f aca="false">'Oct 2026'!V44</f>
        <v>0</v>
      </c>
      <c r="T44" s="33" t="n">
        <f aca="false">IF(B44="",0,N(Students!I33))</f>
        <v>0</v>
      </c>
      <c r="U44" s="23"/>
      <c r="V44" s="24" t="n">
        <f aca="false">N(S44)+N(T44)-N(U44)</f>
        <v>0</v>
      </c>
      <c r="W44" s="33" t="n">
        <f aca="false">'Oct 2026'!Z44</f>
        <v>0</v>
      </c>
      <c r="X44" s="33" t="n">
        <f aca="false">IF(B44="",0,N(Students!J33))</f>
        <v>0</v>
      </c>
      <c r="Y44" s="23"/>
      <c r="Z44" s="24" t="n">
        <f aca="false">N(W44)+N(X44)-N(Y44)</f>
        <v>0</v>
      </c>
      <c r="AA44" s="33" t="n">
        <f aca="false">N(E44)+N(I44)+N(M44)+N(Q44)+N(U44)+N(Y44)</f>
        <v>0</v>
      </c>
      <c r="AB44" s="24" t="n">
        <f aca="false">F44+J44+N44+R44+V44+Z44</f>
        <v>0</v>
      </c>
      <c r="AC44" s="81" t="str">
        <f aca="false">IF(B44="","",IF(AB44&lt;=0,"Clear",IF(AA44&gt;0,"Partial","Due")))</f>
        <v/>
      </c>
    </row>
    <row r="45" customFormat="false" ht="15" hidden="false" customHeight="false" outlineLevel="0" collapsed="false">
      <c r="A45" s="25" t="n">
        <v>30</v>
      </c>
      <c r="B45" s="82" t="str">
        <f aca="false">IF(Students!B34="","",Students!B34)</f>
        <v/>
      </c>
      <c r="C45" s="37" t="n">
        <f aca="false">'Oct 2026'!F45</f>
        <v>0</v>
      </c>
      <c r="D45" s="37" t="n">
        <f aca="false">IF(B45="",0,N(Students!E34))</f>
        <v>0</v>
      </c>
      <c r="E45" s="23"/>
      <c r="F45" s="26" t="n">
        <f aca="false">N(C45)+N(D45)-N(E45)</f>
        <v>0</v>
      </c>
      <c r="G45" s="37" t="n">
        <f aca="false">'Oct 2026'!J45</f>
        <v>0</v>
      </c>
      <c r="H45" s="37" t="n">
        <f aca="false">IF(B45="",0,N(Students!F34))</f>
        <v>0</v>
      </c>
      <c r="I45" s="23"/>
      <c r="J45" s="26" t="n">
        <f aca="false">N(G45)+N(H45)-N(I45)</f>
        <v>0</v>
      </c>
      <c r="K45" s="37" t="n">
        <f aca="false">'Oct 2026'!N45</f>
        <v>0</v>
      </c>
      <c r="L45" s="37" t="n">
        <f aca="false">IF(B45="",0,N(Students!G34))</f>
        <v>0</v>
      </c>
      <c r="M45" s="23"/>
      <c r="N45" s="26" t="n">
        <f aca="false">N(K45)+N(L45)-N(M45)</f>
        <v>0</v>
      </c>
      <c r="O45" s="37" t="n">
        <f aca="false">'Oct 2026'!R45</f>
        <v>0</v>
      </c>
      <c r="P45" s="37" t="n">
        <f aca="false">IF(B45="",0,N(Students!H34))</f>
        <v>0</v>
      </c>
      <c r="Q45" s="23"/>
      <c r="R45" s="26" t="n">
        <f aca="false">N(O45)+N(P45)-N(Q45)</f>
        <v>0</v>
      </c>
      <c r="S45" s="37" t="n">
        <f aca="false">'Oct 2026'!V45</f>
        <v>0</v>
      </c>
      <c r="T45" s="37" t="n">
        <f aca="false">IF(B45="",0,N(Students!I34))</f>
        <v>0</v>
      </c>
      <c r="U45" s="23"/>
      <c r="V45" s="26" t="n">
        <f aca="false">N(S45)+N(T45)-N(U45)</f>
        <v>0</v>
      </c>
      <c r="W45" s="37" t="n">
        <f aca="false">'Oct 2026'!Z45</f>
        <v>0</v>
      </c>
      <c r="X45" s="37" t="n">
        <f aca="false">IF(B45="",0,N(Students!J34))</f>
        <v>0</v>
      </c>
      <c r="Y45" s="23"/>
      <c r="Z45" s="26" t="n">
        <f aca="false">N(W45)+N(X45)-N(Y45)</f>
        <v>0</v>
      </c>
      <c r="AA45" s="37" t="n">
        <f aca="false">N(E45)+N(I45)+N(M45)+N(Q45)+N(U45)+N(Y45)</f>
        <v>0</v>
      </c>
      <c r="AB45" s="26" t="n">
        <f aca="false">F45+J45+N45+R45+V45+Z45</f>
        <v>0</v>
      </c>
      <c r="AC45" s="83" t="str">
        <f aca="false">IF(B45="","",IF(AB45&lt;=0,"Clear",IF(AA45&gt;0,"Partial","Due")))</f>
        <v/>
      </c>
    </row>
    <row r="46" customFormat="false" ht="15" hidden="false" customHeight="false" outlineLevel="0" collapsed="false">
      <c r="A46" s="21" t="n">
        <v>31</v>
      </c>
      <c r="B46" s="46" t="str">
        <f aca="false">IF(Students!B35="","",Students!B35)</f>
        <v/>
      </c>
      <c r="C46" s="33" t="n">
        <f aca="false">'Oct 2026'!F46</f>
        <v>0</v>
      </c>
      <c r="D46" s="33" t="n">
        <f aca="false">IF(B46="",0,N(Students!E35))</f>
        <v>0</v>
      </c>
      <c r="E46" s="23"/>
      <c r="F46" s="24" t="n">
        <f aca="false">N(C46)+N(D46)-N(E46)</f>
        <v>0</v>
      </c>
      <c r="G46" s="33" t="n">
        <f aca="false">'Oct 2026'!J46</f>
        <v>0</v>
      </c>
      <c r="H46" s="33" t="n">
        <f aca="false">IF(B46="",0,N(Students!F35))</f>
        <v>0</v>
      </c>
      <c r="I46" s="23"/>
      <c r="J46" s="24" t="n">
        <f aca="false">N(G46)+N(H46)-N(I46)</f>
        <v>0</v>
      </c>
      <c r="K46" s="33" t="n">
        <f aca="false">'Oct 2026'!N46</f>
        <v>0</v>
      </c>
      <c r="L46" s="33" t="n">
        <f aca="false">IF(B46="",0,N(Students!G35))</f>
        <v>0</v>
      </c>
      <c r="M46" s="23"/>
      <c r="N46" s="24" t="n">
        <f aca="false">N(K46)+N(L46)-N(M46)</f>
        <v>0</v>
      </c>
      <c r="O46" s="33" t="n">
        <f aca="false">'Oct 2026'!R46</f>
        <v>0</v>
      </c>
      <c r="P46" s="33" t="n">
        <f aca="false">IF(B46="",0,N(Students!H35))</f>
        <v>0</v>
      </c>
      <c r="Q46" s="23"/>
      <c r="R46" s="24" t="n">
        <f aca="false">N(O46)+N(P46)-N(Q46)</f>
        <v>0</v>
      </c>
      <c r="S46" s="33" t="n">
        <f aca="false">'Oct 2026'!V46</f>
        <v>0</v>
      </c>
      <c r="T46" s="33" t="n">
        <f aca="false">IF(B46="",0,N(Students!I35))</f>
        <v>0</v>
      </c>
      <c r="U46" s="23"/>
      <c r="V46" s="24" t="n">
        <f aca="false">N(S46)+N(T46)-N(U46)</f>
        <v>0</v>
      </c>
      <c r="W46" s="33" t="n">
        <f aca="false">'Oct 2026'!Z46</f>
        <v>0</v>
      </c>
      <c r="X46" s="33" t="n">
        <f aca="false">IF(B46="",0,N(Students!J35))</f>
        <v>0</v>
      </c>
      <c r="Y46" s="23"/>
      <c r="Z46" s="24" t="n">
        <f aca="false">N(W46)+N(X46)-N(Y46)</f>
        <v>0</v>
      </c>
      <c r="AA46" s="33" t="n">
        <f aca="false">N(E46)+N(I46)+N(M46)+N(Q46)+N(U46)+N(Y46)</f>
        <v>0</v>
      </c>
      <c r="AB46" s="24" t="n">
        <f aca="false">F46+J46+N46+R46+V46+Z46</f>
        <v>0</v>
      </c>
      <c r="AC46" s="81" t="str">
        <f aca="false">IF(B46="","",IF(AB46&lt;=0,"Clear",IF(AA46&gt;0,"Partial","Due")))</f>
        <v/>
      </c>
    </row>
    <row r="47" customFormat="false" ht="15" hidden="false" customHeight="false" outlineLevel="0" collapsed="false">
      <c r="A47" s="25" t="n">
        <v>32</v>
      </c>
      <c r="B47" s="82" t="str">
        <f aca="false">IF(Students!B36="","",Students!B36)</f>
        <v/>
      </c>
      <c r="C47" s="37" t="n">
        <f aca="false">'Oct 2026'!F47</f>
        <v>0</v>
      </c>
      <c r="D47" s="37" t="n">
        <f aca="false">IF(B47="",0,N(Students!E36))</f>
        <v>0</v>
      </c>
      <c r="E47" s="23"/>
      <c r="F47" s="26" t="n">
        <f aca="false">N(C47)+N(D47)-N(E47)</f>
        <v>0</v>
      </c>
      <c r="G47" s="37" t="n">
        <f aca="false">'Oct 2026'!J47</f>
        <v>0</v>
      </c>
      <c r="H47" s="37" t="n">
        <f aca="false">IF(B47="",0,N(Students!F36))</f>
        <v>0</v>
      </c>
      <c r="I47" s="23"/>
      <c r="J47" s="26" t="n">
        <f aca="false">N(G47)+N(H47)-N(I47)</f>
        <v>0</v>
      </c>
      <c r="K47" s="37" t="n">
        <f aca="false">'Oct 2026'!N47</f>
        <v>0</v>
      </c>
      <c r="L47" s="37" t="n">
        <f aca="false">IF(B47="",0,N(Students!G36))</f>
        <v>0</v>
      </c>
      <c r="M47" s="23"/>
      <c r="N47" s="26" t="n">
        <f aca="false">N(K47)+N(L47)-N(M47)</f>
        <v>0</v>
      </c>
      <c r="O47" s="37" t="n">
        <f aca="false">'Oct 2026'!R47</f>
        <v>0</v>
      </c>
      <c r="P47" s="37" t="n">
        <f aca="false">IF(B47="",0,N(Students!H36))</f>
        <v>0</v>
      </c>
      <c r="Q47" s="23"/>
      <c r="R47" s="26" t="n">
        <f aca="false">N(O47)+N(P47)-N(Q47)</f>
        <v>0</v>
      </c>
      <c r="S47" s="37" t="n">
        <f aca="false">'Oct 2026'!V47</f>
        <v>0</v>
      </c>
      <c r="T47" s="37" t="n">
        <f aca="false">IF(B47="",0,N(Students!I36))</f>
        <v>0</v>
      </c>
      <c r="U47" s="23"/>
      <c r="V47" s="26" t="n">
        <f aca="false">N(S47)+N(T47)-N(U47)</f>
        <v>0</v>
      </c>
      <c r="W47" s="37" t="n">
        <f aca="false">'Oct 2026'!Z47</f>
        <v>0</v>
      </c>
      <c r="X47" s="37" t="n">
        <f aca="false">IF(B47="",0,N(Students!J36))</f>
        <v>0</v>
      </c>
      <c r="Y47" s="23"/>
      <c r="Z47" s="26" t="n">
        <f aca="false">N(W47)+N(X47)-N(Y47)</f>
        <v>0</v>
      </c>
      <c r="AA47" s="37" t="n">
        <f aca="false">N(E47)+N(I47)+N(M47)+N(Q47)+N(U47)+N(Y47)</f>
        <v>0</v>
      </c>
      <c r="AB47" s="26" t="n">
        <f aca="false">F47+J47+N47+R47+V47+Z47</f>
        <v>0</v>
      </c>
      <c r="AC47" s="83" t="str">
        <f aca="false">IF(B47="","",IF(AB47&lt;=0,"Clear",IF(AA47&gt;0,"Partial","Due")))</f>
        <v/>
      </c>
    </row>
    <row r="48" customFormat="false" ht="15" hidden="false" customHeight="false" outlineLevel="0" collapsed="false">
      <c r="A48" s="21" t="n">
        <v>33</v>
      </c>
      <c r="B48" s="46" t="str">
        <f aca="false">IF(Students!B37="","",Students!B37)</f>
        <v/>
      </c>
      <c r="C48" s="33" t="n">
        <f aca="false">'Oct 2026'!F48</f>
        <v>0</v>
      </c>
      <c r="D48" s="33" t="n">
        <f aca="false">IF(B48="",0,N(Students!E37))</f>
        <v>0</v>
      </c>
      <c r="E48" s="23"/>
      <c r="F48" s="24" t="n">
        <f aca="false">N(C48)+N(D48)-N(E48)</f>
        <v>0</v>
      </c>
      <c r="G48" s="33" t="n">
        <f aca="false">'Oct 2026'!J48</f>
        <v>0</v>
      </c>
      <c r="H48" s="33" t="n">
        <f aca="false">IF(B48="",0,N(Students!F37))</f>
        <v>0</v>
      </c>
      <c r="I48" s="23"/>
      <c r="J48" s="24" t="n">
        <f aca="false">N(G48)+N(H48)-N(I48)</f>
        <v>0</v>
      </c>
      <c r="K48" s="33" t="n">
        <f aca="false">'Oct 2026'!N48</f>
        <v>0</v>
      </c>
      <c r="L48" s="33" t="n">
        <f aca="false">IF(B48="",0,N(Students!G37))</f>
        <v>0</v>
      </c>
      <c r="M48" s="23"/>
      <c r="N48" s="24" t="n">
        <f aca="false">N(K48)+N(L48)-N(M48)</f>
        <v>0</v>
      </c>
      <c r="O48" s="33" t="n">
        <f aca="false">'Oct 2026'!R48</f>
        <v>0</v>
      </c>
      <c r="P48" s="33" t="n">
        <f aca="false">IF(B48="",0,N(Students!H37))</f>
        <v>0</v>
      </c>
      <c r="Q48" s="23"/>
      <c r="R48" s="24" t="n">
        <f aca="false">N(O48)+N(P48)-N(Q48)</f>
        <v>0</v>
      </c>
      <c r="S48" s="33" t="n">
        <f aca="false">'Oct 2026'!V48</f>
        <v>0</v>
      </c>
      <c r="T48" s="33" t="n">
        <f aca="false">IF(B48="",0,N(Students!I37))</f>
        <v>0</v>
      </c>
      <c r="U48" s="23"/>
      <c r="V48" s="24" t="n">
        <f aca="false">N(S48)+N(T48)-N(U48)</f>
        <v>0</v>
      </c>
      <c r="W48" s="33" t="n">
        <f aca="false">'Oct 2026'!Z48</f>
        <v>0</v>
      </c>
      <c r="X48" s="33" t="n">
        <f aca="false">IF(B48="",0,N(Students!J37))</f>
        <v>0</v>
      </c>
      <c r="Y48" s="23"/>
      <c r="Z48" s="24" t="n">
        <f aca="false">N(W48)+N(X48)-N(Y48)</f>
        <v>0</v>
      </c>
      <c r="AA48" s="33" t="n">
        <f aca="false">N(E48)+N(I48)+N(M48)+N(Q48)+N(U48)+N(Y48)</f>
        <v>0</v>
      </c>
      <c r="AB48" s="24" t="n">
        <f aca="false">F48+J48+N48+R48+V48+Z48</f>
        <v>0</v>
      </c>
      <c r="AC48" s="81" t="str">
        <f aca="false">IF(B48="","",IF(AB48&lt;=0,"Clear",IF(AA48&gt;0,"Partial","Due")))</f>
        <v/>
      </c>
    </row>
    <row r="49" customFormat="false" ht="15" hidden="false" customHeight="false" outlineLevel="0" collapsed="false">
      <c r="A49" s="25" t="n">
        <v>34</v>
      </c>
      <c r="B49" s="82" t="str">
        <f aca="false">IF(Students!B38="","",Students!B38)</f>
        <v/>
      </c>
      <c r="C49" s="37" t="n">
        <f aca="false">'Oct 2026'!F49</f>
        <v>0</v>
      </c>
      <c r="D49" s="37" t="n">
        <f aca="false">IF(B49="",0,N(Students!E38))</f>
        <v>0</v>
      </c>
      <c r="E49" s="23"/>
      <c r="F49" s="26" t="n">
        <f aca="false">N(C49)+N(D49)-N(E49)</f>
        <v>0</v>
      </c>
      <c r="G49" s="37" t="n">
        <f aca="false">'Oct 2026'!J49</f>
        <v>0</v>
      </c>
      <c r="H49" s="37" t="n">
        <f aca="false">IF(B49="",0,N(Students!F38))</f>
        <v>0</v>
      </c>
      <c r="I49" s="23"/>
      <c r="J49" s="26" t="n">
        <f aca="false">N(G49)+N(H49)-N(I49)</f>
        <v>0</v>
      </c>
      <c r="K49" s="37" t="n">
        <f aca="false">'Oct 2026'!N49</f>
        <v>0</v>
      </c>
      <c r="L49" s="37" t="n">
        <f aca="false">IF(B49="",0,N(Students!G38))</f>
        <v>0</v>
      </c>
      <c r="M49" s="23"/>
      <c r="N49" s="26" t="n">
        <f aca="false">N(K49)+N(L49)-N(M49)</f>
        <v>0</v>
      </c>
      <c r="O49" s="37" t="n">
        <f aca="false">'Oct 2026'!R49</f>
        <v>0</v>
      </c>
      <c r="P49" s="37" t="n">
        <f aca="false">IF(B49="",0,N(Students!H38))</f>
        <v>0</v>
      </c>
      <c r="Q49" s="23"/>
      <c r="R49" s="26" t="n">
        <f aca="false">N(O49)+N(P49)-N(Q49)</f>
        <v>0</v>
      </c>
      <c r="S49" s="37" t="n">
        <f aca="false">'Oct 2026'!V49</f>
        <v>0</v>
      </c>
      <c r="T49" s="37" t="n">
        <f aca="false">IF(B49="",0,N(Students!I38))</f>
        <v>0</v>
      </c>
      <c r="U49" s="23"/>
      <c r="V49" s="26" t="n">
        <f aca="false">N(S49)+N(T49)-N(U49)</f>
        <v>0</v>
      </c>
      <c r="W49" s="37" t="n">
        <f aca="false">'Oct 2026'!Z49</f>
        <v>0</v>
      </c>
      <c r="X49" s="37" t="n">
        <f aca="false">IF(B49="",0,N(Students!J38))</f>
        <v>0</v>
      </c>
      <c r="Y49" s="23"/>
      <c r="Z49" s="26" t="n">
        <f aca="false">N(W49)+N(X49)-N(Y49)</f>
        <v>0</v>
      </c>
      <c r="AA49" s="37" t="n">
        <f aca="false">N(E49)+N(I49)+N(M49)+N(Q49)+N(U49)+N(Y49)</f>
        <v>0</v>
      </c>
      <c r="AB49" s="26" t="n">
        <f aca="false">F49+J49+N49+R49+V49+Z49</f>
        <v>0</v>
      </c>
      <c r="AC49" s="83" t="str">
        <f aca="false">IF(B49="","",IF(AB49&lt;=0,"Clear",IF(AA49&gt;0,"Partial","Due")))</f>
        <v/>
      </c>
    </row>
    <row r="50" customFormat="false" ht="15" hidden="false" customHeight="false" outlineLevel="0" collapsed="false">
      <c r="A50" s="21" t="n">
        <v>35</v>
      </c>
      <c r="B50" s="46" t="str">
        <f aca="false">IF(Students!B39="","",Students!B39)</f>
        <v/>
      </c>
      <c r="C50" s="33" t="n">
        <f aca="false">'Oct 2026'!F50</f>
        <v>0</v>
      </c>
      <c r="D50" s="33" t="n">
        <f aca="false">IF(B50="",0,N(Students!E39))</f>
        <v>0</v>
      </c>
      <c r="E50" s="23"/>
      <c r="F50" s="24" t="n">
        <f aca="false">N(C50)+N(D50)-N(E50)</f>
        <v>0</v>
      </c>
      <c r="G50" s="33" t="n">
        <f aca="false">'Oct 2026'!J50</f>
        <v>0</v>
      </c>
      <c r="H50" s="33" t="n">
        <f aca="false">IF(B50="",0,N(Students!F39))</f>
        <v>0</v>
      </c>
      <c r="I50" s="23"/>
      <c r="J50" s="24" t="n">
        <f aca="false">N(G50)+N(H50)-N(I50)</f>
        <v>0</v>
      </c>
      <c r="K50" s="33" t="n">
        <f aca="false">'Oct 2026'!N50</f>
        <v>0</v>
      </c>
      <c r="L50" s="33" t="n">
        <f aca="false">IF(B50="",0,N(Students!G39))</f>
        <v>0</v>
      </c>
      <c r="M50" s="23"/>
      <c r="N50" s="24" t="n">
        <f aca="false">N(K50)+N(L50)-N(M50)</f>
        <v>0</v>
      </c>
      <c r="O50" s="33" t="n">
        <f aca="false">'Oct 2026'!R50</f>
        <v>0</v>
      </c>
      <c r="P50" s="33" t="n">
        <f aca="false">IF(B50="",0,N(Students!H39))</f>
        <v>0</v>
      </c>
      <c r="Q50" s="23"/>
      <c r="R50" s="24" t="n">
        <f aca="false">N(O50)+N(P50)-N(Q50)</f>
        <v>0</v>
      </c>
      <c r="S50" s="33" t="n">
        <f aca="false">'Oct 2026'!V50</f>
        <v>0</v>
      </c>
      <c r="T50" s="33" t="n">
        <f aca="false">IF(B50="",0,N(Students!I39))</f>
        <v>0</v>
      </c>
      <c r="U50" s="23"/>
      <c r="V50" s="24" t="n">
        <f aca="false">N(S50)+N(T50)-N(U50)</f>
        <v>0</v>
      </c>
      <c r="W50" s="33" t="n">
        <f aca="false">'Oct 2026'!Z50</f>
        <v>0</v>
      </c>
      <c r="X50" s="33" t="n">
        <f aca="false">IF(B50="",0,N(Students!J39))</f>
        <v>0</v>
      </c>
      <c r="Y50" s="23"/>
      <c r="Z50" s="24" t="n">
        <f aca="false">N(W50)+N(X50)-N(Y50)</f>
        <v>0</v>
      </c>
      <c r="AA50" s="33" t="n">
        <f aca="false">N(E50)+N(I50)+N(M50)+N(Q50)+N(U50)+N(Y50)</f>
        <v>0</v>
      </c>
      <c r="AB50" s="24" t="n">
        <f aca="false">F50+J50+N50+R50+V50+Z50</f>
        <v>0</v>
      </c>
      <c r="AC50" s="81" t="str">
        <f aca="false">IF(B50="","",IF(AB50&lt;=0,"Clear",IF(AA50&gt;0,"Partial","Due")))</f>
        <v/>
      </c>
    </row>
    <row r="51" customFormat="false" ht="15" hidden="false" customHeight="false" outlineLevel="0" collapsed="false">
      <c r="A51" s="25" t="n">
        <v>36</v>
      </c>
      <c r="B51" s="82" t="str">
        <f aca="false">IF(Students!B40="","",Students!B40)</f>
        <v/>
      </c>
      <c r="C51" s="37" t="n">
        <f aca="false">'Oct 2026'!F51</f>
        <v>0</v>
      </c>
      <c r="D51" s="37" t="n">
        <f aca="false">IF(B51="",0,N(Students!E40))</f>
        <v>0</v>
      </c>
      <c r="E51" s="23"/>
      <c r="F51" s="26" t="n">
        <f aca="false">N(C51)+N(D51)-N(E51)</f>
        <v>0</v>
      </c>
      <c r="G51" s="37" t="n">
        <f aca="false">'Oct 2026'!J51</f>
        <v>0</v>
      </c>
      <c r="H51" s="37" t="n">
        <f aca="false">IF(B51="",0,N(Students!F40))</f>
        <v>0</v>
      </c>
      <c r="I51" s="23"/>
      <c r="J51" s="26" t="n">
        <f aca="false">N(G51)+N(H51)-N(I51)</f>
        <v>0</v>
      </c>
      <c r="K51" s="37" t="n">
        <f aca="false">'Oct 2026'!N51</f>
        <v>0</v>
      </c>
      <c r="L51" s="37" t="n">
        <f aca="false">IF(B51="",0,N(Students!G40))</f>
        <v>0</v>
      </c>
      <c r="M51" s="23"/>
      <c r="N51" s="26" t="n">
        <f aca="false">N(K51)+N(L51)-N(M51)</f>
        <v>0</v>
      </c>
      <c r="O51" s="37" t="n">
        <f aca="false">'Oct 2026'!R51</f>
        <v>0</v>
      </c>
      <c r="P51" s="37" t="n">
        <f aca="false">IF(B51="",0,N(Students!H40))</f>
        <v>0</v>
      </c>
      <c r="Q51" s="23"/>
      <c r="R51" s="26" t="n">
        <f aca="false">N(O51)+N(P51)-N(Q51)</f>
        <v>0</v>
      </c>
      <c r="S51" s="37" t="n">
        <f aca="false">'Oct 2026'!V51</f>
        <v>0</v>
      </c>
      <c r="T51" s="37" t="n">
        <f aca="false">IF(B51="",0,N(Students!I40))</f>
        <v>0</v>
      </c>
      <c r="U51" s="23"/>
      <c r="V51" s="26" t="n">
        <f aca="false">N(S51)+N(T51)-N(U51)</f>
        <v>0</v>
      </c>
      <c r="W51" s="37" t="n">
        <f aca="false">'Oct 2026'!Z51</f>
        <v>0</v>
      </c>
      <c r="X51" s="37" t="n">
        <f aca="false">IF(B51="",0,N(Students!J40))</f>
        <v>0</v>
      </c>
      <c r="Y51" s="23"/>
      <c r="Z51" s="26" t="n">
        <f aca="false">N(W51)+N(X51)-N(Y51)</f>
        <v>0</v>
      </c>
      <c r="AA51" s="37" t="n">
        <f aca="false">N(E51)+N(I51)+N(M51)+N(Q51)+N(U51)+N(Y51)</f>
        <v>0</v>
      </c>
      <c r="AB51" s="26" t="n">
        <f aca="false">F51+J51+N51+R51+V51+Z51</f>
        <v>0</v>
      </c>
      <c r="AC51" s="83" t="str">
        <f aca="false">IF(B51="","",IF(AB51&lt;=0,"Clear",IF(AA51&gt;0,"Partial","Due")))</f>
        <v/>
      </c>
    </row>
    <row r="52" customFormat="false" ht="15" hidden="false" customHeight="false" outlineLevel="0" collapsed="false">
      <c r="A52" s="21" t="n">
        <v>37</v>
      </c>
      <c r="B52" s="46" t="str">
        <f aca="false">IF(Students!B41="","",Students!B41)</f>
        <v/>
      </c>
      <c r="C52" s="33" t="n">
        <f aca="false">'Oct 2026'!F52</f>
        <v>0</v>
      </c>
      <c r="D52" s="33" t="n">
        <f aca="false">IF(B52="",0,N(Students!E41))</f>
        <v>0</v>
      </c>
      <c r="E52" s="23"/>
      <c r="F52" s="24" t="n">
        <f aca="false">N(C52)+N(D52)-N(E52)</f>
        <v>0</v>
      </c>
      <c r="G52" s="33" t="n">
        <f aca="false">'Oct 2026'!J52</f>
        <v>0</v>
      </c>
      <c r="H52" s="33" t="n">
        <f aca="false">IF(B52="",0,N(Students!F41))</f>
        <v>0</v>
      </c>
      <c r="I52" s="23"/>
      <c r="J52" s="24" t="n">
        <f aca="false">N(G52)+N(H52)-N(I52)</f>
        <v>0</v>
      </c>
      <c r="K52" s="33" t="n">
        <f aca="false">'Oct 2026'!N52</f>
        <v>0</v>
      </c>
      <c r="L52" s="33" t="n">
        <f aca="false">IF(B52="",0,N(Students!G41))</f>
        <v>0</v>
      </c>
      <c r="M52" s="23"/>
      <c r="N52" s="24" t="n">
        <f aca="false">N(K52)+N(L52)-N(M52)</f>
        <v>0</v>
      </c>
      <c r="O52" s="33" t="n">
        <f aca="false">'Oct 2026'!R52</f>
        <v>0</v>
      </c>
      <c r="P52" s="33" t="n">
        <f aca="false">IF(B52="",0,N(Students!H41))</f>
        <v>0</v>
      </c>
      <c r="Q52" s="23"/>
      <c r="R52" s="24" t="n">
        <f aca="false">N(O52)+N(P52)-N(Q52)</f>
        <v>0</v>
      </c>
      <c r="S52" s="33" t="n">
        <f aca="false">'Oct 2026'!V52</f>
        <v>0</v>
      </c>
      <c r="T52" s="33" t="n">
        <f aca="false">IF(B52="",0,N(Students!I41))</f>
        <v>0</v>
      </c>
      <c r="U52" s="23"/>
      <c r="V52" s="24" t="n">
        <f aca="false">N(S52)+N(T52)-N(U52)</f>
        <v>0</v>
      </c>
      <c r="W52" s="33" t="n">
        <f aca="false">'Oct 2026'!Z52</f>
        <v>0</v>
      </c>
      <c r="X52" s="33" t="n">
        <f aca="false">IF(B52="",0,N(Students!J41))</f>
        <v>0</v>
      </c>
      <c r="Y52" s="23"/>
      <c r="Z52" s="24" t="n">
        <f aca="false">N(W52)+N(X52)-N(Y52)</f>
        <v>0</v>
      </c>
      <c r="AA52" s="33" t="n">
        <f aca="false">N(E52)+N(I52)+N(M52)+N(Q52)+N(U52)+N(Y52)</f>
        <v>0</v>
      </c>
      <c r="AB52" s="24" t="n">
        <f aca="false">F52+J52+N52+R52+V52+Z52</f>
        <v>0</v>
      </c>
      <c r="AC52" s="81" t="str">
        <f aca="false">IF(B52="","",IF(AB52&lt;=0,"Clear",IF(AA52&gt;0,"Partial","Due")))</f>
        <v/>
      </c>
    </row>
    <row r="53" customFormat="false" ht="15" hidden="false" customHeight="false" outlineLevel="0" collapsed="false">
      <c r="A53" s="25" t="n">
        <v>38</v>
      </c>
      <c r="B53" s="82" t="str">
        <f aca="false">IF(Students!B42="","",Students!B42)</f>
        <v/>
      </c>
      <c r="C53" s="37" t="n">
        <f aca="false">'Oct 2026'!F53</f>
        <v>0</v>
      </c>
      <c r="D53" s="37" t="n">
        <f aca="false">IF(B53="",0,N(Students!E42))</f>
        <v>0</v>
      </c>
      <c r="E53" s="23"/>
      <c r="F53" s="26" t="n">
        <f aca="false">N(C53)+N(D53)-N(E53)</f>
        <v>0</v>
      </c>
      <c r="G53" s="37" t="n">
        <f aca="false">'Oct 2026'!J53</f>
        <v>0</v>
      </c>
      <c r="H53" s="37" t="n">
        <f aca="false">IF(B53="",0,N(Students!F42))</f>
        <v>0</v>
      </c>
      <c r="I53" s="23"/>
      <c r="J53" s="26" t="n">
        <f aca="false">N(G53)+N(H53)-N(I53)</f>
        <v>0</v>
      </c>
      <c r="K53" s="37" t="n">
        <f aca="false">'Oct 2026'!N53</f>
        <v>0</v>
      </c>
      <c r="L53" s="37" t="n">
        <f aca="false">IF(B53="",0,N(Students!G42))</f>
        <v>0</v>
      </c>
      <c r="M53" s="23"/>
      <c r="N53" s="26" t="n">
        <f aca="false">N(K53)+N(L53)-N(M53)</f>
        <v>0</v>
      </c>
      <c r="O53" s="37" t="n">
        <f aca="false">'Oct 2026'!R53</f>
        <v>0</v>
      </c>
      <c r="P53" s="37" t="n">
        <f aca="false">IF(B53="",0,N(Students!H42))</f>
        <v>0</v>
      </c>
      <c r="Q53" s="23"/>
      <c r="R53" s="26" t="n">
        <f aca="false">N(O53)+N(P53)-N(Q53)</f>
        <v>0</v>
      </c>
      <c r="S53" s="37" t="n">
        <f aca="false">'Oct 2026'!V53</f>
        <v>0</v>
      </c>
      <c r="T53" s="37" t="n">
        <f aca="false">IF(B53="",0,N(Students!I42))</f>
        <v>0</v>
      </c>
      <c r="U53" s="23"/>
      <c r="V53" s="26" t="n">
        <f aca="false">N(S53)+N(T53)-N(U53)</f>
        <v>0</v>
      </c>
      <c r="W53" s="37" t="n">
        <f aca="false">'Oct 2026'!Z53</f>
        <v>0</v>
      </c>
      <c r="X53" s="37" t="n">
        <f aca="false">IF(B53="",0,N(Students!J42))</f>
        <v>0</v>
      </c>
      <c r="Y53" s="23"/>
      <c r="Z53" s="26" t="n">
        <f aca="false">N(W53)+N(X53)-N(Y53)</f>
        <v>0</v>
      </c>
      <c r="AA53" s="37" t="n">
        <f aca="false">N(E53)+N(I53)+N(M53)+N(Q53)+N(U53)+N(Y53)</f>
        <v>0</v>
      </c>
      <c r="AB53" s="26" t="n">
        <f aca="false">F53+J53+N53+R53+V53+Z53</f>
        <v>0</v>
      </c>
      <c r="AC53" s="83" t="str">
        <f aca="false">IF(B53="","",IF(AB53&lt;=0,"Clear",IF(AA53&gt;0,"Partial","Due")))</f>
        <v/>
      </c>
    </row>
    <row r="54" customFormat="false" ht="15" hidden="false" customHeight="false" outlineLevel="0" collapsed="false">
      <c r="A54" s="21" t="n">
        <v>39</v>
      </c>
      <c r="B54" s="46" t="str">
        <f aca="false">IF(Students!B43="","",Students!B43)</f>
        <v/>
      </c>
      <c r="C54" s="33" t="n">
        <f aca="false">'Oct 2026'!F54</f>
        <v>0</v>
      </c>
      <c r="D54" s="33" t="n">
        <f aca="false">IF(B54="",0,N(Students!E43))</f>
        <v>0</v>
      </c>
      <c r="E54" s="23"/>
      <c r="F54" s="24" t="n">
        <f aca="false">N(C54)+N(D54)-N(E54)</f>
        <v>0</v>
      </c>
      <c r="G54" s="33" t="n">
        <f aca="false">'Oct 2026'!J54</f>
        <v>0</v>
      </c>
      <c r="H54" s="33" t="n">
        <f aca="false">IF(B54="",0,N(Students!F43))</f>
        <v>0</v>
      </c>
      <c r="I54" s="23"/>
      <c r="J54" s="24" t="n">
        <f aca="false">N(G54)+N(H54)-N(I54)</f>
        <v>0</v>
      </c>
      <c r="K54" s="33" t="n">
        <f aca="false">'Oct 2026'!N54</f>
        <v>0</v>
      </c>
      <c r="L54" s="33" t="n">
        <f aca="false">IF(B54="",0,N(Students!G43))</f>
        <v>0</v>
      </c>
      <c r="M54" s="23"/>
      <c r="N54" s="24" t="n">
        <f aca="false">N(K54)+N(L54)-N(M54)</f>
        <v>0</v>
      </c>
      <c r="O54" s="33" t="n">
        <f aca="false">'Oct 2026'!R54</f>
        <v>0</v>
      </c>
      <c r="P54" s="33" t="n">
        <f aca="false">IF(B54="",0,N(Students!H43))</f>
        <v>0</v>
      </c>
      <c r="Q54" s="23"/>
      <c r="R54" s="24" t="n">
        <f aca="false">N(O54)+N(P54)-N(Q54)</f>
        <v>0</v>
      </c>
      <c r="S54" s="33" t="n">
        <f aca="false">'Oct 2026'!V54</f>
        <v>0</v>
      </c>
      <c r="T54" s="33" t="n">
        <f aca="false">IF(B54="",0,N(Students!I43))</f>
        <v>0</v>
      </c>
      <c r="U54" s="23"/>
      <c r="V54" s="24" t="n">
        <f aca="false">N(S54)+N(T54)-N(U54)</f>
        <v>0</v>
      </c>
      <c r="W54" s="33" t="n">
        <f aca="false">'Oct 2026'!Z54</f>
        <v>0</v>
      </c>
      <c r="X54" s="33" t="n">
        <f aca="false">IF(B54="",0,N(Students!J43))</f>
        <v>0</v>
      </c>
      <c r="Y54" s="23"/>
      <c r="Z54" s="24" t="n">
        <f aca="false">N(W54)+N(X54)-N(Y54)</f>
        <v>0</v>
      </c>
      <c r="AA54" s="33" t="n">
        <f aca="false">N(E54)+N(I54)+N(M54)+N(Q54)+N(U54)+N(Y54)</f>
        <v>0</v>
      </c>
      <c r="AB54" s="24" t="n">
        <f aca="false">F54+J54+N54+R54+V54+Z54</f>
        <v>0</v>
      </c>
      <c r="AC54" s="81" t="str">
        <f aca="false">IF(B54="","",IF(AB54&lt;=0,"Clear",IF(AA54&gt;0,"Partial","Due")))</f>
        <v/>
      </c>
    </row>
    <row r="55" customFormat="false" ht="15" hidden="false" customHeight="false" outlineLevel="0" collapsed="false">
      <c r="A55" s="25" t="n">
        <v>40</v>
      </c>
      <c r="B55" s="82" t="str">
        <f aca="false">IF(Students!B44="","",Students!B44)</f>
        <v/>
      </c>
      <c r="C55" s="37" t="n">
        <f aca="false">'Oct 2026'!F55</f>
        <v>0</v>
      </c>
      <c r="D55" s="37" t="n">
        <f aca="false">IF(B55="",0,N(Students!E44))</f>
        <v>0</v>
      </c>
      <c r="E55" s="23"/>
      <c r="F55" s="26" t="n">
        <f aca="false">N(C55)+N(D55)-N(E55)</f>
        <v>0</v>
      </c>
      <c r="G55" s="37" t="n">
        <f aca="false">'Oct 2026'!J55</f>
        <v>0</v>
      </c>
      <c r="H55" s="37" t="n">
        <f aca="false">IF(B55="",0,N(Students!F44))</f>
        <v>0</v>
      </c>
      <c r="I55" s="23"/>
      <c r="J55" s="26" t="n">
        <f aca="false">N(G55)+N(H55)-N(I55)</f>
        <v>0</v>
      </c>
      <c r="K55" s="37" t="n">
        <f aca="false">'Oct 2026'!N55</f>
        <v>0</v>
      </c>
      <c r="L55" s="37" t="n">
        <f aca="false">IF(B55="",0,N(Students!G44))</f>
        <v>0</v>
      </c>
      <c r="M55" s="23"/>
      <c r="N55" s="26" t="n">
        <f aca="false">N(K55)+N(L55)-N(M55)</f>
        <v>0</v>
      </c>
      <c r="O55" s="37" t="n">
        <f aca="false">'Oct 2026'!R55</f>
        <v>0</v>
      </c>
      <c r="P55" s="37" t="n">
        <f aca="false">IF(B55="",0,N(Students!H44))</f>
        <v>0</v>
      </c>
      <c r="Q55" s="23"/>
      <c r="R55" s="26" t="n">
        <f aca="false">N(O55)+N(P55)-N(Q55)</f>
        <v>0</v>
      </c>
      <c r="S55" s="37" t="n">
        <f aca="false">'Oct 2026'!V55</f>
        <v>0</v>
      </c>
      <c r="T55" s="37" t="n">
        <f aca="false">IF(B55="",0,N(Students!I44))</f>
        <v>0</v>
      </c>
      <c r="U55" s="23"/>
      <c r="V55" s="26" t="n">
        <f aca="false">N(S55)+N(T55)-N(U55)</f>
        <v>0</v>
      </c>
      <c r="W55" s="37" t="n">
        <f aca="false">'Oct 2026'!Z55</f>
        <v>0</v>
      </c>
      <c r="X55" s="37" t="n">
        <f aca="false">IF(B55="",0,N(Students!J44))</f>
        <v>0</v>
      </c>
      <c r="Y55" s="23"/>
      <c r="Z55" s="26" t="n">
        <f aca="false">N(W55)+N(X55)-N(Y55)</f>
        <v>0</v>
      </c>
      <c r="AA55" s="37" t="n">
        <f aca="false">N(E55)+N(I55)+N(M55)+N(Q55)+N(U55)+N(Y55)</f>
        <v>0</v>
      </c>
      <c r="AB55" s="26" t="n">
        <f aca="false">F55+J55+N55+R55+V55+Z55</f>
        <v>0</v>
      </c>
      <c r="AC55" s="83" t="str">
        <f aca="false">IF(B55="","",IF(AB55&lt;=0,"Clear",IF(AA55&gt;0,"Partial","Due")))</f>
        <v/>
      </c>
    </row>
    <row r="56" customFormat="false" ht="15" hidden="false" customHeight="false" outlineLevel="0" collapsed="false">
      <c r="A56" s="21" t="n">
        <v>41</v>
      </c>
      <c r="B56" s="46" t="str">
        <f aca="false">IF(Students!B45="","",Students!B45)</f>
        <v/>
      </c>
      <c r="C56" s="33" t="n">
        <f aca="false">'Oct 2026'!F56</f>
        <v>0</v>
      </c>
      <c r="D56" s="33" t="n">
        <f aca="false">IF(B56="",0,N(Students!E45))</f>
        <v>0</v>
      </c>
      <c r="E56" s="23"/>
      <c r="F56" s="24" t="n">
        <f aca="false">N(C56)+N(D56)-N(E56)</f>
        <v>0</v>
      </c>
      <c r="G56" s="33" t="n">
        <f aca="false">'Oct 2026'!J56</f>
        <v>0</v>
      </c>
      <c r="H56" s="33" t="n">
        <f aca="false">IF(B56="",0,N(Students!F45))</f>
        <v>0</v>
      </c>
      <c r="I56" s="23"/>
      <c r="J56" s="24" t="n">
        <f aca="false">N(G56)+N(H56)-N(I56)</f>
        <v>0</v>
      </c>
      <c r="K56" s="33" t="n">
        <f aca="false">'Oct 2026'!N56</f>
        <v>0</v>
      </c>
      <c r="L56" s="33" t="n">
        <f aca="false">IF(B56="",0,N(Students!G45))</f>
        <v>0</v>
      </c>
      <c r="M56" s="23"/>
      <c r="N56" s="24" t="n">
        <f aca="false">N(K56)+N(L56)-N(M56)</f>
        <v>0</v>
      </c>
      <c r="O56" s="33" t="n">
        <f aca="false">'Oct 2026'!R56</f>
        <v>0</v>
      </c>
      <c r="P56" s="33" t="n">
        <f aca="false">IF(B56="",0,N(Students!H45))</f>
        <v>0</v>
      </c>
      <c r="Q56" s="23"/>
      <c r="R56" s="24" t="n">
        <f aca="false">N(O56)+N(P56)-N(Q56)</f>
        <v>0</v>
      </c>
      <c r="S56" s="33" t="n">
        <f aca="false">'Oct 2026'!V56</f>
        <v>0</v>
      </c>
      <c r="T56" s="33" t="n">
        <f aca="false">IF(B56="",0,N(Students!I45))</f>
        <v>0</v>
      </c>
      <c r="U56" s="23"/>
      <c r="V56" s="24" t="n">
        <f aca="false">N(S56)+N(T56)-N(U56)</f>
        <v>0</v>
      </c>
      <c r="W56" s="33" t="n">
        <f aca="false">'Oct 2026'!Z56</f>
        <v>0</v>
      </c>
      <c r="X56" s="33" t="n">
        <f aca="false">IF(B56="",0,N(Students!J45))</f>
        <v>0</v>
      </c>
      <c r="Y56" s="23"/>
      <c r="Z56" s="24" t="n">
        <f aca="false">N(W56)+N(X56)-N(Y56)</f>
        <v>0</v>
      </c>
      <c r="AA56" s="33" t="n">
        <f aca="false">N(E56)+N(I56)+N(M56)+N(Q56)+N(U56)+N(Y56)</f>
        <v>0</v>
      </c>
      <c r="AB56" s="24" t="n">
        <f aca="false">F56+J56+N56+R56+V56+Z56</f>
        <v>0</v>
      </c>
      <c r="AC56" s="81" t="str">
        <f aca="false">IF(B56="","",IF(AB56&lt;=0,"Clear",IF(AA56&gt;0,"Partial","Due")))</f>
        <v/>
      </c>
    </row>
    <row r="57" customFormat="false" ht="15" hidden="false" customHeight="false" outlineLevel="0" collapsed="false">
      <c r="A57" s="25" t="n">
        <v>42</v>
      </c>
      <c r="B57" s="82" t="str">
        <f aca="false">IF(Students!B46="","",Students!B46)</f>
        <v/>
      </c>
      <c r="C57" s="37" t="n">
        <f aca="false">'Oct 2026'!F57</f>
        <v>0</v>
      </c>
      <c r="D57" s="37" t="n">
        <f aca="false">IF(B57="",0,N(Students!E46))</f>
        <v>0</v>
      </c>
      <c r="E57" s="23"/>
      <c r="F57" s="26" t="n">
        <f aca="false">N(C57)+N(D57)-N(E57)</f>
        <v>0</v>
      </c>
      <c r="G57" s="37" t="n">
        <f aca="false">'Oct 2026'!J57</f>
        <v>0</v>
      </c>
      <c r="H57" s="37" t="n">
        <f aca="false">IF(B57="",0,N(Students!F46))</f>
        <v>0</v>
      </c>
      <c r="I57" s="23"/>
      <c r="J57" s="26" t="n">
        <f aca="false">N(G57)+N(H57)-N(I57)</f>
        <v>0</v>
      </c>
      <c r="K57" s="37" t="n">
        <f aca="false">'Oct 2026'!N57</f>
        <v>0</v>
      </c>
      <c r="L57" s="37" t="n">
        <f aca="false">IF(B57="",0,N(Students!G46))</f>
        <v>0</v>
      </c>
      <c r="M57" s="23"/>
      <c r="N57" s="26" t="n">
        <f aca="false">N(K57)+N(L57)-N(M57)</f>
        <v>0</v>
      </c>
      <c r="O57" s="37" t="n">
        <f aca="false">'Oct 2026'!R57</f>
        <v>0</v>
      </c>
      <c r="P57" s="37" t="n">
        <f aca="false">IF(B57="",0,N(Students!H46))</f>
        <v>0</v>
      </c>
      <c r="Q57" s="23"/>
      <c r="R57" s="26" t="n">
        <f aca="false">N(O57)+N(P57)-N(Q57)</f>
        <v>0</v>
      </c>
      <c r="S57" s="37" t="n">
        <f aca="false">'Oct 2026'!V57</f>
        <v>0</v>
      </c>
      <c r="T57" s="37" t="n">
        <f aca="false">IF(B57="",0,N(Students!I46))</f>
        <v>0</v>
      </c>
      <c r="U57" s="23"/>
      <c r="V57" s="26" t="n">
        <f aca="false">N(S57)+N(T57)-N(U57)</f>
        <v>0</v>
      </c>
      <c r="W57" s="37" t="n">
        <f aca="false">'Oct 2026'!Z57</f>
        <v>0</v>
      </c>
      <c r="X57" s="37" t="n">
        <f aca="false">IF(B57="",0,N(Students!J46))</f>
        <v>0</v>
      </c>
      <c r="Y57" s="23"/>
      <c r="Z57" s="26" t="n">
        <f aca="false">N(W57)+N(X57)-N(Y57)</f>
        <v>0</v>
      </c>
      <c r="AA57" s="37" t="n">
        <f aca="false">N(E57)+N(I57)+N(M57)+N(Q57)+N(U57)+N(Y57)</f>
        <v>0</v>
      </c>
      <c r="AB57" s="26" t="n">
        <f aca="false">F57+J57+N57+R57+V57+Z57</f>
        <v>0</v>
      </c>
      <c r="AC57" s="83" t="str">
        <f aca="false">IF(B57="","",IF(AB57&lt;=0,"Clear",IF(AA57&gt;0,"Partial","Due")))</f>
        <v/>
      </c>
    </row>
    <row r="58" customFormat="false" ht="15" hidden="false" customHeight="false" outlineLevel="0" collapsed="false">
      <c r="A58" s="21" t="n">
        <v>43</v>
      </c>
      <c r="B58" s="46" t="str">
        <f aca="false">IF(Students!B47="","",Students!B47)</f>
        <v/>
      </c>
      <c r="C58" s="33" t="n">
        <f aca="false">'Oct 2026'!F58</f>
        <v>0</v>
      </c>
      <c r="D58" s="33" t="n">
        <f aca="false">IF(B58="",0,N(Students!E47))</f>
        <v>0</v>
      </c>
      <c r="E58" s="23"/>
      <c r="F58" s="24" t="n">
        <f aca="false">N(C58)+N(D58)-N(E58)</f>
        <v>0</v>
      </c>
      <c r="G58" s="33" t="n">
        <f aca="false">'Oct 2026'!J58</f>
        <v>0</v>
      </c>
      <c r="H58" s="33" t="n">
        <f aca="false">IF(B58="",0,N(Students!F47))</f>
        <v>0</v>
      </c>
      <c r="I58" s="23"/>
      <c r="J58" s="24" t="n">
        <f aca="false">N(G58)+N(H58)-N(I58)</f>
        <v>0</v>
      </c>
      <c r="K58" s="33" t="n">
        <f aca="false">'Oct 2026'!N58</f>
        <v>0</v>
      </c>
      <c r="L58" s="33" t="n">
        <f aca="false">IF(B58="",0,N(Students!G47))</f>
        <v>0</v>
      </c>
      <c r="M58" s="23"/>
      <c r="N58" s="24" t="n">
        <f aca="false">N(K58)+N(L58)-N(M58)</f>
        <v>0</v>
      </c>
      <c r="O58" s="33" t="n">
        <f aca="false">'Oct 2026'!R58</f>
        <v>0</v>
      </c>
      <c r="P58" s="33" t="n">
        <f aca="false">IF(B58="",0,N(Students!H47))</f>
        <v>0</v>
      </c>
      <c r="Q58" s="23"/>
      <c r="R58" s="24" t="n">
        <f aca="false">N(O58)+N(P58)-N(Q58)</f>
        <v>0</v>
      </c>
      <c r="S58" s="33" t="n">
        <f aca="false">'Oct 2026'!V58</f>
        <v>0</v>
      </c>
      <c r="T58" s="33" t="n">
        <f aca="false">IF(B58="",0,N(Students!I47))</f>
        <v>0</v>
      </c>
      <c r="U58" s="23"/>
      <c r="V58" s="24" t="n">
        <f aca="false">N(S58)+N(T58)-N(U58)</f>
        <v>0</v>
      </c>
      <c r="W58" s="33" t="n">
        <f aca="false">'Oct 2026'!Z58</f>
        <v>0</v>
      </c>
      <c r="X58" s="33" t="n">
        <f aca="false">IF(B58="",0,N(Students!J47))</f>
        <v>0</v>
      </c>
      <c r="Y58" s="23"/>
      <c r="Z58" s="24" t="n">
        <f aca="false">N(W58)+N(X58)-N(Y58)</f>
        <v>0</v>
      </c>
      <c r="AA58" s="33" t="n">
        <f aca="false">N(E58)+N(I58)+N(M58)+N(Q58)+N(U58)+N(Y58)</f>
        <v>0</v>
      </c>
      <c r="AB58" s="24" t="n">
        <f aca="false">F58+J58+N58+R58+V58+Z58</f>
        <v>0</v>
      </c>
      <c r="AC58" s="81" t="str">
        <f aca="false">IF(B58="","",IF(AB58&lt;=0,"Clear",IF(AA58&gt;0,"Partial","Due")))</f>
        <v/>
      </c>
    </row>
    <row r="59" customFormat="false" ht="15" hidden="false" customHeight="false" outlineLevel="0" collapsed="false">
      <c r="A59" s="25" t="n">
        <v>44</v>
      </c>
      <c r="B59" s="82" t="str">
        <f aca="false">IF(Students!B48="","",Students!B48)</f>
        <v/>
      </c>
      <c r="C59" s="37" t="n">
        <f aca="false">'Oct 2026'!F59</f>
        <v>0</v>
      </c>
      <c r="D59" s="37" t="n">
        <f aca="false">IF(B59="",0,N(Students!E48))</f>
        <v>0</v>
      </c>
      <c r="E59" s="23"/>
      <c r="F59" s="26" t="n">
        <f aca="false">N(C59)+N(D59)-N(E59)</f>
        <v>0</v>
      </c>
      <c r="G59" s="37" t="n">
        <f aca="false">'Oct 2026'!J59</f>
        <v>0</v>
      </c>
      <c r="H59" s="37" t="n">
        <f aca="false">IF(B59="",0,N(Students!F48))</f>
        <v>0</v>
      </c>
      <c r="I59" s="23"/>
      <c r="J59" s="26" t="n">
        <f aca="false">N(G59)+N(H59)-N(I59)</f>
        <v>0</v>
      </c>
      <c r="K59" s="37" t="n">
        <f aca="false">'Oct 2026'!N59</f>
        <v>0</v>
      </c>
      <c r="L59" s="37" t="n">
        <f aca="false">IF(B59="",0,N(Students!G48))</f>
        <v>0</v>
      </c>
      <c r="M59" s="23"/>
      <c r="N59" s="26" t="n">
        <f aca="false">N(K59)+N(L59)-N(M59)</f>
        <v>0</v>
      </c>
      <c r="O59" s="37" t="n">
        <f aca="false">'Oct 2026'!R59</f>
        <v>0</v>
      </c>
      <c r="P59" s="37" t="n">
        <f aca="false">IF(B59="",0,N(Students!H48))</f>
        <v>0</v>
      </c>
      <c r="Q59" s="23"/>
      <c r="R59" s="26" t="n">
        <f aca="false">N(O59)+N(P59)-N(Q59)</f>
        <v>0</v>
      </c>
      <c r="S59" s="37" t="n">
        <f aca="false">'Oct 2026'!V59</f>
        <v>0</v>
      </c>
      <c r="T59" s="37" t="n">
        <f aca="false">IF(B59="",0,N(Students!I48))</f>
        <v>0</v>
      </c>
      <c r="U59" s="23"/>
      <c r="V59" s="26" t="n">
        <f aca="false">N(S59)+N(T59)-N(U59)</f>
        <v>0</v>
      </c>
      <c r="W59" s="37" t="n">
        <f aca="false">'Oct 2026'!Z59</f>
        <v>0</v>
      </c>
      <c r="X59" s="37" t="n">
        <f aca="false">IF(B59="",0,N(Students!J48))</f>
        <v>0</v>
      </c>
      <c r="Y59" s="23"/>
      <c r="Z59" s="26" t="n">
        <f aca="false">N(W59)+N(X59)-N(Y59)</f>
        <v>0</v>
      </c>
      <c r="AA59" s="37" t="n">
        <f aca="false">N(E59)+N(I59)+N(M59)+N(Q59)+N(U59)+N(Y59)</f>
        <v>0</v>
      </c>
      <c r="AB59" s="26" t="n">
        <f aca="false">F59+J59+N59+R59+V59+Z59</f>
        <v>0</v>
      </c>
      <c r="AC59" s="83" t="str">
        <f aca="false">IF(B59="","",IF(AB59&lt;=0,"Clear",IF(AA59&gt;0,"Partial","Due")))</f>
        <v/>
      </c>
    </row>
    <row r="60" customFormat="false" ht="15" hidden="false" customHeight="false" outlineLevel="0" collapsed="false">
      <c r="A60" s="21" t="n">
        <v>45</v>
      </c>
      <c r="B60" s="46" t="str">
        <f aca="false">IF(Students!B49="","",Students!B49)</f>
        <v/>
      </c>
      <c r="C60" s="33" t="n">
        <f aca="false">'Oct 2026'!F60</f>
        <v>0</v>
      </c>
      <c r="D60" s="33" t="n">
        <f aca="false">IF(B60="",0,N(Students!E49))</f>
        <v>0</v>
      </c>
      <c r="E60" s="23"/>
      <c r="F60" s="24" t="n">
        <f aca="false">N(C60)+N(D60)-N(E60)</f>
        <v>0</v>
      </c>
      <c r="G60" s="33" t="n">
        <f aca="false">'Oct 2026'!J60</f>
        <v>0</v>
      </c>
      <c r="H60" s="33" t="n">
        <f aca="false">IF(B60="",0,N(Students!F49))</f>
        <v>0</v>
      </c>
      <c r="I60" s="23"/>
      <c r="J60" s="24" t="n">
        <f aca="false">N(G60)+N(H60)-N(I60)</f>
        <v>0</v>
      </c>
      <c r="K60" s="33" t="n">
        <f aca="false">'Oct 2026'!N60</f>
        <v>0</v>
      </c>
      <c r="L60" s="33" t="n">
        <f aca="false">IF(B60="",0,N(Students!G49))</f>
        <v>0</v>
      </c>
      <c r="M60" s="23"/>
      <c r="N60" s="24" t="n">
        <f aca="false">N(K60)+N(L60)-N(M60)</f>
        <v>0</v>
      </c>
      <c r="O60" s="33" t="n">
        <f aca="false">'Oct 2026'!R60</f>
        <v>0</v>
      </c>
      <c r="P60" s="33" t="n">
        <f aca="false">IF(B60="",0,N(Students!H49))</f>
        <v>0</v>
      </c>
      <c r="Q60" s="23"/>
      <c r="R60" s="24" t="n">
        <f aca="false">N(O60)+N(P60)-N(Q60)</f>
        <v>0</v>
      </c>
      <c r="S60" s="33" t="n">
        <f aca="false">'Oct 2026'!V60</f>
        <v>0</v>
      </c>
      <c r="T60" s="33" t="n">
        <f aca="false">IF(B60="",0,N(Students!I49))</f>
        <v>0</v>
      </c>
      <c r="U60" s="23"/>
      <c r="V60" s="24" t="n">
        <f aca="false">N(S60)+N(T60)-N(U60)</f>
        <v>0</v>
      </c>
      <c r="W60" s="33" t="n">
        <f aca="false">'Oct 2026'!Z60</f>
        <v>0</v>
      </c>
      <c r="X60" s="33" t="n">
        <f aca="false">IF(B60="",0,N(Students!J49))</f>
        <v>0</v>
      </c>
      <c r="Y60" s="23"/>
      <c r="Z60" s="24" t="n">
        <f aca="false">N(W60)+N(X60)-N(Y60)</f>
        <v>0</v>
      </c>
      <c r="AA60" s="33" t="n">
        <f aca="false">N(E60)+N(I60)+N(M60)+N(Q60)+N(U60)+N(Y60)</f>
        <v>0</v>
      </c>
      <c r="AB60" s="24" t="n">
        <f aca="false">F60+J60+N60+R60+V60+Z60</f>
        <v>0</v>
      </c>
      <c r="AC60" s="81" t="str">
        <f aca="false">IF(B60="","",IF(AB60&lt;=0,"Clear",IF(AA60&gt;0,"Partial","Due")))</f>
        <v/>
      </c>
    </row>
    <row r="61" customFormat="false" ht="15" hidden="false" customHeight="false" outlineLevel="0" collapsed="false">
      <c r="A61" s="25" t="n">
        <v>46</v>
      </c>
      <c r="B61" s="82" t="str">
        <f aca="false">IF(Students!B50="","",Students!B50)</f>
        <v/>
      </c>
      <c r="C61" s="37" t="n">
        <f aca="false">'Oct 2026'!F61</f>
        <v>0</v>
      </c>
      <c r="D61" s="37" t="n">
        <f aca="false">IF(B61="",0,N(Students!E50))</f>
        <v>0</v>
      </c>
      <c r="E61" s="23"/>
      <c r="F61" s="26" t="n">
        <f aca="false">N(C61)+N(D61)-N(E61)</f>
        <v>0</v>
      </c>
      <c r="G61" s="37" t="n">
        <f aca="false">'Oct 2026'!J61</f>
        <v>0</v>
      </c>
      <c r="H61" s="37" t="n">
        <f aca="false">IF(B61="",0,N(Students!F50))</f>
        <v>0</v>
      </c>
      <c r="I61" s="23"/>
      <c r="J61" s="26" t="n">
        <f aca="false">N(G61)+N(H61)-N(I61)</f>
        <v>0</v>
      </c>
      <c r="K61" s="37" t="n">
        <f aca="false">'Oct 2026'!N61</f>
        <v>0</v>
      </c>
      <c r="L61" s="37" t="n">
        <f aca="false">IF(B61="",0,N(Students!G50))</f>
        <v>0</v>
      </c>
      <c r="M61" s="23"/>
      <c r="N61" s="26" t="n">
        <f aca="false">N(K61)+N(L61)-N(M61)</f>
        <v>0</v>
      </c>
      <c r="O61" s="37" t="n">
        <f aca="false">'Oct 2026'!R61</f>
        <v>0</v>
      </c>
      <c r="P61" s="37" t="n">
        <f aca="false">IF(B61="",0,N(Students!H50))</f>
        <v>0</v>
      </c>
      <c r="Q61" s="23"/>
      <c r="R61" s="26" t="n">
        <f aca="false">N(O61)+N(P61)-N(Q61)</f>
        <v>0</v>
      </c>
      <c r="S61" s="37" t="n">
        <f aca="false">'Oct 2026'!V61</f>
        <v>0</v>
      </c>
      <c r="T61" s="37" t="n">
        <f aca="false">IF(B61="",0,N(Students!I50))</f>
        <v>0</v>
      </c>
      <c r="U61" s="23"/>
      <c r="V61" s="26" t="n">
        <f aca="false">N(S61)+N(T61)-N(U61)</f>
        <v>0</v>
      </c>
      <c r="W61" s="37" t="n">
        <f aca="false">'Oct 2026'!Z61</f>
        <v>0</v>
      </c>
      <c r="X61" s="37" t="n">
        <f aca="false">IF(B61="",0,N(Students!J50))</f>
        <v>0</v>
      </c>
      <c r="Y61" s="23"/>
      <c r="Z61" s="26" t="n">
        <f aca="false">N(W61)+N(X61)-N(Y61)</f>
        <v>0</v>
      </c>
      <c r="AA61" s="37" t="n">
        <f aca="false">N(E61)+N(I61)+N(M61)+N(Q61)+N(U61)+N(Y61)</f>
        <v>0</v>
      </c>
      <c r="AB61" s="26" t="n">
        <f aca="false">F61+J61+N61+R61+V61+Z61</f>
        <v>0</v>
      </c>
      <c r="AC61" s="83" t="str">
        <f aca="false">IF(B61="","",IF(AB61&lt;=0,"Clear",IF(AA61&gt;0,"Partial","Due")))</f>
        <v/>
      </c>
    </row>
    <row r="62" customFormat="false" ht="15" hidden="false" customHeight="false" outlineLevel="0" collapsed="false">
      <c r="A62" s="21" t="n">
        <v>47</v>
      </c>
      <c r="B62" s="46" t="str">
        <f aca="false">IF(Students!B51="","",Students!B51)</f>
        <v/>
      </c>
      <c r="C62" s="33" t="n">
        <f aca="false">'Oct 2026'!F62</f>
        <v>0</v>
      </c>
      <c r="D62" s="33" t="n">
        <f aca="false">IF(B62="",0,N(Students!E51))</f>
        <v>0</v>
      </c>
      <c r="E62" s="23"/>
      <c r="F62" s="24" t="n">
        <f aca="false">N(C62)+N(D62)-N(E62)</f>
        <v>0</v>
      </c>
      <c r="G62" s="33" t="n">
        <f aca="false">'Oct 2026'!J62</f>
        <v>0</v>
      </c>
      <c r="H62" s="33" t="n">
        <f aca="false">IF(B62="",0,N(Students!F51))</f>
        <v>0</v>
      </c>
      <c r="I62" s="23"/>
      <c r="J62" s="24" t="n">
        <f aca="false">N(G62)+N(H62)-N(I62)</f>
        <v>0</v>
      </c>
      <c r="K62" s="33" t="n">
        <f aca="false">'Oct 2026'!N62</f>
        <v>0</v>
      </c>
      <c r="L62" s="33" t="n">
        <f aca="false">IF(B62="",0,N(Students!G51))</f>
        <v>0</v>
      </c>
      <c r="M62" s="23"/>
      <c r="N62" s="24" t="n">
        <f aca="false">N(K62)+N(L62)-N(M62)</f>
        <v>0</v>
      </c>
      <c r="O62" s="33" t="n">
        <f aca="false">'Oct 2026'!R62</f>
        <v>0</v>
      </c>
      <c r="P62" s="33" t="n">
        <f aca="false">IF(B62="",0,N(Students!H51))</f>
        <v>0</v>
      </c>
      <c r="Q62" s="23"/>
      <c r="R62" s="24" t="n">
        <f aca="false">N(O62)+N(P62)-N(Q62)</f>
        <v>0</v>
      </c>
      <c r="S62" s="33" t="n">
        <f aca="false">'Oct 2026'!V62</f>
        <v>0</v>
      </c>
      <c r="T62" s="33" t="n">
        <f aca="false">IF(B62="",0,N(Students!I51))</f>
        <v>0</v>
      </c>
      <c r="U62" s="23"/>
      <c r="V62" s="24" t="n">
        <f aca="false">N(S62)+N(T62)-N(U62)</f>
        <v>0</v>
      </c>
      <c r="W62" s="33" t="n">
        <f aca="false">'Oct 2026'!Z62</f>
        <v>0</v>
      </c>
      <c r="X62" s="33" t="n">
        <f aca="false">IF(B62="",0,N(Students!J51))</f>
        <v>0</v>
      </c>
      <c r="Y62" s="23"/>
      <c r="Z62" s="24" t="n">
        <f aca="false">N(W62)+N(X62)-N(Y62)</f>
        <v>0</v>
      </c>
      <c r="AA62" s="33" t="n">
        <f aca="false">N(E62)+N(I62)+N(M62)+N(Q62)+N(U62)+N(Y62)</f>
        <v>0</v>
      </c>
      <c r="AB62" s="24" t="n">
        <f aca="false">F62+J62+N62+R62+V62+Z62</f>
        <v>0</v>
      </c>
      <c r="AC62" s="81" t="str">
        <f aca="false">IF(B62="","",IF(AB62&lt;=0,"Clear",IF(AA62&gt;0,"Partial","Due")))</f>
        <v/>
      </c>
    </row>
    <row r="63" customFormat="false" ht="15" hidden="false" customHeight="false" outlineLevel="0" collapsed="false">
      <c r="A63" s="25" t="n">
        <v>48</v>
      </c>
      <c r="B63" s="82" t="str">
        <f aca="false">IF(Students!B52="","",Students!B52)</f>
        <v/>
      </c>
      <c r="C63" s="37" t="n">
        <f aca="false">'Oct 2026'!F63</f>
        <v>0</v>
      </c>
      <c r="D63" s="37" t="n">
        <f aca="false">IF(B63="",0,N(Students!E52))</f>
        <v>0</v>
      </c>
      <c r="E63" s="23"/>
      <c r="F63" s="26" t="n">
        <f aca="false">N(C63)+N(D63)-N(E63)</f>
        <v>0</v>
      </c>
      <c r="G63" s="37" t="n">
        <f aca="false">'Oct 2026'!J63</f>
        <v>0</v>
      </c>
      <c r="H63" s="37" t="n">
        <f aca="false">IF(B63="",0,N(Students!F52))</f>
        <v>0</v>
      </c>
      <c r="I63" s="23"/>
      <c r="J63" s="26" t="n">
        <f aca="false">N(G63)+N(H63)-N(I63)</f>
        <v>0</v>
      </c>
      <c r="K63" s="37" t="n">
        <f aca="false">'Oct 2026'!N63</f>
        <v>0</v>
      </c>
      <c r="L63" s="37" t="n">
        <f aca="false">IF(B63="",0,N(Students!G52))</f>
        <v>0</v>
      </c>
      <c r="M63" s="23"/>
      <c r="N63" s="26" t="n">
        <f aca="false">N(K63)+N(L63)-N(M63)</f>
        <v>0</v>
      </c>
      <c r="O63" s="37" t="n">
        <f aca="false">'Oct 2026'!R63</f>
        <v>0</v>
      </c>
      <c r="P63" s="37" t="n">
        <f aca="false">IF(B63="",0,N(Students!H52))</f>
        <v>0</v>
      </c>
      <c r="Q63" s="23"/>
      <c r="R63" s="26" t="n">
        <f aca="false">N(O63)+N(P63)-N(Q63)</f>
        <v>0</v>
      </c>
      <c r="S63" s="37" t="n">
        <f aca="false">'Oct 2026'!V63</f>
        <v>0</v>
      </c>
      <c r="T63" s="37" t="n">
        <f aca="false">IF(B63="",0,N(Students!I52))</f>
        <v>0</v>
      </c>
      <c r="U63" s="23"/>
      <c r="V63" s="26" t="n">
        <f aca="false">N(S63)+N(T63)-N(U63)</f>
        <v>0</v>
      </c>
      <c r="W63" s="37" t="n">
        <f aca="false">'Oct 2026'!Z63</f>
        <v>0</v>
      </c>
      <c r="X63" s="37" t="n">
        <f aca="false">IF(B63="",0,N(Students!J52))</f>
        <v>0</v>
      </c>
      <c r="Y63" s="23"/>
      <c r="Z63" s="26" t="n">
        <f aca="false">N(W63)+N(X63)-N(Y63)</f>
        <v>0</v>
      </c>
      <c r="AA63" s="37" t="n">
        <f aca="false">N(E63)+N(I63)+N(M63)+N(Q63)+N(U63)+N(Y63)</f>
        <v>0</v>
      </c>
      <c r="AB63" s="26" t="n">
        <f aca="false">F63+J63+N63+R63+V63+Z63</f>
        <v>0</v>
      </c>
      <c r="AC63" s="83" t="str">
        <f aca="false">IF(B63="","",IF(AB63&lt;=0,"Clear",IF(AA63&gt;0,"Partial","Due")))</f>
        <v/>
      </c>
    </row>
    <row r="64" customFormat="false" ht="15" hidden="false" customHeight="false" outlineLevel="0" collapsed="false">
      <c r="A64" s="21" t="n">
        <v>49</v>
      </c>
      <c r="B64" s="46" t="str">
        <f aca="false">IF(Students!B53="","",Students!B53)</f>
        <v/>
      </c>
      <c r="C64" s="33" t="n">
        <f aca="false">'Oct 2026'!F64</f>
        <v>0</v>
      </c>
      <c r="D64" s="33" t="n">
        <f aca="false">IF(B64="",0,N(Students!E53))</f>
        <v>0</v>
      </c>
      <c r="E64" s="23"/>
      <c r="F64" s="24" t="n">
        <f aca="false">N(C64)+N(D64)-N(E64)</f>
        <v>0</v>
      </c>
      <c r="G64" s="33" t="n">
        <f aca="false">'Oct 2026'!J64</f>
        <v>0</v>
      </c>
      <c r="H64" s="33" t="n">
        <f aca="false">IF(B64="",0,N(Students!F53))</f>
        <v>0</v>
      </c>
      <c r="I64" s="23"/>
      <c r="J64" s="24" t="n">
        <f aca="false">N(G64)+N(H64)-N(I64)</f>
        <v>0</v>
      </c>
      <c r="K64" s="33" t="n">
        <f aca="false">'Oct 2026'!N64</f>
        <v>0</v>
      </c>
      <c r="L64" s="33" t="n">
        <f aca="false">IF(B64="",0,N(Students!G53))</f>
        <v>0</v>
      </c>
      <c r="M64" s="23"/>
      <c r="N64" s="24" t="n">
        <f aca="false">N(K64)+N(L64)-N(M64)</f>
        <v>0</v>
      </c>
      <c r="O64" s="33" t="n">
        <f aca="false">'Oct 2026'!R64</f>
        <v>0</v>
      </c>
      <c r="P64" s="33" t="n">
        <f aca="false">IF(B64="",0,N(Students!H53))</f>
        <v>0</v>
      </c>
      <c r="Q64" s="23"/>
      <c r="R64" s="24" t="n">
        <f aca="false">N(O64)+N(P64)-N(Q64)</f>
        <v>0</v>
      </c>
      <c r="S64" s="33" t="n">
        <f aca="false">'Oct 2026'!V64</f>
        <v>0</v>
      </c>
      <c r="T64" s="33" t="n">
        <f aca="false">IF(B64="",0,N(Students!I53))</f>
        <v>0</v>
      </c>
      <c r="U64" s="23"/>
      <c r="V64" s="24" t="n">
        <f aca="false">N(S64)+N(T64)-N(U64)</f>
        <v>0</v>
      </c>
      <c r="W64" s="33" t="n">
        <f aca="false">'Oct 2026'!Z64</f>
        <v>0</v>
      </c>
      <c r="X64" s="33" t="n">
        <f aca="false">IF(B64="",0,N(Students!J53))</f>
        <v>0</v>
      </c>
      <c r="Y64" s="23"/>
      <c r="Z64" s="24" t="n">
        <f aca="false">N(W64)+N(X64)-N(Y64)</f>
        <v>0</v>
      </c>
      <c r="AA64" s="33" t="n">
        <f aca="false">N(E64)+N(I64)+N(M64)+N(Q64)+N(U64)+N(Y64)</f>
        <v>0</v>
      </c>
      <c r="AB64" s="24" t="n">
        <f aca="false">F64+J64+N64+R64+V64+Z64</f>
        <v>0</v>
      </c>
      <c r="AC64" s="81" t="str">
        <f aca="false">IF(B64="","",IF(AB64&lt;=0,"Clear",IF(AA64&gt;0,"Partial","Due")))</f>
        <v/>
      </c>
    </row>
    <row r="65" customFormat="false" ht="15" hidden="false" customHeight="false" outlineLevel="0" collapsed="false">
      <c r="A65" s="25" t="n">
        <v>50</v>
      </c>
      <c r="B65" s="82" t="str">
        <f aca="false">IF(Students!B54="","",Students!B54)</f>
        <v/>
      </c>
      <c r="C65" s="37" t="n">
        <f aca="false">'Oct 2026'!F65</f>
        <v>0</v>
      </c>
      <c r="D65" s="37" t="n">
        <f aca="false">IF(B65="",0,N(Students!E54))</f>
        <v>0</v>
      </c>
      <c r="E65" s="23"/>
      <c r="F65" s="26" t="n">
        <f aca="false">N(C65)+N(D65)-N(E65)</f>
        <v>0</v>
      </c>
      <c r="G65" s="37" t="n">
        <f aca="false">'Oct 2026'!J65</f>
        <v>0</v>
      </c>
      <c r="H65" s="37" t="n">
        <f aca="false">IF(B65="",0,N(Students!F54))</f>
        <v>0</v>
      </c>
      <c r="I65" s="23"/>
      <c r="J65" s="26" t="n">
        <f aca="false">N(G65)+N(H65)-N(I65)</f>
        <v>0</v>
      </c>
      <c r="K65" s="37" t="n">
        <f aca="false">'Oct 2026'!N65</f>
        <v>0</v>
      </c>
      <c r="L65" s="37" t="n">
        <f aca="false">IF(B65="",0,N(Students!G54))</f>
        <v>0</v>
      </c>
      <c r="M65" s="23"/>
      <c r="N65" s="26" t="n">
        <f aca="false">N(K65)+N(L65)-N(M65)</f>
        <v>0</v>
      </c>
      <c r="O65" s="37" t="n">
        <f aca="false">'Oct 2026'!R65</f>
        <v>0</v>
      </c>
      <c r="P65" s="37" t="n">
        <f aca="false">IF(B65="",0,N(Students!H54))</f>
        <v>0</v>
      </c>
      <c r="Q65" s="23"/>
      <c r="R65" s="26" t="n">
        <f aca="false">N(O65)+N(P65)-N(Q65)</f>
        <v>0</v>
      </c>
      <c r="S65" s="37" t="n">
        <f aca="false">'Oct 2026'!V65</f>
        <v>0</v>
      </c>
      <c r="T65" s="37" t="n">
        <f aca="false">IF(B65="",0,N(Students!I54))</f>
        <v>0</v>
      </c>
      <c r="U65" s="23"/>
      <c r="V65" s="26" t="n">
        <f aca="false">N(S65)+N(T65)-N(U65)</f>
        <v>0</v>
      </c>
      <c r="W65" s="37" t="n">
        <f aca="false">'Oct 2026'!Z65</f>
        <v>0</v>
      </c>
      <c r="X65" s="37" t="n">
        <f aca="false">IF(B65="",0,N(Students!J54))</f>
        <v>0</v>
      </c>
      <c r="Y65" s="23"/>
      <c r="Z65" s="26" t="n">
        <f aca="false">N(W65)+N(X65)-N(Y65)</f>
        <v>0</v>
      </c>
      <c r="AA65" s="37" t="n">
        <f aca="false">N(E65)+N(I65)+N(M65)+N(Q65)+N(U65)+N(Y65)</f>
        <v>0</v>
      </c>
      <c r="AB65" s="26" t="n">
        <f aca="false">F65+J65+N65+R65+V65+Z65</f>
        <v>0</v>
      </c>
      <c r="AC65" s="83" t="str">
        <f aca="false">IF(B65="","",IF(AB65&lt;=0,"Clear",IF(AA65&gt;0,"Partial","Due")))</f>
        <v/>
      </c>
    </row>
    <row r="66" customFormat="false" ht="15" hidden="false" customHeight="false" outlineLevel="0" collapsed="false">
      <c r="A66" s="21" t="n">
        <v>51</v>
      </c>
      <c r="B66" s="46" t="str">
        <f aca="false">IF(Students!B55="","",Students!B55)</f>
        <v/>
      </c>
      <c r="C66" s="33" t="n">
        <f aca="false">'Oct 2026'!F66</f>
        <v>0</v>
      </c>
      <c r="D66" s="33" t="n">
        <f aca="false">IF(B66="",0,N(Students!E55))</f>
        <v>0</v>
      </c>
      <c r="E66" s="23"/>
      <c r="F66" s="24" t="n">
        <f aca="false">N(C66)+N(D66)-N(E66)</f>
        <v>0</v>
      </c>
      <c r="G66" s="33" t="n">
        <f aca="false">'Oct 2026'!J66</f>
        <v>0</v>
      </c>
      <c r="H66" s="33" t="n">
        <f aca="false">IF(B66="",0,N(Students!F55))</f>
        <v>0</v>
      </c>
      <c r="I66" s="23"/>
      <c r="J66" s="24" t="n">
        <f aca="false">N(G66)+N(H66)-N(I66)</f>
        <v>0</v>
      </c>
      <c r="K66" s="33" t="n">
        <f aca="false">'Oct 2026'!N66</f>
        <v>0</v>
      </c>
      <c r="L66" s="33" t="n">
        <f aca="false">IF(B66="",0,N(Students!G55))</f>
        <v>0</v>
      </c>
      <c r="M66" s="23"/>
      <c r="N66" s="24" t="n">
        <f aca="false">N(K66)+N(L66)-N(M66)</f>
        <v>0</v>
      </c>
      <c r="O66" s="33" t="n">
        <f aca="false">'Oct 2026'!R66</f>
        <v>0</v>
      </c>
      <c r="P66" s="33" t="n">
        <f aca="false">IF(B66="",0,N(Students!H55))</f>
        <v>0</v>
      </c>
      <c r="Q66" s="23"/>
      <c r="R66" s="24" t="n">
        <f aca="false">N(O66)+N(P66)-N(Q66)</f>
        <v>0</v>
      </c>
      <c r="S66" s="33" t="n">
        <f aca="false">'Oct 2026'!V66</f>
        <v>0</v>
      </c>
      <c r="T66" s="33" t="n">
        <f aca="false">IF(B66="",0,N(Students!I55))</f>
        <v>0</v>
      </c>
      <c r="U66" s="23"/>
      <c r="V66" s="24" t="n">
        <f aca="false">N(S66)+N(T66)-N(U66)</f>
        <v>0</v>
      </c>
      <c r="W66" s="33" t="n">
        <f aca="false">'Oct 2026'!Z66</f>
        <v>0</v>
      </c>
      <c r="X66" s="33" t="n">
        <f aca="false">IF(B66="",0,N(Students!J55))</f>
        <v>0</v>
      </c>
      <c r="Y66" s="23"/>
      <c r="Z66" s="24" t="n">
        <f aca="false">N(W66)+N(X66)-N(Y66)</f>
        <v>0</v>
      </c>
      <c r="AA66" s="33" t="n">
        <f aca="false">N(E66)+N(I66)+N(M66)+N(Q66)+N(U66)+N(Y66)</f>
        <v>0</v>
      </c>
      <c r="AB66" s="24" t="n">
        <f aca="false">F66+J66+N66+R66+V66+Z66</f>
        <v>0</v>
      </c>
      <c r="AC66" s="81" t="str">
        <f aca="false">IF(B66="","",IF(AB66&lt;=0,"Clear",IF(AA66&gt;0,"Partial","Due")))</f>
        <v/>
      </c>
    </row>
    <row r="67" customFormat="false" ht="15" hidden="false" customHeight="false" outlineLevel="0" collapsed="false">
      <c r="A67" s="25" t="n">
        <v>52</v>
      </c>
      <c r="B67" s="82" t="str">
        <f aca="false">IF(Students!B56="","",Students!B56)</f>
        <v/>
      </c>
      <c r="C67" s="37" t="n">
        <f aca="false">'Oct 2026'!F67</f>
        <v>0</v>
      </c>
      <c r="D67" s="37" t="n">
        <f aca="false">IF(B67="",0,N(Students!E56))</f>
        <v>0</v>
      </c>
      <c r="E67" s="23"/>
      <c r="F67" s="26" t="n">
        <f aca="false">N(C67)+N(D67)-N(E67)</f>
        <v>0</v>
      </c>
      <c r="G67" s="37" t="n">
        <f aca="false">'Oct 2026'!J67</f>
        <v>0</v>
      </c>
      <c r="H67" s="37" t="n">
        <f aca="false">IF(B67="",0,N(Students!F56))</f>
        <v>0</v>
      </c>
      <c r="I67" s="23"/>
      <c r="J67" s="26" t="n">
        <f aca="false">N(G67)+N(H67)-N(I67)</f>
        <v>0</v>
      </c>
      <c r="K67" s="37" t="n">
        <f aca="false">'Oct 2026'!N67</f>
        <v>0</v>
      </c>
      <c r="L67" s="37" t="n">
        <f aca="false">IF(B67="",0,N(Students!G56))</f>
        <v>0</v>
      </c>
      <c r="M67" s="23"/>
      <c r="N67" s="26" t="n">
        <f aca="false">N(K67)+N(L67)-N(M67)</f>
        <v>0</v>
      </c>
      <c r="O67" s="37" t="n">
        <f aca="false">'Oct 2026'!R67</f>
        <v>0</v>
      </c>
      <c r="P67" s="37" t="n">
        <f aca="false">IF(B67="",0,N(Students!H56))</f>
        <v>0</v>
      </c>
      <c r="Q67" s="23"/>
      <c r="R67" s="26" t="n">
        <f aca="false">N(O67)+N(P67)-N(Q67)</f>
        <v>0</v>
      </c>
      <c r="S67" s="37" t="n">
        <f aca="false">'Oct 2026'!V67</f>
        <v>0</v>
      </c>
      <c r="T67" s="37" t="n">
        <f aca="false">IF(B67="",0,N(Students!I56))</f>
        <v>0</v>
      </c>
      <c r="U67" s="23"/>
      <c r="V67" s="26" t="n">
        <f aca="false">N(S67)+N(T67)-N(U67)</f>
        <v>0</v>
      </c>
      <c r="W67" s="37" t="n">
        <f aca="false">'Oct 2026'!Z67</f>
        <v>0</v>
      </c>
      <c r="X67" s="37" t="n">
        <f aca="false">IF(B67="",0,N(Students!J56))</f>
        <v>0</v>
      </c>
      <c r="Y67" s="23"/>
      <c r="Z67" s="26" t="n">
        <f aca="false">N(W67)+N(X67)-N(Y67)</f>
        <v>0</v>
      </c>
      <c r="AA67" s="37" t="n">
        <f aca="false">N(E67)+N(I67)+N(M67)+N(Q67)+N(U67)+N(Y67)</f>
        <v>0</v>
      </c>
      <c r="AB67" s="26" t="n">
        <f aca="false">F67+J67+N67+R67+V67+Z67</f>
        <v>0</v>
      </c>
      <c r="AC67" s="83" t="str">
        <f aca="false">IF(B67="","",IF(AB67&lt;=0,"Clear",IF(AA67&gt;0,"Partial","Due")))</f>
        <v/>
      </c>
    </row>
    <row r="68" customFormat="false" ht="15" hidden="false" customHeight="false" outlineLevel="0" collapsed="false">
      <c r="A68" s="21" t="n">
        <v>53</v>
      </c>
      <c r="B68" s="46" t="str">
        <f aca="false">IF(Students!B57="","",Students!B57)</f>
        <v/>
      </c>
      <c r="C68" s="33" t="n">
        <f aca="false">'Oct 2026'!F68</f>
        <v>0</v>
      </c>
      <c r="D68" s="33" t="n">
        <f aca="false">IF(B68="",0,N(Students!E57))</f>
        <v>0</v>
      </c>
      <c r="E68" s="23"/>
      <c r="F68" s="24" t="n">
        <f aca="false">N(C68)+N(D68)-N(E68)</f>
        <v>0</v>
      </c>
      <c r="G68" s="33" t="n">
        <f aca="false">'Oct 2026'!J68</f>
        <v>0</v>
      </c>
      <c r="H68" s="33" t="n">
        <f aca="false">IF(B68="",0,N(Students!F57))</f>
        <v>0</v>
      </c>
      <c r="I68" s="23"/>
      <c r="J68" s="24" t="n">
        <f aca="false">N(G68)+N(H68)-N(I68)</f>
        <v>0</v>
      </c>
      <c r="K68" s="33" t="n">
        <f aca="false">'Oct 2026'!N68</f>
        <v>0</v>
      </c>
      <c r="L68" s="33" t="n">
        <f aca="false">IF(B68="",0,N(Students!G57))</f>
        <v>0</v>
      </c>
      <c r="M68" s="23"/>
      <c r="N68" s="24" t="n">
        <f aca="false">N(K68)+N(L68)-N(M68)</f>
        <v>0</v>
      </c>
      <c r="O68" s="33" t="n">
        <f aca="false">'Oct 2026'!R68</f>
        <v>0</v>
      </c>
      <c r="P68" s="33" t="n">
        <f aca="false">IF(B68="",0,N(Students!H57))</f>
        <v>0</v>
      </c>
      <c r="Q68" s="23"/>
      <c r="R68" s="24" t="n">
        <f aca="false">N(O68)+N(P68)-N(Q68)</f>
        <v>0</v>
      </c>
      <c r="S68" s="33" t="n">
        <f aca="false">'Oct 2026'!V68</f>
        <v>0</v>
      </c>
      <c r="T68" s="33" t="n">
        <f aca="false">IF(B68="",0,N(Students!I57))</f>
        <v>0</v>
      </c>
      <c r="U68" s="23"/>
      <c r="V68" s="24" t="n">
        <f aca="false">N(S68)+N(T68)-N(U68)</f>
        <v>0</v>
      </c>
      <c r="W68" s="33" t="n">
        <f aca="false">'Oct 2026'!Z68</f>
        <v>0</v>
      </c>
      <c r="X68" s="33" t="n">
        <f aca="false">IF(B68="",0,N(Students!J57))</f>
        <v>0</v>
      </c>
      <c r="Y68" s="23"/>
      <c r="Z68" s="24" t="n">
        <f aca="false">N(W68)+N(X68)-N(Y68)</f>
        <v>0</v>
      </c>
      <c r="AA68" s="33" t="n">
        <f aca="false">N(E68)+N(I68)+N(M68)+N(Q68)+N(U68)+N(Y68)</f>
        <v>0</v>
      </c>
      <c r="AB68" s="24" t="n">
        <f aca="false">F68+J68+N68+R68+V68+Z68</f>
        <v>0</v>
      </c>
      <c r="AC68" s="81" t="str">
        <f aca="false">IF(B68="","",IF(AB68&lt;=0,"Clear",IF(AA68&gt;0,"Partial","Due")))</f>
        <v/>
      </c>
    </row>
    <row r="69" customFormat="false" ht="15" hidden="false" customHeight="false" outlineLevel="0" collapsed="false">
      <c r="A69" s="25" t="n">
        <v>54</v>
      </c>
      <c r="B69" s="82" t="str">
        <f aca="false">IF(Students!B58="","",Students!B58)</f>
        <v/>
      </c>
      <c r="C69" s="37" t="n">
        <f aca="false">'Oct 2026'!F69</f>
        <v>0</v>
      </c>
      <c r="D69" s="37" t="n">
        <f aca="false">IF(B69="",0,N(Students!E58))</f>
        <v>0</v>
      </c>
      <c r="E69" s="23"/>
      <c r="F69" s="26" t="n">
        <f aca="false">N(C69)+N(D69)-N(E69)</f>
        <v>0</v>
      </c>
      <c r="G69" s="37" t="n">
        <f aca="false">'Oct 2026'!J69</f>
        <v>0</v>
      </c>
      <c r="H69" s="37" t="n">
        <f aca="false">IF(B69="",0,N(Students!F58))</f>
        <v>0</v>
      </c>
      <c r="I69" s="23"/>
      <c r="J69" s="26" t="n">
        <f aca="false">N(G69)+N(H69)-N(I69)</f>
        <v>0</v>
      </c>
      <c r="K69" s="37" t="n">
        <f aca="false">'Oct 2026'!N69</f>
        <v>0</v>
      </c>
      <c r="L69" s="37" t="n">
        <f aca="false">IF(B69="",0,N(Students!G58))</f>
        <v>0</v>
      </c>
      <c r="M69" s="23"/>
      <c r="N69" s="26" t="n">
        <f aca="false">N(K69)+N(L69)-N(M69)</f>
        <v>0</v>
      </c>
      <c r="O69" s="37" t="n">
        <f aca="false">'Oct 2026'!R69</f>
        <v>0</v>
      </c>
      <c r="P69" s="37" t="n">
        <f aca="false">IF(B69="",0,N(Students!H58))</f>
        <v>0</v>
      </c>
      <c r="Q69" s="23"/>
      <c r="R69" s="26" t="n">
        <f aca="false">N(O69)+N(P69)-N(Q69)</f>
        <v>0</v>
      </c>
      <c r="S69" s="37" t="n">
        <f aca="false">'Oct 2026'!V69</f>
        <v>0</v>
      </c>
      <c r="T69" s="37" t="n">
        <f aca="false">IF(B69="",0,N(Students!I58))</f>
        <v>0</v>
      </c>
      <c r="U69" s="23"/>
      <c r="V69" s="26" t="n">
        <f aca="false">N(S69)+N(T69)-N(U69)</f>
        <v>0</v>
      </c>
      <c r="W69" s="37" t="n">
        <f aca="false">'Oct 2026'!Z69</f>
        <v>0</v>
      </c>
      <c r="X69" s="37" t="n">
        <f aca="false">IF(B69="",0,N(Students!J58))</f>
        <v>0</v>
      </c>
      <c r="Y69" s="23"/>
      <c r="Z69" s="26" t="n">
        <f aca="false">N(W69)+N(X69)-N(Y69)</f>
        <v>0</v>
      </c>
      <c r="AA69" s="37" t="n">
        <f aca="false">N(E69)+N(I69)+N(M69)+N(Q69)+N(U69)+N(Y69)</f>
        <v>0</v>
      </c>
      <c r="AB69" s="26" t="n">
        <f aca="false">F69+J69+N69+R69+V69+Z69</f>
        <v>0</v>
      </c>
      <c r="AC69" s="83" t="str">
        <f aca="false">IF(B69="","",IF(AB69&lt;=0,"Clear",IF(AA69&gt;0,"Partial","Due")))</f>
        <v/>
      </c>
    </row>
    <row r="70" customFormat="false" ht="15" hidden="false" customHeight="false" outlineLevel="0" collapsed="false">
      <c r="A70" s="21" t="n">
        <v>55</v>
      </c>
      <c r="B70" s="46" t="str">
        <f aca="false">IF(Students!B59="","",Students!B59)</f>
        <v/>
      </c>
      <c r="C70" s="33" t="n">
        <f aca="false">'Oct 2026'!F70</f>
        <v>0</v>
      </c>
      <c r="D70" s="33" t="n">
        <f aca="false">IF(B70="",0,N(Students!E59))</f>
        <v>0</v>
      </c>
      <c r="E70" s="23"/>
      <c r="F70" s="24" t="n">
        <f aca="false">N(C70)+N(D70)-N(E70)</f>
        <v>0</v>
      </c>
      <c r="G70" s="33" t="n">
        <f aca="false">'Oct 2026'!J70</f>
        <v>0</v>
      </c>
      <c r="H70" s="33" t="n">
        <f aca="false">IF(B70="",0,N(Students!F59))</f>
        <v>0</v>
      </c>
      <c r="I70" s="23"/>
      <c r="J70" s="24" t="n">
        <f aca="false">N(G70)+N(H70)-N(I70)</f>
        <v>0</v>
      </c>
      <c r="K70" s="33" t="n">
        <f aca="false">'Oct 2026'!N70</f>
        <v>0</v>
      </c>
      <c r="L70" s="33" t="n">
        <f aca="false">IF(B70="",0,N(Students!G59))</f>
        <v>0</v>
      </c>
      <c r="M70" s="23"/>
      <c r="N70" s="24" t="n">
        <f aca="false">N(K70)+N(L70)-N(M70)</f>
        <v>0</v>
      </c>
      <c r="O70" s="33" t="n">
        <f aca="false">'Oct 2026'!R70</f>
        <v>0</v>
      </c>
      <c r="P70" s="33" t="n">
        <f aca="false">IF(B70="",0,N(Students!H59))</f>
        <v>0</v>
      </c>
      <c r="Q70" s="23"/>
      <c r="R70" s="24" t="n">
        <f aca="false">N(O70)+N(P70)-N(Q70)</f>
        <v>0</v>
      </c>
      <c r="S70" s="33" t="n">
        <f aca="false">'Oct 2026'!V70</f>
        <v>0</v>
      </c>
      <c r="T70" s="33" t="n">
        <f aca="false">IF(B70="",0,N(Students!I59))</f>
        <v>0</v>
      </c>
      <c r="U70" s="23"/>
      <c r="V70" s="24" t="n">
        <f aca="false">N(S70)+N(T70)-N(U70)</f>
        <v>0</v>
      </c>
      <c r="W70" s="33" t="n">
        <f aca="false">'Oct 2026'!Z70</f>
        <v>0</v>
      </c>
      <c r="X70" s="33" t="n">
        <f aca="false">IF(B70="",0,N(Students!J59))</f>
        <v>0</v>
      </c>
      <c r="Y70" s="23"/>
      <c r="Z70" s="24" t="n">
        <f aca="false">N(W70)+N(X70)-N(Y70)</f>
        <v>0</v>
      </c>
      <c r="AA70" s="33" t="n">
        <f aca="false">N(E70)+N(I70)+N(M70)+N(Q70)+N(U70)+N(Y70)</f>
        <v>0</v>
      </c>
      <c r="AB70" s="24" t="n">
        <f aca="false">F70+J70+N70+R70+V70+Z70</f>
        <v>0</v>
      </c>
      <c r="AC70" s="81" t="str">
        <f aca="false">IF(B70="","",IF(AB70&lt;=0,"Clear",IF(AA70&gt;0,"Partial","Due")))</f>
        <v/>
      </c>
    </row>
    <row r="71" customFormat="false" ht="15" hidden="false" customHeight="false" outlineLevel="0" collapsed="false">
      <c r="A71" s="25" t="n">
        <v>56</v>
      </c>
      <c r="B71" s="82" t="str">
        <f aca="false">IF(Students!B60="","",Students!B60)</f>
        <v/>
      </c>
      <c r="C71" s="37" t="n">
        <f aca="false">'Oct 2026'!F71</f>
        <v>0</v>
      </c>
      <c r="D71" s="37" t="n">
        <f aca="false">IF(B71="",0,N(Students!E60))</f>
        <v>0</v>
      </c>
      <c r="E71" s="23"/>
      <c r="F71" s="26" t="n">
        <f aca="false">N(C71)+N(D71)-N(E71)</f>
        <v>0</v>
      </c>
      <c r="G71" s="37" t="n">
        <f aca="false">'Oct 2026'!J71</f>
        <v>0</v>
      </c>
      <c r="H71" s="37" t="n">
        <f aca="false">IF(B71="",0,N(Students!F60))</f>
        <v>0</v>
      </c>
      <c r="I71" s="23"/>
      <c r="J71" s="26" t="n">
        <f aca="false">N(G71)+N(H71)-N(I71)</f>
        <v>0</v>
      </c>
      <c r="K71" s="37" t="n">
        <f aca="false">'Oct 2026'!N71</f>
        <v>0</v>
      </c>
      <c r="L71" s="37" t="n">
        <f aca="false">IF(B71="",0,N(Students!G60))</f>
        <v>0</v>
      </c>
      <c r="M71" s="23"/>
      <c r="N71" s="26" t="n">
        <f aca="false">N(K71)+N(L71)-N(M71)</f>
        <v>0</v>
      </c>
      <c r="O71" s="37" t="n">
        <f aca="false">'Oct 2026'!R71</f>
        <v>0</v>
      </c>
      <c r="P71" s="37" t="n">
        <f aca="false">IF(B71="",0,N(Students!H60))</f>
        <v>0</v>
      </c>
      <c r="Q71" s="23"/>
      <c r="R71" s="26" t="n">
        <f aca="false">N(O71)+N(P71)-N(Q71)</f>
        <v>0</v>
      </c>
      <c r="S71" s="37" t="n">
        <f aca="false">'Oct 2026'!V71</f>
        <v>0</v>
      </c>
      <c r="T71" s="37" t="n">
        <f aca="false">IF(B71="",0,N(Students!I60))</f>
        <v>0</v>
      </c>
      <c r="U71" s="23"/>
      <c r="V71" s="26" t="n">
        <f aca="false">N(S71)+N(T71)-N(U71)</f>
        <v>0</v>
      </c>
      <c r="W71" s="37" t="n">
        <f aca="false">'Oct 2026'!Z71</f>
        <v>0</v>
      </c>
      <c r="X71" s="37" t="n">
        <f aca="false">IF(B71="",0,N(Students!J60))</f>
        <v>0</v>
      </c>
      <c r="Y71" s="23"/>
      <c r="Z71" s="26" t="n">
        <f aca="false">N(W71)+N(X71)-N(Y71)</f>
        <v>0</v>
      </c>
      <c r="AA71" s="37" t="n">
        <f aca="false">N(E71)+N(I71)+N(M71)+N(Q71)+N(U71)+N(Y71)</f>
        <v>0</v>
      </c>
      <c r="AB71" s="26" t="n">
        <f aca="false">F71+J71+N71+R71+V71+Z71</f>
        <v>0</v>
      </c>
      <c r="AC71" s="83" t="str">
        <f aca="false">IF(B71="","",IF(AB71&lt;=0,"Clear",IF(AA71&gt;0,"Partial","Due")))</f>
        <v/>
      </c>
    </row>
    <row r="72" customFormat="false" ht="15" hidden="false" customHeight="false" outlineLevel="0" collapsed="false">
      <c r="A72" s="21" t="n">
        <v>57</v>
      </c>
      <c r="B72" s="46" t="str">
        <f aca="false">IF(Students!B61="","",Students!B61)</f>
        <v/>
      </c>
      <c r="C72" s="33" t="n">
        <f aca="false">'Oct 2026'!F72</f>
        <v>0</v>
      </c>
      <c r="D72" s="33" t="n">
        <f aca="false">IF(B72="",0,N(Students!E61))</f>
        <v>0</v>
      </c>
      <c r="E72" s="23"/>
      <c r="F72" s="24" t="n">
        <f aca="false">N(C72)+N(D72)-N(E72)</f>
        <v>0</v>
      </c>
      <c r="G72" s="33" t="n">
        <f aca="false">'Oct 2026'!J72</f>
        <v>0</v>
      </c>
      <c r="H72" s="33" t="n">
        <f aca="false">IF(B72="",0,N(Students!F61))</f>
        <v>0</v>
      </c>
      <c r="I72" s="23"/>
      <c r="J72" s="24" t="n">
        <f aca="false">N(G72)+N(H72)-N(I72)</f>
        <v>0</v>
      </c>
      <c r="K72" s="33" t="n">
        <f aca="false">'Oct 2026'!N72</f>
        <v>0</v>
      </c>
      <c r="L72" s="33" t="n">
        <f aca="false">IF(B72="",0,N(Students!G61))</f>
        <v>0</v>
      </c>
      <c r="M72" s="23"/>
      <c r="N72" s="24" t="n">
        <f aca="false">N(K72)+N(L72)-N(M72)</f>
        <v>0</v>
      </c>
      <c r="O72" s="33" t="n">
        <f aca="false">'Oct 2026'!R72</f>
        <v>0</v>
      </c>
      <c r="P72" s="33" t="n">
        <f aca="false">IF(B72="",0,N(Students!H61))</f>
        <v>0</v>
      </c>
      <c r="Q72" s="23"/>
      <c r="R72" s="24" t="n">
        <f aca="false">N(O72)+N(P72)-N(Q72)</f>
        <v>0</v>
      </c>
      <c r="S72" s="33" t="n">
        <f aca="false">'Oct 2026'!V72</f>
        <v>0</v>
      </c>
      <c r="T72" s="33" t="n">
        <f aca="false">IF(B72="",0,N(Students!I61))</f>
        <v>0</v>
      </c>
      <c r="U72" s="23"/>
      <c r="V72" s="24" t="n">
        <f aca="false">N(S72)+N(T72)-N(U72)</f>
        <v>0</v>
      </c>
      <c r="W72" s="33" t="n">
        <f aca="false">'Oct 2026'!Z72</f>
        <v>0</v>
      </c>
      <c r="X72" s="33" t="n">
        <f aca="false">IF(B72="",0,N(Students!J61))</f>
        <v>0</v>
      </c>
      <c r="Y72" s="23"/>
      <c r="Z72" s="24" t="n">
        <f aca="false">N(W72)+N(X72)-N(Y72)</f>
        <v>0</v>
      </c>
      <c r="AA72" s="33" t="n">
        <f aca="false">N(E72)+N(I72)+N(M72)+N(Q72)+N(U72)+N(Y72)</f>
        <v>0</v>
      </c>
      <c r="AB72" s="24" t="n">
        <f aca="false">F72+J72+N72+R72+V72+Z72</f>
        <v>0</v>
      </c>
      <c r="AC72" s="81" t="str">
        <f aca="false">IF(B72="","",IF(AB72&lt;=0,"Clear",IF(AA72&gt;0,"Partial","Due")))</f>
        <v/>
      </c>
    </row>
    <row r="73" customFormat="false" ht="15" hidden="false" customHeight="false" outlineLevel="0" collapsed="false">
      <c r="A73" s="25" t="n">
        <v>58</v>
      </c>
      <c r="B73" s="82" t="str">
        <f aca="false">IF(Students!B62="","",Students!B62)</f>
        <v/>
      </c>
      <c r="C73" s="37" t="n">
        <f aca="false">'Oct 2026'!F73</f>
        <v>0</v>
      </c>
      <c r="D73" s="37" t="n">
        <f aca="false">IF(B73="",0,N(Students!E62))</f>
        <v>0</v>
      </c>
      <c r="E73" s="23"/>
      <c r="F73" s="26" t="n">
        <f aca="false">N(C73)+N(D73)-N(E73)</f>
        <v>0</v>
      </c>
      <c r="G73" s="37" t="n">
        <f aca="false">'Oct 2026'!J73</f>
        <v>0</v>
      </c>
      <c r="H73" s="37" t="n">
        <f aca="false">IF(B73="",0,N(Students!F62))</f>
        <v>0</v>
      </c>
      <c r="I73" s="23"/>
      <c r="J73" s="26" t="n">
        <f aca="false">N(G73)+N(H73)-N(I73)</f>
        <v>0</v>
      </c>
      <c r="K73" s="37" t="n">
        <f aca="false">'Oct 2026'!N73</f>
        <v>0</v>
      </c>
      <c r="L73" s="37" t="n">
        <f aca="false">IF(B73="",0,N(Students!G62))</f>
        <v>0</v>
      </c>
      <c r="M73" s="23"/>
      <c r="N73" s="26" t="n">
        <f aca="false">N(K73)+N(L73)-N(M73)</f>
        <v>0</v>
      </c>
      <c r="O73" s="37" t="n">
        <f aca="false">'Oct 2026'!R73</f>
        <v>0</v>
      </c>
      <c r="P73" s="37" t="n">
        <f aca="false">IF(B73="",0,N(Students!H62))</f>
        <v>0</v>
      </c>
      <c r="Q73" s="23"/>
      <c r="R73" s="26" t="n">
        <f aca="false">N(O73)+N(P73)-N(Q73)</f>
        <v>0</v>
      </c>
      <c r="S73" s="37" t="n">
        <f aca="false">'Oct 2026'!V73</f>
        <v>0</v>
      </c>
      <c r="T73" s="37" t="n">
        <f aca="false">IF(B73="",0,N(Students!I62))</f>
        <v>0</v>
      </c>
      <c r="U73" s="23"/>
      <c r="V73" s="26" t="n">
        <f aca="false">N(S73)+N(T73)-N(U73)</f>
        <v>0</v>
      </c>
      <c r="W73" s="37" t="n">
        <f aca="false">'Oct 2026'!Z73</f>
        <v>0</v>
      </c>
      <c r="X73" s="37" t="n">
        <f aca="false">IF(B73="",0,N(Students!J62))</f>
        <v>0</v>
      </c>
      <c r="Y73" s="23"/>
      <c r="Z73" s="26" t="n">
        <f aca="false">N(W73)+N(X73)-N(Y73)</f>
        <v>0</v>
      </c>
      <c r="AA73" s="37" t="n">
        <f aca="false">N(E73)+N(I73)+N(M73)+N(Q73)+N(U73)+N(Y73)</f>
        <v>0</v>
      </c>
      <c r="AB73" s="26" t="n">
        <f aca="false">F73+J73+N73+R73+V73+Z73</f>
        <v>0</v>
      </c>
      <c r="AC73" s="83" t="str">
        <f aca="false">IF(B73="","",IF(AB73&lt;=0,"Clear",IF(AA73&gt;0,"Partial","Due")))</f>
        <v/>
      </c>
    </row>
    <row r="74" customFormat="false" ht="15" hidden="false" customHeight="false" outlineLevel="0" collapsed="false">
      <c r="A74" s="21" t="n">
        <v>59</v>
      </c>
      <c r="B74" s="46" t="str">
        <f aca="false">IF(Students!B63="","",Students!B63)</f>
        <v/>
      </c>
      <c r="C74" s="33" t="n">
        <f aca="false">'Oct 2026'!F74</f>
        <v>0</v>
      </c>
      <c r="D74" s="33" t="n">
        <f aca="false">IF(B74="",0,N(Students!E63))</f>
        <v>0</v>
      </c>
      <c r="E74" s="23"/>
      <c r="F74" s="24" t="n">
        <f aca="false">N(C74)+N(D74)-N(E74)</f>
        <v>0</v>
      </c>
      <c r="G74" s="33" t="n">
        <f aca="false">'Oct 2026'!J74</f>
        <v>0</v>
      </c>
      <c r="H74" s="33" t="n">
        <f aca="false">IF(B74="",0,N(Students!F63))</f>
        <v>0</v>
      </c>
      <c r="I74" s="23"/>
      <c r="J74" s="24" t="n">
        <f aca="false">N(G74)+N(H74)-N(I74)</f>
        <v>0</v>
      </c>
      <c r="K74" s="33" t="n">
        <f aca="false">'Oct 2026'!N74</f>
        <v>0</v>
      </c>
      <c r="L74" s="33" t="n">
        <f aca="false">IF(B74="",0,N(Students!G63))</f>
        <v>0</v>
      </c>
      <c r="M74" s="23"/>
      <c r="N74" s="24" t="n">
        <f aca="false">N(K74)+N(L74)-N(M74)</f>
        <v>0</v>
      </c>
      <c r="O74" s="33" t="n">
        <f aca="false">'Oct 2026'!R74</f>
        <v>0</v>
      </c>
      <c r="P74" s="33" t="n">
        <f aca="false">IF(B74="",0,N(Students!H63))</f>
        <v>0</v>
      </c>
      <c r="Q74" s="23"/>
      <c r="R74" s="24" t="n">
        <f aca="false">N(O74)+N(P74)-N(Q74)</f>
        <v>0</v>
      </c>
      <c r="S74" s="33" t="n">
        <f aca="false">'Oct 2026'!V74</f>
        <v>0</v>
      </c>
      <c r="T74" s="33" t="n">
        <f aca="false">IF(B74="",0,N(Students!I63))</f>
        <v>0</v>
      </c>
      <c r="U74" s="23"/>
      <c r="V74" s="24" t="n">
        <f aca="false">N(S74)+N(T74)-N(U74)</f>
        <v>0</v>
      </c>
      <c r="W74" s="33" t="n">
        <f aca="false">'Oct 2026'!Z74</f>
        <v>0</v>
      </c>
      <c r="X74" s="33" t="n">
        <f aca="false">IF(B74="",0,N(Students!J63))</f>
        <v>0</v>
      </c>
      <c r="Y74" s="23"/>
      <c r="Z74" s="24" t="n">
        <f aca="false">N(W74)+N(X74)-N(Y74)</f>
        <v>0</v>
      </c>
      <c r="AA74" s="33" t="n">
        <f aca="false">N(E74)+N(I74)+N(M74)+N(Q74)+N(U74)+N(Y74)</f>
        <v>0</v>
      </c>
      <c r="AB74" s="24" t="n">
        <f aca="false">F74+J74+N74+R74+V74+Z74</f>
        <v>0</v>
      </c>
      <c r="AC74" s="81" t="str">
        <f aca="false">IF(B74="","",IF(AB74&lt;=0,"Clear",IF(AA74&gt;0,"Partial","Due")))</f>
        <v/>
      </c>
    </row>
    <row r="75" customFormat="false" ht="15" hidden="false" customHeight="false" outlineLevel="0" collapsed="false">
      <c r="A75" s="25" t="n">
        <v>60</v>
      </c>
      <c r="B75" s="82" t="str">
        <f aca="false">IF(Students!B64="","",Students!B64)</f>
        <v/>
      </c>
      <c r="C75" s="37" t="n">
        <f aca="false">'Oct 2026'!F75</f>
        <v>0</v>
      </c>
      <c r="D75" s="37" t="n">
        <f aca="false">IF(B75="",0,N(Students!E64))</f>
        <v>0</v>
      </c>
      <c r="E75" s="23"/>
      <c r="F75" s="26" t="n">
        <f aca="false">N(C75)+N(D75)-N(E75)</f>
        <v>0</v>
      </c>
      <c r="G75" s="37" t="n">
        <f aca="false">'Oct 2026'!J75</f>
        <v>0</v>
      </c>
      <c r="H75" s="37" t="n">
        <f aca="false">IF(B75="",0,N(Students!F64))</f>
        <v>0</v>
      </c>
      <c r="I75" s="23"/>
      <c r="J75" s="26" t="n">
        <f aca="false">N(G75)+N(H75)-N(I75)</f>
        <v>0</v>
      </c>
      <c r="K75" s="37" t="n">
        <f aca="false">'Oct 2026'!N75</f>
        <v>0</v>
      </c>
      <c r="L75" s="37" t="n">
        <f aca="false">IF(B75="",0,N(Students!G64))</f>
        <v>0</v>
      </c>
      <c r="M75" s="23"/>
      <c r="N75" s="26" t="n">
        <f aca="false">N(K75)+N(L75)-N(M75)</f>
        <v>0</v>
      </c>
      <c r="O75" s="37" t="n">
        <f aca="false">'Oct 2026'!R75</f>
        <v>0</v>
      </c>
      <c r="P75" s="37" t="n">
        <f aca="false">IF(B75="",0,N(Students!H64))</f>
        <v>0</v>
      </c>
      <c r="Q75" s="23"/>
      <c r="R75" s="26" t="n">
        <f aca="false">N(O75)+N(P75)-N(Q75)</f>
        <v>0</v>
      </c>
      <c r="S75" s="37" t="n">
        <f aca="false">'Oct 2026'!V75</f>
        <v>0</v>
      </c>
      <c r="T75" s="37" t="n">
        <f aca="false">IF(B75="",0,N(Students!I64))</f>
        <v>0</v>
      </c>
      <c r="U75" s="23"/>
      <c r="V75" s="26" t="n">
        <f aca="false">N(S75)+N(T75)-N(U75)</f>
        <v>0</v>
      </c>
      <c r="W75" s="37" t="n">
        <f aca="false">'Oct 2026'!Z75</f>
        <v>0</v>
      </c>
      <c r="X75" s="37" t="n">
        <f aca="false">IF(B75="",0,N(Students!J64))</f>
        <v>0</v>
      </c>
      <c r="Y75" s="23"/>
      <c r="Z75" s="26" t="n">
        <f aca="false">N(W75)+N(X75)-N(Y75)</f>
        <v>0</v>
      </c>
      <c r="AA75" s="37" t="n">
        <f aca="false">N(E75)+N(I75)+N(M75)+N(Q75)+N(U75)+N(Y75)</f>
        <v>0</v>
      </c>
      <c r="AB75" s="26" t="n">
        <f aca="false">F75+J75+N75+R75+V75+Z75</f>
        <v>0</v>
      </c>
      <c r="AC75" s="83" t="str">
        <f aca="false">IF(B75="","",IF(AB75&lt;=0,"Clear",IF(AA75&gt;0,"Partial","Due")))</f>
        <v/>
      </c>
    </row>
    <row r="76" customFormat="false" ht="15" hidden="false" customHeight="false" outlineLevel="0" collapsed="false">
      <c r="A76" s="21" t="n">
        <v>61</v>
      </c>
      <c r="B76" s="46" t="str">
        <f aca="false">IF(Students!B65="","",Students!B65)</f>
        <v/>
      </c>
      <c r="C76" s="33" t="n">
        <f aca="false">'Oct 2026'!F76</f>
        <v>0</v>
      </c>
      <c r="D76" s="33" t="n">
        <f aca="false">IF(B76="",0,N(Students!E65))</f>
        <v>0</v>
      </c>
      <c r="E76" s="23"/>
      <c r="F76" s="24" t="n">
        <f aca="false">N(C76)+N(D76)-N(E76)</f>
        <v>0</v>
      </c>
      <c r="G76" s="33" t="n">
        <f aca="false">'Oct 2026'!J76</f>
        <v>0</v>
      </c>
      <c r="H76" s="33" t="n">
        <f aca="false">IF(B76="",0,N(Students!F65))</f>
        <v>0</v>
      </c>
      <c r="I76" s="23"/>
      <c r="J76" s="24" t="n">
        <f aca="false">N(G76)+N(H76)-N(I76)</f>
        <v>0</v>
      </c>
      <c r="K76" s="33" t="n">
        <f aca="false">'Oct 2026'!N76</f>
        <v>0</v>
      </c>
      <c r="L76" s="33" t="n">
        <f aca="false">IF(B76="",0,N(Students!G65))</f>
        <v>0</v>
      </c>
      <c r="M76" s="23"/>
      <c r="N76" s="24" t="n">
        <f aca="false">N(K76)+N(L76)-N(M76)</f>
        <v>0</v>
      </c>
      <c r="O76" s="33" t="n">
        <f aca="false">'Oct 2026'!R76</f>
        <v>0</v>
      </c>
      <c r="P76" s="33" t="n">
        <f aca="false">IF(B76="",0,N(Students!H65))</f>
        <v>0</v>
      </c>
      <c r="Q76" s="23"/>
      <c r="R76" s="24" t="n">
        <f aca="false">N(O76)+N(P76)-N(Q76)</f>
        <v>0</v>
      </c>
      <c r="S76" s="33" t="n">
        <f aca="false">'Oct 2026'!V76</f>
        <v>0</v>
      </c>
      <c r="T76" s="33" t="n">
        <f aca="false">IF(B76="",0,N(Students!I65))</f>
        <v>0</v>
      </c>
      <c r="U76" s="23"/>
      <c r="V76" s="24" t="n">
        <f aca="false">N(S76)+N(T76)-N(U76)</f>
        <v>0</v>
      </c>
      <c r="W76" s="33" t="n">
        <f aca="false">'Oct 2026'!Z76</f>
        <v>0</v>
      </c>
      <c r="X76" s="33" t="n">
        <f aca="false">IF(B76="",0,N(Students!J65))</f>
        <v>0</v>
      </c>
      <c r="Y76" s="23"/>
      <c r="Z76" s="24" t="n">
        <f aca="false">N(W76)+N(X76)-N(Y76)</f>
        <v>0</v>
      </c>
      <c r="AA76" s="33" t="n">
        <f aca="false">N(E76)+N(I76)+N(M76)+N(Q76)+N(U76)+N(Y76)</f>
        <v>0</v>
      </c>
      <c r="AB76" s="24" t="n">
        <f aca="false">F76+J76+N76+R76+V76+Z76</f>
        <v>0</v>
      </c>
      <c r="AC76" s="81" t="str">
        <f aca="false">IF(B76="","",IF(AB76&lt;=0,"Clear",IF(AA76&gt;0,"Partial","Due")))</f>
        <v/>
      </c>
    </row>
    <row r="77" customFormat="false" ht="15" hidden="false" customHeight="false" outlineLevel="0" collapsed="false">
      <c r="A77" s="25" t="n">
        <v>62</v>
      </c>
      <c r="B77" s="82" t="str">
        <f aca="false">IF(Students!B66="","",Students!B66)</f>
        <v/>
      </c>
      <c r="C77" s="37" t="n">
        <f aca="false">'Oct 2026'!F77</f>
        <v>0</v>
      </c>
      <c r="D77" s="37" t="n">
        <f aca="false">IF(B77="",0,N(Students!E66))</f>
        <v>0</v>
      </c>
      <c r="E77" s="23"/>
      <c r="F77" s="26" t="n">
        <f aca="false">N(C77)+N(D77)-N(E77)</f>
        <v>0</v>
      </c>
      <c r="G77" s="37" t="n">
        <f aca="false">'Oct 2026'!J77</f>
        <v>0</v>
      </c>
      <c r="H77" s="37" t="n">
        <f aca="false">IF(B77="",0,N(Students!F66))</f>
        <v>0</v>
      </c>
      <c r="I77" s="23"/>
      <c r="J77" s="26" t="n">
        <f aca="false">N(G77)+N(H77)-N(I77)</f>
        <v>0</v>
      </c>
      <c r="K77" s="37" t="n">
        <f aca="false">'Oct 2026'!N77</f>
        <v>0</v>
      </c>
      <c r="L77" s="37" t="n">
        <f aca="false">IF(B77="",0,N(Students!G66))</f>
        <v>0</v>
      </c>
      <c r="M77" s="23"/>
      <c r="N77" s="26" t="n">
        <f aca="false">N(K77)+N(L77)-N(M77)</f>
        <v>0</v>
      </c>
      <c r="O77" s="37" t="n">
        <f aca="false">'Oct 2026'!R77</f>
        <v>0</v>
      </c>
      <c r="P77" s="37" t="n">
        <f aca="false">IF(B77="",0,N(Students!H66))</f>
        <v>0</v>
      </c>
      <c r="Q77" s="23"/>
      <c r="R77" s="26" t="n">
        <f aca="false">N(O77)+N(P77)-N(Q77)</f>
        <v>0</v>
      </c>
      <c r="S77" s="37" t="n">
        <f aca="false">'Oct 2026'!V77</f>
        <v>0</v>
      </c>
      <c r="T77" s="37" t="n">
        <f aca="false">IF(B77="",0,N(Students!I66))</f>
        <v>0</v>
      </c>
      <c r="U77" s="23"/>
      <c r="V77" s="26" t="n">
        <f aca="false">N(S77)+N(T77)-N(U77)</f>
        <v>0</v>
      </c>
      <c r="W77" s="37" t="n">
        <f aca="false">'Oct 2026'!Z77</f>
        <v>0</v>
      </c>
      <c r="X77" s="37" t="n">
        <f aca="false">IF(B77="",0,N(Students!J66))</f>
        <v>0</v>
      </c>
      <c r="Y77" s="23"/>
      <c r="Z77" s="26" t="n">
        <f aca="false">N(W77)+N(X77)-N(Y77)</f>
        <v>0</v>
      </c>
      <c r="AA77" s="37" t="n">
        <f aca="false">N(E77)+N(I77)+N(M77)+N(Q77)+N(U77)+N(Y77)</f>
        <v>0</v>
      </c>
      <c r="AB77" s="26" t="n">
        <f aca="false">F77+J77+N77+R77+V77+Z77</f>
        <v>0</v>
      </c>
      <c r="AC77" s="83" t="str">
        <f aca="false">IF(B77="","",IF(AB77&lt;=0,"Clear",IF(AA77&gt;0,"Partial","Due")))</f>
        <v/>
      </c>
    </row>
    <row r="78" customFormat="false" ht="15" hidden="false" customHeight="false" outlineLevel="0" collapsed="false">
      <c r="A78" s="21" t="n">
        <v>63</v>
      </c>
      <c r="B78" s="46" t="str">
        <f aca="false">IF(Students!B67="","",Students!B67)</f>
        <v/>
      </c>
      <c r="C78" s="33" t="n">
        <f aca="false">'Oct 2026'!F78</f>
        <v>0</v>
      </c>
      <c r="D78" s="33" t="n">
        <f aca="false">IF(B78="",0,N(Students!E67))</f>
        <v>0</v>
      </c>
      <c r="E78" s="23"/>
      <c r="F78" s="24" t="n">
        <f aca="false">N(C78)+N(D78)-N(E78)</f>
        <v>0</v>
      </c>
      <c r="G78" s="33" t="n">
        <f aca="false">'Oct 2026'!J78</f>
        <v>0</v>
      </c>
      <c r="H78" s="33" t="n">
        <f aca="false">IF(B78="",0,N(Students!F67))</f>
        <v>0</v>
      </c>
      <c r="I78" s="23"/>
      <c r="J78" s="24" t="n">
        <f aca="false">N(G78)+N(H78)-N(I78)</f>
        <v>0</v>
      </c>
      <c r="K78" s="33" t="n">
        <f aca="false">'Oct 2026'!N78</f>
        <v>0</v>
      </c>
      <c r="L78" s="33" t="n">
        <f aca="false">IF(B78="",0,N(Students!G67))</f>
        <v>0</v>
      </c>
      <c r="M78" s="23"/>
      <c r="N78" s="24" t="n">
        <f aca="false">N(K78)+N(L78)-N(M78)</f>
        <v>0</v>
      </c>
      <c r="O78" s="33" t="n">
        <f aca="false">'Oct 2026'!R78</f>
        <v>0</v>
      </c>
      <c r="P78" s="33" t="n">
        <f aca="false">IF(B78="",0,N(Students!H67))</f>
        <v>0</v>
      </c>
      <c r="Q78" s="23"/>
      <c r="R78" s="24" t="n">
        <f aca="false">N(O78)+N(P78)-N(Q78)</f>
        <v>0</v>
      </c>
      <c r="S78" s="33" t="n">
        <f aca="false">'Oct 2026'!V78</f>
        <v>0</v>
      </c>
      <c r="T78" s="33" t="n">
        <f aca="false">IF(B78="",0,N(Students!I67))</f>
        <v>0</v>
      </c>
      <c r="U78" s="23"/>
      <c r="V78" s="24" t="n">
        <f aca="false">N(S78)+N(T78)-N(U78)</f>
        <v>0</v>
      </c>
      <c r="W78" s="33" t="n">
        <f aca="false">'Oct 2026'!Z78</f>
        <v>0</v>
      </c>
      <c r="X78" s="33" t="n">
        <f aca="false">IF(B78="",0,N(Students!J67))</f>
        <v>0</v>
      </c>
      <c r="Y78" s="23"/>
      <c r="Z78" s="24" t="n">
        <f aca="false">N(W78)+N(X78)-N(Y78)</f>
        <v>0</v>
      </c>
      <c r="AA78" s="33" t="n">
        <f aca="false">N(E78)+N(I78)+N(M78)+N(Q78)+N(U78)+N(Y78)</f>
        <v>0</v>
      </c>
      <c r="AB78" s="24" t="n">
        <f aca="false">F78+J78+N78+R78+V78+Z78</f>
        <v>0</v>
      </c>
      <c r="AC78" s="81" t="str">
        <f aca="false">IF(B78="","",IF(AB78&lt;=0,"Clear",IF(AA78&gt;0,"Partial","Due")))</f>
        <v/>
      </c>
    </row>
    <row r="79" customFormat="false" ht="15" hidden="false" customHeight="false" outlineLevel="0" collapsed="false">
      <c r="A79" s="25" t="n">
        <v>64</v>
      </c>
      <c r="B79" s="82" t="str">
        <f aca="false">IF(Students!B68="","",Students!B68)</f>
        <v/>
      </c>
      <c r="C79" s="37" t="n">
        <f aca="false">'Oct 2026'!F79</f>
        <v>0</v>
      </c>
      <c r="D79" s="37" t="n">
        <f aca="false">IF(B79="",0,N(Students!E68))</f>
        <v>0</v>
      </c>
      <c r="E79" s="23"/>
      <c r="F79" s="26" t="n">
        <f aca="false">N(C79)+N(D79)-N(E79)</f>
        <v>0</v>
      </c>
      <c r="G79" s="37" t="n">
        <f aca="false">'Oct 2026'!J79</f>
        <v>0</v>
      </c>
      <c r="H79" s="37" t="n">
        <f aca="false">IF(B79="",0,N(Students!F68))</f>
        <v>0</v>
      </c>
      <c r="I79" s="23"/>
      <c r="J79" s="26" t="n">
        <f aca="false">N(G79)+N(H79)-N(I79)</f>
        <v>0</v>
      </c>
      <c r="K79" s="37" t="n">
        <f aca="false">'Oct 2026'!N79</f>
        <v>0</v>
      </c>
      <c r="L79" s="37" t="n">
        <f aca="false">IF(B79="",0,N(Students!G68))</f>
        <v>0</v>
      </c>
      <c r="M79" s="23"/>
      <c r="N79" s="26" t="n">
        <f aca="false">N(K79)+N(L79)-N(M79)</f>
        <v>0</v>
      </c>
      <c r="O79" s="37" t="n">
        <f aca="false">'Oct 2026'!R79</f>
        <v>0</v>
      </c>
      <c r="P79" s="37" t="n">
        <f aca="false">IF(B79="",0,N(Students!H68))</f>
        <v>0</v>
      </c>
      <c r="Q79" s="23"/>
      <c r="R79" s="26" t="n">
        <f aca="false">N(O79)+N(P79)-N(Q79)</f>
        <v>0</v>
      </c>
      <c r="S79" s="37" t="n">
        <f aca="false">'Oct 2026'!V79</f>
        <v>0</v>
      </c>
      <c r="T79" s="37" t="n">
        <f aca="false">IF(B79="",0,N(Students!I68))</f>
        <v>0</v>
      </c>
      <c r="U79" s="23"/>
      <c r="V79" s="26" t="n">
        <f aca="false">N(S79)+N(T79)-N(U79)</f>
        <v>0</v>
      </c>
      <c r="W79" s="37" t="n">
        <f aca="false">'Oct 2026'!Z79</f>
        <v>0</v>
      </c>
      <c r="X79" s="37" t="n">
        <f aca="false">IF(B79="",0,N(Students!J68))</f>
        <v>0</v>
      </c>
      <c r="Y79" s="23"/>
      <c r="Z79" s="26" t="n">
        <f aca="false">N(W79)+N(X79)-N(Y79)</f>
        <v>0</v>
      </c>
      <c r="AA79" s="37" t="n">
        <f aca="false">N(E79)+N(I79)+N(M79)+N(Q79)+N(U79)+N(Y79)</f>
        <v>0</v>
      </c>
      <c r="AB79" s="26" t="n">
        <f aca="false">F79+J79+N79+R79+V79+Z79</f>
        <v>0</v>
      </c>
      <c r="AC79" s="83" t="str">
        <f aca="false">IF(B79="","",IF(AB79&lt;=0,"Clear",IF(AA79&gt;0,"Partial","Due")))</f>
        <v/>
      </c>
    </row>
    <row r="80" customFormat="false" ht="15" hidden="false" customHeight="false" outlineLevel="0" collapsed="false">
      <c r="A80" s="21" t="n">
        <v>65</v>
      </c>
      <c r="B80" s="46" t="str">
        <f aca="false">IF(Students!B69="","",Students!B69)</f>
        <v/>
      </c>
      <c r="C80" s="33" t="n">
        <f aca="false">'Oct 2026'!F80</f>
        <v>0</v>
      </c>
      <c r="D80" s="33" t="n">
        <f aca="false">IF(B80="",0,N(Students!E69))</f>
        <v>0</v>
      </c>
      <c r="E80" s="23"/>
      <c r="F80" s="24" t="n">
        <f aca="false">N(C80)+N(D80)-N(E80)</f>
        <v>0</v>
      </c>
      <c r="G80" s="33" t="n">
        <f aca="false">'Oct 2026'!J80</f>
        <v>0</v>
      </c>
      <c r="H80" s="33" t="n">
        <f aca="false">IF(B80="",0,N(Students!F69))</f>
        <v>0</v>
      </c>
      <c r="I80" s="23"/>
      <c r="J80" s="24" t="n">
        <f aca="false">N(G80)+N(H80)-N(I80)</f>
        <v>0</v>
      </c>
      <c r="K80" s="33" t="n">
        <f aca="false">'Oct 2026'!N80</f>
        <v>0</v>
      </c>
      <c r="L80" s="33" t="n">
        <f aca="false">IF(B80="",0,N(Students!G69))</f>
        <v>0</v>
      </c>
      <c r="M80" s="23"/>
      <c r="N80" s="24" t="n">
        <f aca="false">N(K80)+N(L80)-N(M80)</f>
        <v>0</v>
      </c>
      <c r="O80" s="33" t="n">
        <f aca="false">'Oct 2026'!R80</f>
        <v>0</v>
      </c>
      <c r="P80" s="33" t="n">
        <f aca="false">IF(B80="",0,N(Students!H69))</f>
        <v>0</v>
      </c>
      <c r="Q80" s="23"/>
      <c r="R80" s="24" t="n">
        <f aca="false">N(O80)+N(P80)-N(Q80)</f>
        <v>0</v>
      </c>
      <c r="S80" s="33" t="n">
        <f aca="false">'Oct 2026'!V80</f>
        <v>0</v>
      </c>
      <c r="T80" s="33" t="n">
        <f aca="false">IF(B80="",0,N(Students!I69))</f>
        <v>0</v>
      </c>
      <c r="U80" s="23"/>
      <c r="V80" s="24" t="n">
        <f aca="false">N(S80)+N(T80)-N(U80)</f>
        <v>0</v>
      </c>
      <c r="W80" s="33" t="n">
        <f aca="false">'Oct 2026'!Z80</f>
        <v>0</v>
      </c>
      <c r="X80" s="33" t="n">
        <f aca="false">IF(B80="",0,N(Students!J69))</f>
        <v>0</v>
      </c>
      <c r="Y80" s="23"/>
      <c r="Z80" s="24" t="n">
        <f aca="false">N(W80)+N(X80)-N(Y80)</f>
        <v>0</v>
      </c>
      <c r="AA80" s="33" t="n">
        <f aca="false">N(E80)+N(I80)+N(M80)+N(Q80)+N(U80)+N(Y80)</f>
        <v>0</v>
      </c>
      <c r="AB80" s="24" t="n">
        <f aca="false">F80+J80+N80+R80+V80+Z80</f>
        <v>0</v>
      </c>
      <c r="AC80" s="81" t="str">
        <f aca="false">IF(B80="","",IF(AB80&lt;=0,"Clear",IF(AA80&gt;0,"Partial","Due")))</f>
        <v/>
      </c>
    </row>
    <row r="81" customFormat="false" ht="15" hidden="false" customHeight="false" outlineLevel="0" collapsed="false">
      <c r="A81" s="25" t="n">
        <v>66</v>
      </c>
      <c r="B81" s="82" t="str">
        <f aca="false">IF(Students!B70="","",Students!B70)</f>
        <v/>
      </c>
      <c r="C81" s="37" t="n">
        <f aca="false">'Oct 2026'!F81</f>
        <v>0</v>
      </c>
      <c r="D81" s="37" t="n">
        <f aca="false">IF(B81="",0,N(Students!E70))</f>
        <v>0</v>
      </c>
      <c r="E81" s="23"/>
      <c r="F81" s="26" t="n">
        <f aca="false">N(C81)+N(D81)-N(E81)</f>
        <v>0</v>
      </c>
      <c r="G81" s="37" t="n">
        <f aca="false">'Oct 2026'!J81</f>
        <v>0</v>
      </c>
      <c r="H81" s="37" t="n">
        <f aca="false">IF(B81="",0,N(Students!F70))</f>
        <v>0</v>
      </c>
      <c r="I81" s="23"/>
      <c r="J81" s="26" t="n">
        <f aca="false">N(G81)+N(H81)-N(I81)</f>
        <v>0</v>
      </c>
      <c r="K81" s="37" t="n">
        <f aca="false">'Oct 2026'!N81</f>
        <v>0</v>
      </c>
      <c r="L81" s="37" t="n">
        <f aca="false">IF(B81="",0,N(Students!G70))</f>
        <v>0</v>
      </c>
      <c r="M81" s="23"/>
      <c r="N81" s="26" t="n">
        <f aca="false">N(K81)+N(L81)-N(M81)</f>
        <v>0</v>
      </c>
      <c r="O81" s="37" t="n">
        <f aca="false">'Oct 2026'!R81</f>
        <v>0</v>
      </c>
      <c r="P81" s="37" t="n">
        <f aca="false">IF(B81="",0,N(Students!H70))</f>
        <v>0</v>
      </c>
      <c r="Q81" s="23"/>
      <c r="R81" s="26" t="n">
        <f aca="false">N(O81)+N(P81)-N(Q81)</f>
        <v>0</v>
      </c>
      <c r="S81" s="37" t="n">
        <f aca="false">'Oct 2026'!V81</f>
        <v>0</v>
      </c>
      <c r="T81" s="37" t="n">
        <f aca="false">IF(B81="",0,N(Students!I70))</f>
        <v>0</v>
      </c>
      <c r="U81" s="23"/>
      <c r="V81" s="26" t="n">
        <f aca="false">N(S81)+N(T81)-N(U81)</f>
        <v>0</v>
      </c>
      <c r="W81" s="37" t="n">
        <f aca="false">'Oct 2026'!Z81</f>
        <v>0</v>
      </c>
      <c r="X81" s="37" t="n">
        <f aca="false">IF(B81="",0,N(Students!J70))</f>
        <v>0</v>
      </c>
      <c r="Y81" s="23"/>
      <c r="Z81" s="26" t="n">
        <f aca="false">N(W81)+N(X81)-N(Y81)</f>
        <v>0</v>
      </c>
      <c r="AA81" s="37" t="n">
        <f aca="false">N(E81)+N(I81)+N(M81)+N(Q81)+N(U81)+N(Y81)</f>
        <v>0</v>
      </c>
      <c r="AB81" s="26" t="n">
        <f aca="false">F81+J81+N81+R81+V81+Z81</f>
        <v>0</v>
      </c>
      <c r="AC81" s="83" t="str">
        <f aca="false">IF(B81="","",IF(AB81&lt;=0,"Clear",IF(AA81&gt;0,"Partial","Due")))</f>
        <v/>
      </c>
    </row>
    <row r="82" customFormat="false" ht="15" hidden="false" customHeight="false" outlineLevel="0" collapsed="false">
      <c r="A82" s="21" t="n">
        <v>67</v>
      </c>
      <c r="B82" s="46" t="str">
        <f aca="false">IF(Students!B71="","",Students!B71)</f>
        <v/>
      </c>
      <c r="C82" s="33" t="n">
        <f aca="false">'Oct 2026'!F82</f>
        <v>0</v>
      </c>
      <c r="D82" s="33" t="n">
        <f aca="false">IF(B82="",0,N(Students!E71))</f>
        <v>0</v>
      </c>
      <c r="E82" s="23"/>
      <c r="F82" s="24" t="n">
        <f aca="false">N(C82)+N(D82)-N(E82)</f>
        <v>0</v>
      </c>
      <c r="G82" s="33" t="n">
        <f aca="false">'Oct 2026'!J82</f>
        <v>0</v>
      </c>
      <c r="H82" s="33" t="n">
        <f aca="false">IF(B82="",0,N(Students!F71))</f>
        <v>0</v>
      </c>
      <c r="I82" s="23"/>
      <c r="J82" s="24" t="n">
        <f aca="false">N(G82)+N(H82)-N(I82)</f>
        <v>0</v>
      </c>
      <c r="K82" s="33" t="n">
        <f aca="false">'Oct 2026'!N82</f>
        <v>0</v>
      </c>
      <c r="L82" s="33" t="n">
        <f aca="false">IF(B82="",0,N(Students!G71))</f>
        <v>0</v>
      </c>
      <c r="M82" s="23"/>
      <c r="N82" s="24" t="n">
        <f aca="false">N(K82)+N(L82)-N(M82)</f>
        <v>0</v>
      </c>
      <c r="O82" s="33" t="n">
        <f aca="false">'Oct 2026'!R82</f>
        <v>0</v>
      </c>
      <c r="P82" s="33" t="n">
        <f aca="false">IF(B82="",0,N(Students!H71))</f>
        <v>0</v>
      </c>
      <c r="Q82" s="23"/>
      <c r="R82" s="24" t="n">
        <f aca="false">N(O82)+N(P82)-N(Q82)</f>
        <v>0</v>
      </c>
      <c r="S82" s="33" t="n">
        <f aca="false">'Oct 2026'!V82</f>
        <v>0</v>
      </c>
      <c r="T82" s="33" t="n">
        <f aca="false">IF(B82="",0,N(Students!I71))</f>
        <v>0</v>
      </c>
      <c r="U82" s="23"/>
      <c r="V82" s="24" t="n">
        <f aca="false">N(S82)+N(T82)-N(U82)</f>
        <v>0</v>
      </c>
      <c r="W82" s="33" t="n">
        <f aca="false">'Oct 2026'!Z82</f>
        <v>0</v>
      </c>
      <c r="X82" s="33" t="n">
        <f aca="false">IF(B82="",0,N(Students!J71))</f>
        <v>0</v>
      </c>
      <c r="Y82" s="23"/>
      <c r="Z82" s="24" t="n">
        <f aca="false">N(W82)+N(X82)-N(Y82)</f>
        <v>0</v>
      </c>
      <c r="AA82" s="33" t="n">
        <f aca="false">N(E82)+N(I82)+N(M82)+N(Q82)+N(U82)+N(Y82)</f>
        <v>0</v>
      </c>
      <c r="AB82" s="24" t="n">
        <f aca="false">F82+J82+N82+R82+V82+Z82</f>
        <v>0</v>
      </c>
      <c r="AC82" s="81" t="str">
        <f aca="false">IF(B82="","",IF(AB82&lt;=0,"Clear",IF(AA82&gt;0,"Partial","Due")))</f>
        <v/>
      </c>
    </row>
    <row r="83" customFormat="false" ht="15" hidden="false" customHeight="false" outlineLevel="0" collapsed="false">
      <c r="A83" s="25" t="n">
        <v>68</v>
      </c>
      <c r="B83" s="82" t="str">
        <f aca="false">IF(Students!B72="","",Students!B72)</f>
        <v/>
      </c>
      <c r="C83" s="37" t="n">
        <f aca="false">'Oct 2026'!F83</f>
        <v>0</v>
      </c>
      <c r="D83" s="37" t="n">
        <f aca="false">IF(B83="",0,N(Students!E72))</f>
        <v>0</v>
      </c>
      <c r="E83" s="23"/>
      <c r="F83" s="26" t="n">
        <f aca="false">N(C83)+N(D83)-N(E83)</f>
        <v>0</v>
      </c>
      <c r="G83" s="37" t="n">
        <f aca="false">'Oct 2026'!J83</f>
        <v>0</v>
      </c>
      <c r="H83" s="37" t="n">
        <f aca="false">IF(B83="",0,N(Students!F72))</f>
        <v>0</v>
      </c>
      <c r="I83" s="23"/>
      <c r="J83" s="26" t="n">
        <f aca="false">N(G83)+N(H83)-N(I83)</f>
        <v>0</v>
      </c>
      <c r="K83" s="37" t="n">
        <f aca="false">'Oct 2026'!N83</f>
        <v>0</v>
      </c>
      <c r="L83" s="37" t="n">
        <f aca="false">IF(B83="",0,N(Students!G72))</f>
        <v>0</v>
      </c>
      <c r="M83" s="23"/>
      <c r="N83" s="26" t="n">
        <f aca="false">N(K83)+N(L83)-N(M83)</f>
        <v>0</v>
      </c>
      <c r="O83" s="37" t="n">
        <f aca="false">'Oct 2026'!R83</f>
        <v>0</v>
      </c>
      <c r="P83" s="37" t="n">
        <f aca="false">IF(B83="",0,N(Students!H72))</f>
        <v>0</v>
      </c>
      <c r="Q83" s="23"/>
      <c r="R83" s="26" t="n">
        <f aca="false">N(O83)+N(P83)-N(Q83)</f>
        <v>0</v>
      </c>
      <c r="S83" s="37" t="n">
        <f aca="false">'Oct 2026'!V83</f>
        <v>0</v>
      </c>
      <c r="T83" s="37" t="n">
        <f aca="false">IF(B83="",0,N(Students!I72))</f>
        <v>0</v>
      </c>
      <c r="U83" s="23"/>
      <c r="V83" s="26" t="n">
        <f aca="false">N(S83)+N(T83)-N(U83)</f>
        <v>0</v>
      </c>
      <c r="W83" s="37" t="n">
        <f aca="false">'Oct 2026'!Z83</f>
        <v>0</v>
      </c>
      <c r="X83" s="37" t="n">
        <f aca="false">IF(B83="",0,N(Students!J72))</f>
        <v>0</v>
      </c>
      <c r="Y83" s="23"/>
      <c r="Z83" s="26" t="n">
        <f aca="false">N(W83)+N(X83)-N(Y83)</f>
        <v>0</v>
      </c>
      <c r="AA83" s="37" t="n">
        <f aca="false">N(E83)+N(I83)+N(M83)+N(Q83)+N(U83)+N(Y83)</f>
        <v>0</v>
      </c>
      <c r="AB83" s="26" t="n">
        <f aca="false">F83+J83+N83+R83+V83+Z83</f>
        <v>0</v>
      </c>
      <c r="AC83" s="83" t="str">
        <f aca="false">IF(B83="","",IF(AB83&lt;=0,"Clear",IF(AA83&gt;0,"Partial","Due")))</f>
        <v/>
      </c>
    </row>
    <row r="84" customFormat="false" ht="15" hidden="false" customHeight="false" outlineLevel="0" collapsed="false">
      <c r="A84" s="21" t="n">
        <v>69</v>
      </c>
      <c r="B84" s="46" t="str">
        <f aca="false">IF(Students!B73="","",Students!B73)</f>
        <v/>
      </c>
      <c r="C84" s="33" t="n">
        <f aca="false">'Oct 2026'!F84</f>
        <v>0</v>
      </c>
      <c r="D84" s="33" t="n">
        <f aca="false">IF(B84="",0,N(Students!E73))</f>
        <v>0</v>
      </c>
      <c r="E84" s="23"/>
      <c r="F84" s="24" t="n">
        <f aca="false">N(C84)+N(D84)-N(E84)</f>
        <v>0</v>
      </c>
      <c r="G84" s="33" t="n">
        <f aca="false">'Oct 2026'!J84</f>
        <v>0</v>
      </c>
      <c r="H84" s="33" t="n">
        <f aca="false">IF(B84="",0,N(Students!F73))</f>
        <v>0</v>
      </c>
      <c r="I84" s="23"/>
      <c r="J84" s="24" t="n">
        <f aca="false">N(G84)+N(H84)-N(I84)</f>
        <v>0</v>
      </c>
      <c r="K84" s="33" t="n">
        <f aca="false">'Oct 2026'!N84</f>
        <v>0</v>
      </c>
      <c r="L84" s="33" t="n">
        <f aca="false">IF(B84="",0,N(Students!G73))</f>
        <v>0</v>
      </c>
      <c r="M84" s="23"/>
      <c r="N84" s="24" t="n">
        <f aca="false">N(K84)+N(L84)-N(M84)</f>
        <v>0</v>
      </c>
      <c r="O84" s="33" t="n">
        <f aca="false">'Oct 2026'!R84</f>
        <v>0</v>
      </c>
      <c r="P84" s="33" t="n">
        <f aca="false">IF(B84="",0,N(Students!H73))</f>
        <v>0</v>
      </c>
      <c r="Q84" s="23"/>
      <c r="R84" s="24" t="n">
        <f aca="false">N(O84)+N(P84)-N(Q84)</f>
        <v>0</v>
      </c>
      <c r="S84" s="33" t="n">
        <f aca="false">'Oct 2026'!V84</f>
        <v>0</v>
      </c>
      <c r="T84" s="33" t="n">
        <f aca="false">IF(B84="",0,N(Students!I73))</f>
        <v>0</v>
      </c>
      <c r="U84" s="23"/>
      <c r="V84" s="24" t="n">
        <f aca="false">N(S84)+N(T84)-N(U84)</f>
        <v>0</v>
      </c>
      <c r="W84" s="33" t="n">
        <f aca="false">'Oct 2026'!Z84</f>
        <v>0</v>
      </c>
      <c r="X84" s="33" t="n">
        <f aca="false">IF(B84="",0,N(Students!J73))</f>
        <v>0</v>
      </c>
      <c r="Y84" s="23"/>
      <c r="Z84" s="24" t="n">
        <f aca="false">N(W84)+N(X84)-N(Y84)</f>
        <v>0</v>
      </c>
      <c r="AA84" s="33" t="n">
        <f aca="false">N(E84)+N(I84)+N(M84)+N(Q84)+N(U84)+N(Y84)</f>
        <v>0</v>
      </c>
      <c r="AB84" s="24" t="n">
        <f aca="false">F84+J84+N84+R84+V84+Z84</f>
        <v>0</v>
      </c>
      <c r="AC84" s="81" t="str">
        <f aca="false">IF(B84="","",IF(AB84&lt;=0,"Clear",IF(AA84&gt;0,"Partial","Due")))</f>
        <v/>
      </c>
    </row>
    <row r="85" customFormat="false" ht="15" hidden="false" customHeight="false" outlineLevel="0" collapsed="false">
      <c r="A85" s="25" t="n">
        <v>70</v>
      </c>
      <c r="B85" s="82" t="str">
        <f aca="false">IF(Students!B74="","",Students!B74)</f>
        <v/>
      </c>
      <c r="C85" s="37" t="n">
        <f aca="false">'Oct 2026'!F85</f>
        <v>0</v>
      </c>
      <c r="D85" s="37" t="n">
        <f aca="false">IF(B85="",0,N(Students!E74))</f>
        <v>0</v>
      </c>
      <c r="E85" s="23"/>
      <c r="F85" s="26" t="n">
        <f aca="false">N(C85)+N(D85)-N(E85)</f>
        <v>0</v>
      </c>
      <c r="G85" s="37" t="n">
        <f aca="false">'Oct 2026'!J85</f>
        <v>0</v>
      </c>
      <c r="H85" s="37" t="n">
        <f aca="false">IF(B85="",0,N(Students!F74))</f>
        <v>0</v>
      </c>
      <c r="I85" s="23"/>
      <c r="J85" s="26" t="n">
        <f aca="false">N(G85)+N(H85)-N(I85)</f>
        <v>0</v>
      </c>
      <c r="K85" s="37" t="n">
        <f aca="false">'Oct 2026'!N85</f>
        <v>0</v>
      </c>
      <c r="L85" s="37" t="n">
        <f aca="false">IF(B85="",0,N(Students!G74))</f>
        <v>0</v>
      </c>
      <c r="M85" s="23"/>
      <c r="N85" s="26" t="n">
        <f aca="false">N(K85)+N(L85)-N(M85)</f>
        <v>0</v>
      </c>
      <c r="O85" s="37" t="n">
        <f aca="false">'Oct 2026'!R85</f>
        <v>0</v>
      </c>
      <c r="P85" s="37" t="n">
        <f aca="false">IF(B85="",0,N(Students!H74))</f>
        <v>0</v>
      </c>
      <c r="Q85" s="23"/>
      <c r="R85" s="26" t="n">
        <f aca="false">N(O85)+N(P85)-N(Q85)</f>
        <v>0</v>
      </c>
      <c r="S85" s="37" t="n">
        <f aca="false">'Oct 2026'!V85</f>
        <v>0</v>
      </c>
      <c r="T85" s="37" t="n">
        <f aca="false">IF(B85="",0,N(Students!I74))</f>
        <v>0</v>
      </c>
      <c r="U85" s="23"/>
      <c r="V85" s="26" t="n">
        <f aca="false">N(S85)+N(T85)-N(U85)</f>
        <v>0</v>
      </c>
      <c r="W85" s="37" t="n">
        <f aca="false">'Oct 2026'!Z85</f>
        <v>0</v>
      </c>
      <c r="X85" s="37" t="n">
        <f aca="false">IF(B85="",0,N(Students!J74))</f>
        <v>0</v>
      </c>
      <c r="Y85" s="23"/>
      <c r="Z85" s="26" t="n">
        <f aca="false">N(W85)+N(X85)-N(Y85)</f>
        <v>0</v>
      </c>
      <c r="AA85" s="37" t="n">
        <f aca="false">N(E85)+N(I85)+N(M85)+N(Q85)+N(U85)+N(Y85)</f>
        <v>0</v>
      </c>
      <c r="AB85" s="26" t="n">
        <f aca="false">F85+J85+N85+R85+V85+Z85</f>
        <v>0</v>
      </c>
      <c r="AC85" s="83" t="str">
        <f aca="false">IF(B85="","",IF(AB85&lt;=0,"Clear",IF(AA85&gt;0,"Partial","Due")))</f>
        <v/>
      </c>
    </row>
    <row r="86" customFormat="false" ht="15" hidden="false" customHeight="false" outlineLevel="0" collapsed="false">
      <c r="A86" s="21" t="n">
        <v>71</v>
      </c>
      <c r="B86" s="46" t="str">
        <f aca="false">IF(Students!B75="","",Students!B75)</f>
        <v/>
      </c>
      <c r="C86" s="33" t="n">
        <f aca="false">'Oct 2026'!F86</f>
        <v>0</v>
      </c>
      <c r="D86" s="33" t="n">
        <f aca="false">IF(B86="",0,N(Students!E75))</f>
        <v>0</v>
      </c>
      <c r="E86" s="23"/>
      <c r="F86" s="24" t="n">
        <f aca="false">N(C86)+N(D86)-N(E86)</f>
        <v>0</v>
      </c>
      <c r="G86" s="33" t="n">
        <f aca="false">'Oct 2026'!J86</f>
        <v>0</v>
      </c>
      <c r="H86" s="33" t="n">
        <f aca="false">IF(B86="",0,N(Students!F75))</f>
        <v>0</v>
      </c>
      <c r="I86" s="23"/>
      <c r="J86" s="24" t="n">
        <f aca="false">N(G86)+N(H86)-N(I86)</f>
        <v>0</v>
      </c>
      <c r="K86" s="33" t="n">
        <f aca="false">'Oct 2026'!N86</f>
        <v>0</v>
      </c>
      <c r="L86" s="33" t="n">
        <f aca="false">IF(B86="",0,N(Students!G75))</f>
        <v>0</v>
      </c>
      <c r="M86" s="23"/>
      <c r="N86" s="24" t="n">
        <f aca="false">N(K86)+N(L86)-N(M86)</f>
        <v>0</v>
      </c>
      <c r="O86" s="33" t="n">
        <f aca="false">'Oct 2026'!R86</f>
        <v>0</v>
      </c>
      <c r="P86" s="33" t="n">
        <f aca="false">IF(B86="",0,N(Students!H75))</f>
        <v>0</v>
      </c>
      <c r="Q86" s="23"/>
      <c r="R86" s="24" t="n">
        <f aca="false">N(O86)+N(P86)-N(Q86)</f>
        <v>0</v>
      </c>
      <c r="S86" s="33" t="n">
        <f aca="false">'Oct 2026'!V86</f>
        <v>0</v>
      </c>
      <c r="T86" s="33" t="n">
        <f aca="false">IF(B86="",0,N(Students!I75))</f>
        <v>0</v>
      </c>
      <c r="U86" s="23"/>
      <c r="V86" s="24" t="n">
        <f aca="false">N(S86)+N(T86)-N(U86)</f>
        <v>0</v>
      </c>
      <c r="W86" s="33" t="n">
        <f aca="false">'Oct 2026'!Z86</f>
        <v>0</v>
      </c>
      <c r="X86" s="33" t="n">
        <f aca="false">IF(B86="",0,N(Students!J75))</f>
        <v>0</v>
      </c>
      <c r="Y86" s="23"/>
      <c r="Z86" s="24" t="n">
        <f aca="false">N(W86)+N(X86)-N(Y86)</f>
        <v>0</v>
      </c>
      <c r="AA86" s="33" t="n">
        <f aca="false">N(E86)+N(I86)+N(M86)+N(Q86)+N(U86)+N(Y86)</f>
        <v>0</v>
      </c>
      <c r="AB86" s="24" t="n">
        <f aca="false">F86+J86+N86+R86+V86+Z86</f>
        <v>0</v>
      </c>
      <c r="AC86" s="81" t="str">
        <f aca="false">IF(B86="","",IF(AB86&lt;=0,"Clear",IF(AA86&gt;0,"Partial","Due")))</f>
        <v/>
      </c>
    </row>
    <row r="87" customFormat="false" ht="15" hidden="false" customHeight="false" outlineLevel="0" collapsed="false">
      <c r="A87" s="25" t="n">
        <v>72</v>
      </c>
      <c r="B87" s="82" t="str">
        <f aca="false">IF(Students!B76="","",Students!B76)</f>
        <v/>
      </c>
      <c r="C87" s="37" t="n">
        <f aca="false">'Oct 2026'!F87</f>
        <v>0</v>
      </c>
      <c r="D87" s="37" t="n">
        <f aca="false">IF(B87="",0,N(Students!E76))</f>
        <v>0</v>
      </c>
      <c r="E87" s="23"/>
      <c r="F87" s="26" t="n">
        <f aca="false">N(C87)+N(D87)-N(E87)</f>
        <v>0</v>
      </c>
      <c r="G87" s="37" t="n">
        <f aca="false">'Oct 2026'!J87</f>
        <v>0</v>
      </c>
      <c r="H87" s="37" t="n">
        <f aca="false">IF(B87="",0,N(Students!F76))</f>
        <v>0</v>
      </c>
      <c r="I87" s="23"/>
      <c r="J87" s="26" t="n">
        <f aca="false">N(G87)+N(H87)-N(I87)</f>
        <v>0</v>
      </c>
      <c r="K87" s="37" t="n">
        <f aca="false">'Oct 2026'!N87</f>
        <v>0</v>
      </c>
      <c r="L87" s="37" t="n">
        <f aca="false">IF(B87="",0,N(Students!G76))</f>
        <v>0</v>
      </c>
      <c r="M87" s="23"/>
      <c r="N87" s="26" t="n">
        <f aca="false">N(K87)+N(L87)-N(M87)</f>
        <v>0</v>
      </c>
      <c r="O87" s="37" t="n">
        <f aca="false">'Oct 2026'!R87</f>
        <v>0</v>
      </c>
      <c r="P87" s="37" t="n">
        <f aca="false">IF(B87="",0,N(Students!H76))</f>
        <v>0</v>
      </c>
      <c r="Q87" s="23"/>
      <c r="R87" s="26" t="n">
        <f aca="false">N(O87)+N(P87)-N(Q87)</f>
        <v>0</v>
      </c>
      <c r="S87" s="37" t="n">
        <f aca="false">'Oct 2026'!V87</f>
        <v>0</v>
      </c>
      <c r="T87" s="37" t="n">
        <f aca="false">IF(B87="",0,N(Students!I76))</f>
        <v>0</v>
      </c>
      <c r="U87" s="23"/>
      <c r="V87" s="26" t="n">
        <f aca="false">N(S87)+N(T87)-N(U87)</f>
        <v>0</v>
      </c>
      <c r="W87" s="37" t="n">
        <f aca="false">'Oct 2026'!Z87</f>
        <v>0</v>
      </c>
      <c r="X87" s="37" t="n">
        <f aca="false">IF(B87="",0,N(Students!J76))</f>
        <v>0</v>
      </c>
      <c r="Y87" s="23"/>
      <c r="Z87" s="26" t="n">
        <f aca="false">N(W87)+N(X87)-N(Y87)</f>
        <v>0</v>
      </c>
      <c r="AA87" s="37" t="n">
        <f aca="false">N(E87)+N(I87)+N(M87)+N(Q87)+N(U87)+N(Y87)</f>
        <v>0</v>
      </c>
      <c r="AB87" s="26" t="n">
        <f aca="false">F87+J87+N87+R87+V87+Z87</f>
        <v>0</v>
      </c>
      <c r="AC87" s="83" t="str">
        <f aca="false">IF(B87="","",IF(AB87&lt;=0,"Clear",IF(AA87&gt;0,"Partial","Due")))</f>
        <v/>
      </c>
    </row>
    <row r="88" customFormat="false" ht="15" hidden="false" customHeight="false" outlineLevel="0" collapsed="false">
      <c r="A88" s="21" t="n">
        <v>73</v>
      </c>
      <c r="B88" s="46" t="str">
        <f aca="false">IF(Students!B77="","",Students!B77)</f>
        <v/>
      </c>
      <c r="C88" s="33" t="n">
        <f aca="false">'Oct 2026'!F88</f>
        <v>0</v>
      </c>
      <c r="D88" s="33" t="n">
        <f aca="false">IF(B88="",0,N(Students!E77))</f>
        <v>0</v>
      </c>
      <c r="E88" s="23"/>
      <c r="F88" s="24" t="n">
        <f aca="false">N(C88)+N(D88)-N(E88)</f>
        <v>0</v>
      </c>
      <c r="G88" s="33" t="n">
        <f aca="false">'Oct 2026'!J88</f>
        <v>0</v>
      </c>
      <c r="H88" s="33" t="n">
        <f aca="false">IF(B88="",0,N(Students!F77))</f>
        <v>0</v>
      </c>
      <c r="I88" s="23"/>
      <c r="J88" s="24" t="n">
        <f aca="false">N(G88)+N(H88)-N(I88)</f>
        <v>0</v>
      </c>
      <c r="K88" s="33" t="n">
        <f aca="false">'Oct 2026'!N88</f>
        <v>0</v>
      </c>
      <c r="L88" s="33" t="n">
        <f aca="false">IF(B88="",0,N(Students!G77))</f>
        <v>0</v>
      </c>
      <c r="M88" s="23"/>
      <c r="N88" s="24" t="n">
        <f aca="false">N(K88)+N(L88)-N(M88)</f>
        <v>0</v>
      </c>
      <c r="O88" s="33" t="n">
        <f aca="false">'Oct 2026'!R88</f>
        <v>0</v>
      </c>
      <c r="P88" s="33" t="n">
        <f aca="false">IF(B88="",0,N(Students!H77))</f>
        <v>0</v>
      </c>
      <c r="Q88" s="23"/>
      <c r="R88" s="24" t="n">
        <f aca="false">N(O88)+N(P88)-N(Q88)</f>
        <v>0</v>
      </c>
      <c r="S88" s="33" t="n">
        <f aca="false">'Oct 2026'!V88</f>
        <v>0</v>
      </c>
      <c r="T88" s="33" t="n">
        <f aca="false">IF(B88="",0,N(Students!I77))</f>
        <v>0</v>
      </c>
      <c r="U88" s="23"/>
      <c r="V88" s="24" t="n">
        <f aca="false">N(S88)+N(T88)-N(U88)</f>
        <v>0</v>
      </c>
      <c r="W88" s="33" t="n">
        <f aca="false">'Oct 2026'!Z88</f>
        <v>0</v>
      </c>
      <c r="X88" s="33" t="n">
        <f aca="false">IF(B88="",0,N(Students!J77))</f>
        <v>0</v>
      </c>
      <c r="Y88" s="23"/>
      <c r="Z88" s="24" t="n">
        <f aca="false">N(W88)+N(X88)-N(Y88)</f>
        <v>0</v>
      </c>
      <c r="AA88" s="33" t="n">
        <f aca="false">N(E88)+N(I88)+N(M88)+N(Q88)+N(U88)+N(Y88)</f>
        <v>0</v>
      </c>
      <c r="AB88" s="24" t="n">
        <f aca="false">F88+J88+N88+R88+V88+Z88</f>
        <v>0</v>
      </c>
      <c r="AC88" s="81" t="str">
        <f aca="false">IF(B88="","",IF(AB88&lt;=0,"Clear",IF(AA88&gt;0,"Partial","Due")))</f>
        <v/>
      </c>
    </row>
    <row r="89" customFormat="false" ht="15" hidden="false" customHeight="false" outlineLevel="0" collapsed="false">
      <c r="A89" s="25" t="n">
        <v>74</v>
      </c>
      <c r="B89" s="82" t="str">
        <f aca="false">IF(Students!B78="","",Students!B78)</f>
        <v/>
      </c>
      <c r="C89" s="37" t="n">
        <f aca="false">'Oct 2026'!F89</f>
        <v>0</v>
      </c>
      <c r="D89" s="37" t="n">
        <f aca="false">IF(B89="",0,N(Students!E78))</f>
        <v>0</v>
      </c>
      <c r="E89" s="23"/>
      <c r="F89" s="26" t="n">
        <f aca="false">N(C89)+N(D89)-N(E89)</f>
        <v>0</v>
      </c>
      <c r="G89" s="37" t="n">
        <f aca="false">'Oct 2026'!J89</f>
        <v>0</v>
      </c>
      <c r="H89" s="37" t="n">
        <f aca="false">IF(B89="",0,N(Students!F78))</f>
        <v>0</v>
      </c>
      <c r="I89" s="23"/>
      <c r="J89" s="26" t="n">
        <f aca="false">N(G89)+N(H89)-N(I89)</f>
        <v>0</v>
      </c>
      <c r="K89" s="37" t="n">
        <f aca="false">'Oct 2026'!N89</f>
        <v>0</v>
      </c>
      <c r="L89" s="37" t="n">
        <f aca="false">IF(B89="",0,N(Students!G78))</f>
        <v>0</v>
      </c>
      <c r="M89" s="23"/>
      <c r="N89" s="26" t="n">
        <f aca="false">N(K89)+N(L89)-N(M89)</f>
        <v>0</v>
      </c>
      <c r="O89" s="37" t="n">
        <f aca="false">'Oct 2026'!R89</f>
        <v>0</v>
      </c>
      <c r="P89" s="37" t="n">
        <f aca="false">IF(B89="",0,N(Students!H78))</f>
        <v>0</v>
      </c>
      <c r="Q89" s="23"/>
      <c r="R89" s="26" t="n">
        <f aca="false">N(O89)+N(P89)-N(Q89)</f>
        <v>0</v>
      </c>
      <c r="S89" s="37" t="n">
        <f aca="false">'Oct 2026'!V89</f>
        <v>0</v>
      </c>
      <c r="T89" s="37" t="n">
        <f aca="false">IF(B89="",0,N(Students!I78))</f>
        <v>0</v>
      </c>
      <c r="U89" s="23"/>
      <c r="V89" s="26" t="n">
        <f aca="false">N(S89)+N(T89)-N(U89)</f>
        <v>0</v>
      </c>
      <c r="W89" s="37" t="n">
        <f aca="false">'Oct 2026'!Z89</f>
        <v>0</v>
      </c>
      <c r="X89" s="37" t="n">
        <f aca="false">IF(B89="",0,N(Students!J78))</f>
        <v>0</v>
      </c>
      <c r="Y89" s="23"/>
      <c r="Z89" s="26" t="n">
        <f aca="false">N(W89)+N(X89)-N(Y89)</f>
        <v>0</v>
      </c>
      <c r="AA89" s="37" t="n">
        <f aca="false">N(E89)+N(I89)+N(M89)+N(Q89)+N(U89)+N(Y89)</f>
        <v>0</v>
      </c>
      <c r="AB89" s="26" t="n">
        <f aca="false">F89+J89+N89+R89+V89+Z89</f>
        <v>0</v>
      </c>
      <c r="AC89" s="83" t="str">
        <f aca="false">IF(B89="","",IF(AB89&lt;=0,"Clear",IF(AA89&gt;0,"Partial","Due")))</f>
        <v/>
      </c>
    </row>
    <row r="90" customFormat="false" ht="15" hidden="false" customHeight="false" outlineLevel="0" collapsed="false">
      <c r="A90" s="21" t="n">
        <v>75</v>
      </c>
      <c r="B90" s="46" t="str">
        <f aca="false">IF(Students!B79="","",Students!B79)</f>
        <v/>
      </c>
      <c r="C90" s="33" t="n">
        <f aca="false">'Oct 2026'!F90</f>
        <v>0</v>
      </c>
      <c r="D90" s="33" t="n">
        <f aca="false">IF(B90="",0,N(Students!E79))</f>
        <v>0</v>
      </c>
      <c r="E90" s="23"/>
      <c r="F90" s="24" t="n">
        <f aca="false">N(C90)+N(D90)-N(E90)</f>
        <v>0</v>
      </c>
      <c r="G90" s="33" t="n">
        <f aca="false">'Oct 2026'!J90</f>
        <v>0</v>
      </c>
      <c r="H90" s="33" t="n">
        <f aca="false">IF(B90="",0,N(Students!F79))</f>
        <v>0</v>
      </c>
      <c r="I90" s="23"/>
      <c r="J90" s="24" t="n">
        <f aca="false">N(G90)+N(H90)-N(I90)</f>
        <v>0</v>
      </c>
      <c r="K90" s="33" t="n">
        <f aca="false">'Oct 2026'!N90</f>
        <v>0</v>
      </c>
      <c r="L90" s="33" t="n">
        <f aca="false">IF(B90="",0,N(Students!G79))</f>
        <v>0</v>
      </c>
      <c r="M90" s="23"/>
      <c r="N90" s="24" t="n">
        <f aca="false">N(K90)+N(L90)-N(M90)</f>
        <v>0</v>
      </c>
      <c r="O90" s="33" t="n">
        <f aca="false">'Oct 2026'!R90</f>
        <v>0</v>
      </c>
      <c r="P90" s="33" t="n">
        <f aca="false">IF(B90="",0,N(Students!H79))</f>
        <v>0</v>
      </c>
      <c r="Q90" s="23"/>
      <c r="R90" s="24" t="n">
        <f aca="false">N(O90)+N(P90)-N(Q90)</f>
        <v>0</v>
      </c>
      <c r="S90" s="33" t="n">
        <f aca="false">'Oct 2026'!V90</f>
        <v>0</v>
      </c>
      <c r="T90" s="33" t="n">
        <f aca="false">IF(B90="",0,N(Students!I79))</f>
        <v>0</v>
      </c>
      <c r="U90" s="23"/>
      <c r="V90" s="24" t="n">
        <f aca="false">N(S90)+N(T90)-N(U90)</f>
        <v>0</v>
      </c>
      <c r="W90" s="33" t="n">
        <f aca="false">'Oct 2026'!Z90</f>
        <v>0</v>
      </c>
      <c r="X90" s="33" t="n">
        <f aca="false">IF(B90="",0,N(Students!J79))</f>
        <v>0</v>
      </c>
      <c r="Y90" s="23"/>
      <c r="Z90" s="24" t="n">
        <f aca="false">N(W90)+N(X90)-N(Y90)</f>
        <v>0</v>
      </c>
      <c r="AA90" s="33" t="n">
        <f aca="false">N(E90)+N(I90)+N(M90)+N(Q90)+N(U90)+N(Y90)</f>
        <v>0</v>
      </c>
      <c r="AB90" s="24" t="n">
        <f aca="false">F90+J90+N90+R90+V90+Z90</f>
        <v>0</v>
      </c>
      <c r="AC90" s="81" t="str">
        <f aca="false">IF(B90="","",IF(AB90&lt;=0,"Clear",IF(AA90&gt;0,"Partial","Due")))</f>
        <v/>
      </c>
    </row>
    <row r="91" customFormat="false" ht="15" hidden="false" customHeight="false" outlineLevel="0" collapsed="false">
      <c r="A91" s="25" t="n">
        <v>76</v>
      </c>
      <c r="B91" s="82" t="str">
        <f aca="false">IF(Students!B80="","",Students!B80)</f>
        <v/>
      </c>
      <c r="C91" s="37" t="n">
        <f aca="false">'Oct 2026'!F91</f>
        <v>0</v>
      </c>
      <c r="D91" s="37" t="n">
        <f aca="false">IF(B91="",0,N(Students!E80))</f>
        <v>0</v>
      </c>
      <c r="E91" s="23"/>
      <c r="F91" s="26" t="n">
        <f aca="false">N(C91)+N(D91)-N(E91)</f>
        <v>0</v>
      </c>
      <c r="G91" s="37" t="n">
        <f aca="false">'Oct 2026'!J91</f>
        <v>0</v>
      </c>
      <c r="H91" s="37" t="n">
        <f aca="false">IF(B91="",0,N(Students!F80))</f>
        <v>0</v>
      </c>
      <c r="I91" s="23"/>
      <c r="J91" s="26" t="n">
        <f aca="false">N(G91)+N(H91)-N(I91)</f>
        <v>0</v>
      </c>
      <c r="K91" s="37" t="n">
        <f aca="false">'Oct 2026'!N91</f>
        <v>0</v>
      </c>
      <c r="L91" s="37" t="n">
        <f aca="false">IF(B91="",0,N(Students!G80))</f>
        <v>0</v>
      </c>
      <c r="M91" s="23"/>
      <c r="N91" s="26" t="n">
        <f aca="false">N(K91)+N(L91)-N(M91)</f>
        <v>0</v>
      </c>
      <c r="O91" s="37" t="n">
        <f aca="false">'Oct 2026'!R91</f>
        <v>0</v>
      </c>
      <c r="P91" s="37" t="n">
        <f aca="false">IF(B91="",0,N(Students!H80))</f>
        <v>0</v>
      </c>
      <c r="Q91" s="23"/>
      <c r="R91" s="26" t="n">
        <f aca="false">N(O91)+N(P91)-N(Q91)</f>
        <v>0</v>
      </c>
      <c r="S91" s="37" t="n">
        <f aca="false">'Oct 2026'!V91</f>
        <v>0</v>
      </c>
      <c r="T91" s="37" t="n">
        <f aca="false">IF(B91="",0,N(Students!I80))</f>
        <v>0</v>
      </c>
      <c r="U91" s="23"/>
      <c r="V91" s="26" t="n">
        <f aca="false">N(S91)+N(T91)-N(U91)</f>
        <v>0</v>
      </c>
      <c r="W91" s="37" t="n">
        <f aca="false">'Oct 2026'!Z91</f>
        <v>0</v>
      </c>
      <c r="X91" s="37" t="n">
        <f aca="false">IF(B91="",0,N(Students!J80))</f>
        <v>0</v>
      </c>
      <c r="Y91" s="23"/>
      <c r="Z91" s="26" t="n">
        <f aca="false">N(W91)+N(X91)-N(Y91)</f>
        <v>0</v>
      </c>
      <c r="AA91" s="37" t="n">
        <f aca="false">N(E91)+N(I91)+N(M91)+N(Q91)+N(U91)+N(Y91)</f>
        <v>0</v>
      </c>
      <c r="AB91" s="26" t="n">
        <f aca="false">F91+J91+N91+R91+V91+Z91</f>
        <v>0</v>
      </c>
      <c r="AC91" s="83" t="str">
        <f aca="false">IF(B91="","",IF(AB91&lt;=0,"Clear",IF(AA91&gt;0,"Partial","Due")))</f>
        <v/>
      </c>
    </row>
    <row r="92" customFormat="false" ht="15" hidden="false" customHeight="false" outlineLevel="0" collapsed="false">
      <c r="A92" s="21" t="n">
        <v>77</v>
      </c>
      <c r="B92" s="46" t="str">
        <f aca="false">IF(Students!B81="","",Students!B81)</f>
        <v/>
      </c>
      <c r="C92" s="33" t="n">
        <f aca="false">'Oct 2026'!F92</f>
        <v>0</v>
      </c>
      <c r="D92" s="33" t="n">
        <f aca="false">IF(B92="",0,N(Students!E81))</f>
        <v>0</v>
      </c>
      <c r="E92" s="23"/>
      <c r="F92" s="24" t="n">
        <f aca="false">N(C92)+N(D92)-N(E92)</f>
        <v>0</v>
      </c>
      <c r="G92" s="33" t="n">
        <f aca="false">'Oct 2026'!J92</f>
        <v>0</v>
      </c>
      <c r="H92" s="33" t="n">
        <f aca="false">IF(B92="",0,N(Students!F81))</f>
        <v>0</v>
      </c>
      <c r="I92" s="23"/>
      <c r="J92" s="24" t="n">
        <f aca="false">N(G92)+N(H92)-N(I92)</f>
        <v>0</v>
      </c>
      <c r="K92" s="33" t="n">
        <f aca="false">'Oct 2026'!N92</f>
        <v>0</v>
      </c>
      <c r="L92" s="33" t="n">
        <f aca="false">IF(B92="",0,N(Students!G81))</f>
        <v>0</v>
      </c>
      <c r="M92" s="23"/>
      <c r="N92" s="24" t="n">
        <f aca="false">N(K92)+N(L92)-N(M92)</f>
        <v>0</v>
      </c>
      <c r="O92" s="33" t="n">
        <f aca="false">'Oct 2026'!R92</f>
        <v>0</v>
      </c>
      <c r="P92" s="33" t="n">
        <f aca="false">IF(B92="",0,N(Students!H81))</f>
        <v>0</v>
      </c>
      <c r="Q92" s="23"/>
      <c r="R92" s="24" t="n">
        <f aca="false">N(O92)+N(P92)-N(Q92)</f>
        <v>0</v>
      </c>
      <c r="S92" s="33" t="n">
        <f aca="false">'Oct 2026'!V92</f>
        <v>0</v>
      </c>
      <c r="T92" s="33" t="n">
        <f aca="false">IF(B92="",0,N(Students!I81))</f>
        <v>0</v>
      </c>
      <c r="U92" s="23"/>
      <c r="V92" s="24" t="n">
        <f aca="false">N(S92)+N(T92)-N(U92)</f>
        <v>0</v>
      </c>
      <c r="W92" s="33" t="n">
        <f aca="false">'Oct 2026'!Z92</f>
        <v>0</v>
      </c>
      <c r="X92" s="33" t="n">
        <f aca="false">IF(B92="",0,N(Students!J81))</f>
        <v>0</v>
      </c>
      <c r="Y92" s="23"/>
      <c r="Z92" s="24" t="n">
        <f aca="false">N(W92)+N(X92)-N(Y92)</f>
        <v>0</v>
      </c>
      <c r="AA92" s="33" t="n">
        <f aca="false">N(E92)+N(I92)+N(M92)+N(Q92)+N(U92)+N(Y92)</f>
        <v>0</v>
      </c>
      <c r="AB92" s="24" t="n">
        <f aca="false">F92+J92+N92+R92+V92+Z92</f>
        <v>0</v>
      </c>
      <c r="AC92" s="81" t="str">
        <f aca="false">IF(B92="","",IF(AB92&lt;=0,"Clear",IF(AA92&gt;0,"Partial","Due")))</f>
        <v/>
      </c>
    </row>
    <row r="93" customFormat="false" ht="15" hidden="false" customHeight="false" outlineLevel="0" collapsed="false">
      <c r="A93" s="25" t="n">
        <v>78</v>
      </c>
      <c r="B93" s="82" t="str">
        <f aca="false">IF(Students!B82="","",Students!B82)</f>
        <v/>
      </c>
      <c r="C93" s="37" t="n">
        <f aca="false">'Oct 2026'!F93</f>
        <v>0</v>
      </c>
      <c r="D93" s="37" t="n">
        <f aca="false">IF(B93="",0,N(Students!E82))</f>
        <v>0</v>
      </c>
      <c r="E93" s="23"/>
      <c r="F93" s="26" t="n">
        <f aca="false">N(C93)+N(D93)-N(E93)</f>
        <v>0</v>
      </c>
      <c r="G93" s="37" t="n">
        <f aca="false">'Oct 2026'!J93</f>
        <v>0</v>
      </c>
      <c r="H93" s="37" t="n">
        <f aca="false">IF(B93="",0,N(Students!F82))</f>
        <v>0</v>
      </c>
      <c r="I93" s="23"/>
      <c r="J93" s="26" t="n">
        <f aca="false">N(G93)+N(H93)-N(I93)</f>
        <v>0</v>
      </c>
      <c r="K93" s="37" t="n">
        <f aca="false">'Oct 2026'!N93</f>
        <v>0</v>
      </c>
      <c r="L93" s="37" t="n">
        <f aca="false">IF(B93="",0,N(Students!G82))</f>
        <v>0</v>
      </c>
      <c r="M93" s="23"/>
      <c r="N93" s="26" t="n">
        <f aca="false">N(K93)+N(L93)-N(M93)</f>
        <v>0</v>
      </c>
      <c r="O93" s="37" t="n">
        <f aca="false">'Oct 2026'!R93</f>
        <v>0</v>
      </c>
      <c r="P93" s="37" t="n">
        <f aca="false">IF(B93="",0,N(Students!H82))</f>
        <v>0</v>
      </c>
      <c r="Q93" s="23"/>
      <c r="R93" s="26" t="n">
        <f aca="false">N(O93)+N(P93)-N(Q93)</f>
        <v>0</v>
      </c>
      <c r="S93" s="37" t="n">
        <f aca="false">'Oct 2026'!V93</f>
        <v>0</v>
      </c>
      <c r="T93" s="37" t="n">
        <f aca="false">IF(B93="",0,N(Students!I82))</f>
        <v>0</v>
      </c>
      <c r="U93" s="23"/>
      <c r="V93" s="26" t="n">
        <f aca="false">N(S93)+N(T93)-N(U93)</f>
        <v>0</v>
      </c>
      <c r="W93" s="37" t="n">
        <f aca="false">'Oct 2026'!Z93</f>
        <v>0</v>
      </c>
      <c r="X93" s="37" t="n">
        <f aca="false">IF(B93="",0,N(Students!J82))</f>
        <v>0</v>
      </c>
      <c r="Y93" s="23"/>
      <c r="Z93" s="26" t="n">
        <f aca="false">N(W93)+N(X93)-N(Y93)</f>
        <v>0</v>
      </c>
      <c r="AA93" s="37" t="n">
        <f aca="false">N(E93)+N(I93)+N(M93)+N(Q93)+N(U93)+N(Y93)</f>
        <v>0</v>
      </c>
      <c r="AB93" s="26" t="n">
        <f aca="false">F93+J93+N93+R93+V93+Z93</f>
        <v>0</v>
      </c>
      <c r="AC93" s="83" t="str">
        <f aca="false">IF(B93="","",IF(AB93&lt;=0,"Clear",IF(AA93&gt;0,"Partial","Due")))</f>
        <v/>
      </c>
    </row>
    <row r="94" customFormat="false" ht="15" hidden="false" customHeight="false" outlineLevel="0" collapsed="false">
      <c r="A94" s="21" t="n">
        <v>79</v>
      </c>
      <c r="B94" s="46" t="str">
        <f aca="false">IF(Students!B83="","",Students!B83)</f>
        <v/>
      </c>
      <c r="C94" s="33" t="n">
        <f aca="false">'Oct 2026'!F94</f>
        <v>0</v>
      </c>
      <c r="D94" s="33" t="n">
        <f aca="false">IF(B94="",0,N(Students!E83))</f>
        <v>0</v>
      </c>
      <c r="E94" s="23"/>
      <c r="F94" s="24" t="n">
        <f aca="false">N(C94)+N(D94)-N(E94)</f>
        <v>0</v>
      </c>
      <c r="G94" s="33" t="n">
        <f aca="false">'Oct 2026'!J94</f>
        <v>0</v>
      </c>
      <c r="H94" s="33" t="n">
        <f aca="false">IF(B94="",0,N(Students!F83))</f>
        <v>0</v>
      </c>
      <c r="I94" s="23"/>
      <c r="J94" s="24" t="n">
        <f aca="false">N(G94)+N(H94)-N(I94)</f>
        <v>0</v>
      </c>
      <c r="K94" s="33" t="n">
        <f aca="false">'Oct 2026'!N94</f>
        <v>0</v>
      </c>
      <c r="L94" s="33" t="n">
        <f aca="false">IF(B94="",0,N(Students!G83))</f>
        <v>0</v>
      </c>
      <c r="M94" s="23"/>
      <c r="N94" s="24" t="n">
        <f aca="false">N(K94)+N(L94)-N(M94)</f>
        <v>0</v>
      </c>
      <c r="O94" s="33" t="n">
        <f aca="false">'Oct 2026'!R94</f>
        <v>0</v>
      </c>
      <c r="P94" s="33" t="n">
        <f aca="false">IF(B94="",0,N(Students!H83))</f>
        <v>0</v>
      </c>
      <c r="Q94" s="23"/>
      <c r="R94" s="24" t="n">
        <f aca="false">N(O94)+N(P94)-N(Q94)</f>
        <v>0</v>
      </c>
      <c r="S94" s="33" t="n">
        <f aca="false">'Oct 2026'!V94</f>
        <v>0</v>
      </c>
      <c r="T94" s="33" t="n">
        <f aca="false">IF(B94="",0,N(Students!I83))</f>
        <v>0</v>
      </c>
      <c r="U94" s="23"/>
      <c r="V94" s="24" t="n">
        <f aca="false">N(S94)+N(T94)-N(U94)</f>
        <v>0</v>
      </c>
      <c r="W94" s="33" t="n">
        <f aca="false">'Oct 2026'!Z94</f>
        <v>0</v>
      </c>
      <c r="X94" s="33" t="n">
        <f aca="false">IF(B94="",0,N(Students!J83))</f>
        <v>0</v>
      </c>
      <c r="Y94" s="23"/>
      <c r="Z94" s="24" t="n">
        <f aca="false">N(W94)+N(X94)-N(Y94)</f>
        <v>0</v>
      </c>
      <c r="AA94" s="33" t="n">
        <f aca="false">N(E94)+N(I94)+N(M94)+N(Q94)+N(U94)+N(Y94)</f>
        <v>0</v>
      </c>
      <c r="AB94" s="24" t="n">
        <f aca="false">F94+J94+N94+R94+V94+Z94</f>
        <v>0</v>
      </c>
      <c r="AC94" s="81" t="str">
        <f aca="false">IF(B94="","",IF(AB94&lt;=0,"Clear",IF(AA94&gt;0,"Partial","Due")))</f>
        <v/>
      </c>
    </row>
    <row r="95" customFormat="false" ht="15" hidden="false" customHeight="false" outlineLevel="0" collapsed="false">
      <c r="A95" s="25" t="n">
        <v>80</v>
      </c>
      <c r="B95" s="82" t="str">
        <f aca="false">IF(Students!B84="","",Students!B84)</f>
        <v/>
      </c>
      <c r="C95" s="37" t="n">
        <f aca="false">'Oct 2026'!F95</f>
        <v>0</v>
      </c>
      <c r="D95" s="37" t="n">
        <f aca="false">IF(B95="",0,N(Students!E84))</f>
        <v>0</v>
      </c>
      <c r="E95" s="23"/>
      <c r="F95" s="26" t="n">
        <f aca="false">N(C95)+N(D95)-N(E95)</f>
        <v>0</v>
      </c>
      <c r="G95" s="37" t="n">
        <f aca="false">'Oct 2026'!J95</f>
        <v>0</v>
      </c>
      <c r="H95" s="37" t="n">
        <f aca="false">IF(B95="",0,N(Students!F84))</f>
        <v>0</v>
      </c>
      <c r="I95" s="23"/>
      <c r="J95" s="26" t="n">
        <f aca="false">N(G95)+N(H95)-N(I95)</f>
        <v>0</v>
      </c>
      <c r="K95" s="37" t="n">
        <f aca="false">'Oct 2026'!N95</f>
        <v>0</v>
      </c>
      <c r="L95" s="37" t="n">
        <f aca="false">IF(B95="",0,N(Students!G84))</f>
        <v>0</v>
      </c>
      <c r="M95" s="23"/>
      <c r="N95" s="26" t="n">
        <f aca="false">N(K95)+N(L95)-N(M95)</f>
        <v>0</v>
      </c>
      <c r="O95" s="37" t="n">
        <f aca="false">'Oct 2026'!R95</f>
        <v>0</v>
      </c>
      <c r="P95" s="37" t="n">
        <f aca="false">IF(B95="",0,N(Students!H84))</f>
        <v>0</v>
      </c>
      <c r="Q95" s="23"/>
      <c r="R95" s="26" t="n">
        <f aca="false">N(O95)+N(P95)-N(Q95)</f>
        <v>0</v>
      </c>
      <c r="S95" s="37" t="n">
        <f aca="false">'Oct 2026'!V95</f>
        <v>0</v>
      </c>
      <c r="T95" s="37" t="n">
        <f aca="false">IF(B95="",0,N(Students!I84))</f>
        <v>0</v>
      </c>
      <c r="U95" s="23"/>
      <c r="V95" s="26" t="n">
        <f aca="false">N(S95)+N(T95)-N(U95)</f>
        <v>0</v>
      </c>
      <c r="W95" s="37" t="n">
        <f aca="false">'Oct 2026'!Z95</f>
        <v>0</v>
      </c>
      <c r="X95" s="37" t="n">
        <f aca="false">IF(B95="",0,N(Students!J84))</f>
        <v>0</v>
      </c>
      <c r="Y95" s="23"/>
      <c r="Z95" s="26" t="n">
        <f aca="false">N(W95)+N(X95)-N(Y95)</f>
        <v>0</v>
      </c>
      <c r="AA95" s="37" t="n">
        <f aca="false">N(E95)+N(I95)+N(M95)+N(Q95)+N(U95)+N(Y95)</f>
        <v>0</v>
      </c>
      <c r="AB95" s="26" t="n">
        <f aca="false">F95+J95+N95+R95+V95+Z95</f>
        <v>0</v>
      </c>
      <c r="AC95" s="83" t="str">
        <f aca="false">IF(B95="","",IF(AB95&lt;=0,"Clear",IF(AA95&gt;0,"Partial","Due")))</f>
        <v/>
      </c>
    </row>
    <row r="96" customFormat="false" ht="15" hidden="false" customHeight="false" outlineLevel="0" collapsed="false">
      <c r="A96" s="21" t="n">
        <v>81</v>
      </c>
      <c r="B96" s="46" t="str">
        <f aca="false">IF(Students!B85="","",Students!B85)</f>
        <v/>
      </c>
      <c r="C96" s="33" t="n">
        <f aca="false">'Oct 2026'!F96</f>
        <v>0</v>
      </c>
      <c r="D96" s="33" t="n">
        <f aca="false">IF(B96="",0,N(Students!E85))</f>
        <v>0</v>
      </c>
      <c r="E96" s="23"/>
      <c r="F96" s="24" t="n">
        <f aca="false">N(C96)+N(D96)-N(E96)</f>
        <v>0</v>
      </c>
      <c r="G96" s="33" t="n">
        <f aca="false">'Oct 2026'!J96</f>
        <v>0</v>
      </c>
      <c r="H96" s="33" t="n">
        <f aca="false">IF(B96="",0,N(Students!F85))</f>
        <v>0</v>
      </c>
      <c r="I96" s="23"/>
      <c r="J96" s="24" t="n">
        <f aca="false">N(G96)+N(H96)-N(I96)</f>
        <v>0</v>
      </c>
      <c r="K96" s="33" t="n">
        <f aca="false">'Oct 2026'!N96</f>
        <v>0</v>
      </c>
      <c r="L96" s="33" t="n">
        <f aca="false">IF(B96="",0,N(Students!G85))</f>
        <v>0</v>
      </c>
      <c r="M96" s="23"/>
      <c r="N96" s="24" t="n">
        <f aca="false">N(K96)+N(L96)-N(M96)</f>
        <v>0</v>
      </c>
      <c r="O96" s="33" t="n">
        <f aca="false">'Oct 2026'!R96</f>
        <v>0</v>
      </c>
      <c r="P96" s="33" t="n">
        <f aca="false">IF(B96="",0,N(Students!H85))</f>
        <v>0</v>
      </c>
      <c r="Q96" s="23"/>
      <c r="R96" s="24" t="n">
        <f aca="false">N(O96)+N(P96)-N(Q96)</f>
        <v>0</v>
      </c>
      <c r="S96" s="33" t="n">
        <f aca="false">'Oct 2026'!V96</f>
        <v>0</v>
      </c>
      <c r="T96" s="33" t="n">
        <f aca="false">IF(B96="",0,N(Students!I85))</f>
        <v>0</v>
      </c>
      <c r="U96" s="23"/>
      <c r="V96" s="24" t="n">
        <f aca="false">N(S96)+N(T96)-N(U96)</f>
        <v>0</v>
      </c>
      <c r="W96" s="33" t="n">
        <f aca="false">'Oct 2026'!Z96</f>
        <v>0</v>
      </c>
      <c r="X96" s="33" t="n">
        <f aca="false">IF(B96="",0,N(Students!J85))</f>
        <v>0</v>
      </c>
      <c r="Y96" s="23"/>
      <c r="Z96" s="24" t="n">
        <f aca="false">N(W96)+N(X96)-N(Y96)</f>
        <v>0</v>
      </c>
      <c r="AA96" s="33" t="n">
        <f aca="false">N(E96)+N(I96)+N(M96)+N(Q96)+N(U96)+N(Y96)</f>
        <v>0</v>
      </c>
      <c r="AB96" s="24" t="n">
        <f aca="false">F96+J96+N96+R96+V96+Z96</f>
        <v>0</v>
      </c>
      <c r="AC96" s="81" t="str">
        <f aca="false">IF(B96="","",IF(AB96&lt;=0,"Clear",IF(AA96&gt;0,"Partial","Due")))</f>
        <v/>
      </c>
    </row>
    <row r="97" customFormat="false" ht="15" hidden="false" customHeight="false" outlineLevel="0" collapsed="false">
      <c r="A97" s="25" t="n">
        <v>82</v>
      </c>
      <c r="B97" s="82" t="str">
        <f aca="false">IF(Students!B86="","",Students!B86)</f>
        <v/>
      </c>
      <c r="C97" s="37" t="n">
        <f aca="false">'Oct 2026'!F97</f>
        <v>0</v>
      </c>
      <c r="D97" s="37" t="n">
        <f aca="false">IF(B97="",0,N(Students!E86))</f>
        <v>0</v>
      </c>
      <c r="E97" s="23"/>
      <c r="F97" s="26" t="n">
        <f aca="false">N(C97)+N(D97)-N(E97)</f>
        <v>0</v>
      </c>
      <c r="G97" s="37" t="n">
        <f aca="false">'Oct 2026'!J97</f>
        <v>0</v>
      </c>
      <c r="H97" s="37" t="n">
        <f aca="false">IF(B97="",0,N(Students!F86))</f>
        <v>0</v>
      </c>
      <c r="I97" s="23"/>
      <c r="J97" s="26" t="n">
        <f aca="false">N(G97)+N(H97)-N(I97)</f>
        <v>0</v>
      </c>
      <c r="K97" s="37" t="n">
        <f aca="false">'Oct 2026'!N97</f>
        <v>0</v>
      </c>
      <c r="L97" s="37" t="n">
        <f aca="false">IF(B97="",0,N(Students!G86))</f>
        <v>0</v>
      </c>
      <c r="M97" s="23"/>
      <c r="N97" s="26" t="n">
        <f aca="false">N(K97)+N(L97)-N(M97)</f>
        <v>0</v>
      </c>
      <c r="O97" s="37" t="n">
        <f aca="false">'Oct 2026'!R97</f>
        <v>0</v>
      </c>
      <c r="P97" s="37" t="n">
        <f aca="false">IF(B97="",0,N(Students!H86))</f>
        <v>0</v>
      </c>
      <c r="Q97" s="23"/>
      <c r="R97" s="26" t="n">
        <f aca="false">N(O97)+N(P97)-N(Q97)</f>
        <v>0</v>
      </c>
      <c r="S97" s="37" t="n">
        <f aca="false">'Oct 2026'!V97</f>
        <v>0</v>
      </c>
      <c r="T97" s="37" t="n">
        <f aca="false">IF(B97="",0,N(Students!I86))</f>
        <v>0</v>
      </c>
      <c r="U97" s="23"/>
      <c r="V97" s="26" t="n">
        <f aca="false">N(S97)+N(T97)-N(U97)</f>
        <v>0</v>
      </c>
      <c r="W97" s="37" t="n">
        <f aca="false">'Oct 2026'!Z97</f>
        <v>0</v>
      </c>
      <c r="X97" s="37" t="n">
        <f aca="false">IF(B97="",0,N(Students!J86))</f>
        <v>0</v>
      </c>
      <c r="Y97" s="23"/>
      <c r="Z97" s="26" t="n">
        <f aca="false">N(W97)+N(X97)-N(Y97)</f>
        <v>0</v>
      </c>
      <c r="AA97" s="37" t="n">
        <f aca="false">N(E97)+N(I97)+N(M97)+N(Q97)+N(U97)+N(Y97)</f>
        <v>0</v>
      </c>
      <c r="AB97" s="26" t="n">
        <f aca="false">F97+J97+N97+R97+V97+Z97</f>
        <v>0</v>
      </c>
      <c r="AC97" s="83" t="str">
        <f aca="false">IF(B97="","",IF(AB97&lt;=0,"Clear",IF(AA97&gt;0,"Partial","Due")))</f>
        <v/>
      </c>
    </row>
    <row r="98" customFormat="false" ht="15" hidden="false" customHeight="false" outlineLevel="0" collapsed="false">
      <c r="A98" s="21" t="n">
        <v>83</v>
      </c>
      <c r="B98" s="46" t="str">
        <f aca="false">IF(Students!B87="","",Students!B87)</f>
        <v/>
      </c>
      <c r="C98" s="33" t="n">
        <f aca="false">'Oct 2026'!F98</f>
        <v>0</v>
      </c>
      <c r="D98" s="33" t="n">
        <f aca="false">IF(B98="",0,N(Students!E87))</f>
        <v>0</v>
      </c>
      <c r="E98" s="23"/>
      <c r="F98" s="24" t="n">
        <f aca="false">N(C98)+N(D98)-N(E98)</f>
        <v>0</v>
      </c>
      <c r="G98" s="33" t="n">
        <f aca="false">'Oct 2026'!J98</f>
        <v>0</v>
      </c>
      <c r="H98" s="33" t="n">
        <f aca="false">IF(B98="",0,N(Students!F87))</f>
        <v>0</v>
      </c>
      <c r="I98" s="23"/>
      <c r="J98" s="24" t="n">
        <f aca="false">N(G98)+N(H98)-N(I98)</f>
        <v>0</v>
      </c>
      <c r="K98" s="33" t="n">
        <f aca="false">'Oct 2026'!N98</f>
        <v>0</v>
      </c>
      <c r="L98" s="33" t="n">
        <f aca="false">IF(B98="",0,N(Students!G87))</f>
        <v>0</v>
      </c>
      <c r="M98" s="23"/>
      <c r="N98" s="24" t="n">
        <f aca="false">N(K98)+N(L98)-N(M98)</f>
        <v>0</v>
      </c>
      <c r="O98" s="33" t="n">
        <f aca="false">'Oct 2026'!R98</f>
        <v>0</v>
      </c>
      <c r="P98" s="33" t="n">
        <f aca="false">IF(B98="",0,N(Students!H87))</f>
        <v>0</v>
      </c>
      <c r="Q98" s="23"/>
      <c r="R98" s="24" t="n">
        <f aca="false">N(O98)+N(P98)-N(Q98)</f>
        <v>0</v>
      </c>
      <c r="S98" s="33" t="n">
        <f aca="false">'Oct 2026'!V98</f>
        <v>0</v>
      </c>
      <c r="T98" s="33" t="n">
        <f aca="false">IF(B98="",0,N(Students!I87))</f>
        <v>0</v>
      </c>
      <c r="U98" s="23"/>
      <c r="V98" s="24" t="n">
        <f aca="false">N(S98)+N(T98)-N(U98)</f>
        <v>0</v>
      </c>
      <c r="W98" s="33" t="n">
        <f aca="false">'Oct 2026'!Z98</f>
        <v>0</v>
      </c>
      <c r="X98" s="33" t="n">
        <f aca="false">IF(B98="",0,N(Students!J87))</f>
        <v>0</v>
      </c>
      <c r="Y98" s="23"/>
      <c r="Z98" s="24" t="n">
        <f aca="false">N(W98)+N(X98)-N(Y98)</f>
        <v>0</v>
      </c>
      <c r="AA98" s="33" t="n">
        <f aca="false">N(E98)+N(I98)+N(M98)+N(Q98)+N(U98)+N(Y98)</f>
        <v>0</v>
      </c>
      <c r="AB98" s="24" t="n">
        <f aca="false">F98+J98+N98+R98+V98+Z98</f>
        <v>0</v>
      </c>
      <c r="AC98" s="81" t="str">
        <f aca="false">IF(B98="","",IF(AB98&lt;=0,"Clear",IF(AA98&gt;0,"Partial","Due")))</f>
        <v/>
      </c>
    </row>
    <row r="99" customFormat="false" ht="15" hidden="false" customHeight="false" outlineLevel="0" collapsed="false">
      <c r="A99" s="25" t="n">
        <v>84</v>
      </c>
      <c r="B99" s="82" t="str">
        <f aca="false">IF(Students!B88="","",Students!B88)</f>
        <v/>
      </c>
      <c r="C99" s="37" t="n">
        <f aca="false">'Oct 2026'!F99</f>
        <v>0</v>
      </c>
      <c r="D99" s="37" t="n">
        <f aca="false">IF(B99="",0,N(Students!E88))</f>
        <v>0</v>
      </c>
      <c r="E99" s="23"/>
      <c r="F99" s="26" t="n">
        <f aca="false">N(C99)+N(D99)-N(E99)</f>
        <v>0</v>
      </c>
      <c r="G99" s="37" t="n">
        <f aca="false">'Oct 2026'!J99</f>
        <v>0</v>
      </c>
      <c r="H99" s="37" t="n">
        <f aca="false">IF(B99="",0,N(Students!F88))</f>
        <v>0</v>
      </c>
      <c r="I99" s="23"/>
      <c r="J99" s="26" t="n">
        <f aca="false">N(G99)+N(H99)-N(I99)</f>
        <v>0</v>
      </c>
      <c r="K99" s="37" t="n">
        <f aca="false">'Oct 2026'!N99</f>
        <v>0</v>
      </c>
      <c r="L99" s="37" t="n">
        <f aca="false">IF(B99="",0,N(Students!G88))</f>
        <v>0</v>
      </c>
      <c r="M99" s="23"/>
      <c r="N99" s="26" t="n">
        <f aca="false">N(K99)+N(L99)-N(M99)</f>
        <v>0</v>
      </c>
      <c r="O99" s="37" t="n">
        <f aca="false">'Oct 2026'!R99</f>
        <v>0</v>
      </c>
      <c r="P99" s="37" t="n">
        <f aca="false">IF(B99="",0,N(Students!H88))</f>
        <v>0</v>
      </c>
      <c r="Q99" s="23"/>
      <c r="R99" s="26" t="n">
        <f aca="false">N(O99)+N(P99)-N(Q99)</f>
        <v>0</v>
      </c>
      <c r="S99" s="37" t="n">
        <f aca="false">'Oct 2026'!V99</f>
        <v>0</v>
      </c>
      <c r="T99" s="37" t="n">
        <f aca="false">IF(B99="",0,N(Students!I88))</f>
        <v>0</v>
      </c>
      <c r="U99" s="23"/>
      <c r="V99" s="26" t="n">
        <f aca="false">N(S99)+N(T99)-N(U99)</f>
        <v>0</v>
      </c>
      <c r="W99" s="37" t="n">
        <f aca="false">'Oct 2026'!Z99</f>
        <v>0</v>
      </c>
      <c r="X99" s="37" t="n">
        <f aca="false">IF(B99="",0,N(Students!J88))</f>
        <v>0</v>
      </c>
      <c r="Y99" s="23"/>
      <c r="Z99" s="26" t="n">
        <f aca="false">N(W99)+N(X99)-N(Y99)</f>
        <v>0</v>
      </c>
      <c r="AA99" s="37" t="n">
        <f aca="false">N(E99)+N(I99)+N(M99)+N(Q99)+N(U99)+N(Y99)</f>
        <v>0</v>
      </c>
      <c r="AB99" s="26" t="n">
        <f aca="false">F99+J99+N99+R99+V99+Z99</f>
        <v>0</v>
      </c>
      <c r="AC99" s="83" t="str">
        <f aca="false">IF(B99="","",IF(AB99&lt;=0,"Clear",IF(AA99&gt;0,"Partial","Due")))</f>
        <v/>
      </c>
    </row>
    <row r="100" customFormat="false" ht="15" hidden="false" customHeight="false" outlineLevel="0" collapsed="false">
      <c r="A100" s="21" t="n">
        <v>85</v>
      </c>
      <c r="B100" s="46" t="str">
        <f aca="false">IF(Students!B89="","",Students!B89)</f>
        <v/>
      </c>
      <c r="C100" s="33" t="n">
        <f aca="false">'Oct 2026'!F100</f>
        <v>0</v>
      </c>
      <c r="D100" s="33" t="n">
        <f aca="false">IF(B100="",0,N(Students!E89))</f>
        <v>0</v>
      </c>
      <c r="E100" s="23"/>
      <c r="F100" s="24" t="n">
        <f aca="false">N(C100)+N(D100)-N(E100)</f>
        <v>0</v>
      </c>
      <c r="G100" s="33" t="n">
        <f aca="false">'Oct 2026'!J100</f>
        <v>0</v>
      </c>
      <c r="H100" s="33" t="n">
        <f aca="false">IF(B100="",0,N(Students!F89))</f>
        <v>0</v>
      </c>
      <c r="I100" s="23"/>
      <c r="J100" s="24" t="n">
        <f aca="false">N(G100)+N(H100)-N(I100)</f>
        <v>0</v>
      </c>
      <c r="K100" s="33" t="n">
        <f aca="false">'Oct 2026'!N100</f>
        <v>0</v>
      </c>
      <c r="L100" s="33" t="n">
        <f aca="false">IF(B100="",0,N(Students!G89))</f>
        <v>0</v>
      </c>
      <c r="M100" s="23"/>
      <c r="N100" s="24" t="n">
        <f aca="false">N(K100)+N(L100)-N(M100)</f>
        <v>0</v>
      </c>
      <c r="O100" s="33" t="n">
        <f aca="false">'Oct 2026'!R100</f>
        <v>0</v>
      </c>
      <c r="P100" s="33" t="n">
        <f aca="false">IF(B100="",0,N(Students!H89))</f>
        <v>0</v>
      </c>
      <c r="Q100" s="23"/>
      <c r="R100" s="24" t="n">
        <f aca="false">N(O100)+N(P100)-N(Q100)</f>
        <v>0</v>
      </c>
      <c r="S100" s="33" t="n">
        <f aca="false">'Oct 2026'!V100</f>
        <v>0</v>
      </c>
      <c r="T100" s="33" t="n">
        <f aca="false">IF(B100="",0,N(Students!I89))</f>
        <v>0</v>
      </c>
      <c r="U100" s="23"/>
      <c r="V100" s="24" t="n">
        <f aca="false">N(S100)+N(T100)-N(U100)</f>
        <v>0</v>
      </c>
      <c r="W100" s="33" t="n">
        <f aca="false">'Oct 2026'!Z100</f>
        <v>0</v>
      </c>
      <c r="X100" s="33" t="n">
        <f aca="false">IF(B100="",0,N(Students!J89))</f>
        <v>0</v>
      </c>
      <c r="Y100" s="23"/>
      <c r="Z100" s="24" t="n">
        <f aca="false">N(W100)+N(X100)-N(Y100)</f>
        <v>0</v>
      </c>
      <c r="AA100" s="33" t="n">
        <f aca="false">N(E100)+N(I100)+N(M100)+N(Q100)+N(U100)+N(Y100)</f>
        <v>0</v>
      </c>
      <c r="AB100" s="24" t="n">
        <f aca="false">F100+J100+N100+R100+V100+Z100</f>
        <v>0</v>
      </c>
      <c r="AC100" s="81" t="str">
        <f aca="false">IF(B100="","",IF(AB100&lt;=0,"Clear",IF(AA100&gt;0,"Partial","Due")))</f>
        <v/>
      </c>
    </row>
    <row r="101" customFormat="false" ht="15" hidden="false" customHeight="false" outlineLevel="0" collapsed="false">
      <c r="A101" s="25" t="n">
        <v>86</v>
      </c>
      <c r="B101" s="82" t="str">
        <f aca="false">IF(Students!B90="","",Students!B90)</f>
        <v/>
      </c>
      <c r="C101" s="37" t="n">
        <f aca="false">'Oct 2026'!F101</f>
        <v>0</v>
      </c>
      <c r="D101" s="37" t="n">
        <f aca="false">IF(B101="",0,N(Students!E90))</f>
        <v>0</v>
      </c>
      <c r="E101" s="23"/>
      <c r="F101" s="26" t="n">
        <f aca="false">N(C101)+N(D101)-N(E101)</f>
        <v>0</v>
      </c>
      <c r="G101" s="37" t="n">
        <f aca="false">'Oct 2026'!J101</f>
        <v>0</v>
      </c>
      <c r="H101" s="37" t="n">
        <f aca="false">IF(B101="",0,N(Students!F90))</f>
        <v>0</v>
      </c>
      <c r="I101" s="23"/>
      <c r="J101" s="26" t="n">
        <f aca="false">N(G101)+N(H101)-N(I101)</f>
        <v>0</v>
      </c>
      <c r="K101" s="37" t="n">
        <f aca="false">'Oct 2026'!N101</f>
        <v>0</v>
      </c>
      <c r="L101" s="37" t="n">
        <f aca="false">IF(B101="",0,N(Students!G90))</f>
        <v>0</v>
      </c>
      <c r="M101" s="23"/>
      <c r="N101" s="26" t="n">
        <f aca="false">N(K101)+N(L101)-N(M101)</f>
        <v>0</v>
      </c>
      <c r="O101" s="37" t="n">
        <f aca="false">'Oct 2026'!R101</f>
        <v>0</v>
      </c>
      <c r="P101" s="37" t="n">
        <f aca="false">IF(B101="",0,N(Students!H90))</f>
        <v>0</v>
      </c>
      <c r="Q101" s="23"/>
      <c r="R101" s="26" t="n">
        <f aca="false">N(O101)+N(P101)-N(Q101)</f>
        <v>0</v>
      </c>
      <c r="S101" s="37" t="n">
        <f aca="false">'Oct 2026'!V101</f>
        <v>0</v>
      </c>
      <c r="T101" s="37" t="n">
        <f aca="false">IF(B101="",0,N(Students!I90))</f>
        <v>0</v>
      </c>
      <c r="U101" s="23"/>
      <c r="V101" s="26" t="n">
        <f aca="false">N(S101)+N(T101)-N(U101)</f>
        <v>0</v>
      </c>
      <c r="W101" s="37" t="n">
        <f aca="false">'Oct 2026'!Z101</f>
        <v>0</v>
      </c>
      <c r="X101" s="37" t="n">
        <f aca="false">IF(B101="",0,N(Students!J90))</f>
        <v>0</v>
      </c>
      <c r="Y101" s="23"/>
      <c r="Z101" s="26" t="n">
        <f aca="false">N(W101)+N(X101)-N(Y101)</f>
        <v>0</v>
      </c>
      <c r="AA101" s="37" t="n">
        <f aca="false">N(E101)+N(I101)+N(M101)+N(Q101)+N(U101)+N(Y101)</f>
        <v>0</v>
      </c>
      <c r="AB101" s="26" t="n">
        <f aca="false">F101+J101+N101+R101+V101+Z101</f>
        <v>0</v>
      </c>
      <c r="AC101" s="83" t="str">
        <f aca="false">IF(B101="","",IF(AB101&lt;=0,"Clear",IF(AA101&gt;0,"Partial","Due")))</f>
        <v/>
      </c>
    </row>
    <row r="102" customFormat="false" ht="15" hidden="false" customHeight="false" outlineLevel="0" collapsed="false">
      <c r="A102" s="21" t="n">
        <v>87</v>
      </c>
      <c r="B102" s="46" t="str">
        <f aca="false">IF(Students!B91="","",Students!B91)</f>
        <v/>
      </c>
      <c r="C102" s="33" t="n">
        <f aca="false">'Oct 2026'!F102</f>
        <v>0</v>
      </c>
      <c r="D102" s="33" t="n">
        <f aca="false">IF(B102="",0,N(Students!E91))</f>
        <v>0</v>
      </c>
      <c r="E102" s="23"/>
      <c r="F102" s="24" t="n">
        <f aca="false">N(C102)+N(D102)-N(E102)</f>
        <v>0</v>
      </c>
      <c r="G102" s="33" t="n">
        <f aca="false">'Oct 2026'!J102</f>
        <v>0</v>
      </c>
      <c r="H102" s="33" t="n">
        <f aca="false">IF(B102="",0,N(Students!F91))</f>
        <v>0</v>
      </c>
      <c r="I102" s="23"/>
      <c r="J102" s="24" t="n">
        <f aca="false">N(G102)+N(H102)-N(I102)</f>
        <v>0</v>
      </c>
      <c r="K102" s="33" t="n">
        <f aca="false">'Oct 2026'!N102</f>
        <v>0</v>
      </c>
      <c r="L102" s="33" t="n">
        <f aca="false">IF(B102="",0,N(Students!G91))</f>
        <v>0</v>
      </c>
      <c r="M102" s="23"/>
      <c r="N102" s="24" t="n">
        <f aca="false">N(K102)+N(L102)-N(M102)</f>
        <v>0</v>
      </c>
      <c r="O102" s="33" t="n">
        <f aca="false">'Oct 2026'!R102</f>
        <v>0</v>
      </c>
      <c r="P102" s="33" t="n">
        <f aca="false">IF(B102="",0,N(Students!H91))</f>
        <v>0</v>
      </c>
      <c r="Q102" s="23"/>
      <c r="R102" s="24" t="n">
        <f aca="false">N(O102)+N(P102)-N(Q102)</f>
        <v>0</v>
      </c>
      <c r="S102" s="33" t="n">
        <f aca="false">'Oct 2026'!V102</f>
        <v>0</v>
      </c>
      <c r="T102" s="33" t="n">
        <f aca="false">IF(B102="",0,N(Students!I91))</f>
        <v>0</v>
      </c>
      <c r="U102" s="23"/>
      <c r="V102" s="24" t="n">
        <f aca="false">N(S102)+N(T102)-N(U102)</f>
        <v>0</v>
      </c>
      <c r="W102" s="33" t="n">
        <f aca="false">'Oct 2026'!Z102</f>
        <v>0</v>
      </c>
      <c r="X102" s="33" t="n">
        <f aca="false">IF(B102="",0,N(Students!J91))</f>
        <v>0</v>
      </c>
      <c r="Y102" s="23"/>
      <c r="Z102" s="24" t="n">
        <f aca="false">N(W102)+N(X102)-N(Y102)</f>
        <v>0</v>
      </c>
      <c r="AA102" s="33" t="n">
        <f aca="false">N(E102)+N(I102)+N(M102)+N(Q102)+N(U102)+N(Y102)</f>
        <v>0</v>
      </c>
      <c r="AB102" s="24" t="n">
        <f aca="false">F102+J102+N102+R102+V102+Z102</f>
        <v>0</v>
      </c>
      <c r="AC102" s="81" t="str">
        <f aca="false">IF(B102="","",IF(AB102&lt;=0,"Clear",IF(AA102&gt;0,"Partial","Due")))</f>
        <v/>
      </c>
    </row>
    <row r="103" customFormat="false" ht="15" hidden="false" customHeight="false" outlineLevel="0" collapsed="false">
      <c r="A103" s="25" t="n">
        <v>88</v>
      </c>
      <c r="B103" s="82" t="str">
        <f aca="false">IF(Students!B92="","",Students!B92)</f>
        <v/>
      </c>
      <c r="C103" s="37" t="n">
        <f aca="false">'Oct 2026'!F103</f>
        <v>0</v>
      </c>
      <c r="D103" s="37" t="n">
        <f aca="false">IF(B103="",0,N(Students!E92))</f>
        <v>0</v>
      </c>
      <c r="E103" s="23"/>
      <c r="F103" s="26" t="n">
        <f aca="false">N(C103)+N(D103)-N(E103)</f>
        <v>0</v>
      </c>
      <c r="G103" s="37" t="n">
        <f aca="false">'Oct 2026'!J103</f>
        <v>0</v>
      </c>
      <c r="H103" s="37" t="n">
        <f aca="false">IF(B103="",0,N(Students!F92))</f>
        <v>0</v>
      </c>
      <c r="I103" s="23"/>
      <c r="J103" s="26" t="n">
        <f aca="false">N(G103)+N(H103)-N(I103)</f>
        <v>0</v>
      </c>
      <c r="K103" s="37" t="n">
        <f aca="false">'Oct 2026'!N103</f>
        <v>0</v>
      </c>
      <c r="L103" s="37" t="n">
        <f aca="false">IF(B103="",0,N(Students!G92))</f>
        <v>0</v>
      </c>
      <c r="M103" s="23"/>
      <c r="N103" s="26" t="n">
        <f aca="false">N(K103)+N(L103)-N(M103)</f>
        <v>0</v>
      </c>
      <c r="O103" s="37" t="n">
        <f aca="false">'Oct 2026'!R103</f>
        <v>0</v>
      </c>
      <c r="P103" s="37" t="n">
        <f aca="false">IF(B103="",0,N(Students!H92))</f>
        <v>0</v>
      </c>
      <c r="Q103" s="23"/>
      <c r="R103" s="26" t="n">
        <f aca="false">N(O103)+N(P103)-N(Q103)</f>
        <v>0</v>
      </c>
      <c r="S103" s="37" t="n">
        <f aca="false">'Oct 2026'!V103</f>
        <v>0</v>
      </c>
      <c r="T103" s="37" t="n">
        <f aca="false">IF(B103="",0,N(Students!I92))</f>
        <v>0</v>
      </c>
      <c r="U103" s="23"/>
      <c r="V103" s="26" t="n">
        <f aca="false">N(S103)+N(T103)-N(U103)</f>
        <v>0</v>
      </c>
      <c r="W103" s="37" t="n">
        <f aca="false">'Oct 2026'!Z103</f>
        <v>0</v>
      </c>
      <c r="X103" s="37" t="n">
        <f aca="false">IF(B103="",0,N(Students!J92))</f>
        <v>0</v>
      </c>
      <c r="Y103" s="23"/>
      <c r="Z103" s="26" t="n">
        <f aca="false">N(W103)+N(X103)-N(Y103)</f>
        <v>0</v>
      </c>
      <c r="AA103" s="37" t="n">
        <f aca="false">N(E103)+N(I103)+N(M103)+N(Q103)+N(U103)+N(Y103)</f>
        <v>0</v>
      </c>
      <c r="AB103" s="26" t="n">
        <f aca="false">F103+J103+N103+R103+V103+Z103</f>
        <v>0</v>
      </c>
      <c r="AC103" s="83" t="str">
        <f aca="false">IF(B103="","",IF(AB103&lt;=0,"Clear",IF(AA103&gt;0,"Partial","Due")))</f>
        <v/>
      </c>
    </row>
    <row r="104" customFormat="false" ht="15" hidden="false" customHeight="false" outlineLevel="0" collapsed="false">
      <c r="A104" s="21" t="n">
        <v>89</v>
      </c>
      <c r="B104" s="46" t="str">
        <f aca="false">IF(Students!B93="","",Students!B93)</f>
        <v/>
      </c>
      <c r="C104" s="33" t="n">
        <f aca="false">'Oct 2026'!F104</f>
        <v>0</v>
      </c>
      <c r="D104" s="33" t="n">
        <f aca="false">IF(B104="",0,N(Students!E93))</f>
        <v>0</v>
      </c>
      <c r="E104" s="23"/>
      <c r="F104" s="24" t="n">
        <f aca="false">N(C104)+N(D104)-N(E104)</f>
        <v>0</v>
      </c>
      <c r="G104" s="33" t="n">
        <f aca="false">'Oct 2026'!J104</f>
        <v>0</v>
      </c>
      <c r="H104" s="33" t="n">
        <f aca="false">IF(B104="",0,N(Students!F93))</f>
        <v>0</v>
      </c>
      <c r="I104" s="23"/>
      <c r="J104" s="24" t="n">
        <f aca="false">N(G104)+N(H104)-N(I104)</f>
        <v>0</v>
      </c>
      <c r="K104" s="33" t="n">
        <f aca="false">'Oct 2026'!N104</f>
        <v>0</v>
      </c>
      <c r="L104" s="33" t="n">
        <f aca="false">IF(B104="",0,N(Students!G93))</f>
        <v>0</v>
      </c>
      <c r="M104" s="23"/>
      <c r="N104" s="24" t="n">
        <f aca="false">N(K104)+N(L104)-N(M104)</f>
        <v>0</v>
      </c>
      <c r="O104" s="33" t="n">
        <f aca="false">'Oct 2026'!R104</f>
        <v>0</v>
      </c>
      <c r="P104" s="33" t="n">
        <f aca="false">IF(B104="",0,N(Students!H93))</f>
        <v>0</v>
      </c>
      <c r="Q104" s="23"/>
      <c r="R104" s="24" t="n">
        <f aca="false">N(O104)+N(P104)-N(Q104)</f>
        <v>0</v>
      </c>
      <c r="S104" s="33" t="n">
        <f aca="false">'Oct 2026'!V104</f>
        <v>0</v>
      </c>
      <c r="T104" s="33" t="n">
        <f aca="false">IF(B104="",0,N(Students!I93))</f>
        <v>0</v>
      </c>
      <c r="U104" s="23"/>
      <c r="V104" s="24" t="n">
        <f aca="false">N(S104)+N(T104)-N(U104)</f>
        <v>0</v>
      </c>
      <c r="W104" s="33" t="n">
        <f aca="false">'Oct 2026'!Z104</f>
        <v>0</v>
      </c>
      <c r="X104" s="33" t="n">
        <f aca="false">IF(B104="",0,N(Students!J93))</f>
        <v>0</v>
      </c>
      <c r="Y104" s="23"/>
      <c r="Z104" s="24" t="n">
        <f aca="false">N(W104)+N(X104)-N(Y104)</f>
        <v>0</v>
      </c>
      <c r="AA104" s="33" t="n">
        <f aca="false">N(E104)+N(I104)+N(M104)+N(Q104)+N(U104)+N(Y104)</f>
        <v>0</v>
      </c>
      <c r="AB104" s="24" t="n">
        <f aca="false">F104+J104+N104+R104+V104+Z104</f>
        <v>0</v>
      </c>
      <c r="AC104" s="81" t="str">
        <f aca="false">IF(B104="","",IF(AB104&lt;=0,"Clear",IF(AA104&gt;0,"Partial","Due")))</f>
        <v/>
      </c>
    </row>
    <row r="105" customFormat="false" ht="15" hidden="false" customHeight="false" outlineLevel="0" collapsed="false">
      <c r="A105" s="25" t="n">
        <v>90</v>
      </c>
      <c r="B105" s="82" t="str">
        <f aca="false">IF(Students!B94="","",Students!B94)</f>
        <v/>
      </c>
      <c r="C105" s="37" t="n">
        <f aca="false">'Oct 2026'!F105</f>
        <v>0</v>
      </c>
      <c r="D105" s="37" t="n">
        <f aca="false">IF(B105="",0,N(Students!E94))</f>
        <v>0</v>
      </c>
      <c r="E105" s="23"/>
      <c r="F105" s="26" t="n">
        <f aca="false">N(C105)+N(D105)-N(E105)</f>
        <v>0</v>
      </c>
      <c r="G105" s="37" t="n">
        <f aca="false">'Oct 2026'!J105</f>
        <v>0</v>
      </c>
      <c r="H105" s="37" t="n">
        <f aca="false">IF(B105="",0,N(Students!F94))</f>
        <v>0</v>
      </c>
      <c r="I105" s="23"/>
      <c r="J105" s="26" t="n">
        <f aca="false">N(G105)+N(H105)-N(I105)</f>
        <v>0</v>
      </c>
      <c r="K105" s="37" t="n">
        <f aca="false">'Oct 2026'!N105</f>
        <v>0</v>
      </c>
      <c r="L105" s="37" t="n">
        <f aca="false">IF(B105="",0,N(Students!G94))</f>
        <v>0</v>
      </c>
      <c r="M105" s="23"/>
      <c r="N105" s="26" t="n">
        <f aca="false">N(K105)+N(L105)-N(M105)</f>
        <v>0</v>
      </c>
      <c r="O105" s="37" t="n">
        <f aca="false">'Oct 2026'!R105</f>
        <v>0</v>
      </c>
      <c r="P105" s="37" t="n">
        <f aca="false">IF(B105="",0,N(Students!H94))</f>
        <v>0</v>
      </c>
      <c r="Q105" s="23"/>
      <c r="R105" s="26" t="n">
        <f aca="false">N(O105)+N(P105)-N(Q105)</f>
        <v>0</v>
      </c>
      <c r="S105" s="37" t="n">
        <f aca="false">'Oct 2026'!V105</f>
        <v>0</v>
      </c>
      <c r="T105" s="37" t="n">
        <f aca="false">IF(B105="",0,N(Students!I94))</f>
        <v>0</v>
      </c>
      <c r="U105" s="23"/>
      <c r="V105" s="26" t="n">
        <f aca="false">N(S105)+N(T105)-N(U105)</f>
        <v>0</v>
      </c>
      <c r="W105" s="37" t="n">
        <f aca="false">'Oct 2026'!Z105</f>
        <v>0</v>
      </c>
      <c r="X105" s="37" t="n">
        <f aca="false">IF(B105="",0,N(Students!J94))</f>
        <v>0</v>
      </c>
      <c r="Y105" s="23"/>
      <c r="Z105" s="26" t="n">
        <f aca="false">N(W105)+N(X105)-N(Y105)</f>
        <v>0</v>
      </c>
      <c r="AA105" s="37" t="n">
        <f aca="false">N(E105)+N(I105)+N(M105)+N(Q105)+N(U105)+N(Y105)</f>
        <v>0</v>
      </c>
      <c r="AB105" s="26" t="n">
        <f aca="false">F105+J105+N105+R105+V105+Z105</f>
        <v>0</v>
      </c>
      <c r="AC105" s="83" t="str">
        <f aca="false">IF(B105="","",IF(AB105&lt;=0,"Clear",IF(AA105&gt;0,"Partial","Due")))</f>
        <v/>
      </c>
    </row>
    <row r="106" customFormat="false" ht="15" hidden="false" customHeight="false" outlineLevel="0" collapsed="false">
      <c r="A106" s="21" t="n">
        <v>91</v>
      </c>
      <c r="B106" s="46" t="str">
        <f aca="false">IF(Students!B95="","",Students!B95)</f>
        <v/>
      </c>
      <c r="C106" s="33" t="n">
        <f aca="false">'Oct 2026'!F106</f>
        <v>0</v>
      </c>
      <c r="D106" s="33" t="n">
        <f aca="false">IF(B106="",0,N(Students!E95))</f>
        <v>0</v>
      </c>
      <c r="E106" s="23"/>
      <c r="F106" s="24" t="n">
        <f aca="false">N(C106)+N(D106)-N(E106)</f>
        <v>0</v>
      </c>
      <c r="G106" s="33" t="n">
        <f aca="false">'Oct 2026'!J106</f>
        <v>0</v>
      </c>
      <c r="H106" s="33" t="n">
        <f aca="false">IF(B106="",0,N(Students!F95))</f>
        <v>0</v>
      </c>
      <c r="I106" s="23"/>
      <c r="J106" s="24" t="n">
        <f aca="false">N(G106)+N(H106)-N(I106)</f>
        <v>0</v>
      </c>
      <c r="K106" s="33" t="n">
        <f aca="false">'Oct 2026'!N106</f>
        <v>0</v>
      </c>
      <c r="L106" s="33" t="n">
        <f aca="false">IF(B106="",0,N(Students!G95))</f>
        <v>0</v>
      </c>
      <c r="M106" s="23"/>
      <c r="N106" s="24" t="n">
        <f aca="false">N(K106)+N(L106)-N(M106)</f>
        <v>0</v>
      </c>
      <c r="O106" s="33" t="n">
        <f aca="false">'Oct 2026'!R106</f>
        <v>0</v>
      </c>
      <c r="P106" s="33" t="n">
        <f aca="false">IF(B106="",0,N(Students!H95))</f>
        <v>0</v>
      </c>
      <c r="Q106" s="23"/>
      <c r="R106" s="24" t="n">
        <f aca="false">N(O106)+N(P106)-N(Q106)</f>
        <v>0</v>
      </c>
      <c r="S106" s="33" t="n">
        <f aca="false">'Oct 2026'!V106</f>
        <v>0</v>
      </c>
      <c r="T106" s="33" t="n">
        <f aca="false">IF(B106="",0,N(Students!I95))</f>
        <v>0</v>
      </c>
      <c r="U106" s="23"/>
      <c r="V106" s="24" t="n">
        <f aca="false">N(S106)+N(T106)-N(U106)</f>
        <v>0</v>
      </c>
      <c r="W106" s="33" t="n">
        <f aca="false">'Oct 2026'!Z106</f>
        <v>0</v>
      </c>
      <c r="X106" s="33" t="n">
        <f aca="false">IF(B106="",0,N(Students!J95))</f>
        <v>0</v>
      </c>
      <c r="Y106" s="23"/>
      <c r="Z106" s="24" t="n">
        <f aca="false">N(W106)+N(X106)-N(Y106)</f>
        <v>0</v>
      </c>
      <c r="AA106" s="33" t="n">
        <f aca="false">N(E106)+N(I106)+N(M106)+N(Q106)+N(U106)+N(Y106)</f>
        <v>0</v>
      </c>
      <c r="AB106" s="24" t="n">
        <f aca="false">F106+J106+N106+R106+V106+Z106</f>
        <v>0</v>
      </c>
      <c r="AC106" s="81" t="str">
        <f aca="false">IF(B106="","",IF(AB106&lt;=0,"Clear",IF(AA106&gt;0,"Partial","Due")))</f>
        <v/>
      </c>
    </row>
    <row r="107" customFormat="false" ht="15" hidden="false" customHeight="false" outlineLevel="0" collapsed="false">
      <c r="A107" s="25" t="n">
        <v>92</v>
      </c>
      <c r="B107" s="82" t="str">
        <f aca="false">IF(Students!B96="","",Students!B96)</f>
        <v/>
      </c>
      <c r="C107" s="37" t="n">
        <f aca="false">'Oct 2026'!F107</f>
        <v>0</v>
      </c>
      <c r="D107" s="37" t="n">
        <f aca="false">IF(B107="",0,N(Students!E96))</f>
        <v>0</v>
      </c>
      <c r="E107" s="23"/>
      <c r="F107" s="26" t="n">
        <f aca="false">N(C107)+N(D107)-N(E107)</f>
        <v>0</v>
      </c>
      <c r="G107" s="37" t="n">
        <f aca="false">'Oct 2026'!J107</f>
        <v>0</v>
      </c>
      <c r="H107" s="37" t="n">
        <f aca="false">IF(B107="",0,N(Students!F96))</f>
        <v>0</v>
      </c>
      <c r="I107" s="23"/>
      <c r="J107" s="26" t="n">
        <f aca="false">N(G107)+N(H107)-N(I107)</f>
        <v>0</v>
      </c>
      <c r="K107" s="37" t="n">
        <f aca="false">'Oct 2026'!N107</f>
        <v>0</v>
      </c>
      <c r="L107" s="37" t="n">
        <f aca="false">IF(B107="",0,N(Students!G96))</f>
        <v>0</v>
      </c>
      <c r="M107" s="23"/>
      <c r="N107" s="26" t="n">
        <f aca="false">N(K107)+N(L107)-N(M107)</f>
        <v>0</v>
      </c>
      <c r="O107" s="37" t="n">
        <f aca="false">'Oct 2026'!R107</f>
        <v>0</v>
      </c>
      <c r="P107" s="37" t="n">
        <f aca="false">IF(B107="",0,N(Students!H96))</f>
        <v>0</v>
      </c>
      <c r="Q107" s="23"/>
      <c r="R107" s="26" t="n">
        <f aca="false">N(O107)+N(P107)-N(Q107)</f>
        <v>0</v>
      </c>
      <c r="S107" s="37" t="n">
        <f aca="false">'Oct 2026'!V107</f>
        <v>0</v>
      </c>
      <c r="T107" s="37" t="n">
        <f aca="false">IF(B107="",0,N(Students!I96))</f>
        <v>0</v>
      </c>
      <c r="U107" s="23"/>
      <c r="V107" s="26" t="n">
        <f aca="false">N(S107)+N(T107)-N(U107)</f>
        <v>0</v>
      </c>
      <c r="W107" s="37" t="n">
        <f aca="false">'Oct 2026'!Z107</f>
        <v>0</v>
      </c>
      <c r="X107" s="37" t="n">
        <f aca="false">IF(B107="",0,N(Students!J96))</f>
        <v>0</v>
      </c>
      <c r="Y107" s="23"/>
      <c r="Z107" s="26" t="n">
        <f aca="false">N(W107)+N(X107)-N(Y107)</f>
        <v>0</v>
      </c>
      <c r="AA107" s="37" t="n">
        <f aca="false">N(E107)+N(I107)+N(M107)+N(Q107)+N(U107)+N(Y107)</f>
        <v>0</v>
      </c>
      <c r="AB107" s="26" t="n">
        <f aca="false">F107+J107+N107+R107+V107+Z107</f>
        <v>0</v>
      </c>
      <c r="AC107" s="83" t="str">
        <f aca="false">IF(B107="","",IF(AB107&lt;=0,"Clear",IF(AA107&gt;0,"Partial","Due")))</f>
        <v/>
      </c>
    </row>
    <row r="108" customFormat="false" ht="15" hidden="false" customHeight="false" outlineLevel="0" collapsed="false">
      <c r="A108" s="21" t="n">
        <v>93</v>
      </c>
      <c r="B108" s="46" t="str">
        <f aca="false">IF(Students!B97="","",Students!B97)</f>
        <v/>
      </c>
      <c r="C108" s="33" t="n">
        <f aca="false">'Oct 2026'!F108</f>
        <v>0</v>
      </c>
      <c r="D108" s="33" t="n">
        <f aca="false">IF(B108="",0,N(Students!E97))</f>
        <v>0</v>
      </c>
      <c r="E108" s="23"/>
      <c r="F108" s="24" t="n">
        <f aca="false">N(C108)+N(D108)-N(E108)</f>
        <v>0</v>
      </c>
      <c r="G108" s="33" t="n">
        <f aca="false">'Oct 2026'!J108</f>
        <v>0</v>
      </c>
      <c r="H108" s="33" t="n">
        <f aca="false">IF(B108="",0,N(Students!F97))</f>
        <v>0</v>
      </c>
      <c r="I108" s="23"/>
      <c r="J108" s="24" t="n">
        <f aca="false">N(G108)+N(H108)-N(I108)</f>
        <v>0</v>
      </c>
      <c r="K108" s="33" t="n">
        <f aca="false">'Oct 2026'!N108</f>
        <v>0</v>
      </c>
      <c r="L108" s="33" t="n">
        <f aca="false">IF(B108="",0,N(Students!G97))</f>
        <v>0</v>
      </c>
      <c r="M108" s="23"/>
      <c r="N108" s="24" t="n">
        <f aca="false">N(K108)+N(L108)-N(M108)</f>
        <v>0</v>
      </c>
      <c r="O108" s="33" t="n">
        <f aca="false">'Oct 2026'!R108</f>
        <v>0</v>
      </c>
      <c r="P108" s="33" t="n">
        <f aca="false">IF(B108="",0,N(Students!H97))</f>
        <v>0</v>
      </c>
      <c r="Q108" s="23"/>
      <c r="R108" s="24" t="n">
        <f aca="false">N(O108)+N(P108)-N(Q108)</f>
        <v>0</v>
      </c>
      <c r="S108" s="33" t="n">
        <f aca="false">'Oct 2026'!V108</f>
        <v>0</v>
      </c>
      <c r="T108" s="33" t="n">
        <f aca="false">IF(B108="",0,N(Students!I97))</f>
        <v>0</v>
      </c>
      <c r="U108" s="23"/>
      <c r="V108" s="24" t="n">
        <f aca="false">N(S108)+N(T108)-N(U108)</f>
        <v>0</v>
      </c>
      <c r="W108" s="33" t="n">
        <f aca="false">'Oct 2026'!Z108</f>
        <v>0</v>
      </c>
      <c r="X108" s="33" t="n">
        <f aca="false">IF(B108="",0,N(Students!J97))</f>
        <v>0</v>
      </c>
      <c r="Y108" s="23"/>
      <c r="Z108" s="24" t="n">
        <f aca="false">N(W108)+N(X108)-N(Y108)</f>
        <v>0</v>
      </c>
      <c r="AA108" s="33" t="n">
        <f aca="false">N(E108)+N(I108)+N(M108)+N(Q108)+N(U108)+N(Y108)</f>
        <v>0</v>
      </c>
      <c r="AB108" s="24" t="n">
        <f aca="false">F108+J108+N108+R108+V108+Z108</f>
        <v>0</v>
      </c>
      <c r="AC108" s="81" t="str">
        <f aca="false">IF(B108="","",IF(AB108&lt;=0,"Clear",IF(AA108&gt;0,"Partial","Due")))</f>
        <v/>
      </c>
    </row>
    <row r="109" customFormat="false" ht="15" hidden="false" customHeight="false" outlineLevel="0" collapsed="false">
      <c r="A109" s="25" t="n">
        <v>94</v>
      </c>
      <c r="B109" s="82" t="str">
        <f aca="false">IF(Students!B98="","",Students!B98)</f>
        <v/>
      </c>
      <c r="C109" s="37" t="n">
        <f aca="false">'Oct 2026'!F109</f>
        <v>0</v>
      </c>
      <c r="D109" s="37" t="n">
        <f aca="false">IF(B109="",0,N(Students!E98))</f>
        <v>0</v>
      </c>
      <c r="E109" s="23"/>
      <c r="F109" s="26" t="n">
        <f aca="false">N(C109)+N(D109)-N(E109)</f>
        <v>0</v>
      </c>
      <c r="G109" s="37" t="n">
        <f aca="false">'Oct 2026'!J109</f>
        <v>0</v>
      </c>
      <c r="H109" s="37" t="n">
        <f aca="false">IF(B109="",0,N(Students!F98))</f>
        <v>0</v>
      </c>
      <c r="I109" s="23"/>
      <c r="J109" s="26" t="n">
        <f aca="false">N(G109)+N(H109)-N(I109)</f>
        <v>0</v>
      </c>
      <c r="K109" s="37" t="n">
        <f aca="false">'Oct 2026'!N109</f>
        <v>0</v>
      </c>
      <c r="L109" s="37" t="n">
        <f aca="false">IF(B109="",0,N(Students!G98))</f>
        <v>0</v>
      </c>
      <c r="M109" s="23"/>
      <c r="N109" s="26" t="n">
        <f aca="false">N(K109)+N(L109)-N(M109)</f>
        <v>0</v>
      </c>
      <c r="O109" s="37" t="n">
        <f aca="false">'Oct 2026'!R109</f>
        <v>0</v>
      </c>
      <c r="P109" s="37" t="n">
        <f aca="false">IF(B109="",0,N(Students!H98))</f>
        <v>0</v>
      </c>
      <c r="Q109" s="23"/>
      <c r="R109" s="26" t="n">
        <f aca="false">N(O109)+N(P109)-N(Q109)</f>
        <v>0</v>
      </c>
      <c r="S109" s="37" t="n">
        <f aca="false">'Oct 2026'!V109</f>
        <v>0</v>
      </c>
      <c r="T109" s="37" t="n">
        <f aca="false">IF(B109="",0,N(Students!I98))</f>
        <v>0</v>
      </c>
      <c r="U109" s="23"/>
      <c r="V109" s="26" t="n">
        <f aca="false">N(S109)+N(T109)-N(U109)</f>
        <v>0</v>
      </c>
      <c r="W109" s="37" t="n">
        <f aca="false">'Oct 2026'!Z109</f>
        <v>0</v>
      </c>
      <c r="X109" s="37" t="n">
        <f aca="false">IF(B109="",0,N(Students!J98))</f>
        <v>0</v>
      </c>
      <c r="Y109" s="23"/>
      <c r="Z109" s="26" t="n">
        <f aca="false">N(W109)+N(X109)-N(Y109)</f>
        <v>0</v>
      </c>
      <c r="AA109" s="37" t="n">
        <f aca="false">N(E109)+N(I109)+N(M109)+N(Q109)+N(U109)+N(Y109)</f>
        <v>0</v>
      </c>
      <c r="AB109" s="26" t="n">
        <f aca="false">F109+J109+N109+R109+V109+Z109</f>
        <v>0</v>
      </c>
      <c r="AC109" s="83" t="str">
        <f aca="false">IF(B109="","",IF(AB109&lt;=0,"Clear",IF(AA109&gt;0,"Partial","Due")))</f>
        <v/>
      </c>
    </row>
    <row r="110" customFormat="false" ht="15" hidden="false" customHeight="false" outlineLevel="0" collapsed="false">
      <c r="A110" s="21" t="n">
        <v>95</v>
      </c>
      <c r="B110" s="46" t="str">
        <f aca="false">IF(Students!B99="","",Students!B99)</f>
        <v/>
      </c>
      <c r="C110" s="33" t="n">
        <f aca="false">'Oct 2026'!F110</f>
        <v>0</v>
      </c>
      <c r="D110" s="33" t="n">
        <f aca="false">IF(B110="",0,N(Students!E99))</f>
        <v>0</v>
      </c>
      <c r="E110" s="23"/>
      <c r="F110" s="24" t="n">
        <f aca="false">N(C110)+N(D110)-N(E110)</f>
        <v>0</v>
      </c>
      <c r="G110" s="33" t="n">
        <f aca="false">'Oct 2026'!J110</f>
        <v>0</v>
      </c>
      <c r="H110" s="33" t="n">
        <f aca="false">IF(B110="",0,N(Students!F99))</f>
        <v>0</v>
      </c>
      <c r="I110" s="23"/>
      <c r="J110" s="24" t="n">
        <f aca="false">N(G110)+N(H110)-N(I110)</f>
        <v>0</v>
      </c>
      <c r="K110" s="33" t="n">
        <f aca="false">'Oct 2026'!N110</f>
        <v>0</v>
      </c>
      <c r="L110" s="33" t="n">
        <f aca="false">IF(B110="",0,N(Students!G99))</f>
        <v>0</v>
      </c>
      <c r="M110" s="23"/>
      <c r="N110" s="24" t="n">
        <f aca="false">N(K110)+N(L110)-N(M110)</f>
        <v>0</v>
      </c>
      <c r="O110" s="33" t="n">
        <f aca="false">'Oct 2026'!R110</f>
        <v>0</v>
      </c>
      <c r="P110" s="33" t="n">
        <f aca="false">IF(B110="",0,N(Students!H99))</f>
        <v>0</v>
      </c>
      <c r="Q110" s="23"/>
      <c r="R110" s="24" t="n">
        <f aca="false">N(O110)+N(P110)-N(Q110)</f>
        <v>0</v>
      </c>
      <c r="S110" s="33" t="n">
        <f aca="false">'Oct 2026'!V110</f>
        <v>0</v>
      </c>
      <c r="T110" s="33" t="n">
        <f aca="false">IF(B110="",0,N(Students!I99))</f>
        <v>0</v>
      </c>
      <c r="U110" s="23"/>
      <c r="V110" s="24" t="n">
        <f aca="false">N(S110)+N(T110)-N(U110)</f>
        <v>0</v>
      </c>
      <c r="W110" s="33" t="n">
        <f aca="false">'Oct 2026'!Z110</f>
        <v>0</v>
      </c>
      <c r="X110" s="33" t="n">
        <f aca="false">IF(B110="",0,N(Students!J99))</f>
        <v>0</v>
      </c>
      <c r="Y110" s="23"/>
      <c r="Z110" s="24" t="n">
        <f aca="false">N(W110)+N(X110)-N(Y110)</f>
        <v>0</v>
      </c>
      <c r="AA110" s="33" t="n">
        <f aca="false">N(E110)+N(I110)+N(M110)+N(Q110)+N(U110)+N(Y110)</f>
        <v>0</v>
      </c>
      <c r="AB110" s="24" t="n">
        <f aca="false">F110+J110+N110+R110+V110+Z110</f>
        <v>0</v>
      </c>
      <c r="AC110" s="81" t="str">
        <f aca="false">IF(B110="","",IF(AB110&lt;=0,"Clear",IF(AA110&gt;0,"Partial","Due")))</f>
        <v/>
      </c>
    </row>
    <row r="111" customFormat="false" ht="15" hidden="false" customHeight="false" outlineLevel="0" collapsed="false">
      <c r="A111" s="25" t="n">
        <v>96</v>
      </c>
      <c r="B111" s="82" t="str">
        <f aca="false">IF(Students!B100="","",Students!B100)</f>
        <v/>
      </c>
      <c r="C111" s="37" t="n">
        <f aca="false">'Oct 2026'!F111</f>
        <v>0</v>
      </c>
      <c r="D111" s="37" t="n">
        <f aca="false">IF(B111="",0,N(Students!E100))</f>
        <v>0</v>
      </c>
      <c r="E111" s="23"/>
      <c r="F111" s="26" t="n">
        <f aca="false">N(C111)+N(D111)-N(E111)</f>
        <v>0</v>
      </c>
      <c r="G111" s="37" t="n">
        <f aca="false">'Oct 2026'!J111</f>
        <v>0</v>
      </c>
      <c r="H111" s="37" t="n">
        <f aca="false">IF(B111="",0,N(Students!F100))</f>
        <v>0</v>
      </c>
      <c r="I111" s="23"/>
      <c r="J111" s="26" t="n">
        <f aca="false">N(G111)+N(H111)-N(I111)</f>
        <v>0</v>
      </c>
      <c r="K111" s="37" t="n">
        <f aca="false">'Oct 2026'!N111</f>
        <v>0</v>
      </c>
      <c r="L111" s="37" t="n">
        <f aca="false">IF(B111="",0,N(Students!G100))</f>
        <v>0</v>
      </c>
      <c r="M111" s="23"/>
      <c r="N111" s="26" t="n">
        <f aca="false">N(K111)+N(L111)-N(M111)</f>
        <v>0</v>
      </c>
      <c r="O111" s="37" t="n">
        <f aca="false">'Oct 2026'!R111</f>
        <v>0</v>
      </c>
      <c r="P111" s="37" t="n">
        <f aca="false">IF(B111="",0,N(Students!H100))</f>
        <v>0</v>
      </c>
      <c r="Q111" s="23"/>
      <c r="R111" s="26" t="n">
        <f aca="false">N(O111)+N(P111)-N(Q111)</f>
        <v>0</v>
      </c>
      <c r="S111" s="37" t="n">
        <f aca="false">'Oct 2026'!V111</f>
        <v>0</v>
      </c>
      <c r="T111" s="37" t="n">
        <f aca="false">IF(B111="",0,N(Students!I100))</f>
        <v>0</v>
      </c>
      <c r="U111" s="23"/>
      <c r="V111" s="26" t="n">
        <f aca="false">N(S111)+N(T111)-N(U111)</f>
        <v>0</v>
      </c>
      <c r="W111" s="37" t="n">
        <f aca="false">'Oct 2026'!Z111</f>
        <v>0</v>
      </c>
      <c r="X111" s="37" t="n">
        <f aca="false">IF(B111="",0,N(Students!J100))</f>
        <v>0</v>
      </c>
      <c r="Y111" s="23"/>
      <c r="Z111" s="26" t="n">
        <f aca="false">N(W111)+N(X111)-N(Y111)</f>
        <v>0</v>
      </c>
      <c r="AA111" s="37" t="n">
        <f aca="false">N(E111)+N(I111)+N(M111)+N(Q111)+N(U111)+N(Y111)</f>
        <v>0</v>
      </c>
      <c r="AB111" s="26" t="n">
        <f aca="false">F111+J111+N111+R111+V111+Z111</f>
        <v>0</v>
      </c>
      <c r="AC111" s="83" t="str">
        <f aca="false">IF(B111="","",IF(AB111&lt;=0,"Clear",IF(AA111&gt;0,"Partial","Due")))</f>
        <v/>
      </c>
    </row>
    <row r="112" customFormat="false" ht="15" hidden="false" customHeight="false" outlineLevel="0" collapsed="false">
      <c r="A112" s="21" t="n">
        <v>97</v>
      </c>
      <c r="B112" s="46" t="str">
        <f aca="false">IF(Students!B101="","",Students!B101)</f>
        <v/>
      </c>
      <c r="C112" s="33" t="n">
        <f aca="false">'Oct 2026'!F112</f>
        <v>0</v>
      </c>
      <c r="D112" s="33" t="n">
        <f aca="false">IF(B112="",0,N(Students!E101))</f>
        <v>0</v>
      </c>
      <c r="E112" s="23"/>
      <c r="F112" s="24" t="n">
        <f aca="false">N(C112)+N(D112)-N(E112)</f>
        <v>0</v>
      </c>
      <c r="G112" s="33" t="n">
        <f aca="false">'Oct 2026'!J112</f>
        <v>0</v>
      </c>
      <c r="H112" s="33" t="n">
        <f aca="false">IF(B112="",0,N(Students!F101))</f>
        <v>0</v>
      </c>
      <c r="I112" s="23"/>
      <c r="J112" s="24" t="n">
        <f aca="false">N(G112)+N(H112)-N(I112)</f>
        <v>0</v>
      </c>
      <c r="K112" s="33" t="n">
        <f aca="false">'Oct 2026'!N112</f>
        <v>0</v>
      </c>
      <c r="L112" s="33" t="n">
        <f aca="false">IF(B112="",0,N(Students!G101))</f>
        <v>0</v>
      </c>
      <c r="M112" s="23"/>
      <c r="N112" s="24" t="n">
        <f aca="false">N(K112)+N(L112)-N(M112)</f>
        <v>0</v>
      </c>
      <c r="O112" s="33" t="n">
        <f aca="false">'Oct 2026'!R112</f>
        <v>0</v>
      </c>
      <c r="P112" s="33" t="n">
        <f aca="false">IF(B112="",0,N(Students!H101))</f>
        <v>0</v>
      </c>
      <c r="Q112" s="23"/>
      <c r="R112" s="24" t="n">
        <f aca="false">N(O112)+N(P112)-N(Q112)</f>
        <v>0</v>
      </c>
      <c r="S112" s="33" t="n">
        <f aca="false">'Oct 2026'!V112</f>
        <v>0</v>
      </c>
      <c r="T112" s="33" t="n">
        <f aca="false">IF(B112="",0,N(Students!I101))</f>
        <v>0</v>
      </c>
      <c r="U112" s="23"/>
      <c r="V112" s="24" t="n">
        <f aca="false">N(S112)+N(T112)-N(U112)</f>
        <v>0</v>
      </c>
      <c r="W112" s="33" t="n">
        <f aca="false">'Oct 2026'!Z112</f>
        <v>0</v>
      </c>
      <c r="X112" s="33" t="n">
        <f aca="false">IF(B112="",0,N(Students!J101))</f>
        <v>0</v>
      </c>
      <c r="Y112" s="23"/>
      <c r="Z112" s="24" t="n">
        <f aca="false">N(W112)+N(X112)-N(Y112)</f>
        <v>0</v>
      </c>
      <c r="AA112" s="33" t="n">
        <f aca="false">N(E112)+N(I112)+N(M112)+N(Q112)+N(U112)+N(Y112)</f>
        <v>0</v>
      </c>
      <c r="AB112" s="24" t="n">
        <f aca="false">F112+J112+N112+R112+V112+Z112</f>
        <v>0</v>
      </c>
      <c r="AC112" s="81" t="str">
        <f aca="false">IF(B112="","",IF(AB112&lt;=0,"Clear",IF(AA112&gt;0,"Partial","Due")))</f>
        <v/>
      </c>
    </row>
    <row r="113" customFormat="false" ht="15" hidden="false" customHeight="false" outlineLevel="0" collapsed="false">
      <c r="A113" s="25" t="n">
        <v>98</v>
      </c>
      <c r="B113" s="82" t="str">
        <f aca="false">IF(Students!B102="","",Students!B102)</f>
        <v/>
      </c>
      <c r="C113" s="37" t="n">
        <f aca="false">'Oct 2026'!F113</f>
        <v>0</v>
      </c>
      <c r="D113" s="37" t="n">
        <f aca="false">IF(B113="",0,N(Students!E102))</f>
        <v>0</v>
      </c>
      <c r="E113" s="23"/>
      <c r="F113" s="26" t="n">
        <f aca="false">N(C113)+N(D113)-N(E113)</f>
        <v>0</v>
      </c>
      <c r="G113" s="37" t="n">
        <f aca="false">'Oct 2026'!J113</f>
        <v>0</v>
      </c>
      <c r="H113" s="37" t="n">
        <f aca="false">IF(B113="",0,N(Students!F102))</f>
        <v>0</v>
      </c>
      <c r="I113" s="23"/>
      <c r="J113" s="26" t="n">
        <f aca="false">N(G113)+N(H113)-N(I113)</f>
        <v>0</v>
      </c>
      <c r="K113" s="37" t="n">
        <f aca="false">'Oct 2026'!N113</f>
        <v>0</v>
      </c>
      <c r="L113" s="37" t="n">
        <f aca="false">IF(B113="",0,N(Students!G102))</f>
        <v>0</v>
      </c>
      <c r="M113" s="23"/>
      <c r="N113" s="26" t="n">
        <f aca="false">N(K113)+N(L113)-N(M113)</f>
        <v>0</v>
      </c>
      <c r="O113" s="37" t="n">
        <f aca="false">'Oct 2026'!R113</f>
        <v>0</v>
      </c>
      <c r="P113" s="37" t="n">
        <f aca="false">IF(B113="",0,N(Students!H102))</f>
        <v>0</v>
      </c>
      <c r="Q113" s="23"/>
      <c r="R113" s="26" t="n">
        <f aca="false">N(O113)+N(P113)-N(Q113)</f>
        <v>0</v>
      </c>
      <c r="S113" s="37" t="n">
        <f aca="false">'Oct 2026'!V113</f>
        <v>0</v>
      </c>
      <c r="T113" s="37" t="n">
        <f aca="false">IF(B113="",0,N(Students!I102))</f>
        <v>0</v>
      </c>
      <c r="U113" s="23"/>
      <c r="V113" s="26" t="n">
        <f aca="false">N(S113)+N(T113)-N(U113)</f>
        <v>0</v>
      </c>
      <c r="W113" s="37" t="n">
        <f aca="false">'Oct 2026'!Z113</f>
        <v>0</v>
      </c>
      <c r="X113" s="37" t="n">
        <f aca="false">IF(B113="",0,N(Students!J102))</f>
        <v>0</v>
      </c>
      <c r="Y113" s="23"/>
      <c r="Z113" s="26" t="n">
        <f aca="false">N(W113)+N(X113)-N(Y113)</f>
        <v>0</v>
      </c>
      <c r="AA113" s="37" t="n">
        <f aca="false">N(E113)+N(I113)+N(M113)+N(Q113)+N(U113)+N(Y113)</f>
        <v>0</v>
      </c>
      <c r="AB113" s="26" t="n">
        <f aca="false">F113+J113+N113+R113+V113+Z113</f>
        <v>0</v>
      </c>
      <c r="AC113" s="83" t="str">
        <f aca="false">IF(B113="","",IF(AB113&lt;=0,"Clear",IF(AA113&gt;0,"Partial","Due")))</f>
        <v/>
      </c>
    </row>
    <row r="114" customFormat="false" ht="15" hidden="false" customHeight="false" outlineLevel="0" collapsed="false">
      <c r="A114" s="21" t="n">
        <v>99</v>
      </c>
      <c r="B114" s="46" t="str">
        <f aca="false">IF(Students!B103="","",Students!B103)</f>
        <v/>
      </c>
      <c r="C114" s="33" t="n">
        <f aca="false">'Oct 2026'!F114</f>
        <v>0</v>
      </c>
      <c r="D114" s="33" t="n">
        <f aca="false">IF(B114="",0,N(Students!E103))</f>
        <v>0</v>
      </c>
      <c r="E114" s="23"/>
      <c r="F114" s="24" t="n">
        <f aca="false">N(C114)+N(D114)-N(E114)</f>
        <v>0</v>
      </c>
      <c r="G114" s="33" t="n">
        <f aca="false">'Oct 2026'!J114</f>
        <v>0</v>
      </c>
      <c r="H114" s="33" t="n">
        <f aca="false">IF(B114="",0,N(Students!F103))</f>
        <v>0</v>
      </c>
      <c r="I114" s="23"/>
      <c r="J114" s="24" t="n">
        <f aca="false">N(G114)+N(H114)-N(I114)</f>
        <v>0</v>
      </c>
      <c r="K114" s="33" t="n">
        <f aca="false">'Oct 2026'!N114</f>
        <v>0</v>
      </c>
      <c r="L114" s="33" t="n">
        <f aca="false">IF(B114="",0,N(Students!G103))</f>
        <v>0</v>
      </c>
      <c r="M114" s="23"/>
      <c r="N114" s="24" t="n">
        <f aca="false">N(K114)+N(L114)-N(M114)</f>
        <v>0</v>
      </c>
      <c r="O114" s="33" t="n">
        <f aca="false">'Oct 2026'!R114</f>
        <v>0</v>
      </c>
      <c r="P114" s="33" t="n">
        <f aca="false">IF(B114="",0,N(Students!H103))</f>
        <v>0</v>
      </c>
      <c r="Q114" s="23"/>
      <c r="R114" s="24" t="n">
        <f aca="false">N(O114)+N(P114)-N(Q114)</f>
        <v>0</v>
      </c>
      <c r="S114" s="33" t="n">
        <f aca="false">'Oct 2026'!V114</f>
        <v>0</v>
      </c>
      <c r="T114" s="33" t="n">
        <f aca="false">IF(B114="",0,N(Students!I103))</f>
        <v>0</v>
      </c>
      <c r="U114" s="23"/>
      <c r="V114" s="24" t="n">
        <f aca="false">N(S114)+N(T114)-N(U114)</f>
        <v>0</v>
      </c>
      <c r="W114" s="33" t="n">
        <f aca="false">'Oct 2026'!Z114</f>
        <v>0</v>
      </c>
      <c r="X114" s="33" t="n">
        <f aca="false">IF(B114="",0,N(Students!J103))</f>
        <v>0</v>
      </c>
      <c r="Y114" s="23"/>
      <c r="Z114" s="24" t="n">
        <f aca="false">N(W114)+N(X114)-N(Y114)</f>
        <v>0</v>
      </c>
      <c r="AA114" s="33" t="n">
        <f aca="false">N(E114)+N(I114)+N(M114)+N(Q114)+N(U114)+N(Y114)</f>
        <v>0</v>
      </c>
      <c r="AB114" s="24" t="n">
        <f aca="false">F114+J114+N114+R114+V114+Z114</f>
        <v>0</v>
      </c>
      <c r="AC114" s="81" t="str">
        <f aca="false">IF(B114="","",IF(AB114&lt;=0,"Clear",IF(AA114&gt;0,"Partial","Due")))</f>
        <v/>
      </c>
    </row>
    <row r="115" customFormat="false" ht="15" hidden="false" customHeight="false" outlineLevel="0" collapsed="false">
      <c r="A115" s="25" t="n">
        <v>100</v>
      </c>
      <c r="B115" s="82" t="str">
        <f aca="false">IF(Students!B104="","",Students!B104)</f>
        <v/>
      </c>
      <c r="C115" s="37" t="n">
        <f aca="false">'Oct 2026'!F115</f>
        <v>0</v>
      </c>
      <c r="D115" s="37" t="n">
        <f aca="false">IF(B115="",0,N(Students!E104))</f>
        <v>0</v>
      </c>
      <c r="E115" s="23"/>
      <c r="F115" s="26" t="n">
        <f aca="false">N(C115)+N(D115)-N(E115)</f>
        <v>0</v>
      </c>
      <c r="G115" s="37" t="n">
        <f aca="false">'Oct 2026'!J115</f>
        <v>0</v>
      </c>
      <c r="H115" s="37" t="n">
        <f aca="false">IF(B115="",0,N(Students!F104))</f>
        <v>0</v>
      </c>
      <c r="I115" s="23"/>
      <c r="J115" s="26" t="n">
        <f aca="false">N(G115)+N(H115)-N(I115)</f>
        <v>0</v>
      </c>
      <c r="K115" s="37" t="n">
        <f aca="false">'Oct 2026'!N115</f>
        <v>0</v>
      </c>
      <c r="L115" s="37" t="n">
        <f aca="false">IF(B115="",0,N(Students!G104))</f>
        <v>0</v>
      </c>
      <c r="M115" s="23"/>
      <c r="N115" s="26" t="n">
        <f aca="false">N(K115)+N(L115)-N(M115)</f>
        <v>0</v>
      </c>
      <c r="O115" s="37" t="n">
        <f aca="false">'Oct 2026'!R115</f>
        <v>0</v>
      </c>
      <c r="P115" s="37" t="n">
        <f aca="false">IF(B115="",0,N(Students!H104))</f>
        <v>0</v>
      </c>
      <c r="Q115" s="23"/>
      <c r="R115" s="26" t="n">
        <f aca="false">N(O115)+N(P115)-N(Q115)</f>
        <v>0</v>
      </c>
      <c r="S115" s="37" t="n">
        <f aca="false">'Oct 2026'!V115</f>
        <v>0</v>
      </c>
      <c r="T115" s="37" t="n">
        <f aca="false">IF(B115="",0,N(Students!I104))</f>
        <v>0</v>
      </c>
      <c r="U115" s="23"/>
      <c r="V115" s="26" t="n">
        <f aca="false">N(S115)+N(T115)-N(U115)</f>
        <v>0</v>
      </c>
      <c r="W115" s="37" t="n">
        <f aca="false">'Oct 2026'!Z115</f>
        <v>0</v>
      </c>
      <c r="X115" s="37" t="n">
        <f aca="false">IF(B115="",0,N(Students!J104))</f>
        <v>0</v>
      </c>
      <c r="Y115" s="23"/>
      <c r="Z115" s="26" t="n">
        <f aca="false">N(W115)+N(X115)-N(Y115)</f>
        <v>0</v>
      </c>
      <c r="AA115" s="37" t="n">
        <f aca="false">N(E115)+N(I115)+N(M115)+N(Q115)+N(U115)+N(Y115)</f>
        <v>0</v>
      </c>
      <c r="AB115" s="26" t="n">
        <f aca="false">F115+J115+N115+R115+V115+Z115</f>
        <v>0</v>
      </c>
      <c r="AC115" s="83" t="str">
        <f aca="false">IF(B115="","",IF(AB115&lt;=0,"Clear",IF(AA115&gt;0,"Partial","Due")))</f>
        <v/>
      </c>
    </row>
    <row r="116" customFormat="false" ht="15" hidden="false" customHeight="false" outlineLevel="0" collapsed="false">
      <c r="A116" s="21" t="n">
        <v>101</v>
      </c>
      <c r="B116" s="46" t="str">
        <f aca="false">IF(Students!B105="","",Students!B105)</f>
        <v/>
      </c>
      <c r="C116" s="33" t="n">
        <f aca="false">'Oct 2026'!F116</f>
        <v>0</v>
      </c>
      <c r="D116" s="33" t="n">
        <f aca="false">IF(B116="",0,N(Students!E105))</f>
        <v>0</v>
      </c>
      <c r="E116" s="23"/>
      <c r="F116" s="24" t="n">
        <f aca="false">N(C116)+N(D116)-N(E116)</f>
        <v>0</v>
      </c>
      <c r="G116" s="33" t="n">
        <f aca="false">'Oct 2026'!J116</f>
        <v>0</v>
      </c>
      <c r="H116" s="33" t="n">
        <f aca="false">IF(B116="",0,N(Students!F105))</f>
        <v>0</v>
      </c>
      <c r="I116" s="23"/>
      <c r="J116" s="24" t="n">
        <f aca="false">N(G116)+N(H116)-N(I116)</f>
        <v>0</v>
      </c>
      <c r="K116" s="33" t="n">
        <f aca="false">'Oct 2026'!N116</f>
        <v>0</v>
      </c>
      <c r="L116" s="33" t="n">
        <f aca="false">IF(B116="",0,N(Students!G105))</f>
        <v>0</v>
      </c>
      <c r="M116" s="23"/>
      <c r="N116" s="24" t="n">
        <f aca="false">N(K116)+N(L116)-N(M116)</f>
        <v>0</v>
      </c>
      <c r="O116" s="33" t="n">
        <f aca="false">'Oct 2026'!R116</f>
        <v>0</v>
      </c>
      <c r="P116" s="33" t="n">
        <f aca="false">IF(B116="",0,N(Students!H105))</f>
        <v>0</v>
      </c>
      <c r="Q116" s="23"/>
      <c r="R116" s="24" t="n">
        <f aca="false">N(O116)+N(P116)-N(Q116)</f>
        <v>0</v>
      </c>
      <c r="S116" s="33" t="n">
        <f aca="false">'Oct 2026'!V116</f>
        <v>0</v>
      </c>
      <c r="T116" s="33" t="n">
        <f aca="false">IF(B116="",0,N(Students!I105))</f>
        <v>0</v>
      </c>
      <c r="U116" s="23"/>
      <c r="V116" s="24" t="n">
        <f aca="false">N(S116)+N(T116)-N(U116)</f>
        <v>0</v>
      </c>
      <c r="W116" s="33" t="n">
        <f aca="false">'Oct 2026'!Z116</f>
        <v>0</v>
      </c>
      <c r="X116" s="33" t="n">
        <f aca="false">IF(B116="",0,N(Students!J105))</f>
        <v>0</v>
      </c>
      <c r="Y116" s="23"/>
      <c r="Z116" s="24" t="n">
        <f aca="false">N(W116)+N(X116)-N(Y116)</f>
        <v>0</v>
      </c>
      <c r="AA116" s="33" t="n">
        <f aca="false">N(E116)+N(I116)+N(M116)+N(Q116)+N(U116)+N(Y116)</f>
        <v>0</v>
      </c>
      <c r="AB116" s="24" t="n">
        <f aca="false">F116+J116+N116+R116+V116+Z116</f>
        <v>0</v>
      </c>
      <c r="AC116" s="81" t="str">
        <f aca="false">IF(B116="","",IF(AB116&lt;=0,"Clear",IF(AA116&gt;0,"Partial","Due")))</f>
        <v/>
      </c>
    </row>
    <row r="117" customFormat="false" ht="15" hidden="false" customHeight="false" outlineLevel="0" collapsed="false">
      <c r="A117" s="25" t="n">
        <v>102</v>
      </c>
      <c r="B117" s="82" t="str">
        <f aca="false">IF(Students!B106="","",Students!B106)</f>
        <v/>
      </c>
      <c r="C117" s="37" t="n">
        <f aca="false">'Oct 2026'!F117</f>
        <v>0</v>
      </c>
      <c r="D117" s="37" t="n">
        <f aca="false">IF(B117="",0,N(Students!E106))</f>
        <v>0</v>
      </c>
      <c r="E117" s="23"/>
      <c r="F117" s="26" t="n">
        <f aca="false">N(C117)+N(D117)-N(E117)</f>
        <v>0</v>
      </c>
      <c r="G117" s="37" t="n">
        <f aca="false">'Oct 2026'!J117</f>
        <v>0</v>
      </c>
      <c r="H117" s="37" t="n">
        <f aca="false">IF(B117="",0,N(Students!F106))</f>
        <v>0</v>
      </c>
      <c r="I117" s="23"/>
      <c r="J117" s="26" t="n">
        <f aca="false">N(G117)+N(H117)-N(I117)</f>
        <v>0</v>
      </c>
      <c r="K117" s="37" t="n">
        <f aca="false">'Oct 2026'!N117</f>
        <v>0</v>
      </c>
      <c r="L117" s="37" t="n">
        <f aca="false">IF(B117="",0,N(Students!G106))</f>
        <v>0</v>
      </c>
      <c r="M117" s="23"/>
      <c r="N117" s="26" t="n">
        <f aca="false">N(K117)+N(L117)-N(M117)</f>
        <v>0</v>
      </c>
      <c r="O117" s="37" t="n">
        <f aca="false">'Oct 2026'!R117</f>
        <v>0</v>
      </c>
      <c r="P117" s="37" t="n">
        <f aca="false">IF(B117="",0,N(Students!H106))</f>
        <v>0</v>
      </c>
      <c r="Q117" s="23"/>
      <c r="R117" s="26" t="n">
        <f aca="false">N(O117)+N(P117)-N(Q117)</f>
        <v>0</v>
      </c>
      <c r="S117" s="37" t="n">
        <f aca="false">'Oct 2026'!V117</f>
        <v>0</v>
      </c>
      <c r="T117" s="37" t="n">
        <f aca="false">IF(B117="",0,N(Students!I106))</f>
        <v>0</v>
      </c>
      <c r="U117" s="23"/>
      <c r="V117" s="26" t="n">
        <f aca="false">N(S117)+N(T117)-N(U117)</f>
        <v>0</v>
      </c>
      <c r="W117" s="37" t="n">
        <f aca="false">'Oct 2026'!Z117</f>
        <v>0</v>
      </c>
      <c r="X117" s="37" t="n">
        <f aca="false">IF(B117="",0,N(Students!J106))</f>
        <v>0</v>
      </c>
      <c r="Y117" s="23"/>
      <c r="Z117" s="26" t="n">
        <f aca="false">N(W117)+N(X117)-N(Y117)</f>
        <v>0</v>
      </c>
      <c r="AA117" s="37" t="n">
        <f aca="false">N(E117)+N(I117)+N(M117)+N(Q117)+N(U117)+N(Y117)</f>
        <v>0</v>
      </c>
      <c r="AB117" s="26" t="n">
        <f aca="false">F117+J117+N117+R117+V117+Z117</f>
        <v>0</v>
      </c>
      <c r="AC117" s="83" t="str">
        <f aca="false">IF(B117="","",IF(AB117&lt;=0,"Clear",IF(AA117&gt;0,"Partial","Due")))</f>
        <v/>
      </c>
    </row>
    <row r="118" customFormat="false" ht="15" hidden="false" customHeight="false" outlineLevel="0" collapsed="false">
      <c r="A118" s="21" t="n">
        <v>103</v>
      </c>
      <c r="B118" s="46" t="str">
        <f aca="false">IF(Students!B107="","",Students!B107)</f>
        <v/>
      </c>
      <c r="C118" s="33" t="n">
        <f aca="false">'Oct 2026'!F118</f>
        <v>0</v>
      </c>
      <c r="D118" s="33" t="n">
        <f aca="false">IF(B118="",0,N(Students!E107))</f>
        <v>0</v>
      </c>
      <c r="E118" s="23"/>
      <c r="F118" s="24" t="n">
        <f aca="false">N(C118)+N(D118)-N(E118)</f>
        <v>0</v>
      </c>
      <c r="G118" s="33" t="n">
        <f aca="false">'Oct 2026'!J118</f>
        <v>0</v>
      </c>
      <c r="H118" s="33" t="n">
        <f aca="false">IF(B118="",0,N(Students!F107))</f>
        <v>0</v>
      </c>
      <c r="I118" s="23"/>
      <c r="J118" s="24" t="n">
        <f aca="false">N(G118)+N(H118)-N(I118)</f>
        <v>0</v>
      </c>
      <c r="K118" s="33" t="n">
        <f aca="false">'Oct 2026'!N118</f>
        <v>0</v>
      </c>
      <c r="L118" s="33" t="n">
        <f aca="false">IF(B118="",0,N(Students!G107))</f>
        <v>0</v>
      </c>
      <c r="M118" s="23"/>
      <c r="N118" s="24" t="n">
        <f aca="false">N(K118)+N(L118)-N(M118)</f>
        <v>0</v>
      </c>
      <c r="O118" s="33" t="n">
        <f aca="false">'Oct 2026'!R118</f>
        <v>0</v>
      </c>
      <c r="P118" s="33" t="n">
        <f aca="false">IF(B118="",0,N(Students!H107))</f>
        <v>0</v>
      </c>
      <c r="Q118" s="23"/>
      <c r="R118" s="24" t="n">
        <f aca="false">N(O118)+N(P118)-N(Q118)</f>
        <v>0</v>
      </c>
      <c r="S118" s="33" t="n">
        <f aca="false">'Oct 2026'!V118</f>
        <v>0</v>
      </c>
      <c r="T118" s="33" t="n">
        <f aca="false">IF(B118="",0,N(Students!I107))</f>
        <v>0</v>
      </c>
      <c r="U118" s="23"/>
      <c r="V118" s="24" t="n">
        <f aca="false">N(S118)+N(T118)-N(U118)</f>
        <v>0</v>
      </c>
      <c r="W118" s="33" t="n">
        <f aca="false">'Oct 2026'!Z118</f>
        <v>0</v>
      </c>
      <c r="X118" s="33" t="n">
        <f aca="false">IF(B118="",0,N(Students!J107))</f>
        <v>0</v>
      </c>
      <c r="Y118" s="23"/>
      <c r="Z118" s="24" t="n">
        <f aca="false">N(W118)+N(X118)-N(Y118)</f>
        <v>0</v>
      </c>
      <c r="AA118" s="33" t="n">
        <f aca="false">N(E118)+N(I118)+N(M118)+N(Q118)+N(U118)+N(Y118)</f>
        <v>0</v>
      </c>
      <c r="AB118" s="24" t="n">
        <f aca="false">F118+J118+N118+R118+V118+Z118</f>
        <v>0</v>
      </c>
      <c r="AC118" s="81" t="str">
        <f aca="false">IF(B118="","",IF(AB118&lt;=0,"Clear",IF(AA118&gt;0,"Partial","Due")))</f>
        <v/>
      </c>
    </row>
    <row r="119" customFormat="false" ht="15" hidden="false" customHeight="false" outlineLevel="0" collapsed="false">
      <c r="A119" s="25" t="n">
        <v>104</v>
      </c>
      <c r="B119" s="82" t="str">
        <f aca="false">IF(Students!B108="","",Students!B108)</f>
        <v/>
      </c>
      <c r="C119" s="37" t="n">
        <f aca="false">'Oct 2026'!F119</f>
        <v>0</v>
      </c>
      <c r="D119" s="37" t="n">
        <f aca="false">IF(B119="",0,N(Students!E108))</f>
        <v>0</v>
      </c>
      <c r="E119" s="23"/>
      <c r="F119" s="26" t="n">
        <f aca="false">N(C119)+N(D119)-N(E119)</f>
        <v>0</v>
      </c>
      <c r="G119" s="37" t="n">
        <f aca="false">'Oct 2026'!J119</f>
        <v>0</v>
      </c>
      <c r="H119" s="37" t="n">
        <f aca="false">IF(B119="",0,N(Students!F108))</f>
        <v>0</v>
      </c>
      <c r="I119" s="23"/>
      <c r="J119" s="26" t="n">
        <f aca="false">N(G119)+N(H119)-N(I119)</f>
        <v>0</v>
      </c>
      <c r="K119" s="37" t="n">
        <f aca="false">'Oct 2026'!N119</f>
        <v>0</v>
      </c>
      <c r="L119" s="37" t="n">
        <f aca="false">IF(B119="",0,N(Students!G108))</f>
        <v>0</v>
      </c>
      <c r="M119" s="23"/>
      <c r="N119" s="26" t="n">
        <f aca="false">N(K119)+N(L119)-N(M119)</f>
        <v>0</v>
      </c>
      <c r="O119" s="37" t="n">
        <f aca="false">'Oct 2026'!R119</f>
        <v>0</v>
      </c>
      <c r="P119" s="37" t="n">
        <f aca="false">IF(B119="",0,N(Students!H108))</f>
        <v>0</v>
      </c>
      <c r="Q119" s="23"/>
      <c r="R119" s="26" t="n">
        <f aca="false">N(O119)+N(P119)-N(Q119)</f>
        <v>0</v>
      </c>
      <c r="S119" s="37" t="n">
        <f aca="false">'Oct 2026'!V119</f>
        <v>0</v>
      </c>
      <c r="T119" s="37" t="n">
        <f aca="false">IF(B119="",0,N(Students!I108))</f>
        <v>0</v>
      </c>
      <c r="U119" s="23"/>
      <c r="V119" s="26" t="n">
        <f aca="false">N(S119)+N(T119)-N(U119)</f>
        <v>0</v>
      </c>
      <c r="W119" s="37" t="n">
        <f aca="false">'Oct 2026'!Z119</f>
        <v>0</v>
      </c>
      <c r="X119" s="37" t="n">
        <f aca="false">IF(B119="",0,N(Students!J108))</f>
        <v>0</v>
      </c>
      <c r="Y119" s="23"/>
      <c r="Z119" s="26" t="n">
        <f aca="false">N(W119)+N(X119)-N(Y119)</f>
        <v>0</v>
      </c>
      <c r="AA119" s="37" t="n">
        <f aca="false">N(E119)+N(I119)+N(M119)+N(Q119)+N(U119)+N(Y119)</f>
        <v>0</v>
      </c>
      <c r="AB119" s="26" t="n">
        <f aca="false">F119+J119+N119+R119+V119+Z119</f>
        <v>0</v>
      </c>
      <c r="AC119" s="83" t="str">
        <f aca="false">IF(B119="","",IF(AB119&lt;=0,"Clear",IF(AA119&gt;0,"Partial","Due")))</f>
        <v/>
      </c>
    </row>
    <row r="120" customFormat="false" ht="15" hidden="false" customHeight="false" outlineLevel="0" collapsed="false">
      <c r="A120" s="21" t="n">
        <v>105</v>
      </c>
      <c r="B120" s="46" t="str">
        <f aca="false">IF(Students!B109="","",Students!B109)</f>
        <v/>
      </c>
      <c r="C120" s="33" t="n">
        <f aca="false">'Oct 2026'!F120</f>
        <v>0</v>
      </c>
      <c r="D120" s="33" t="n">
        <f aca="false">IF(B120="",0,N(Students!E109))</f>
        <v>0</v>
      </c>
      <c r="E120" s="23"/>
      <c r="F120" s="24" t="n">
        <f aca="false">N(C120)+N(D120)-N(E120)</f>
        <v>0</v>
      </c>
      <c r="G120" s="33" t="n">
        <f aca="false">'Oct 2026'!J120</f>
        <v>0</v>
      </c>
      <c r="H120" s="33" t="n">
        <f aca="false">IF(B120="",0,N(Students!F109))</f>
        <v>0</v>
      </c>
      <c r="I120" s="23"/>
      <c r="J120" s="24" t="n">
        <f aca="false">N(G120)+N(H120)-N(I120)</f>
        <v>0</v>
      </c>
      <c r="K120" s="33" t="n">
        <f aca="false">'Oct 2026'!N120</f>
        <v>0</v>
      </c>
      <c r="L120" s="33" t="n">
        <f aca="false">IF(B120="",0,N(Students!G109))</f>
        <v>0</v>
      </c>
      <c r="M120" s="23"/>
      <c r="N120" s="24" t="n">
        <f aca="false">N(K120)+N(L120)-N(M120)</f>
        <v>0</v>
      </c>
      <c r="O120" s="33" t="n">
        <f aca="false">'Oct 2026'!R120</f>
        <v>0</v>
      </c>
      <c r="P120" s="33" t="n">
        <f aca="false">IF(B120="",0,N(Students!H109))</f>
        <v>0</v>
      </c>
      <c r="Q120" s="23"/>
      <c r="R120" s="24" t="n">
        <f aca="false">N(O120)+N(P120)-N(Q120)</f>
        <v>0</v>
      </c>
      <c r="S120" s="33" t="n">
        <f aca="false">'Oct 2026'!V120</f>
        <v>0</v>
      </c>
      <c r="T120" s="33" t="n">
        <f aca="false">IF(B120="",0,N(Students!I109))</f>
        <v>0</v>
      </c>
      <c r="U120" s="23"/>
      <c r="V120" s="24" t="n">
        <f aca="false">N(S120)+N(T120)-N(U120)</f>
        <v>0</v>
      </c>
      <c r="W120" s="33" t="n">
        <f aca="false">'Oct 2026'!Z120</f>
        <v>0</v>
      </c>
      <c r="X120" s="33" t="n">
        <f aca="false">IF(B120="",0,N(Students!J109))</f>
        <v>0</v>
      </c>
      <c r="Y120" s="23"/>
      <c r="Z120" s="24" t="n">
        <f aca="false">N(W120)+N(X120)-N(Y120)</f>
        <v>0</v>
      </c>
      <c r="AA120" s="33" t="n">
        <f aca="false">N(E120)+N(I120)+N(M120)+N(Q120)+N(U120)+N(Y120)</f>
        <v>0</v>
      </c>
      <c r="AB120" s="24" t="n">
        <f aca="false">F120+J120+N120+R120+V120+Z120</f>
        <v>0</v>
      </c>
      <c r="AC120" s="81" t="str">
        <f aca="false">IF(B120="","",IF(AB120&lt;=0,"Clear",IF(AA120&gt;0,"Partial","Due")))</f>
        <v/>
      </c>
    </row>
    <row r="121" customFormat="false" ht="15" hidden="false" customHeight="false" outlineLevel="0" collapsed="false">
      <c r="A121" s="25" t="n">
        <v>106</v>
      </c>
      <c r="B121" s="82" t="str">
        <f aca="false">IF(Students!B110="","",Students!B110)</f>
        <v/>
      </c>
      <c r="C121" s="37" t="n">
        <f aca="false">'Oct 2026'!F121</f>
        <v>0</v>
      </c>
      <c r="D121" s="37" t="n">
        <f aca="false">IF(B121="",0,N(Students!E110))</f>
        <v>0</v>
      </c>
      <c r="E121" s="23"/>
      <c r="F121" s="26" t="n">
        <f aca="false">N(C121)+N(D121)-N(E121)</f>
        <v>0</v>
      </c>
      <c r="G121" s="37" t="n">
        <f aca="false">'Oct 2026'!J121</f>
        <v>0</v>
      </c>
      <c r="H121" s="37" t="n">
        <f aca="false">IF(B121="",0,N(Students!F110))</f>
        <v>0</v>
      </c>
      <c r="I121" s="23"/>
      <c r="J121" s="26" t="n">
        <f aca="false">N(G121)+N(H121)-N(I121)</f>
        <v>0</v>
      </c>
      <c r="K121" s="37" t="n">
        <f aca="false">'Oct 2026'!N121</f>
        <v>0</v>
      </c>
      <c r="L121" s="37" t="n">
        <f aca="false">IF(B121="",0,N(Students!G110))</f>
        <v>0</v>
      </c>
      <c r="M121" s="23"/>
      <c r="N121" s="26" t="n">
        <f aca="false">N(K121)+N(L121)-N(M121)</f>
        <v>0</v>
      </c>
      <c r="O121" s="37" t="n">
        <f aca="false">'Oct 2026'!R121</f>
        <v>0</v>
      </c>
      <c r="P121" s="37" t="n">
        <f aca="false">IF(B121="",0,N(Students!H110))</f>
        <v>0</v>
      </c>
      <c r="Q121" s="23"/>
      <c r="R121" s="26" t="n">
        <f aca="false">N(O121)+N(P121)-N(Q121)</f>
        <v>0</v>
      </c>
      <c r="S121" s="37" t="n">
        <f aca="false">'Oct 2026'!V121</f>
        <v>0</v>
      </c>
      <c r="T121" s="37" t="n">
        <f aca="false">IF(B121="",0,N(Students!I110))</f>
        <v>0</v>
      </c>
      <c r="U121" s="23"/>
      <c r="V121" s="26" t="n">
        <f aca="false">N(S121)+N(T121)-N(U121)</f>
        <v>0</v>
      </c>
      <c r="W121" s="37" t="n">
        <f aca="false">'Oct 2026'!Z121</f>
        <v>0</v>
      </c>
      <c r="X121" s="37" t="n">
        <f aca="false">IF(B121="",0,N(Students!J110))</f>
        <v>0</v>
      </c>
      <c r="Y121" s="23"/>
      <c r="Z121" s="26" t="n">
        <f aca="false">N(W121)+N(X121)-N(Y121)</f>
        <v>0</v>
      </c>
      <c r="AA121" s="37" t="n">
        <f aca="false">N(E121)+N(I121)+N(M121)+N(Q121)+N(U121)+N(Y121)</f>
        <v>0</v>
      </c>
      <c r="AB121" s="26" t="n">
        <f aca="false">F121+J121+N121+R121+V121+Z121</f>
        <v>0</v>
      </c>
      <c r="AC121" s="83" t="str">
        <f aca="false">IF(B121="","",IF(AB121&lt;=0,"Clear",IF(AA121&gt;0,"Partial","Due")))</f>
        <v/>
      </c>
    </row>
    <row r="122" customFormat="false" ht="15" hidden="false" customHeight="false" outlineLevel="0" collapsed="false">
      <c r="A122" s="21" t="n">
        <v>107</v>
      </c>
      <c r="B122" s="46" t="str">
        <f aca="false">IF(Students!B111="","",Students!B111)</f>
        <v/>
      </c>
      <c r="C122" s="33" t="n">
        <f aca="false">'Oct 2026'!F122</f>
        <v>0</v>
      </c>
      <c r="D122" s="33" t="n">
        <f aca="false">IF(B122="",0,N(Students!E111))</f>
        <v>0</v>
      </c>
      <c r="E122" s="23"/>
      <c r="F122" s="24" t="n">
        <f aca="false">N(C122)+N(D122)-N(E122)</f>
        <v>0</v>
      </c>
      <c r="G122" s="33" t="n">
        <f aca="false">'Oct 2026'!J122</f>
        <v>0</v>
      </c>
      <c r="H122" s="33" t="n">
        <f aca="false">IF(B122="",0,N(Students!F111))</f>
        <v>0</v>
      </c>
      <c r="I122" s="23"/>
      <c r="J122" s="24" t="n">
        <f aca="false">N(G122)+N(H122)-N(I122)</f>
        <v>0</v>
      </c>
      <c r="K122" s="33" t="n">
        <f aca="false">'Oct 2026'!N122</f>
        <v>0</v>
      </c>
      <c r="L122" s="33" t="n">
        <f aca="false">IF(B122="",0,N(Students!G111))</f>
        <v>0</v>
      </c>
      <c r="M122" s="23"/>
      <c r="N122" s="24" t="n">
        <f aca="false">N(K122)+N(L122)-N(M122)</f>
        <v>0</v>
      </c>
      <c r="O122" s="33" t="n">
        <f aca="false">'Oct 2026'!R122</f>
        <v>0</v>
      </c>
      <c r="P122" s="33" t="n">
        <f aca="false">IF(B122="",0,N(Students!H111))</f>
        <v>0</v>
      </c>
      <c r="Q122" s="23"/>
      <c r="R122" s="24" t="n">
        <f aca="false">N(O122)+N(P122)-N(Q122)</f>
        <v>0</v>
      </c>
      <c r="S122" s="33" t="n">
        <f aca="false">'Oct 2026'!V122</f>
        <v>0</v>
      </c>
      <c r="T122" s="33" t="n">
        <f aca="false">IF(B122="",0,N(Students!I111))</f>
        <v>0</v>
      </c>
      <c r="U122" s="23"/>
      <c r="V122" s="24" t="n">
        <f aca="false">N(S122)+N(T122)-N(U122)</f>
        <v>0</v>
      </c>
      <c r="W122" s="33" t="n">
        <f aca="false">'Oct 2026'!Z122</f>
        <v>0</v>
      </c>
      <c r="X122" s="33" t="n">
        <f aca="false">IF(B122="",0,N(Students!J111))</f>
        <v>0</v>
      </c>
      <c r="Y122" s="23"/>
      <c r="Z122" s="24" t="n">
        <f aca="false">N(W122)+N(X122)-N(Y122)</f>
        <v>0</v>
      </c>
      <c r="AA122" s="33" t="n">
        <f aca="false">N(E122)+N(I122)+N(M122)+N(Q122)+N(U122)+N(Y122)</f>
        <v>0</v>
      </c>
      <c r="AB122" s="24" t="n">
        <f aca="false">F122+J122+N122+R122+V122+Z122</f>
        <v>0</v>
      </c>
      <c r="AC122" s="81" t="str">
        <f aca="false">IF(B122="","",IF(AB122&lt;=0,"Clear",IF(AA122&gt;0,"Partial","Due")))</f>
        <v/>
      </c>
    </row>
    <row r="123" customFormat="false" ht="15" hidden="false" customHeight="false" outlineLevel="0" collapsed="false">
      <c r="A123" s="25" t="n">
        <v>108</v>
      </c>
      <c r="B123" s="82" t="str">
        <f aca="false">IF(Students!B112="","",Students!B112)</f>
        <v/>
      </c>
      <c r="C123" s="37" t="n">
        <f aca="false">'Oct 2026'!F123</f>
        <v>0</v>
      </c>
      <c r="D123" s="37" t="n">
        <f aca="false">IF(B123="",0,N(Students!E112))</f>
        <v>0</v>
      </c>
      <c r="E123" s="23"/>
      <c r="F123" s="26" t="n">
        <f aca="false">N(C123)+N(D123)-N(E123)</f>
        <v>0</v>
      </c>
      <c r="G123" s="37" t="n">
        <f aca="false">'Oct 2026'!J123</f>
        <v>0</v>
      </c>
      <c r="H123" s="37" t="n">
        <f aca="false">IF(B123="",0,N(Students!F112))</f>
        <v>0</v>
      </c>
      <c r="I123" s="23"/>
      <c r="J123" s="26" t="n">
        <f aca="false">N(G123)+N(H123)-N(I123)</f>
        <v>0</v>
      </c>
      <c r="K123" s="37" t="n">
        <f aca="false">'Oct 2026'!N123</f>
        <v>0</v>
      </c>
      <c r="L123" s="37" t="n">
        <f aca="false">IF(B123="",0,N(Students!G112))</f>
        <v>0</v>
      </c>
      <c r="M123" s="23"/>
      <c r="N123" s="26" t="n">
        <f aca="false">N(K123)+N(L123)-N(M123)</f>
        <v>0</v>
      </c>
      <c r="O123" s="37" t="n">
        <f aca="false">'Oct 2026'!R123</f>
        <v>0</v>
      </c>
      <c r="P123" s="37" t="n">
        <f aca="false">IF(B123="",0,N(Students!H112))</f>
        <v>0</v>
      </c>
      <c r="Q123" s="23"/>
      <c r="R123" s="26" t="n">
        <f aca="false">N(O123)+N(P123)-N(Q123)</f>
        <v>0</v>
      </c>
      <c r="S123" s="37" t="n">
        <f aca="false">'Oct 2026'!V123</f>
        <v>0</v>
      </c>
      <c r="T123" s="37" t="n">
        <f aca="false">IF(B123="",0,N(Students!I112))</f>
        <v>0</v>
      </c>
      <c r="U123" s="23"/>
      <c r="V123" s="26" t="n">
        <f aca="false">N(S123)+N(T123)-N(U123)</f>
        <v>0</v>
      </c>
      <c r="W123" s="37" t="n">
        <f aca="false">'Oct 2026'!Z123</f>
        <v>0</v>
      </c>
      <c r="X123" s="37" t="n">
        <f aca="false">IF(B123="",0,N(Students!J112))</f>
        <v>0</v>
      </c>
      <c r="Y123" s="23"/>
      <c r="Z123" s="26" t="n">
        <f aca="false">N(W123)+N(X123)-N(Y123)</f>
        <v>0</v>
      </c>
      <c r="AA123" s="37" t="n">
        <f aca="false">N(E123)+N(I123)+N(M123)+N(Q123)+N(U123)+N(Y123)</f>
        <v>0</v>
      </c>
      <c r="AB123" s="26" t="n">
        <f aca="false">F123+J123+N123+R123+V123+Z123</f>
        <v>0</v>
      </c>
      <c r="AC123" s="83" t="str">
        <f aca="false">IF(B123="","",IF(AB123&lt;=0,"Clear",IF(AA123&gt;0,"Partial","Due")))</f>
        <v/>
      </c>
    </row>
    <row r="124" customFormat="false" ht="15" hidden="false" customHeight="false" outlineLevel="0" collapsed="false">
      <c r="A124" s="21" t="n">
        <v>109</v>
      </c>
      <c r="B124" s="46" t="str">
        <f aca="false">IF(Students!B113="","",Students!B113)</f>
        <v/>
      </c>
      <c r="C124" s="33" t="n">
        <f aca="false">'Oct 2026'!F124</f>
        <v>0</v>
      </c>
      <c r="D124" s="33" t="n">
        <f aca="false">IF(B124="",0,N(Students!E113))</f>
        <v>0</v>
      </c>
      <c r="E124" s="23"/>
      <c r="F124" s="24" t="n">
        <f aca="false">N(C124)+N(D124)-N(E124)</f>
        <v>0</v>
      </c>
      <c r="G124" s="33" t="n">
        <f aca="false">'Oct 2026'!J124</f>
        <v>0</v>
      </c>
      <c r="H124" s="33" t="n">
        <f aca="false">IF(B124="",0,N(Students!F113))</f>
        <v>0</v>
      </c>
      <c r="I124" s="23"/>
      <c r="J124" s="24" t="n">
        <f aca="false">N(G124)+N(H124)-N(I124)</f>
        <v>0</v>
      </c>
      <c r="K124" s="33" t="n">
        <f aca="false">'Oct 2026'!N124</f>
        <v>0</v>
      </c>
      <c r="L124" s="33" t="n">
        <f aca="false">IF(B124="",0,N(Students!G113))</f>
        <v>0</v>
      </c>
      <c r="M124" s="23"/>
      <c r="N124" s="24" t="n">
        <f aca="false">N(K124)+N(L124)-N(M124)</f>
        <v>0</v>
      </c>
      <c r="O124" s="33" t="n">
        <f aca="false">'Oct 2026'!R124</f>
        <v>0</v>
      </c>
      <c r="P124" s="33" t="n">
        <f aca="false">IF(B124="",0,N(Students!H113))</f>
        <v>0</v>
      </c>
      <c r="Q124" s="23"/>
      <c r="R124" s="24" t="n">
        <f aca="false">N(O124)+N(P124)-N(Q124)</f>
        <v>0</v>
      </c>
      <c r="S124" s="33" t="n">
        <f aca="false">'Oct 2026'!V124</f>
        <v>0</v>
      </c>
      <c r="T124" s="33" t="n">
        <f aca="false">IF(B124="",0,N(Students!I113))</f>
        <v>0</v>
      </c>
      <c r="U124" s="23"/>
      <c r="V124" s="24" t="n">
        <f aca="false">N(S124)+N(T124)-N(U124)</f>
        <v>0</v>
      </c>
      <c r="W124" s="33" t="n">
        <f aca="false">'Oct 2026'!Z124</f>
        <v>0</v>
      </c>
      <c r="X124" s="33" t="n">
        <f aca="false">IF(B124="",0,N(Students!J113))</f>
        <v>0</v>
      </c>
      <c r="Y124" s="23"/>
      <c r="Z124" s="24" t="n">
        <f aca="false">N(W124)+N(X124)-N(Y124)</f>
        <v>0</v>
      </c>
      <c r="AA124" s="33" t="n">
        <f aca="false">N(E124)+N(I124)+N(M124)+N(Q124)+N(U124)+N(Y124)</f>
        <v>0</v>
      </c>
      <c r="AB124" s="24" t="n">
        <f aca="false">F124+J124+N124+R124+V124+Z124</f>
        <v>0</v>
      </c>
      <c r="AC124" s="81" t="str">
        <f aca="false">IF(B124="","",IF(AB124&lt;=0,"Clear",IF(AA124&gt;0,"Partial","Due")))</f>
        <v/>
      </c>
    </row>
    <row r="125" customFormat="false" ht="15" hidden="false" customHeight="false" outlineLevel="0" collapsed="false">
      <c r="A125" s="25" t="n">
        <v>110</v>
      </c>
      <c r="B125" s="82" t="str">
        <f aca="false">IF(Students!B114="","",Students!B114)</f>
        <v/>
      </c>
      <c r="C125" s="37" t="n">
        <f aca="false">'Oct 2026'!F125</f>
        <v>0</v>
      </c>
      <c r="D125" s="37" t="n">
        <f aca="false">IF(B125="",0,N(Students!E114))</f>
        <v>0</v>
      </c>
      <c r="E125" s="23"/>
      <c r="F125" s="26" t="n">
        <f aca="false">N(C125)+N(D125)-N(E125)</f>
        <v>0</v>
      </c>
      <c r="G125" s="37" t="n">
        <f aca="false">'Oct 2026'!J125</f>
        <v>0</v>
      </c>
      <c r="H125" s="37" t="n">
        <f aca="false">IF(B125="",0,N(Students!F114))</f>
        <v>0</v>
      </c>
      <c r="I125" s="23"/>
      <c r="J125" s="26" t="n">
        <f aca="false">N(G125)+N(H125)-N(I125)</f>
        <v>0</v>
      </c>
      <c r="K125" s="37" t="n">
        <f aca="false">'Oct 2026'!N125</f>
        <v>0</v>
      </c>
      <c r="L125" s="37" t="n">
        <f aca="false">IF(B125="",0,N(Students!G114))</f>
        <v>0</v>
      </c>
      <c r="M125" s="23"/>
      <c r="N125" s="26" t="n">
        <f aca="false">N(K125)+N(L125)-N(M125)</f>
        <v>0</v>
      </c>
      <c r="O125" s="37" t="n">
        <f aca="false">'Oct 2026'!R125</f>
        <v>0</v>
      </c>
      <c r="P125" s="37" t="n">
        <f aca="false">IF(B125="",0,N(Students!H114))</f>
        <v>0</v>
      </c>
      <c r="Q125" s="23"/>
      <c r="R125" s="26" t="n">
        <f aca="false">N(O125)+N(P125)-N(Q125)</f>
        <v>0</v>
      </c>
      <c r="S125" s="37" t="n">
        <f aca="false">'Oct 2026'!V125</f>
        <v>0</v>
      </c>
      <c r="T125" s="37" t="n">
        <f aca="false">IF(B125="",0,N(Students!I114))</f>
        <v>0</v>
      </c>
      <c r="U125" s="23"/>
      <c r="V125" s="26" t="n">
        <f aca="false">N(S125)+N(T125)-N(U125)</f>
        <v>0</v>
      </c>
      <c r="W125" s="37" t="n">
        <f aca="false">'Oct 2026'!Z125</f>
        <v>0</v>
      </c>
      <c r="X125" s="37" t="n">
        <f aca="false">IF(B125="",0,N(Students!J114))</f>
        <v>0</v>
      </c>
      <c r="Y125" s="23"/>
      <c r="Z125" s="26" t="n">
        <f aca="false">N(W125)+N(X125)-N(Y125)</f>
        <v>0</v>
      </c>
      <c r="AA125" s="37" t="n">
        <f aca="false">N(E125)+N(I125)+N(M125)+N(Q125)+N(U125)+N(Y125)</f>
        <v>0</v>
      </c>
      <c r="AB125" s="26" t="n">
        <f aca="false">F125+J125+N125+R125+V125+Z125</f>
        <v>0</v>
      </c>
      <c r="AC125" s="83" t="str">
        <f aca="false">IF(B125="","",IF(AB125&lt;=0,"Clear",IF(AA125&gt;0,"Partial","Due")))</f>
        <v/>
      </c>
    </row>
    <row r="126" customFormat="false" ht="15" hidden="false" customHeight="false" outlineLevel="0" collapsed="false">
      <c r="A126" s="21" t="n">
        <v>111</v>
      </c>
      <c r="B126" s="46" t="str">
        <f aca="false">IF(Students!B115="","",Students!B115)</f>
        <v/>
      </c>
      <c r="C126" s="33" t="n">
        <f aca="false">'Oct 2026'!F126</f>
        <v>0</v>
      </c>
      <c r="D126" s="33" t="n">
        <f aca="false">IF(B126="",0,N(Students!E115))</f>
        <v>0</v>
      </c>
      <c r="E126" s="23"/>
      <c r="F126" s="24" t="n">
        <f aca="false">N(C126)+N(D126)-N(E126)</f>
        <v>0</v>
      </c>
      <c r="G126" s="33" t="n">
        <f aca="false">'Oct 2026'!J126</f>
        <v>0</v>
      </c>
      <c r="H126" s="33" t="n">
        <f aca="false">IF(B126="",0,N(Students!F115))</f>
        <v>0</v>
      </c>
      <c r="I126" s="23"/>
      <c r="J126" s="24" t="n">
        <f aca="false">N(G126)+N(H126)-N(I126)</f>
        <v>0</v>
      </c>
      <c r="K126" s="33" t="n">
        <f aca="false">'Oct 2026'!N126</f>
        <v>0</v>
      </c>
      <c r="L126" s="33" t="n">
        <f aca="false">IF(B126="",0,N(Students!G115))</f>
        <v>0</v>
      </c>
      <c r="M126" s="23"/>
      <c r="N126" s="24" t="n">
        <f aca="false">N(K126)+N(L126)-N(M126)</f>
        <v>0</v>
      </c>
      <c r="O126" s="33" t="n">
        <f aca="false">'Oct 2026'!R126</f>
        <v>0</v>
      </c>
      <c r="P126" s="33" t="n">
        <f aca="false">IF(B126="",0,N(Students!H115))</f>
        <v>0</v>
      </c>
      <c r="Q126" s="23"/>
      <c r="R126" s="24" t="n">
        <f aca="false">N(O126)+N(P126)-N(Q126)</f>
        <v>0</v>
      </c>
      <c r="S126" s="33" t="n">
        <f aca="false">'Oct 2026'!V126</f>
        <v>0</v>
      </c>
      <c r="T126" s="33" t="n">
        <f aca="false">IF(B126="",0,N(Students!I115))</f>
        <v>0</v>
      </c>
      <c r="U126" s="23"/>
      <c r="V126" s="24" t="n">
        <f aca="false">N(S126)+N(T126)-N(U126)</f>
        <v>0</v>
      </c>
      <c r="W126" s="33" t="n">
        <f aca="false">'Oct 2026'!Z126</f>
        <v>0</v>
      </c>
      <c r="X126" s="33" t="n">
        <f aca="false">IF(B126="",0,N(Students!J115))</f>
        <v>0</v>
      </c>
      <c r="Y126" s="23"/>
      <c r="Z126" s="24" t="n">
        <f aca="false">N(W126)+N(X126)-N(Y126)</f>
        <v>0</v>
      </c>
      <c r="AA126" s="33" t="n">
        <f aca="false">N(E126)+N(I126)+N(M126)+N(Q126)+N(U126)+N(Y126)</f>
        <v>0</v>
      </c>
      <c r="AB126" s="24" t="n">
        <f aca="false">F126+J126+N126+R126+V126+Z126</f>
        <v>0</v>
      </c>
      <c r="AC126" s="81" t="str">
        <f aca="false">IF(B126="","",IF(AB126&lt;=0,"Clear",IF(AA126&gt;0,"Partial","Due")))</f>
        <v/>
      </c>
    </row>
    <row r="127" customFormat="false" ht="15" hidden="false" customHeight="false" outlineLevel="0" collapsed="false">
      <c r="A127" s="25" t="n">
        <v>112</v>
      </c>
      <c r="B127" s="82" t="str">
        <f aca="false">IF(Students!B116="","",Students!B116)</f>
        <v/>
      </c>
      <c r="C127" s="37" t="n">
        <f aca="false">'Oct 2026'!F127</f>
        <v>0</v>
      </c>
      <c r="D127" s="37" t="n">
        <f aca="false">IF(B127="",0,N(Students!E116))</f>
        <v>0</v>
      </c>
      <c r="E127" s="23"/>
      <c r="F127" s="26" t="n">
        <f aca="false">N(C127)+N(D127)-N(E127)</f>
        <v>0</v>
      </c>
      <c r="G127" s="37" t="n">
        <f aca="false">'Oct 2026'!J127</f>
        <v>0</v>
      </c>
      <c r="H127" s="37" t="n">
        <f aca="false">IF(B127="",0,N(Students!F116))</f>
        <v>0</v>
      </c>
      <c r="I127" s="23"/>
      <c r="J127" s="26" t="n">
        <f aca="false">N(G127)+N(H127)-N(I127)</f>
        <v>0</v>
      </c>
      <c r="K127" s="37" t="n">
        <f aca="false">'Oct 2026'!N127</f>
        <v>0</v>
      </c>
      <c r="L127" s="37" t="n">
        <f aca="false">IF(B127="",0,N(Students!G116))</f>
        <v>0</v>
      </c>
      <c r="M127" s="23"/>
      <c r="N127" s="26" t="n">
        <f aca="false">N(K127)+N(L127)-N(M127)</f>
        <v>0</v>
      </c>
      <c r="O127" s="37" t="n">
        <f aca="false">'Oct 2026'!R127</f>
        <v>0</v>
      </c>
      <c r="P127" s="37" t="n">
        <f aca="false">IF(B127="",0,N(Students!H116))</f>
        <v>0</v>
      </c>
      <c r="Q127" s="23"/>
      <c r="R127" s="26" t="n">
        <f aca="false">N(O127)+N(P127)-N(Q127)</f>
        <v>0</v>
      </c>
      <c r="S127" s="37" t="n">
        <f aca="false">'Oct 2026'!V127</f>
        <v>0</v>
      </c>
      <c r="T127" s="37" t="n">
        <f aca="false">IF(B127="",0,N(Students!I116))</f>
        <v>0</v>
      </c>
      <c r="U127" s="23"/>
      <c r="V127" s="26" t="n">
        <f aca="false">N(S127)+N(T127)-N(U127)</f>
        <v>0</v>
      </c>
      <c r="W127" s="37" t="n">
        <f aca="false">'Oct 2026'!Z127</f>
        <v>0</v>
      </c>
      <c r="X127" s="37" t="n">
        <f aca="false">IF(B127="",0,N(Students!J116))</f>
        <v>0</v>
      </c>
      <c r="Y127" s="23"/>
      <c r="Z127" s="26" t="n">
        <f aca="false">N(W127)+N(X127)-N(Y127)</f>
        <v>0</v>
      </c>
      <c r="AA127" s="37" t="n">
        <f aca="false">N(E127)+N(I127)+N(M127)+N(Q127)+N(U127)+N(Y127)</f>
        <v>0</v>
      </c>
      <c r="AB127" s="26" t="n">
        <f aca="false">F127+J127+N127+R127+V127+Z127</f>
        <v>0</v>
      </c>
      <c r="AC127" s="83" t="str">
        <f aca="false">IF(B127="","",IF(AB127&lt;=0,"Clear",IF(AA127&gt;0,"Partial","Due")))</f>
        <v/>
      </c>
    </row>
    <row r="128" customFormat="false" ht="15" hidden="false" customHeight="false" outlineLevel="0" collapsed="false">
      <c r="A128" s="21" t="n">
        <v>113</v>
      </c>
      <c r="B128" s="46" t="str">
        <f aca="false">IF(Students!B117="","",Students!B117)</f>
        <v/>
      </c>
      <c r="C128" s="33" t="n">
        <f aca="false">'Oct 2026'!F128</f>
        <v>0</v>
      </c>
      <c r="D128" s="33" t="n">
        <f aca="false">IF(B128="",0,N(Students!E117))</f>
        <v>0</v>
      </c>
      <c r="E128" s="23"/>
      <c r="F128" s="24" t="n">
        <f aca="false">N(C128)+N(D128)-N(E128)</f>
        <v>0</v>
      </c>
      <c r="G128" s="33" t="n">
        <f aca="false">'Oct 2026'!J128</f>
        <v>0</v>
      </c>
      <c r="H128" s="33" t="n">
        <f aca="false">IF(B128="",0,N(Students!F117))</f>
        <v>0</v>
      </c>
      <c r="I128" s="23"/>
      <c r="J128" s="24" t="n">
        <f aca="false">N(G128)+N(H128)-N(I128)</f>
        <v>0</v>
      </c>
      <c r="K128" s="33" t="n">
        <f aca="false">'Oct 2026'!N128</f>
        <v>0</v>
      </c>
      <c r="L128" s="33" t="n">
        <f aca="false">IF(B128="",0,N(Students!G117))</f>
        <v>0</v>
      </c>
      <c r="M128" s="23"/>
      <c r="N128" s="24" t="n">
        <f aca="false">N(K128)+N(L128)-N(M128)</f>
        <v>0</v>
      </c>
      <c r="O128" s="33" t="n">
        <f aca="false">'Oct 2026'!R128</f>
        <v>0</v>
      </c>
      <c r="P128" s="33" t="n">
        <f aca="false">IF(B128="",0,N(Students!H117))</f>
        <v>0</v>
      </c>
      <c r="Q128" s="23"/>
      <c r="R128" s="24" t="n">
        <f aca="false">N(O128)+N(P128)-N(Q128)</f>
        <v>0</v>
      </c>
      <c r="S128" s="33" t="n">
        <f aca="false">'Oct 2026'!V128</f>
        <v>0</v>
      </c>
      <c r="T128" s="33" t="n">
        <f aca="false">IF(B128="",0,N(Students!I117))</f>
        <v>0</v>
      </c>
      <c r="U128" s="23"/>
      <c r="V128" s="24" t="n">
        <f aca="false">N(S128)+N(T128)-N(U128)</f>
        <v>0</v>
      </c>
      <c r="W128" s="33" t="n">
        <f aca="false">'Oct 2026'!Z128</f>
        <v>0</v>
      </c>
      <c r="X128" s="33" t="n">
        <f aca="false">IF(B128="",0,N(Students!J117))</f>
        <v>0</v>
      </c>
      <c r="Y128" s="23"/>
      <c r="Z128" s="24" t="n">
        <f aca="false">N(W128)+N(X128)-N(Y128)</f>
        <v>0</v>
      </c>
      <c r="AA128" s="33" t="n">
        <f aca="false">N(E128)+N(I128)+N(M128)+N(Q128)+N(U128)+N(Y128)</f>
        <v>0</v>
      </c>
      <c r="AB128" s="24" t="n">
        <f aca="false">F128+J128+N128+R128+V128+Z128</f>
        <v>0</v>
      </c>
      <c r="AC128" s="81" t="str">
        <f aca="false">IF(B128="","",IF(AB128&lt;=0,"Clear",IF(AA128&gt;0,"Partial","Due")))</f>
        <v/>
      </c>
    </row>
    <row r="129" customFormat="false" ht="15" hidden="false" customHeight="false" outlineLevel="0" collapsed="false">
      <c r="A129" s="25" t="n">
        <v>114</v>
      </c>
      <c r="B129" s="82" t="str">
        <f aca="false">IF(Students!B118="","",Students!B118)</f>
        <v/>
      </c>
      <c r="C129" s="37" t="n">
        <f aca="false">'Oct 2026'!F129</f>
        <v>0</v>
      </c>
      <c r="D129" s="37" t="n">
        <f aca="false">IF(B129="",0,N(Students!E118))</f>
        <v>0</v>
      </c>
      <c r="E129" s="23"/>
      <c r="F129" s="26" t="n">
        <f aca="false">N(C129)+N(D129)-N(E129)</f>
        <v>0</v>
      </c>
      <c r="G129" s="37" t="n">
        <f aca="false">'Oct 2026'!J129</f>
        <v>0</v>
      </c>
      <c r="H129" s="37" t="n">
        <f aca="false">IF(B129="",0,N(Students!F118))</f>
        <v>0</v>
      </c>
      <c r="I129" s="23"/>
      <c r="J129" s="26" t="n">
        <f aca="false">N(G129)+N(H129)-N(I129)</f>
        <v>0</v>
      </c>
      <c r="K129" s="37" t="n">
        <f aca="false">'Oct 2026'!N129</f>
        <v>0</v>
      </c>
      <c r="L129" s="37" t="n">
        <f aca="false">IF(B129="",0,N(Students!G118))</f>
        <v>0</v>
      </c>
      <c r="M129" s="23"/>
      <c r="N129" s="26" t="n">
        <f aca="false">N(K129)+N(L129)-N(M129)</f>
        <v>0</v>
      </c>
      <c r="O129" s="37" t="n">
        <f aca="false">'Oct 2026'!R129</f>
        <v>0</v>
      </c>
      <c r="P129" s="37" t="n">
        <f aca="false">IF(B129="",0,N(Students!H118))</f>
        <v>0</v>
      </c>
      <c r="Q129" s="23"/>
      <c r="R129" s="26" t="n">
        <f aca="false">N(O129)+N(P129)-N(Q129)</f>
        <v>0</v>
      </c>
      <c r="S129" s="37" t="n">
        <f aca="false">'Oct 2026'!V129</f>
        <v>0</v>
      </c>
      <c r="T129" s="37" t="n">
        <f aca="false">IF(B129="",0,N(Students!I118))</f>
        <v>0</v>
      </c>
      <c r="U129" s="23"/>
      <c r="V129" s="26" t="n">
        <f aca="false">N(S129)+N(T129)-N(U129)</f>
        <v>0</v>
      </c>
      <c r="W129" s="37" t="n">
        <f aca="false">'Oct 2026'!Z129</f>
        <v>0</v>
      </c>
      <c r="X129" s="37" t="n">
        <f aca="false">IF(B129="",0,N(Students!J118))</f>
        <v>0</v>
      </c>
      <c r="Y129" s="23"/>
      <c r="Z129" s="26" t="n">
        <f aca="false">N(W129)+N(X129)-N(Y129)</f>
        <v>0</v>
      </c>
      <c r="AA129" s="37" t="n">
        <f aca="false">N(E129)+N(I129)+N(M129)+N(Q129)+N(U129)+N(Y129)</f>
        <v>0</v>
      </c>
      <c r="AB129" s="26" t="n">
        <f aca="false">F129+J129+N129+R129+V129+Z129</f>
        <v>0</v>
      </c>
      <c r="AC129" s="83" t="str">
        <f aca="false">IF(B129="","",IF(AB129&lt;=0,"Clear",IF(AA129&gt;0,"Partial","Due")))</f>
        <v/>
      </c>
    </row>
    <row r="130" customFormat="false" ht="15" hidden="false" customHeight="false" outlineLevel="0" collapsed="false">
      <c r="A130" s="21" t="n">
        <v>115</v>
      </c>
      <c r="B130" s="46" t="str">
        <f aca="false">IF(Students!B119="","",Students!B119)</f>
        <v/>
      </c>
      <c r="C130" s="33" t="n">
        <f aca="false">'Oct 2026'!F130</f>
        <v>0</v>
      </c>
      <c r="D130" s="33" t="n">
        <f aca="false">IF(B130="",0,N(Students!E119))</f>
        <v>0</v>
      </c>
      <c r="E130" s="23"/>
      <c r="F130" s="24" t="n">
        <f aca="false">N(C130)+N(D130)-N(E130)</f>
        <v>0</v>
      </c>
      <c r="G130" s="33" t="n">
        <f aca="false">'Oct 2026'!J130</f>
        <v>0</v>
      </c>
      <c r="H130" s="33" t="n">
        <f aca="false">IF(B130="",0,N(Students!F119))</f>
        <v>0</v>
      </c>
      <c r="I130" s="23"/>
      <c r="J130" s="24" t="n">
        <f aca="false">N(G130)+N(H130)-N(I130)</f>
        <v>0</v>
      </c>
      <c r="K130" s="33" t="n">
        <f aca="false">'Oct 2026'!N130</f>
        <v>0</v>
      </c>
      <c r="L130" s="33" t="n">
        <f aca="false">IF(B130="",0,N(Students!G119))</f>
        <v>0</v>
      </c>
      <c r="M130" s="23"/>
      <c r="N130" s="24" t="n">
        <f aca="false">N(K130)+N(L130)-N(M130)</f>
        <v>0</v>
      </c>
      <c r="O130" s="33" t="n">
        <f aca="false">'Oct 2026'!R130</f>
        <v>0</v>
      </c>
      <c r="P130" s="33" t="n">
        <f aca="false">IF(B130="",0,N(Students!H119))</f>
        <v>0</v>
      </c>
      <c r="Q130" s="23"/>
      <c r="R130" s="24" t="n">
        <f aca="false">N(O130)+N(P130)-N(Q130)</f>
        <v>0</v>
      </c>
      <c r="S130" s="33" t="n">
        <f aca="false">'Oct 2026'!V130</f>
        <v>0</v>
      </c>
      <c r="T130" s="33" t="n">
        <f aca="false">IF(B130="",0,N(Students!I119))</f>
        <v>0</v>
      </c>
      <c r="U130" s="23"/>
      <c r="V130" s="24" t="n">
        <f aca="false">N(S130)+N(T130)-N(U130)</f>
        <v>0</v>
      </c>
      <c r="W130" s="33" t="n">
        <f aca="false">'Oct 2026'!Z130</f>
        <v>0</v>
      </c>
      <c r="X130" s="33" t="n">
        <f aca="false">IF(B130="",0,N(Students!J119))</f>
        <v>0</v>
      </c>
      <c r="Y130" s="23"/>
      <c r="Z130" s="24" t="n">
        <f aca="false">N(W130)+N(X130)-N(Y130)</f>
        <v>0</v>
      </c>
      <c r="AA130" s="33" t="n">
        <f aca="false">N(E130)+N(I130)+N(M130)+N(Q130)+N(U130)+N(Y130)</f>
        <v>0</v>
      </c>
      <c r="AB130" s="24" t="n">
        <f aca="false">F130+J130+N130+R130+V130+Z130</f>
        <v>0</v>
      </c>
      <c r="AC130" s="81" t="str">
        <f aca="false">IF(B130="","",IF(AB130&lt;=0,"Clear",IF(AA130&gt;0,"Partial","Due")))</f>
        <v/>
      </c>
    </row>
    <row r="131" customFormat="false" ht="15" hidden="false" customHeight="false" outlineLevel="0" collapsed="false">
      <c r="A131" s="25" t="n">
        <v>116</v>
      </c>
      <c r="B131" s="82" t="str">
        <f aca="false">IF(Students!B120="","",Students!B120)</f>
        <v/>
      </c>
      <c r="C131" s="37" t="n">
        <f aca="false">'Oct 2026'!F131</f>
        <v>0</v>
      </c>
      <c r="D131" s="37" t="n">
        <f aca="false">IF(B131="",0,N(Students!E120))</f>
        <v>0</v>
      </c>
      <c r="E131" s="23"/>
      <c r="F131" s="26" t="n">
        <f aca="false">N(C131)+N(D131)-N(E131)</f>
        <v>0</v>
      </c>
      <c r="G131" s="37" t="n">
        <f aca="false">'Oct 2026'!J131</f>
        <v>0</v>
      </c>
      <c r="H131" s="37" t="n">
        <f aca="false">IF(B131="",0,N(Students!F120))</f>
        <v>0</v>
      </c>
      <c r="I131" s="23"/>
      <c r="J131" s="26" t="n">
        <f aca="false">N(G131)+N(H131)-N(I131)</f>
        <v>0</v>
      </c>
      <c r="K131" s="37" t="n">
        <f aca="false">'Oct 2026'!N131</f>
        <v>0</v>
      </c>
      <c r="L131" s="37" t="n">
        <f aca="false">IF(B131="",0,N(Students!G120))</f>
        <v>0</v>
      </c>
      <c r="M131" s="23"/>
      <c r="N131" s="26" t="n">
        <f aca="false">N(K131)+N(L131)-N(M131)</f>
        <v>0</v>
      </c>
      <c r="O131" s="37" t="n">
        <f aca="false">'Oct 2026'!R131</f>
        <v>0</v>
      </c>
      <c r="P131" s="37" t="n">
        <f aca="false">IF(B131="",0,N(Students!H120))</f>
        <v>0</v>
      </c>
      <c r="Q131" s="23"/>
      <c r="R131" s="26" t="n">
        <f aca="false">N(O131)+N(P131)-N(Q131)</f>
        <v>0</v>
      </c>
      <c r="S131" s="37" t="n">
        <f aca="false">'Oct 2026'!V131</f>
        <v>0</v>
      </c>
      <c r="T131" s="37" t="n">
        <f aca="false">IF(B131="",0,N(Students!I120))</f>
        <v>0</v>
      </c>
      <c r="U131" s="23"/>
      <c r="V131" s="26" t="n">
        <f aca="false">N(S131)+N(T131)-N(U131)</f>
        <v>0</v>
      </c>
      <c r="W131" s="37" t="n">
        <f aca="false">'Oct 2026'!Z131</f>
        <v>0</v>
      </c>
      <c r="X131" s="37" t="n">
        <f aca="false">IF(B131="",0,N(Students!J120))</f>
        <v>0</v>
      </c>
      <c r="Y131" s="23"/>
      <c r="Z131" s="26" t="n">
        <f aca="false">N(W131)+N(X131)-N(Y131)</f>
        <v>0</v>
      </c>
      <c r="AA131" s="37" t="n">
        <f aca="false">N(E131)+N(I131)+N(M131)+N(Q131)+N(U131)+N(Y131)</f>
        <v>0</v>
      </c>
      <c r="AB131" s="26" t="n">
        <f aca="false">F131+J131+N131+R131+V131+Z131</f>
        <v>0</v>
      </c>
      <c r="AC131" s="83" t="str">
        <f aca="false">IF(B131="","",IF(AB131&lt;=0,"Clear",IF(AA131&gt;0,"Partial","Due")))</f>
        <v/>
      </c>
    </row>
    <row r="132" customFormat="false" ht="15" hidden="false" customHeight="false" outlineLevel="0" collapsed="false">
      <c r="A132" s="21" t="n">
        <v>117</v>
      </c>
      <c r="B132" s="46" t="str">
        <f aca="false">IF(Students!B121="","",Students!B121)</f>
        <v/>
      </c>
      <c r="C132" s="33" t="n">
        <f aca="false">'Oct 2026'!F132</f>
        <v>0</v>
      </c>
      <c r="D132" s="33" t="n">
        <f aca="false">IF(B132="",0,N(Students!E121))</f>
        <v>0</v>
      </c>
      <c r="E132" s="23"/>
      <c r="F132" s="24" t="n">
        <f aca="false">N(C132)+N(D132)-N(E132)</f>
        <v>0</v>
      </c>
      <c r="G132" s="33" t="n">
        <f aca="false">'Oct 2026'!J132</f>
        <v>0</v>
      </c>
      <c r="H132" s="33" t="n">
        <f aca="false">IF(B132="",0,N(Students!F121))</f>
        <v>0</v>
      </c>
      <c r="I132" s="23"/>
      <c r="J132" s="24" t="n">
        <f aca="false">N(G132)+N(H132)-N(I132)</f>
        <v>0</v>
      </c>
      <c r="K132" s="33" t="n">
        <f aca="false">'Oct 2026'!N132</f>
        <v>0</v>
      </c>
      <c r="L132" s="33" t="n">
        <f aca="false">IF(B132="",0,N(Students!G121))</f>
        <v>0</v>
      </c>
      <c r="M132" s="23"/>
      <c r="N132" s="24" t="n">
        <f aca="false">N(K132)+N(L132)-N(M132)</f>
        <v>0</v>
      </c>
      <c r="O132" s="33" t="n">
        <f aca="false">'Oct 2026'!R132</f>
        <v>0</v>
      </c>
      <c r="P132" s="33" t="n">
        <f aca="false">IF(B132="",0,N(Students!H121))</f>
        <v>0</v>
      </c>
      <c r="Q132" s="23"/>
      <c r="R132" s="24" t="n">
        <f aca="false">N(O132)+N(P132)-N(Q132)</f>
        <v>0</v>
      </c>
      <c r="S132" s="33" t="n">
        <f aca="false">'Oct 2026'!V132</f>
        <v>0</v>
      </c>
      <c r="T132" s="33" t="n">
        <f aca="false">IF(B132="",0,N(Students!I121))</f>
        <v>0</v>
      </c>
      <c r="U132" s="23"/>
      <c r="V132" s="24" t="n">
        <f aca="false">N(S132)+N(T132)-N(U132)</f>
        <v>0</v>
      </c>
      <c r="W132" s="33" t="n">
        <f aca="false">'Oct 2026'!Z132</f>
        <v>0</v>
      </c>
      <c r="X132" s="33" t="n">
        <f aca="false">IF(B132="",0,N(Students!J121))</f>
        <v>0</v>
      </c>
      <c r="Y132" s="23"/>
      <c r="Z132" s="24" t="n">
        <f aca="false">N(W132)+N(X132)-N(Y132)</f>
        <v>0</v>
      </c>
      <c r="AA132" s="33" t="n">
        <f aca="false">N(E132)+N(I132)+N(M132)+N(Q132)+N(U132)+N(Y132)</f>
        <v>0</v>
      </c>
      <c r="AB132" s="24" t="n">
        <f aca="false">F132+J132+N132+R132+V132+Z132</f>
        <v>0</v>
      </c>
      <c r="AC132" s="81" t="str">
        <f aca="false">IF(B132="","",IF(AB132&lt;=0,"Clear",IF(AA132&gt;0,"Partial","Due")))</f>
        <v/>
      </c>
    </row>
    <row r="133" customFormat="false" ht="15" hidden="false" customHeight="false" outlineLevel="0" collapsed="false">
      <c r="A133" s="25" t="n">
        <v>118</v>
      </c>
      <c r="B133" s="82" t="str">
        <f aca="false">IF(Students!B122="","",Students!B122)</f>
        <v/>
      </c>
      <c r="C133" s="37" t="n">
        <f aca="false">'Oct 2026'!F133</f>
        <v>0</v>
      </c>
      <c r="D133" s="37" t="n">
        <f aca="false">IF(B133="",0,N(Students!E122))</f>
        <v>0</v>
      </c>
      <c r="E133" s="23"/>
      <c r="F133" s="26" t="n">
        <f aca="false">N(C133)+N(D133)-N(E133)</f>
        <v>0</v>
      </c>
      <c r="G133" s="37" t="n">
        <f aca="false">'Oct 2026'!J133</f>
        <v>0</v>
      </c>
      <c r="H133" s="37" t="n">
        <f aca="false">IF(B133="",0,N(Students!F122))</f>
        <v>0</v>
      </c>
      <c r="I133" s="23"/>
      <c r="J133" s="26" t="n">
        <f aca="false">N(G133)+N(H133)-N(I133)</f>
        <v>0</v>
      </c>
      <c r="K133" s="37" t="n">
        <f aca="false">'Oct 2026'!N133</f>
        <v>0</v>
      </c>
      <c r="L133" s="37" t="n">
        <f aca="false">IF(B133="",0,N(Students!G122))</f>
        <v>0</v>
      </c>
      <c r="M133" s="23"/>
      <c r="N133" s="26" t="n">
        <f aca="false">N(K133)+N(L133)-N(M133)</f>
        <v>0</v>
      </c>
      <c r="O133" s="37" t="n">
        <f aca="false">'Oct 2026'!R133</f>
        <v>0</v>
      </c>
      <c r="P133" s="37" t="n">
        <f aca="false">IF(B133="",0,N(Students!H122))</f>
        <v>0</v>
      </c>
      <c r="Q133" s="23"/>
      <c r="R133" s="26" t="n">
        <f aca="false">N(O133)+N(P133)-N(Q133)</f>
        <v>0</v>
      </c>
      <c r="S133" s="37" t="n">
        <f aca="false">'Oct 2026'!V133</f>
        <v>0</v>
      </c>
      <c r="T133" s="37" t="n">
        <f aca="false">IF(B133="",0,N(Students!I122))</f>
        <v>0</v>
      </c>
      <c r="U133" s="23"/>
      <c r="V133" s="26" t="n">
        <f aca="false">N(S133)+N(T133)-N(U133)</f>
        <v>0</v>
      </c>
      <c r="W133" s="37" t="n">
        <f aca="false">'Oct 2026'!Z133</f>
        <v>0</v>
      </c>
      <c r="X133" s="37" t="n">
        <f aca="false">IF(B133="",0,N(Students!J122))</f>
        <v>0</v>
      </c>
      <c r="Y133" s="23"/>
      <c r="Z133" s="26" t="n">
        <f aca="false">N(W133)+N(X133)-N(Y133)</f>
        <v>0</v>
      </c>
      <c r="AA133" s="37" t="n">
        <f aca="false">N(E133)+N(I133)+N(M133)+N(Q133)+N(U133)+N(Y133)</f>
        <v>0</v>
      </c>
      <c r="AB133" s="26" t="n">
        <f aca="false">F133+J133+N133+R133+V133+Z133</f>
        <v>0</v>
      </c>
      <c r="AC133" s="83" t="str">
        <f aca="false">IF(B133="","",IF(AB133&lt;=0,"Clear",IF(AA133&gt;0,"Partial","Due")))</f>
        <v/>
      </c>
    </row>
    <row r="134" customFormat="false" ht="15" hidden="false" customHeight="false" outlineLevel="0" collapsed="false">
      <c r="A134" s="21" t="n">
        <v>119</v>
      </c>
      <c r="B134" s="46" t="str">
        <f aca="false">IF(Students!B123="","",Students!B123)</f>
        <v/>
      </c>
      <c r="C134" s="33" t="n">
        <f aca="false">'Oct 2026'!F134</f>
        <v>0</v>
      </c>
      <c r="D134" s="33" t="n">
        <f aca="false">IF(B134="",0,N(Students!E123))</f>
        <v>0</v>
      </c>
      <c r="E134" s="23"/>
      <c r="F134" s="24" t="n">
        <f aca="false">N(C134)+N(D134)-N(E134)</f>
        <v>0</v>
      </c>
      <c r="G134" s="33" t="n">
        <f aca="false">'Oct 2026'!J134</f>
        <v>0</v>
      </c>
      <c r="H134" s="33" t="n">
        <f aca="false">IF(B134="",0,N(Students!F123))</f>
        <v>0</v>
      </c>
      <c r="I134" s="23"/>
      <c r="J134" s="24" t="n">
        <f aca="false">N(G134)+N(H134)-N(I134)</f>
        <v>0</v>
      </c>
      <c r="K134" s="33" t="n">
        <f aca="false">'Oct 2026'!N134</f>
        <v>0</v>
      </c>
      <c r="L134" s="33" t="n">
        <f aca="false">IF(B134="",0,N(Students!G123))</f>
        <v>0</v>
      </c>
      <c r="M134" s="23"/>
      <c r="N134" s="24" t="n">
        <f aca="false">N(K134)+N(L134)-N(M134)</f>
        <v>0</v>
      </c>
      <c r="O134" s="33" t="n">
        <f aca="false">'Oct 2026'!R134</f>
        <v>0</v>
      </c>
      <c r="P134" s="33" t="n">
        <f aca="false">IF(B134="",0,N(Students!H123))</f>
        <v>0</v>
      </c>
      <c r="Q134" s="23"/>
      <c r="R134" s="24" t="n">
        <f aca="false">N(O134)+N(P134)-N(Q134)</f>
        <v>0</v>
      </c>
      <c r="S134" s="33" t="n">
        <f aca="false">'Oct 2026'!V134</f>
        <v>0</v>
      </c>
      <c r="T134" s="33" t="n">
        <f aca="false">IF(B134="",0,N(Students!I123))</f>
        <v>0</v>
      </c>
      <c r="U134" s="23"/>
      <c r="V134" s="24" t="n">
        <f aca="false">N(S134)+N(T134)-N(U134)</f>
        <v>0</v>
      </c>
      <c r="W134" s="33" t="n">
        <f aca="false">'Oct 2026'!Z134</f>
        <v>0</v>
      </c>
      <c r="X134" s="33" t="n">
        <f aca="false">IF(B134="",0,N(Students!J123))</f>
        <v>0</v>
      </c>
      <c r="Y134" s="23"/>
      <c r="Z134" s="24" t="n">
        <f aca="false">N(W134)+N(X134)-N(Y134)</f>
        <v>0</v>
      </c>
      <c r="AA134" s="33" t="n">
        <f aca="false">N(E134)+N(I134)+N(M134)+N(Q134)+N(U134)+N(Y134)</f>
        <v>0</v>
      </c>
      <c r="AB134" s="24" t="n">
        <f aca="false">F134+J134+N134+R134+V134+Z134</f>
        <v>0</v>
      </c>
      <c r="AC134" s="81" t="str">
        <f aca="false">IF(B134="","",IF(AB134&lt;=0,"Clear",IF(AA134&gt;0,"Partial","Due")))</f>
        <v/>
      </c>
    </row>
    <row r="135" customFormat="false" ht="15" hidden="false" customHeight="false" outlineLevel="0" collapsed="false">
      <c r="A135" s="25" t="n">
        <v>120</v>
      </c>
      <c r="B135" s="82" t="str">
        <f aca="false">IF(Students!B124="","",Students!B124)</f>
        <v/>
      </c>
      <c r="C135" s="37" t="n">
        <f aca="false">'Oct 2026'!F135</f>
        <v>0</v>
      </c>
      <c r="D135" s="37" t="n">
        <f aca="false">IF(B135="",0,N(Students!E124))</f>
        <v>0</v>
      </c>
      <c r="E135" s="23"/>
      <c r="F135" s="26" t="n">
        <f aca="false">N(C135)+N(D135)-N(E135)</f>
        <v>0</v>
      </c>
      <c r="G135" s="37" t="n">
        <f aca="false">'Oct 2026'!J135</f>
        <v>0</v>
      </c>
      <c r="H135" s="37" t="n">
        <f aca="false">IF(B135="",0,N(Students!F124))</f>
        <v>0</v>
      </c>
      <c r="I135" s="23"/>
      <c r="J135" s="26" t="n">
        <f aca="false">N(G135)+N(H135)-N(I135)</f>
        <v>0</v>
      </c>
      <c r="K135" s="37" t="n">
        <f aca="false">'Oct 2026'!N135</f>
        <v>0</v>
      </c>
      <c r="L135" s="37" t="n">
        <f aca="false">IF(B135="",0,N(Students!G124))</f>
        <v>0</v>
      </c>
      <c r="M135" s="23"/>
      <c r="N135" s="26" t="n">
        <f aca="false">N(K135)+N(L135)-N(M135)</f>
        <v>0</v>
      </c>
      <c r="O135" s="37" t="n">
        <f aca="false">'Oct 2026'!R135</f>
        <v>0</v>
      </c>
      <c r="P135" s="37" t="n">
        <f aca="false">IF(B135="",0,N(Students!H124))</f>
        <v>0</v>
      </c>
      <c r="Q135" s="23"/>
      <c r="R135" s="26" t="n">
        <f aca="false">N(O135)+N(P135)-N(Q135)</f>
        <v>0</v>
      </c>
      <c r="S135" s="37" t="n">
        <f aca="false">'Oct 2026'!V135</f>
        <v>0</v>
      </c>
      <c r="T135" s="37" t="n">
        <f aca="false">IF(B135="",0,N(Students!I124))</f>
        <v>0</v>
      </c>
      <c r="U135" s="23"/>
      <c r="V135" s="26" t="n">
        <f aca="false">N(S135)+N(T135)-N(U135)</f>
        <v>0</v>
      </c>
      <c r="W135" s="37" t="n">
        <f aca="false">'Oct 2026'!Z135</f>
        <v>0</v>
      </c>
      <c r="X135" s="37" t="n">
        <f aca="false">IF(B135="",0,N(Students!J124))</f>
        <v>0</v>
      </c>
      <c r="Y135" s="23"/>
      <c r="Z135" s="26" t="n">
        <f aca="false">N(W135)+N(X135)-N(Y135)</f>
        <v>0</v>
      </c>
      <c r="AA135" s="37" t="n">
        <f aca="false">N(E135)+N(I135)+N(M135)+N(Q135)+N(U135)+N(Y135)</f>
        <v>0</v>
      </c>
      <c r="AB135" s="26" t="n">
        <f aca="false">F135+J135+N135+R135+V135+Z135</f>
        <v>0</v>
      </c>
      <c r="AC135" s="83" t="str">
        <f aca="false">IF(B135="","",IF(AB135&lt;=0,"Clear",IF(AA135&gt;0,"Partial","Due")))</f>
        <v/>
      </c>
    </row>
    <row r="136" customFormat="false" ht="15" hidden="false" customHeight="false" outlineLevel="0" collapsed="false">
      <c r="A136" s="21" t="n">
        <v>121</v>
      </c>
      <c r="B136" s="46" t="str">
        <f aca="false">IF(Students!B125="","",Students!B125)</f>
        <v/>
      </c>
      <c r="C136" s="33" t="n">
        <f aca="false">'Oct 2026'!F136</f>
        <v>0</v>
      </c>
      <c r="D136" s="33" t="n">
        <f aca="false">IF(B136="",0,N(Students!E125))</f>
        <v>0</v>
      </c>
      <c r="E136" s="23"/>
      <c r="F136" s="24" t="n">
        <f aca="false">N(C136)+N(D136)-N(E136)</f>
        <v>0</v>
      </c>
      <c r="G136" s="33" t="n">
        <f aca="false">'Oct 2026'!J136</f>
        <v>0</v>
      </c>
      <c r="H136" s="33" t="n">
        <f aca="false">IF(B136="",0,N(Students!F125))</f>
        <v>0</v>
      </c>
      <c r="I136" s="23"/>
      <c r="J136" s="24" t="n">
        <f aca="false">N(G136)+N(H136)-N(I136)</f>
        <v>0</v>
      </c>
      <c r="K136" s="33" t="n">
        <f aca="false">'Oct 2026'!N136</f>
        <v>0</v>
      </c>
      <c r="L136" s="33" t="n">
        <f aca="false">IF(B136="",0,N(Students!G125))</f>
        <v>0</v>
      </c>
      <c r="M136" s="23"/>
      <c r="N136" s="24" t="n">
        <f aca="false">N(K136)+N(L136)-N(M136)</f>
        <v>0</v>
      </c>
      <c r="O136" s="33" t="n">
        <f aca="false">'Oct 2026'!R136</f>
        <v>0</v>
      </c>
      <c r="P136" s="33" t="n">
        <f aca="false">IF(B136="",0,N(Students!H125))</f>
        <v>0</v>
      </c>
      <c r="Q136" s="23"/>
      <c r="R136" s="24" t="n">
        <f aca="false">N(O136)+N(P136)-N(Q136)</f>
        <v>0</v>
      </c>
      <c r="S136" s="33" t="n">
        <f aca="false">'Oct 2026'!V136</f>
        <v>0</v>
      </c>
      <c r="T136" s="33" t="n">
        <f aca="false">IF(B136="",0,N(Students!I125))</f>
        <v>0</v>
      </c>
      <c r="U136" s="23"/>
      <c r="V136" s="24" t="n">
        <f aca="false">N(S136)+N(T136)-N(U136)</f>
        <v>0</v>
      </c>
      <c r="W136" s="33" t="n">
        <f aca="false">'Oct 2026'!Z136</f>
        <v>0</v>
      </c>
      <c r="X136" s="33" t="n">
        <f aca="false">IF(B136="",0,N(Students!J125))</f>
        <v>0</v>
      </c>
      <c r="Y136" s="23"/>
      <c r="Z136" s="24" t="n">
        <f aca="false">N(W136)+N(X136)-N(Y136)</f>
        <v>0</v>
      </c>
      <c r="AA136" s="33" t="n">
        <f aca="false">N(E136)+N(I136)+N(M136)+N(Q136)+N(U136)+N(Y136)</f>
        <v>0</v>
      </c>
      <c r="AB136" s="24" t="n">
        <f aca="false">F136+J136+N136+R136+V136+Z136</f>
        <v>0</v>
      </c>
      <c r="AC136" s="81" t="str">
        <f aca="false">IF(B136="","",IF(AB136&lt;=0,"Clear",IF(AA136&gt;0,"Partial","Due")))</f>
        <v/>
      </c>
    </row>
    <row r="137" customFormat="false" ht="15" hidden="false" customHeight="false" outlineLevel="0" collapsed="false">
      <c r="A137" s="25" t="n">
        <v>122</v>
      </c>
      <c r="B137" s="82" t="str">
        <f aca="false">IF(Students!B126="","",Students!B126)</f>
        <v/>
      </c>
      <c r="C137" s="37" t="n">
        <f aca="false">'Oct 2026'!F137</f>
        <v>0</v>
      </c>
      <c r="D137" s="37" t="n">
        <f aca="false">IF(B137="",0,N(Students!E126))</f>
        <v>0</v>
      </c>
      <c r="E137" s="23"/>
      <c r="F137" s="26" t="n">
        <f aca="false">N(C137)+N(D137)-N(E137)</f>
        <v>0</v>
      </c>
      <c r="G137" s="37" t="n">
        <f aca="false">'Oct 2026'!J137</f>
        <v>0</v>
      </c>
      <c r="H137" s="37" t="n">
        <f aca="false">IF(B137="",0,N(Students!F126))</f>
        <v>0</v>
      </c>
      <c r="I137" s="23"/>
      <c r="J137" s="26" t="n">
        <f aca="false">N(G137)+N(H137)-N(I137)</f>
        <v>0</v>
      </c>
      <c r="K137" s="37" t="n">
        <f aca="false">'Oct 2026'!N137</f>
        <v>0</v>
      </c>
      <c r="L137" s="37" t="n">
        <f aca="false">IF(B137="",0,N(Students!G126))</f>
        <v>0</v>
      </c>
      <c r="M137" s="23"/>
      <c r="N137" s="26" t="n">
        <f aca="false">N(K137)+N(L137)-N(M137)</f>
        <v>0</v>
      </c>
      <c r="O137" s="37" t="n">
        <f aca="false">'Oct 2026'!R137</f>
        <v>0</v>
      </c>
      <c r="P137" s="37" t="n">
        <f aca="false">IF(B137="",0,N(Students!H126))</f>
        <v>0</v>
      </c>
      <c r="Q137" s="23"/>
      <c r="R137" s="26" t="n">
        <f aca="false">N(O137)+N(P137)-N(Q137)</f>
        <v>0</v>
      </c>
      <c r="S137" s="37" t="n">
        <f aca="false">'Oct 2026'!V137</f>
        <v>0</v>
      </c>
      <c r="T137" s="37" t="n">
        <f aca="false">IF(B137="",0,N(Students!I126))</f>
        <v>0</v>
      </c>
      <c r="U137" s="23"/>
      <c r="V137" s="26" t="n">
        <f aca="false">N(S137)+N(T137)-N(U137)</f>
        <v>0</v>
      </c>
      <c r="W137" s="37" t="n">
        <f aca="false">'Oct 2026'!Z137</f>
        <v>0</v>
      </c>
      <c r="X137" s="37" t="n">
        <f aca="false">IF(B137="",0,N(Students!J126))</f>
        <v>0</v>
      </c>
      <c r="Y137" s="23"/>
      <c r="Z137" s="26" t="n">
        <f aca="false">N(W137)+N(X137)-N(Y137)</f>
        <v>0</v>
      </c>
      <c r="AA137" s="37" t="n">
        <f aca="false">N(E137)+N(I137)+N(M137)+N(Q137)+N(U137)+N(Y137)</f>
        <v>0</v>
      </c>
      <c r="AB137" s="26" t="n">
        <f aca="false">F137+J137+N137+R137+V137+Z137</f>
        <v>0</v>
      </c>
      <c r="AC137" s="83" t="str">
        <f aca="false">IF(B137="","",IF(AB137&lt;=0,"Clear",IF(AA137&gt;0,"Partial","Due")))</f>
        <v/>
      </c>
    </row>
    <row r="138" customFormat="false" ht="15" hidden="false" customHeight="false" outlineLevel="0" collapsed="false">
      <c r="A138" s="21" t="n">
        <v>123</v>
      </c>
      <c r="B138" s="46" t="str">
        <f aca="false">IF(Students!B127="","",Students!B127)</f>
        <v/>
      </c>
      <c r="C138" s="33" t="n">
        <f aca="false">'Oct 2026'!F138</f>
        <v>0</v>
      </c>
      <c r="D138" s="33" t="n">
        <f aca="false">IF(B138="",0,N(Students!E127))</f>
        <v>0</v>
      </c>
      <c r="E138" s="23"/>
      <c r="F138" s="24" t="n">
        <f aca="false">N(C138)+N(D138)-N(E138)</f>
        <v>0</v>
      </c>
      <c r="G138" s="33" t="n">
        <f aca="false">'Oct 2026'!J138</f>
        <v>0</v>
      </c>
      <c r="H138" s="33" t="n">
        <f aca="false">IF(B138="",0,N(Students!F127))</f>
        <v>0</v>
      </c>
      <c r="I138" s="23"/>
      <c r="J138" s="24" t="n">
        <f aca="false">N(G138)+N(H138)-N(I138)</f>
        <v>0</v>
      </c>
      <c r="K138" s="33" t="n">
        <f aca="false">'Oct 2026'!N138</f>
        <v>0</v>
      </c>
      <c r="L138" s="33" t="n">
        <f aca="false">IF(B138="",0,N(Students!G127))</f>
        <v>0</v>
      </c>
      <c r="M138" s="23"/>
      <c r="N138" s="24" t="n">
        <f aca="false">N(K138)+N(L138)-N(M138)</f>
        <v>0</v>
      </c>
      <c r="O138" s="33" t="n">
        <f aca="false">'Oct 2026'!R138</f>
        <v>0</v>
      </c>
      <c r="P138" s="33" t="n">
        <f aca="false">IF(B138="",0,N(Students!H127))</f>
        <v>0</v>
      </c>
      <c r="Q138" s="23"/>
      <c r="R138" s="24" t="n">
        <f aca="false">N(O138)+N(P138)-N(Q138)</f>
        <v>0</v>
      </c>
      <c r="S138" s="33" t="n">
        <f aca="false">'Oct 2026'!V138</f>
        <v>0</v>
      </c>
      <c r="T138" s="33" t="n">
        <f aca="false">IF(B138="",0,N(Students!I127))</f>
        <v>0</v>
      </c>
      <c r="U138" s="23"/>
      <c r="V138" s="24" t="n">
        <f aca="false">N(S138)+N(T138)-N(U138)</f>
        <v>0</v>
      </c>
      <c r="W138" s="33" t="n">
        <f aca="false">'Oct 2026'!Z138</f>
        <v>0</v>
      </c>
      <c r="X138" s="33" t="n">
        <f aca="false">IF(B138="",0,N(Students!J127))</f>
        <v>0</v>
      </c>
      <c r="Y138" s="23"/>
      <c r="Z138" s="24" t="n">
        <f aca="false">N(W138)+N(X138)-N(Y138)</f>
        <v>0</v>
      </c>
      <c r="AA138" s="33" t="n">
        <f aca="false">N(E138)+N(I138)+N(M138)+N(Q138)+N(U138)+N(Y138)</f>
        <v>0</v>
      </c>
      <c r="AB138" s="24" t="n">
        <f aca="false">F138+J138+N138+R138+V138+Z138</f>
        <v>0</v>
      </c>
      <c r="AC138" s="81" t="str">
        <f aca="false">IF(B138="","",IF(AB138&lt;=0,"Clear",IF(AA138&gt;0,"Partial","Due")))</f>
        <v/>
      </c>
    </row>
    <row r="139" customFormat="false" ht="15" hidden="false" customHeight="false" outlineLevel="0" collapsed="false">
      <c r="A139" s="25" t="n">
        <v>124</v>
      </c>
      <c r="B139" s="82" t="str">
        <f aca="false">IF(Students!B128="","",Students!B128)</f>
        <v/>
      </c>
      <c r="C139" s="37" t="n">
        <f aca="false">'Oct 2026'!F139</f>
        <v>0</v>
      </c>
      <c r="D139" s="37" t="n">
        <f aca="false">IF(B139="",0,N(Students!E128))</f>
        <v>0</v>
      </c>
      <c r="E139" s="23"/>
      <c r="F139" s="26" t="n">
        <f aca="false">N(C139)+N(D139)-N(E139)</f>
        <v>0</v>
      </c>
      <c r="G139" s="37" t="n">
        <f aca="false">'Oct 2026'!J139</f>
        <v>0</v>
      </c>
      <c r="H139" s="37" t="n">
        <f aca="false">IF(B139="",0,N(Students!F128))</f>
        <v>0</v>
      </c>
      <c r="I139" s="23"/>
      <c r="J139" s="26" t="n">
        <f aca="false">N(G139)+N(H139)-N(I139)</f>
        <v>0</v>
      </c>
      <c r="K139" s="37" t="n">
        <f aca="false">'Oct 2026'!N139</f>
        <v>0</v>
      </c>
      <c r="L139" s="37" t="n">
        <f aca="false">IF(B139="",0,N(Students!G128))</f>
        <v>0</v>
      </c>
      <c r="M139" s="23"/>
      <c r="N139" s="26" t="n">
        <f aca="false">N(K139)+N(L139)-N(M139)</f>
        <v>0</v>
      </c>
      <c r="O139" s="37" t="n">
        <f aca="false">'Oct 2026'!R139</f>
        <v>0</v>
      </c>
      <c r="P139" s="37" t="n">
        <f aca="false">IF(B139="",0,N(Students!H128))</f>
        <v>0</v>
      </c>
      <c r="Q139" s="23"/>
      <c r="R139" s="26" t="n">
        <f aca="false">N(O139)+N(P139)-N(Q139)</f>
        <v>0</v>
      </c>
      <c r="S139" s="37" t="n">
        <f aca="false">'Oct 2026'!V139</f>
        <v>0</v>
      </c>
      <c r="T139" s="37" t="n">
        <f aca="false">IF(B139="",0,N(Students!I128))</f>
        <v>0</v>
      </c>
      <c r="U139" s="23"/>
      <c r="V139" s="26" t="n">
        <f aca="false">N(S139)+N(T139)-N(U139)</f>
        <v>0</v>
      </c>
      <c r="W139" s="37" t="n">
        <f aca="false">'Oct 2026'!Z139</f>
        <v>0</v>
      </c>
      <c r="X139" s="37" t="n">
        <f aca="false">IF(B139="",0,N(Students!J128))</f>
        <v>0</v>
      </c>
      <c r="Y139" s="23"/>
      <c r="Z139" s="26" t="n">
        <f aca="false">N(W139)+N(X139)-N(Y139)</f>
        <v>0</v>
      </c>
      <c r="AA139" s="37" t="n">
        <f aca="false">N(E139)+N(I139)+N(M139)+N(Q139)+N(U139)+N(Y139)</f>
        <v>0</v>
      </c>
      <c r="AB139" s="26" t="n">
        <f aca="false">F139+J139+N139+R139+V139+Z139</f>
        <v>0</v>
      </c>
      <c r="AC139" s="83" t="str">
        <f aca="false">IF(B139="","",IF(AB139&lt;=0,"Clear",IF(AA139&gt;0,"Partial","Due")))</f>
        <v/>
      </c>
    </row>
    <row r="140" customFormat="false" ht="15" hidden="false" customHeight="false" outlineLevel="0" collapsed="false">
      <c r="A140" s="21" t="n">
        <v>125</v>
      </c>
      <c r="B140" s="46" t="str">
        <f aca="false">IF(Students!B129="","",Students!B129)</f>
        <v/>
      </c>
      <c r="C140" s="33" t="n">
        <f aca="false">'Oct 2026'!F140</f>
        <v>0</v>
      </c>
      <c r="D140" s="33" t="n">
        <f aca="false">IF(B140="",0,N(Students!E129))</f>
        <v>0</v>
      </c>
      <c r="E140" s="23"/>
      <c r="F140" s="24" t="n">
        <f aca="false">N(C140)+N(D140)-N(E140)</f>
        <v>0</v>
      </c>
      <c r="G140" s="33" t="n">
        <f aca="false">'Oct 2026'!J140</f>
        <v>0</v>
      </c>
      <c r="H140" s="33" t="n">
        <f aca="false">IF(B140="",0,N(Students!F129))</f>
        <v>0</v>
      </c>
      <c r="I140" s="23"/>
      <c r="J140" s="24" t="n">
        <f aca="false">N(G140)+N(H140)-N(I140)</f>
        <v>0</v>
      </c>
      <c r="K140" s="33" t="n">
        <f aca="false">'Oct 2026'!N140</f>
        <v>0</v>
      </c>
      <c r="L140" s="33" t="n">
        <f aca="false">IF(B140="",0,N(Students!G129))</f>
        <v>0</v>
      </c>
      <c r="M140" s="23"/>
      <c r="N140" s="24" t="n">
        <f aca="false">N(K140)+N(L140)-N(M140)</f>
        <v>0</v>
      </c>
      <c r="O140" s="33" t="n">
        <f aca="false">'Oct 2026'!R140</f>
        <v>0</v>
      </c>
      <c r="P140" s="33" t="n">
        <f aca="false">IF(B140="",0,N(Students!H129))</f>
        <v>0</v>
      </c>
      <c r="Q140" s="23"/>
      <c r="R140" s="24" t="n">
        <f aca="false">N(O140)+N(P140)-N(Q140)</f>
        <v>0</v>
      </c>
      <c r="S140" s="33" t="n">
        <f aca="false">'Oct 2026'!V140</f>
        <v>0</v>
      </c>
      <c r="T140" s="33" t="n">
        <f aca="false">IF(B140="",0,N(Students!I129))</f>
        <v>0</v>
      </c>
      <c r="U140" s="23"/>
      <c r="V140" s="24" t="n">
        <f aca="false">N(S140)+N(T140)-N(U140)</f>
        <v>0</v>
      </c>
      <c r="W140" s="33" t="n">
        <f aca="false">'Oct 2026'!Z140</f>
        <v>0</v>
      </c>
      <c r="X140" s="33" t="n">
        <f aca="false">IF(B140="",0,N(Students!J129))</f>
        <v>0</v>
      </c>
      <c r="Y140" s="23"/>
      <c r="Z140" s="24" t="n">
        <f aca="false">N(W140)+N(X140)-N(Y140)</f>
        <v>0</v>
      </c>
      <c r="AA140" s="33" t="n">
        <f aca="false">N(E140)+N(I140)+N(M140)+N(Q140)+N(U140)+N(Y140)</f>
        <v>0</v>
      </c>
      <c r="AB140" s="24" t="n">
        <f aca="false">F140+J140+N140+R140+V140+Z140</f>
        <v>0</v>
      </c>
      <c r="AC140" s="81" t="str">
        <f aca="false">IF(B140="","",IF(AB140&lt;=0,"Clear",IF(AA140&gt;0,"Partial","Due")))</f>
        <v/>
      </c>
    </row>
    <row r="141" customFormat="false" ht="15" hidden="false" customHeight="false" outlineLevel="0" collapsed="false">
      <c r="A141" s="25" t="n">
        <v>126</v>
      </c>
      <c r="B141" s="82" t="str">
        <f aca="false">IF(Students!B130="","",Students!B130)</f>
        <v/>
      </c>
      <c r="C141" s="37" t="n">
        <f aca="false">'Oct 2026'!F141</f>
        <v>0</v>
      </c>
      <c r="D141" s="37" t="n">
        <f aca="false">IF(B141="",0,N(Students!E130))</f>
        <v>0</v>
      </c>
      <c r="E141" s="23"/>
      <c r="F141" s="26" t="n">
        <f aca="false">N(C141)+N(D141)-N(E141)</f>
        <v>0</v>
      </c>
      <c r="G141" s="37" t="n">
        <f aca="false">'Oct 2026'!J141</f>
        <v>0</v>
      </c>
      <c r="H141" s="37" t="n">
        <f aca="false">IF(B141="",0,N(Students!F130))</f>
        <v>0</v>
      </c>
      <c r="I141" s="23"/>
      <c r="J141" s="26" t="n">
        <f aca="false">N(G141)+N(H141)-N(I141)</f>
        <v>0</v>
      </c>
      <c r="K141" s="37" t="n">
        <f aca="false">'Oct 2026'!N141</f>
        <v>0</v>
      </c>
      <c r="L141" s="37" t="n">
        <f aca="false">IF(B141="",0,N(Students!G130))</f>
        <v>0</v>
      </c>
      <c r="M141" s="23"/>
      <c r="N141" s="26" t="n">
        <f aca="false">N(K141)+N(L141)-N(M141)</f>
        <v>0</v>
      </c>
      <c r="O141" s="37" t="n">
        <f aca="false">'Oct 2026'!R141</f>
        <v>0</v>
      </c>
      <c r="P141" s="37" t="n">
        <f aca="false">IF(B141="",0,N(Students!H130))</f>
        <v>0</v>
      </c>
      <c r="Q141" s="23"/>
      <c r="R141" s="26" t="n">
        <f aca="false">N(O141)+N(P141)-N(Q141)</f>
        <v>0</v>
      </c>
      <c r="S141" s="37" t="n">
        <f aca="false">'Oct 2026'!V141</f>
        <v>0</v>
      </c>
      <c r="T141" s="37" t="n">
        <f aca="false">IF(B141="",0,N(Students!I130))</f>
        <v>0</v>
      </c>
      <c r="U141" s="23"/>
      <c r="V141" s="26" t="n">
        <f aca="false">N(S141)+N(T141)-N(U141)</f>
        <v>0</v>
      </c>
      <c r="W141" s="37" t="n">
        <f aca="false">'Oct 2026'!Z141</f>
        <v>0</v>
      </c>
      <c r="X141" s="37" t="n">
        <f aca="false">IF(B141="",0,N(Students!J130))</f>
        <v>0</v>
      </c>
      <c r="Y141" s="23"/>
      <c r="Z141" s="26" t="n">
        <f aca="false">N(W141)+N(X141)-N(Y141)</f>
        <v>0</v>
      </c>
      <c r="AA141" s="37" t="n">
        <f aca="false">N(E141)+N(I141)+N(M141)+N(Q141)+N(U141)+N(Y141)</f>
        <v>0</v>
      </c>
      <c r="AB141" s="26" t="n">
        <f aca="false">F141+J141+N141+R141+V141+Z141</f>
        <v>0</v>
      </c>
      <c r="AC141" s="83" t="str">
        <f aca="false">IF(B141="","",IF(AB141&lt;=0,"Clear",IF(AA141&gt;0,"Partial","Due")))</f>
        <v/>
      </c>
    </row>
    <row r="142" customFormat="false" ht="15" hidden="false" customHeight="false" outlineLevel="0" collapsed="false">
      <c r="A142" s="21" t="n">
        <v>127</v>
      </c>
      <c r="B142" s="46" t="str">
        <f aca="false">IF(Students!B131="","",Students!B131)</f>
        <v/>
      </c>
      <c r="C142" s="33" t="n">
        <f aca="false">'Oct 2026'!F142</f>
        <v>0</v>
      </c>
      <c r="D142" s="33" t="n">
        <f aca="false">IF(B142="",0,N(Students!E131))</f>
        <v>0</v>
      </c>
      <c r="E142" s="23"/>
      <c r="F142" s="24" t="n">
        <f aca="false">N(C142)+N(D142)-N(E142)</f>
        <v>0</v>
      </c>
      <c r="G142" s="33" t="n">
        <f aca="false">'Oct 2026'!J142</f>
        <v>0</v>
      </c>
      <c r="H142" s="33" t="n">
        <f aca="false">IF(B142="",0,N(Students!F131))</f>
        <v>0</v>
      </c>
      <c r="I142" s="23"/>
      <c r="J142" s="24" t="n">
        <f aca="false">N(G142)+N(H142)-N(I142)</f>
        <v>0</v>
      </c>
      <c r="K142" s="33" t="n">
        <f aca="false">'Oct 2026'!N142</f>
        <v>0</v>
      </c>
      <c r="L142" s="33" t="n">
        <f aca="false">IF(B142="",0,N(Students!G131))</f>
        <v>0</v>
      </c>
      <c r="M142" s="23"/>
      <c r="N142" s="24" t="n">
        <f aca="false">N(K142)+N(L142)-N(M142)</f>
        <v>0</v>
      </c>
      <c r="O142" s="33" t="n">
        <f aca="false">'Oct 2026'!R142</f>
        <v>0</v>
      </c>
      <c r="P142" s="33" t="n">
        <f aca="false">IF(B142="",0,N(Students!H131))</f>
        <v>0</v>
      </c>
      <c r="Q142" s="23"/>
      <c r="R142" s="24" t="n">
        <f aca="false">N(O142)+N(P142)-N(Q142)</f>
        <v>0</v>
      </c>
      <c r="S142" s="33" t="n">
        <f aca="false">'Oct 2026'!V142</f>
        <v>0</v>
      </c>
      <c r="T142" s="33" t="n">
        <f aca="false">IF(B142="",0,N(Students!I131))</f>
        <v>0</v>
      </c>
      <c r="U142" s="23"/>
      <c r="V142" s="24" t="n">
        <f aca="false">N(S142)+N(T142)-N(U142)</f>
        <v>0</v>
      </c>
      <c r="W142" s="33" t="n">
        <f aca="false">'Oct 2026'!Z142</f>
        <v>0</v>
      </c>
      <c r="X142" s="33" t="n">
        <f aca="false">IF(B142="",0,N(Students!J131))</f>
        <v>0</v>
      </c>
      <c r="Y142" s="23"/>
      <c r="Z142" s="24" t="n">
        <f aca="false">N(W142)+N(X142)-N(Y142)</f>
        <v>0</v>
      </c>
      <c r="AA142" s="33" t="n">
        <f aca="false">N(E142)+N(I142)+N(M142)+N(Q142)+N(U142)+N(Y142)</f>
        <v>0</v>
      </c>
      <c r="AB142" s="24" t="n">
        <f aca="false">F142+J142+N142+R142+V142+Z142</f>
        <v>0</v>
      </c>
      <c r="AC142" s="81" t="str">
        <f aca="false">IF(B142="","",IF(AB142&lt;=0,"Clear",IF(AA142&gt;0,"Partial","Due")))</f>
        <v/>
      </c>
    </row>
    <row r="143" customFormat="false" ht="15" hidden="false" customHeight="false" outlineLevel="0" collapsed="false">
      <c r="A143" s="25" t="n">
        <v>128</v>
      </c>
      <c r="B143" s="82" t="str">
        <f aca="false">IF(Students!B132="","",Students!B132)</f>
        <v/>
      </c>
      <c r="C143" s="37" t="n">
        <f aca="false">'Oct 2026'!F143</f>
        <v>0</v>
      </c>
      <c r="D143" s="37" t="n">
        <f aca="false">IF(B143="",0,N(Students!E132))</f>
        <v>0</v>
      </c>
      <c r="E143" s="23"/>
      <c r="F143" s="26" t="n">
        <f aca="false">N(C143)+N(D143)-N(E143)</f>
        <v>0</v>
      </c>
      <c r="G143" s="37" t="n">
        <f aca="false">'Oct 2026'!J143</f>
        <v>0</v>
      </c>
      <c r="H143" s="37" t="n">
        <f aca="false">IF(B143="",0,N(Students!F132))</f>
        <v>0</v>
      </c>
      <c r="I143" s="23"/>
      <c r="J143" s="26" t="n">
        <f aca="false">N(G143)+N(H143)-N(I143)</f>
        <v>0</v>
      </c>
      <c r="K143" s="37" t="n">
        <f aca="false">'Oct 2026'!N143</f>
        <v>0</v>
      </c>
      <c r="L143" s="37" t="n">
        <f aca="false">IF(B143="",0,N(Students!G132))</f>
        <v>0</v>
      </c>
      <c r="M143" s="23"/>
      <c r="N143" s="26" t="n">
        <f aca="false">N(K143)+N(L143)-N(M143)</f>
        <v>0</v>
      </c>
      <c r="O143" s="37" t="n">
        <f aca="false">'Oct 2026'!R143</f>
        <v>0</v>
      </c>
      <c r="P143" s="37" t="n">
        <f aca="false">IF(B143="",0,N(Students!H132))</f>
        <v>0</v>
      </c>
      <c r="Q143" s="23"/>
      <c r="R143" s="26" t="n">
        <f aca="false">N(O143)+N(P143)-N(Q143)</f>
        <v>0</v>
      </c>
      <c r="S143" s="37" t="n">
        <f aca="false">'Oct 2026'!V143</f>
        <v>0</v>
      </c>
      <c r="T143" s="37" t="n">
        <f aca="false">IF(B143="",0,N(Students!I132))</f>
        <v>0</v>
      </c>
      <c r="U143" s="23"/>
      <c r="V143" s="26" t="n">
        <f aca="false">N(S143)+N(T143)-N(U143)</f>
        <v>0</v>
      </c>
      <c r="W143" s="37" t="n">
        <f aca="false">'Oct 2026'!Z143</f>
        <v>0</v>
      </c>
      <c r="X143" s="37" t="n">
        <f aca="false">IF(B143="",0,N(Students!J132))</f>
        <v>0</v>
      </c>
      <c r="Y143" s="23"/>
      <c r="Z143" s="26" t="n">
        <f aca="false">N(W143)+N(X143)-N(Y143)</f>
        <v>0</v>
      </c>
      <c r="AA143" s="37" t="n">
        <f aca="false">N(E143)+N(I143)+N(M143)+N(Q143)+N(U143)+N(Y143)</f>
        <v>0</v>
      </c>
      <c r="AB143" s="26" t="n">
        <f aca="false">F143+J143+N143+R143+V143+Z143</f>
        <v>0</v>
      </c>
      <c r="AC143" s="83" t="str">
        <f aca="false">IF(B143="","",IF(AB143&lt;=0,"Clear",IF(AA143&gt;0,"Partial","Due")))</f>
        <v/>
      </c>
    </row>
    <row r="144" customFormat="false" ht="15" hidden="false" customHeight="false" outlineLevel="0" collapsed="false">
      <c r="A144" s="21" t="n">
        <v>129</v>
      </c>
      <c r="B144" s="46" t="str">
        <f aca="false">IF(Students!B133="","",Students!B133)</f>
        <v/>
      </c>
      <c r="C144" s="33" t="n">
        <f aca="false">'Oct 2026'!F144</f>
        <v>0</v>
      </c>
      <c r="D144" s="33" t="n">
        <f aca="false">IF(B144="",0,N(Students!E133))</f>
        <v>0</v>
      </c>
      <c r="E144" s="23"/>
      <c r="F144" s="24" t="n">
        <f aca="false">N(C144)+N(D144)-N(E144)</f>
        <v>0</v>
      </c>
      <c r="G144" s="33" t="n">
        <f aca="false">'Oct 2026'!J144</f>
        <v>0</v>
      </c>
      <c r="H144" s="33" t="n">
        <f aca="false">IF(B144="",0,N(Students!F133))</f>
        <v>0</v>
      </c>
      <c r="I144" s="23"/>
      <c r="J144" s="24" t="n">
        <f aca="false">N(G144)+N(H144)-N(I144)</f>
        <v>0</v>
      </c>
      <c r="K144" s="33" t="n">
        <f aca="false">'Oct 2026'!N144</f>
        <v>0</v>
      </c>
      <c r="L144" s="33" t="n">
        <f aca="false">IF(B144="",0,N(Students!G133))</f>
        <v>0</v>
      </c>
      <c r="M144" s="23"/>
      <c r="N144" s="24" t="n">
        <f aca="false">N(K144)+N(L144)-N(M144)</f>
        <v>0</v>
      </c>
      <c r="O144" s="33" t="n">
        <f aca="false">'Oct 2026'!R144</f>
        <v>0</v>
      </c>
      <c r="P144" s="33" t="n">
        <f aca="false">IF(B144="",0,N(Students!H133))</f>
        <v>0</v>
      </c>
      <c r="Q144" s="23"/>
      <c r="R144" s="24" t="n">
        <f aca="false">N(O144)+N(P144)-N(Q144)</f>
        <v>0</v>
      </c>
      <c r="S144" s="33" t="n">
        <f aca="false">'Oct 2026'!V144</f>
        <v>0</v>
      </c>
      <c r="T144" s="33" t="n">
        <f aca="false">IF(B144="",0,N(Students!I133))</f>
        <v>0</v>
      </c>
      <c r="U144" s="23"/>
      <c r="V144" s="24" t="n">
        <f aca="false">N(S144)+N(T144)-N(U144)</f>
        <v>0</v>
      </c>
      <c r="W144" s="33" t="n">
        <f aca="false">'Oct 2026'!Z144</f>
        <v>0</v>
      </c>
      <c r="X144" s="33" t="n">
        <f aca="false">IF(B144="",0,N(Students!J133))</f>
        <v>0</v>
      </c>
      <c r="Y144" s="23"/>
      <c r="Z144" s="24" t="n">
        <f aca="false">N(W144)+N(X144)-N(Y144)</f>
        <v>0</v>
      </c>
      <c r="AA144" s="33" t="n">
        <f aca="false">N(E144)+N(I144)+N(M144)+N(Q144)+N(U144)+N(Y144)</f>
        <v>0</v>
      </c>
      <c r="AB144" s="24" t="n">
        <f aca="false">F144+J144+N144+R144+V144+Z144</f>
        <v>0</v>
      </c>
      <c r="AC144" s="81" t="str">
        <f aca="false">IF(B144="","",IF(AB144&lt;=0,"Clear",IF(AA144&gt;0,"Partial","Due")))</f>
        <v/>
      </c>
    </row>
    <row r="145" customFormat="false" ht="15" hidden="false" customHeight="false" outlineLevel="0" collapsed="false">
      <c r="A145" s="25" t="n">
        <v>130</v>
      </c>
      <c r="B145" s="82" t="str">
        <f aca="false">IF(Students!B134="","",Students!B134)</f>
        <v/>
      </c>
      <c r="C145" s="37" t="n">
        <f aca="false">'Oct 2026'!F145</f>
        <v>0</v>
      </c>
      <c r="D145" s="37" t="n">
        <f aca="false">IF(B145="",0,N(Students!E134))</f>
        <v>0</v>
      </c>
      <c r="E145" s="23"/>
      <c r="F145" s="26" t="n">
        <f aca="false">N(C145)+N(D145)-N(E145)</f>
        <v>0</v>
      </c>
      <c r="G145" s="37" t="n">
        <f aca="false">'Oct 2026'!J145</f>
        <v>0</v>
      </c>
      <c r="H145" s="37" t="n">
        <f aca="false">IF(B145="",0,N(Students!F134))</f>
        <v>0</v>
      </c>
      <c r="I145" s="23"/>
      <c r="J145" s="26" t="n">
        <f aca="false">N(G145)+N(H145)-N(I145)</f>
        <v>0</v>
      </c>
      <c r="K145" s="37" t="n">
        <f aca="false">'Oct 2026'!N145</f>
        <v>0</v>
      </c>
      <c r="L145" s="37" t="n">
        <f aca="false">IF(B145="",0,N(Students!G134))</f>
        <v>0</v>
      </c>
      <c r="M145" s="23"/>
      <c r="N145" s="26" t="n">
        <f aca="false">N(K145)+N(L145)-N(M145)</f>
        <v>0</v>
      </c>
      <c r="O145" s="37" t="n">
        <f aca="false">'Oct 2026'!R145</f>
        <v>0</v>
      </c>
      <c r="P145" s="37" t="n">
        <f aca="false">IF(B145="",0,N(Students!H134))</f>
        <v>0</v>
      </c>
      <c r="Q145" s="23"/>
      <c r="R145" s="26" t="n">
        <f aca="false">N(O145)+N(P145)-N(Q145)</f>
        <v>0</v>
      </c>
      <c r="S145" s="37" t="n">
        <f aca="false">'Oct 2026'!V145</f>
        <v>0</v>
      </c>
      <c r="T145" s="37" t="n">
        <f aca="false">IF(B145="",0,N(Students!I134))</f>
        <v>0</v>
      </c>
      <c r="U145" s="23"/>
      <c r="V145" s="26" t="n">
        <f aca="false">N(S145)+N(T145)-N(U145)</f>
        <v>0</v>
      </c>
      <c r="W145" s="37" t="n">
        <f aca="false">'Oct 2026'!Z145</f>
        <v>0</v>
      </c>
      <c r="X145" s="37" t="n">
        <f aca="false">IF(B145="",0,N(Students!J134))</f>
        <v>0</v>
      </c>
      <c r="Y145" s="23"/>
      <c r="Z145" s="26" t="n">
        <f aca="false">N(W145)+N(X145)-N(Y145)</f>
        <v>0</v>
      </c>
      <c r="AA145" s="37" t="n">
        <f aca="false">N(E145)+N(I145)+N(M145)+N(Q145)+N(U145)+N(Y145)</f>
        <v>0</v>
      </c>
      <c r="AB145" s="26" t="n">
        <f aca="false">F145+J145+N145+R145+V145+Z145</f>
        <v>0</v>
      </c>
      <c r="AC145" s="83" t="str">
        <f aca="false">IF(B145="","",IF(AB145&lt;=0,"Clear",IF(AA145&gt;0,"Partial","Due")))</f>
        <v/>
      </c>
    </row>
    <row r="146" customFormat="false" ht="15" hidden="false" customHeight="false" outlineLevel="0" collapsed="false">
      <c r="A146" s="21" t="n">
        <v>131</v>
      </c>
      <c r="B146" s="46" t="str">
        <f aca="false">IF(Students!B135="","",Students!B135)</f>
        <v/>
      </c>
      <c r="C146" s="33" t="n">
        <f aca="false">'Oct 2026'!F146</f>
        <v>0</v>
      </c>
      <c r="D146" s="33" t="n">
        <f aca="false">IF(B146="",0,N(Students!E135))</f>
        <v>0</v>
      </c>
      <c r="E146" s="23"/>
      <c r="F146" s="24" t="n">
        <f aca="false">N(C146)+N(D146)-N(E146)</f>
        <v>0</v>
      </c>
      <c r="G146" s="33" t="n">
        <f aca="false">'Oct 2026'!J146</f>
        <v>0</v>
      </c>
      <c r="H146" s="33" t="n">
        <f aca="false">IF(B146="",0,N(Students!F135))</f>
        <v>0</v>
      </c>
      <c r="I146" s="23"/>
      <c r="J146" s="24" t="n">
        <f aca="false">N(G146)+N(H146)-N(I146)</f>
        <v>0</v>
      </c>
      <c r="K146" s="33" t="n">
        <f aca="false">'Oct 2026'!N146</f>
        <v>0</v>
      </c>
      <c r="L146" s="33" t="n">
        <f aca="false">IF(B146="",0,N(Students!G135))</f>
        <v>0</v>
      </c>
      <c r="M146" s="23"/>
      <c r="N146" s="24" t="n">
        <f aca="false">N(K146)+N(L146)-N(M146)</f>
        <v>0</v>
      </c>
      <c r="O146" s="33" t="n">
        <f aca="false">'Oct 2026'!R146</f>
        <v>0</v>
      </c>
      <c r="P146" s="33" t="n">
        <f aca="false">IF(B146="",0,N(Students!H135))</f>
        <v>0</v>
      </c>
      <c r="Q146" s="23"/>
      <c r="R146" s="24" t="n">
        <f aca="false">N(O146)+N(P146)-N(Q146)</f>
        <v>0</v>
      </c>
      <c r="S146" s="33" t="n">
        <f aca="false">'Oct 2026'!V146</f>
        <v>0</v>
      </c>
      <c r="T146" s="33" t="n">
        <f aca="false">IF(B146="",0,N(Students!I135))</f>
        <v>0</v>
      </c>
      <c r="U146" s="23"/>
      <c r="V146" s="24" t="n">
        <f aca="false">N(S146)+N(T146)-N(U146)</f>
        <v>0</v>
      </c>
      <c r="W146" s="33" t="n">
        <f aca="false">'Oct 2026'!Z146</f>
        <v>0</v>
      </c>
      <c r="X146" s="33" t="n">
        <f aca="false">IF(B146="",0,N(Students!J135))</f>
        <v>0</v>
      </c>
      <c r="Y146" s="23"/>
      <c r="Z146" s="24" t="n">
        <f aca="false">N(W146)+N(X146)-N(Y146)</f>
        <v>0</v>
      </c>
      <c r="AA146" s="33" t="n">
        <f aca="false">N(E146)+N(I146)+N(M146)+N(Q146)+N(U146)+N(Y146)</f>
        <v>0</v>
      </c>
      <c r="AB146" s="24" t="n">
        <f aca="false">F146+J146+N146+R146+V146+Z146</f>
        <v>0</v>
      </c>
      <c r="AC146" s="81" t="str">
        <f aca="false">IF(B146="","",IF(AB146&lt;=0,"Clear",IF(AA146&gt;0,"Partial","Due")))</f>
        <v/>
      </c>
    </row>
    <row r="147" customFormat="false" ht="15" hidden="false" customHeight="false" outlineLevel="0" collapsed="false">
      <c r="A147" s="25" t="n">
        <v>132</v>
      </c>
      <c r="B147" s="82" t="str">
        <f aca="false">IF(Students!B136="","",Students!B136)</f>
        <v/>
      </c>
      <c r="C147" s="37" t="n">
        <f aca="false">'Oct 2026'!F147</f>
        <v>0</v>
      </c>
      <c r="D147" s="37" t="n">
        <f aca="false">IF(B147="",0,N(Students!E136))</f>
        <v>0</v>
      </c>
      <c r="E147" s="23"/>
      <c r="F147" s="26" t="n">
        <f aca="false">N(C147)+N(D147)-N(E147)</f>
        <v>0</v>
      </c>
      <c r="G147" s="37" t="n">
        <f aca="false">'Oct 2026'!J147</f>
        <v>0</v>
      </c>
      <c r="H147" s="37" t="n">
        <f aca="false">IF(B147="",0,N(Students!F136))</f>
        <v>0</v>
      </c>
      <c r="I147" s="23"/>
      <c r="J147" s="26" t="n">
        <f aca="false">N(G147)+N(H147)-N(I147)</f>
        <v>0</v>
      </c>
      <c r="K147" s="37" t="n">
        <f aca="false">'Oct 2026'!N147</f>
        <v>0</v>
      </c>
      <c r="L147" s="37" t="n">
        <f aca="false">IF(B147="",0,N(Students!G136))</f>
        <v>0</v>
      </c>
      <c r="M147" s="23"/>
      <c r="N147" s="26" t="n">
        <f aca="false">N(K147)+N(L147)-N(M147)</f>
        <v>0</v>
      </c>
      <c r="O147" s="37" t="n">
        <f aca="false">'Oct 2026'!R147</f>
        <v>0</v>
      </c>
      <c r="P147" s="37" t="n">
        <f aca="false">IF(B147="",0,N(Students!H136))</f>
        <v>0</v>
      </c>
      <c r="Q147" s="23"/>
      <c r="R147" s="26" t="n">
        <f aca="false">N(O147)+N(P147)-N(Q147)</f>
        <v>0</v>
      </c>
      <c r="S147" s="37" t="n">
        <f aca="false">'Oct 2026'!V147</f>
        <v>0</v>
      </c>
      <c r="T147" s="37" t="n">
        <f aca="false">IF(B147="",0,N(Students!I136))</f>
        <v>0</v>
      </c>
      <c r="U147" s="23"/>
      <c r="V147" s="26" t="n">
        <f aca="false">N(S147)+N(T147)-N(U147)</f>
        <v>0</v>
      </c>
      <c r="W147" s="37" t="n">
        <f aca="false">'Oct 2026'!Z147</f>
        <v>0</v>
      </c>
      <c r="X147" s="37" t="n">
        <f aca="false">IF(B147="",0,N(Students!J136))</f>
        <v>0</v>
      </c>
      <c r="Y147" s="23"/>
      <c r="Z147" s="26" t="n">
        <f aca="false">N(W147)+N(X147)-N(Y147)</f>
        <v>0</v>
      </c>
      <c r="AA147" s="37" t="n">
        <f aca="false">N(E147)+N(I147)+N(M147)+N(Q147)+N(U147)+N(Y147)</f>
        <v>0</v>
      </c>
      <c r="AB147" s="26" t="n">
        <f aca="false">F147+J147+N147+R147+V147+Z147</f>
        <v>0</v>
      </c>
      <c r="AC147" s="83" t="str">
        <f aca="false">IF(B147="","",IF(AB147&lt;=0,"Clear",IF(AA147&gt;0,"Partial","Due")))</f>
        <v/>
      </c>
    </row>
    <row r="148" customFormat="false" ht="15" hidden="false" customHeight="false" outlineLevel="0" collapsed="false">
      <c r="A148" s="21" t="n">
        <v>133</v>
      </c>
      <c r="B148" s="46" t="str">
        <f aca="false">IF(Students!B137="","",Students!B137)</f>
        <v/>
      </c>
      <c r="C148" s="33" t="n">
        <f aca="false">'Oct 2026'!F148</f>
        <v>0</v>
      </c>
      <c r="D148" s="33" t="n">
        <f aca="false">IF(B148="",0,N(Students!E137))</f>
        <v>0</v>
      </c>
      <c r="E148" s="23"/>
      <c r="F148" s="24" t="n">
        <f aca="false">N(C148)+N(D148)-N(E148)</f>
        <v>0</v>
      </c>
      <c r="G148" s="33" t="n">
        <f aca="false">'Oct 2026'!J148</f>
        <v>0</v>
      </c>
      <c r="H148" s="33" t="n">
        <f aca="false">IF(B148="",0,N(Students!F137))</f>
        <v>0</v>
      </c>
      <c r="I148" s="23"/>
      <c r="J148" s="24" t="n">
        <f aca="false">N(G148)+N(H148)-N(I148)</f>
        <v>0</v>
      </c>
      <c r="K148" s="33" t="n">
        <f aca="false">'Oct 2026'!N148</f>
        <v>0</v>
      </c>
      <c r="L148" s="33" t="n">
        <f aca="false">IF(B148="",0,N(Students!G137))</f>
        <v>0</v>
      </c>
      <c r="M148" s="23"/>
      <c r="N148" s="24" t="n">
        <f aca="false">N(K148)+N(L148)-N(M148)</f>
        <v>0</v>
      </c>
      <c r="O148" s="33" t="n">
        <f aca="false">'Oct 2026'!R148</f>
        <v>0</v>
      </c>
      <c r="P148" s="33" t="n">
        <f aca="false">IF(B148="",0,N(Students!H137))</f>
        <v>0</v>
      </c>
      <c r="Q148" s="23"/>
      <c r="R148" s="24" t="n">
        <f aca="false">N(O148)+N(P148)-N(Q148)</f>
        <v>0</v>
      </c>
      <c r="S148" s="33" t="n">
        <f aca="false">'Oct 2026'!V148</f>
        <v>0</v>
      </c>
      <c r="T148" s="33" t="n">
        <f aca="false">IF(B148="",0,N(Students!I137))</f>
        <v>0</v>
      </c>
      <c r="U148" s="23"/>
      <c r="V148" s="24" t="n">
        <f aca="false">N(S148)+N(T148)-N(U148)</f>
        <v>0</v>
      </c>
      <c r="W148" s="33" t="n">
        <f aca="false">'Oct 2026'!Z148</f>
        <v>0</v>
      </c>
      <c r="X148" s="33" t="n">
        <f aca="false">IF(B148="",0,N(Students!J137))</f>
        <v>0</v>
      </c>
      <c r="Y148" s="23"/>
      <c r="Z148" s="24" t="n">
        <f aca="false">N(W148)+N(X148)-N(Y148)</f>
        <v>0</v>
      </c>
      <c r="AA148" s="33" t="n">
        <f aca="false">N(E148)+N(I148)+N(M148)+N(Q148)+N(U148)+N(Y148)</f>
        <v>0</v>
      </c>
      <c r="AB148" s="24" t="n">
        <f aca="false">F148+J148+N148+R148+V148+Z148</f>
        <v>0</v>
      </c>
      <c r="AC148" s="81" t="str">
        <f aca="false">IF(B148="","",IF(AB148&lt;=0,"Clear",IF(AA148&gt;0,"Partial","Due")))</f>
        <v/>
      </c>
    </row>
    <row r="149" customFormat="false" ht="15" hidden="false" customHeight="false" outlineLevel="0" collapsed="false">
      <c r="A149" s="25" t="n">
        <v>134</v>
      </c>
      <c r="B149" s="82" t="str">
        <f aca="false">IF(Students!B138="","",Students!B138)</f>
        <v/>
      </c>
      <c r="C149" s="37" t="n">
        <f aca="false">'Oct 2026'!F149</f>
        <v>0</v>
      </c>
      <c r="D149" s="37" t="n">
        <f aca="false">IF(B149="",0,N(Students!E138))</f>
        <v>0</v>
      </c>
      <c r="E149" s="23"/>
      <c r="F149" s="26" t="n">
        <f aca="false">N(C149)+N(D149)-N(E149)</f>
        <v>0</v>
      </c>
      <c r="G149" s="37" t="n">
        <f aca="false">'Oct 2026'!J149</f>
        <v>0</v>
      </c>
      <c r="H149" s="37" t="n">
        <f aca="false">IF(B149="",0,N(Students!F138))</f>
        <v>0</v>
      </c>
      <c r="I149" s="23"/>
      <c r="J149" s="26" t="n">
        <f aca="false">N(G149)+N(H149)-N(I149)</f>
        <v>0</v>
      </c>
      <c r="K149" s="37" t="n">
        <f aca="false">'Oct 2026'!N149</f>
        <v>0</v>
      </c>
      <c r="L149" s="37" t="n">
        <f aca="false">IF(B149="",0,N(Students!G138))</f>
        <v>0</v>
      </c>
      <c r="M149" s="23"/>
      <c r="N149" s="26" t="n">
        <f aca="false">N(K149)+N(L149)-N(M149)</f>
        <v>0</v>
      </c>
      <c r="O149" s="37" t="n">
        <f aca="false">'Oct 2026'!R149</f>
        <v>0</v>
      </c>
      <c r="P149" s="37" t="n">
        <f aca="false">IF(B149="",0,N(Students!H138))</f>
        <v>0</v>
      </c>
      <c r="Q149" s="23"/>
      <c r="R149" s="26" t="n">
        <f aca="false">N(O149)+N(P149)-N(Q149)</f>
        <v>0</v>
      </c>
      <c r="S149" s="37" t="n">
        <f aca="false">'Oct 2026'!V149</f>
        <v>0</v>
      </c>
      <c r="T149" s="37" t="n">
        <f aca="false">IF(B149="",0,N(Students!I138))</f>
        <v>0</v>
      </c>
      <c r="U149" s="23"/>
      <c r="V149" s="26" t="n">
        <f aca="false">N(S149)+N(T149)-N(U149)</f>
        <v>0</v>
      </c>
      <c r="W149" s="37" t="n">
        <f aca="false">'Oct 2026'!Z149</f>
        <v>0</v>
      </c>
      <c r="X149" s="37" t="n">
        <f aca="false">IF(B149="",0,N(Students!J138))</f>
        <v>0</v>
      </c>
      <c r="Y149" s="23"/>
      <c r="Z149" s="26" t="n">
        <f aca="false">N(W149)+N(X149)-N(Y149)</f>
        <v>0</v>
      </c>
      <c r="AA149" s="37" t="n">
        <f aca="false">N(E149)+N(I149)+N(M149)+N(Q149)+N(U149)+N(Y149)</f>
        <v>0</v>
      </c>
      <c r="AB149" s="26" t="n">
        <f aca="false">F149+J149+N149+R149+V149+Z149</f>
        <v>0</v>
      </c>
      <c r="AC149" s="83" t="str">
        <f aca="false">IF(B149="","",IF(AB149&lt;=0,"Clear",IF(AA149&gt;0,"Partial","Due")))</f>
        <v/>
      </c>
    </row>
    <row r="150" customFormat="false" ht="15" hidden="false" customHeight="false" outlineLevel="0" collapsed="false">
      <c r="A150" s="21" t="n">
        <v>135</v>
      </c>
      <c r="B150" s="46" t="str">
        <f aca="false">IF(Students!B139="","",Students!B139)</f>
        <v/>
      </c>
      <c r="C150" s="33" t="n">
        <f aca="false">'Oct 2026'!F150</f>
        <v>0</v>
      </c>
      <c r="D150" s="33" t="n">
        <f aca="false">IF(B150="",0,N(Students!E139))</f>
        <v>0</v>
      </c>
      <c r="E150" s="23"/>
      <c r="F150" s="24" t="n">
        <f aca="false">N(C150)+N(D150)-N(E150)</f>
        <v>0</v>
      </c>
      <c r="G150" s="33" t="n">
        <f aca="false">'Oct 2026'!J150</f>
        <v>0</v>
      </c>
      <c r="H150" s="33" t="n">
        <f aca="false">IF(B150="",0,N(Students!F139))</f>
        <v>0</v>
      </c>
      <c r="I150" s="23"/>
      <c r="J150" s="24" t="n">
        <f aca="false">N(G150)+N(H150)-N(I150)</f>
        <v>0</v>
      </c>
      <c r="K150" s="33" t="n">
        <f aca="false">'Oct 2026'!N150</f>
        <v>0</v>
      </c>
      <c r="L150" s="33" t="n">
        <f aca="false">IF(B150="",0,N(Students!G139))</f>
        <v>0</v>
      </c>
      <c r="M150" s="23"/>
      <c r="N150" s="24" t="n">
        <f aca="false">N(K150)+N(L150)-N(M150)</f>
        <v>0</v>
      </c>
      <c r="O150" s="33" t="n">
        <f aca="false">'Oct 2026'!R150</f>
        <v>0</v>
      </c>
      <c r="P150" s="33" t="n">
        <f aca="false">IF(B150="",0,N(Students!H139))</f>
        <v>0</v>
      </c>
      <c r="Q150" s="23"/>
      <c r="R150" s="24" t="n">
        <f aca="false">N(O150)+N(P150)-N(Q150)</f>
        <v>0</v>
      </c>
      <c r="S150" s="33" t="n">
        <f aca="false">'Oct 2026'!V150</f>
        <v>0</v>
      </c>
      <c r="T150" s="33" t="n">
        <f aca="false">IF(B150="",0,N(Students!I139))</f>
        <v>0</v>
      </c>
      <c r="U150" s="23"/>
      <c r="V150" s="24" t="n">
        <f aca="false">N(S150)+N(T150)-N(U150)</f>
        <v>0</v>
      </c>
      <c r="W150" s="33" t="n">
        <f aca="false">'Oct 2026'!Z150</f>
        <v>0</v>
      </c>
      <c r="X150" s="33" t="n">
        <f aca="false">IF(B150="",0,N(Students!J139))</f>
        <v>0</v>
      </c>
      <c r="Y150" s="23"/>
      <c r="Z150" s="24" t="n">
        <f aca="false">N(W150)+N(X150)-N(Y150)</f>
        <v>0</v>
      </c>
      <c r="AA150" s="33" t="n">
        <f aca="false">N(E150)+N(I150)+N(M150)+N(Q150)+N(U150)+N(Y150)</f>
        <v>0</v>
      </c>
      <c r="AB150" s="24" t="n">
        <f aca="false">F150+J150+N150+R150+V150+Z150</f>
        <v>0</v>
      </c>
      <c r="AC150" s="81" t="str">
        <f aca="false">IF(B150="","",IF(AB150&lt;=0,"Clear",IF(AA150&gt;0,"Partial","Due")))</f>
        <v/>
      </c>
    </row>
    <row r="151" customFormat="false" ht="15" hidden="false" customHeight="false" outlineLevel="0" collapsed="false">
      <c r="A151" s="25" t="n">
        <v>136</v>
      </c>
      <c r="B151" s="82" t="str">
        <f aca="false">IF(Students!B140="","",Students!B140)</f>
        <v/>
      </c>
      <c r="C151" s="37" t="n">
        <f aca="false">'Oct 2026'!F151</f>
        <v>0</v>
      </c>
      <c r="D151" s="37" t="n">
        <f aca="false">IF(B151="",0,N(Students!E140))</f>
        <v>0</v>
      </c>
      <c r="E151" s="23"/>
      <c r="F151" s="26" t="n">
        <f aca="false">N(C151)+N(D151)-N(E151)</f>
        <v>0</v>
      </c>
      <c r="G151" s="37" t="n">
        <f aca="false">'Oct 2026'!J151</f>
        <v>0</v>
      </c>
      <c r="H151" s="37" t="n">
        <f aca="false">IF(B151="",0,N(Students!F140))</f>
        <v>0</v>
      </c>
      <c r="I151" s="23"/>
      <c r="J151" s="26" t="n">
        <f aca="false">N(G151)+N(H151)-N(I151)</f>
        <v>0</v>
      </c>
      <c r="K151" s="37" t="n">
        <f aca="false">'Oct 2026'!N151</f>
        <v>0</v>
      </c>
      <c r="L151" s="37" t="n">
        <f aca="false">IF(B151="",0,N(Students!G140))</f>
        <v>0</v>
      </c>
      <c r="M151" s="23"/>
      <c r="N151" s="26" t="n">
        <f aca="false">N(K151)+N(L151)-N(M151)</f>
        <v>0</v>
      </c>
      <c r="O151" s="37" t="n">
        <f aca="false">'Oct 2026'!R151</f>
        <v>0</v>
      </c>
      <c r="P151" s="37" t="n">
        <f aca="false">IF(B151="",0,N(Students!H140))</f>
        <v>0</v>
      </c>
      <c r="Q151" s="23"/>
      <c r="R151" s="26" t="n">
        <f aca="false">N(O151)+N(P151)-N(Q151)</f>
        <v>0</v>
      </c>
      <c r="S151" s="37" t="n">
        <f aca="false">'Oct 2026'!V151</f>
        <v>0</v>
      </c>
      <c r="T151" s="37" t="n">
        <f aca="false">IF(B151="",0,N(Students!I140))</f>
        <v>0</v>
      </c>
      <c r="U151" s="23"/>
      <c r="V151" s="26" t="n">
        <f aca="false">N(S151)+N(T151)-N(U151)</f>
        <v>0</v>
      </c>
      <c r="W151" s="37" t="n">
        <f aca="false">'Oct 2026'!Z151</f>
        <v>0</v>
      </c>
      <c r="X151" s="37" t="n">
        <f aca="false">IF(B151="",0,N(Students!J140))</f>
        <v>0</v>
      </c>
      <c r="Y151" s="23"/>
      <c r="Z151" s="26" t="n">
        <f aca="false">N(W151)+N(X151)-N(Y151)</f>
        <v>0</v>
      </c>
      <c r="AA151" s="37" t="n">
        <f aca="false">N(E151)+N(I151)+N(M151)+N(Q151)+N(U151)+N(Y151)</f>
        <v>0</v>
      </c>
      <c r="AB151" s="26" t="n">
        <f aca="false">F151+J151+N151+R151+V151+Z151</f>
        <v>0</v>
      </c>
      <c r="AC151" s="83" t="str">
        <f aca="false">IF(B151="","",IF(AB151&lt;=0,"Clear",IF(AA151&gt;0,"Partial","Due")))</f>
        <v/>
      </c>
    </row>
    <row r="152" customFormat="false" ht="15" hidden="false" customHeight="false" outlineLevel="0" collapsed="false">
      <c r="A152" s="21" t="n">
        <v>137</v>
      </c>
      <c r="B152" s="46" t="str">
        <f aca="false">IF(Students!B141="","",Students!B141)</f>
        <v/>
      </c>
      <c r="C152" s="33" t="n">
        <f aca="false">'Oct 2026'!F152</f>
        <v>0</v>
      </c>
      <c r="D152" s="33" t="n">
        <f aca="false">IF(B152="",0,N(Students!E141))</f>
        <v>0</v>
      </c>
      <c r="E152" s="23"/>
      <c r="F152" s="24" t="n">
        <f aca="false">N(C152)+N(D152)-N(E152)</f>
        <v>0</v>
      </c>
      <c r="G152" s="33" t="n">
        <f aca="false">'Oct 2026'!J152</f>
        <v>0</v>
      </c>
      <c r="H152" s="33" t="n">
        <f aca="false">IF(B152="",0,N(Students!F141))</f>
        <v>0</v>
      </c>
      <c r="I152" s="23"/>
      <c r="J152" s="24" t="n">
        <f aca="false">N(G152)+N(H152)-N(I152)</f>
        <v>0</v>
      </c>
      <c r="K152" s="33" t="n">
        <f aca="false">'Oct 2026'!N152</f>
        <v>0</v>
      </c>
      <c r="L152" s="33" t="n">
        <f aca="false">IF(B152="",0,N(Students!G141))</f>
        <v>0</v>
      </c>
      <c r="M152" s="23"/>
      <c r="N152" s="24" t="n">
        <f aca="false">N(K152)+N(L152)-N(M152)</f>
        <v>0</v>
      </c>
      <c r="O152" s="33" t="n">
        <f aca="false">'Oct 2026'!R152</f>
        <v>0</v>
      </c>
      <c r="P152" s="33" t="n">
        <f aca="false">IF(B152="",0,N(Students!H141))</f>
        <v>0</v>
      </c>
      <c r="Q152" s="23"/>
      <c r="R152" s="24" t="n">
        <f aca="false">N(O152)+N(P152)-N(Q152)</f>
        <v>0</v>
      </c>
      <c r="S152" s="33" t="n">
        <f aca="false">'Oct 2026'!V152</f>
        <v>0</v>
      </c>
      <c r="T152" s="33" t="n">
        <f aca="false">IF(B152="",0,N(Students!I141))</f>
        <v>0</v>
      </c>
      <c r="U152" s="23"/>
      <c r="V152" s="24" t="n">
        <f aca="false">N(S152)+N(T152)-N(U152)</f>
        <v>0</v>
      </c>
      <c r="W152" s="33" t="n">
        <f aca="false">'Oct 2026'!Z152</f>
        <v>0</v>
      </c>
      <c r="X152" s="33" t="n">
        <f aca="false">IF(B152="",0,N(Students!J141))</f>
        <v>0</v>
      </c>
      <c r="Y152" s="23"/>
      <c r="Z152" s="24" t="n">
        <f aca="false">N(W152)+N(X152)-N(Y152)</f>
        <v>0</v>
      </c>
      <c r="AA152" s="33" t="n">
        <f aca="false">N(E152)+N(I152)+N(M152)+N(Q152)+N(U152)+N(Y152)</f>
        <v>0</v>
      </c>
      <c r="AB152" s="24" t="n">
        <f aca="false">F152+J152+N152+R152+V152+Z152</f>
        <v>0</v>
      </c>
      <c r="AC152" s="81" t="str">
        <f aca="false">IF(B152="","",IF(AB152&lt;=0,"Clear",IF(AA152&gt;0,"Partial","Due")))</f>
        <v/>
      </c>
    </row>
    <row r="153" customFormat="false" ht="15" hidden="false" customHeight="false" outlineLevel="0" collapsed="false">
      <c r="A153" s="25" t="n">
        <v>138</v>
      </c>
      <c r="B153" s="82" t="str">
        <f aca="false">IF(Students!B142="","",Students!B142)</f>
        <v/>
      </c>
      <c r="C153" s="37" t="n">
        <f aca="false">'Oct 2026'!F153</f>
        <v>0</v>
      </c>
      <c r="D153" s="37" t="n">
        <f aca="false">IF(B153="",0,N(Students!E142))</f>
        <v>0</v>
      </c>
      <c r="E153" s="23"/>
      <c r="F153" s="26" t="n">
        <f aca="false">N(C153)+N(D153)-N(E153)</f>
        <v>0</v>
      </c>
      <c r="G153" s="37" t="n">
        <f aca="false">'Oct 2026'!J153</f>
        <v>0</v>
      </c>
      <c r="H153" s="37" t="n">
        <f aca="false">IF(B153="",0,N(Students!F142))</f>
        <v>0</v>
      </c>
      <c r="I153" s="23"/>
      <c r="J153" s="26" t="n">
        <f aca="false">N(G153)+N(H153)-N(I153)</f>
        <v>0</v>
      </c>
      <c r="K153" s="37" t="n">
        <f aca="false">'Oct 2026'!N153</f>
        <v>0</v>
      </c>
      <c r="L153" s="37" t="n">
        <f aca="false">IF(B153="",0,N(Students!G142))</f>
        <v>0</v>
      </c>
      <c r="M153" s="23"/>
      <c r="N153" s="26" t="n">
        <f aca="false">N(K153)+N(L153)-N(M153)</f>
        <v>0</v>
      </c>
      <c r="O153" s="37" t="n">
        <f aca="false">'Oct 2026'!R153</f>
        <v>0</v>
      </c>
      <c r="P153" s="37" t="n">
        <f aca="false">IF(B153="",0,N(Students!H142))</f>
        <v>0</v>
      </c>
      <c r="Q153" s="23"/>
      <c r="R153" s="26" t="n">
        <f aca="false">N(O153)+N(P153)-N(Q153)</f>
        <v>0</v>
      </c>
      <c r="S153" s="37" t="n">
        <f aca="false">'Oct 2026'!V153</f>
        <v>0</v>
      </c>
      <c r="T153" s="37" t="n">
        <f aca="false">IF(B153="",0,N(Students!I142))</f>
        <v>0</v>
      </c>
      <c r="U153" s="23"/>
      <c r="V153" s="26" t="n">
        <f aca="false">N(S153)+N(T153)-N(U153)</f>
        <v>0</v>
      </c>
      <c r="W153" s="37" t="n">
        <f aca="false">'Oct 2026'!Z153</f>
        <v>0</v>
      </c>
      <c r="X153" s="37" t="n">
        <f aca="false">IF(B153="",0,N(Students!J142))</f>
        <v>0</v>
      </c>
      <c r="Y153" s="23"/>
      <c r="Z153" s="26" t="n">
        <f aca="false">N(W153)+N(X153)-N(Y153)</f>
        <v>0</v>
      </c>
      <c r="AA153" s="37" t="n">
        <f aca="false">N(E153)+N(I153)+N(M153)+N(Q153)+N(U153)+N(Y153)</f>
        <v>0</v>
      </c>
      <c r="AB153" s="26" t="n">
        <f aca="false">F153+J153+N153+R153+V153+Z153</f>
        <v>0</v>
      </c>
      <c r="AC153" s="83" t="str">
        <f aca="false">IF(B153="","",IF(AB153&lt;=0,"Clear",IF(AA153&gt;0,"Partial","Due")))</f>
        <v/>
      </c>
    </row>
    <row r="154" customFormat="false" ht="15" hidden="false" customHeight="false" outlineLevel="0" collapsed="false">
      <c r="A154" s="21" t="n">
        <v>139</v>
      </c>
      <c r="B154" s="46" t="str">
        <f aca="false">IF(Students!B143="","",Students!B143)</f>
        <v/>
      </c>
      <c r="C154" s="33" t="n">
        <f aca="false">'Oct 2026'!F154</f>
        <v>0</v>
      </c>
      <c r="D154" s="33" t="n">
        <f aca="false">IF(B154="",0,N(Students!E143))</f>
        <v>0</v>
      </c>
      <c r="E154" s="23"/>
      <c r="F154" s="24" t="n">
        <f aca="false">N(C154)+N(D154)-N(E154)</f>
        <v>0</v>
      </c>
      <c r="G154" s="33" t="n">
        <f aca="false">'Oct 2026'!J154</f>
        <v>0</v>
      </c>
      <c r="H154" s="33" t="n">
        <f aca="false">IF(B154="",0,N(Students!F143))</f>
        <v>0</v>
      </c>
      <c r="I154" s="23"/>
      <c r="J154" s="24" t="n">
        <f aca="false">N(G154)+N(H154)-N(I154)</f>
        <v>0</v>
      </c>
      <c r="K154" s="33" t="n">
        <f aca="false">'Oct 2026'!N154</f>
        <v>0</v>
      </c>
      <c r="L154" s="33" t="n">
        <f aca="false">IF(B154="",0,N(Students!G143))</f>
        <v>0</v>
      </c>
      <c r="M154" s="23"/>
      <c r="N154" s="24" t="n">
        <f aca="false">N(K154)+N(L154)-N(M154)</f>
        <v>0</v>
      </c>
      <c r="O154" s="33" t="n">
        <f aca="false">'Oct 2026'!R154</f>
        <v>0</v>
      </c>
      <c r="P154" s="33" t="n">
        <f aca="false">IF(B154="",0,N(Students!H143))</f>
        <v>0</v>
      </c>
      <c r="Q154" s="23"/>
      <c r="R154" s="24" t="n">
        <f aca="false">N(O154)+N(P154)-N(Q154)</f>
        <v>0</v>
      </c>
      <c r="S154" s="33" t="n">
        <f aca="false">'Oct 2026'!V154</f>
        <v>0</v>
      </c>
      <c r="T154" s="33" t="n">
        <f aca="false">IF(B154="",0,N(Students!I143))</f>
        <v>0</v>
      </c>
      <c r="U154" s="23"/>
      <c r="V154" s="24" t="n">
        <f aca="false">N(S154)+N(T154)-N(U154)</f>
        <v>0</v>
      </c>
      <c r="W154" s="33" t="n">
        <f aca="false">'Oct 2026'!Z154</f>
        <v>0</v>
      </c>
      <c r="X154" s="33" t="n">
        <f aca="false">IF(B154="",0,N(Students!J143))</f>
        <v>0</v>
      </c>
      <c r="Y154" s="23"/>
      <c r="Z154" s="24" t="n">
        <f aca="false">N(W154)+N(X154)-N(Y154)</f>
        <v>0</v>
      </c>
      <c r="AA154" s="33" t="n">
        <f aca="false">N(E154)+N(I154)+N(M154)+N(Q154)+N(U154)+N(Y154)</f>
        <v>0</v>
      </c>
      <c r="AB154" s="24" t="n">
        <f aca="false">F154+J154+N154+R154+V154+Z154</f>
        <v>0</v>
      </c>
      <c r="AC154" s="81" t="str">
        <f aca="false">IF(B154="","",IF(AB154&lt;=0,"Clear",IF(AA154&gt;0,"Partial","Due")))</f>
        <v/>
      </c>
    </row>
    <row r="155" customFormat="false" ht="15" hidden="false" customHeight="false" outlineLevel="0" collapsed="false">
      <c r="A155" s="25" t="n">
        <v>140</v>
      </c>
      <c r="B155" s="82" t="str">
        <f aca="false">IF(Students!B144="","",Students!B144)</f>
        <v/>
      </c>
      <c r="C155" s="37" t="n">
        <f aca="false">'Oct 2026'!F155</f>
        <v>0</v>
      </c>
      <c r="D155" s="37" t="n">
        <f aca="false">IF(B155="",0,N(Students!E144))</f>
        <v>0</v>
      </c>
      <c r="E155" s="23"/>
      <c r="F155" s="26" t="n">
        <f aca="false">N(C155)+N(D155)-N(E155)</f>
        <v>0</v>
      </c>
      <c r="G155" s="37" t="n">
        <f aca="false">'Oct 2026'!J155</f>
        <v>0</v>
      </c>
      <c r="H155" s="37" t="n">
        <f aca="false">IF(B155="",0,N(Students!F144))</f>
        <v>0</v>
      </c>
      <c r="I155" s="23"/>
      <c r="J155" s="26" t="n">
        <f aca="false">N(G155)+N(H155)-N(I155)</f>
        <v>0</v>
      </c>
      <c r="K155" s="37" t="n">
        <f aca="false">'Oct 2026'!N155</f>
        <v>0</v>
      </c>
      <c r="L155" s="37" t="n">
        <f aca="false">IF(B155="",0,N(Students!G144))</f>
        <v>0</v>
      </c>
      <c r="M155" s="23"/>
      <c r="N155" s="26" t="n">
        <f aca="false">N(K155)+N(L155)-N(M155)</f>
        <v>0</v>
      </c>
      <c r="O155" s="37" t="n">
        <f aca="false">'Oct 2026'!R155</f>
        <v>0</v>
      </c>
      <c r="P155" s="37" t="n">
        <f aca="false">IF(B155="",0,N(Students!H144))</f>
        <v>0</v>
      </c>
      <c r="Q155" s="23"/>
      <c r="R155" s="26" t="n">
        <f aca="false">N(O155)+N(P155)-N(Q155)</f>
        <v>0</v>
      </c>
      <c r="S155" s="37" t="n">
        <f aca="false">'Oct 2026'!V155</f>
        <v>0</v>
      </c>
      <c r="T155" s="37" t="n">
        <f aca="false">IF(B155="",0,N(Students!I144))</f>
        <v>0</v>
      </c>
      <c r="U155" s="23"/>
      <c r="V155" s="26" t="n">
        <f aca="false">N(S155)+N(T155)-N(U155)</f>
        <v>0</v>
      </c>
      <c r="W155" s="37" t="n">
        <f aca="false">'Oct 2026'!Z155</f>
        <v>0</v>
      </c>
      <c r="X155" s="37" t="n">
        <f aca="false">IF(B155="",0,N(Students!J144))</f>
        <v>0</v>
      </c>
      <c r="Y155" s="23"/>
      <c r="Z155" s="26" t="n">
        <f aca="false">N(W155)+N(X155)-N(Y155)</f>
        <v>0</v>
      </c>
      <c r="AA155" s="37" t="n">
        <f aca="false">N(E155)+N(I155)+N(M155)+N(Q155)+N(U155)+N(Y155)</f>
        <v>0</v>
      </c>
      <c r="AB155" s="26" t="n">
        <f aca="false">F155+J155+N155+R155+V155+Z155</f>
        <v>0</v>
      </c>
      <c r="AC155" s="83" t="str">
        <f aca="false">IF(B155="","",IF(AB155&lt;=0,"Clear",IF(AA155&gt;0,"Partial","Due")))</f>
        <v/>
      </c>
    </row>
    <row r="156" customFormat="false" ht="15" hidden="false" customHeight="false" outlineLevel="0" collapsed="false">
      <c r="A156" s="21" t="n">
        <v>141</v>
      </c>
      <c r="B156" s="46" t="str">
        <f aca="false">IF(Students!B145="","",Students!B145)</f>
        <v/>
      </c>
      <c r="C156" s="33" t="n">
        <f aca="false">'Oct 2026'!F156</f>
        <v>0</v>
      </c>
      <c r="D156" s="33" t="n">
        <f aca="false">IF(B156="",0,N(Students!E145))</f>
        <v>0</v>
      </c>
      <c r="E156" s="23"/>
      <c r="F156" s="24" t="n">
        <f aca="false">N(C156)+N(D156)-N(E156)</f>
        <v>0</v>
      </c>
      <c r="G156" s="33" t="n">
        <f aca="false">'Oct 2026'!J156</f>
        <v>0</v>
      </c>
      <c r="H156" s="33" t="n">
        <f aca="false">IF(B156="",0,N(Students!F145))</f>
        <v>0</v>
      </c>
      <c r="I156" s="23"/>
      <c r="J156" s="24" t="n">
        <f aca="false">N(G156)+N(H156)-N(I156)</f>
        <v>0</v>
      </c>
      <c r="K156" s="33" t="n">
        <f aca="false">'Oct 2026'!N156</f>
        <v>0</v>
      </c>
      <c r="L156" s="33" t="n">
        <f aca="false">IF(B156="",0,N(Students!G145))</f>
        <v>0</v>
      </c>
      <c r="M156" s="23"/>
      <c r="N156" s="24" t="n">
        <f aca="false">N(K156)+N(L156)-N(M156)</f>
        <v>0</v>
      </c>
      <c r="O156" s="33" t="n">
        <f aca="false">'Oct 2026'!R156</f>
        <v>0</v>
      </c>
      <c r="P156" s="33" t="n">
        <f aca="false">IF(B156="",0,N(Students!H145))</f>
        <v>0</v>
      </c>
      <c r="Q156" s="23"/>
      <c r="R156" s="24" t="n">
        <f aca="false">N(O156)+N(P156)-N(Q156)</f>
        <v>0</v>
      </c>
      <c r="S156" s="33" t="n">
        <f aca="false">'Oct 2026'!V156</f>
        <v>0</v>
      </c>
      <c r="T156" s="33" t="n">
        <f aca="false">IF(B156="",0,N(Students!I145))</f>
        <v>0</v>
      </c>
      <c r="U156" s="23"/>
      <c r="V156" s="24" t="n">
        <f aca="false">N(S156)+N(T156)-N(U156)</f>
        <v>0</v>
      </c>
      <c r="W156" s="33" t="n">
        <f aca="false">'Oct 2026'!Z156</f>
        <v>0</v>
      </c>
      <c r="X156" s="33" t="n">
        <f aca="false">IF(B156="",0,N(Students!J145))</f>
        <v>0</v>
      </c>
      <c r="Y156" s="23"/>
      <c r="Z156" s="24" t="n">
        <f aca="false">N(W156)+N(X156)-N(Y156)</f>
        <v>0</v>
      </c>
      <c r="AA156" s="33" t="n">
        <f aca="false">N(E156)+N(I156)+N(M156)+N(Q156)+N(U156)+N(Y156)</f>
        <v>0</v>
      </c>
      <c r="AB156" s="24" t="n">
        <f aca="false">F156+J156+N156+R156+V156+Z156</f>
        <v>0</v>
      </c>
      <c r="AC156" s="81" t="str">
        <f aca="false">IF(B156="","",IF(AB156&lt;=0,"Clear",IF(AA156&gt;0,"Partial","Due")))</f>
        <v/>
      </c>
    </row>
    <row r="157" customFormat="false" ht="15" hidden="false" customHeight="false" outlineLevel="0" collapsed="false">
      <c r="A157" s="25" t="n">
        <v>142</v>
      </c>
      <c r="B157" s="82" t="str">
        <f aca="false">IF(Students!B146="","",Students!B146)</f>
        <v/>
      </c>
      <c r="C157" s="37" t="n">
        <f aca="false">'Oct 2026'!F157</f>
        <v>0</v>
      </c>
      <c r="D157" s="37" t="n">
        <f aca="false">IF(B157="",0,N(Students!E146))</f>
        <v>0</v>
      </c>
      <c r="E157" s="23"/>
      <c r="F157" s="26" t="n">
        <f aca="false">N(C157)+N(D157)-N(E157)</f>
        <v>0</v>
      </c>
      <c r="G157" s="37" t="n">
        <f aca="false">'Oct 2026'!J157</f>
        <v>0</v>
      </c>
      <c r="H157" s="37" t="n">
        <f aca="false">IF(B157="",0,N(Students!F146))</f>
        <v>0</v>
      </c>
      <c r="I157" s="23"/>
      <c r="J157" s="26" t="n">
        <f aca="false">N(G157)+N(H157)-N(I157)</f>
        <v>0</v>
      </c>
      <c r="K157" s="37" t="n">
        <f aca="false">'Oct 2026'!N157</f>
        <v>0</v>
      </c>
      <c r="L157" s="37" t="n">
        <f aca="false">IF(B157="",0,N(Students!G146))</f>
        <v>0</v>
      </c>
      <c r="M157" s="23"/>
      <c r="N157" s="26" t="n">
        <f aca="false">N(K157)+N(L157)-N(M157)</f>
        <v>0</v>
      </c>
      <c r="O157" s="37" t="n">
        <f aca="false">'Oct 2026'!R157</f>
        <v>0</v>
      </c>
      <c r="P157" s="37" t="n">
        <f aca="false">IF(B157="",0,N(Students!H146))</f>
        <v>0</v>
      </c>
      <c r="Q157" s="23"/>
      <c r="R157" s="26" t="n">
        <f aca="false">N(O157)+N(P157)-N(Q157)</f>
        <v>0</v>
      </c>
      <c r="S157" s="37" t="n">
        <f aca="false">'Oct 2026'!V157</f>
        <v>0</v>
      </c>
      <c r="T157" s="37" t="n">
        <f aca="false">IF(B157="",0,N(Students!I146))</f>
        <v>0</v>
      </c>
      <c r="U157" s="23"/>
      <c r="V157" s="26" t="n">
        <f aca="false">N(S157)+N(T157)-N(U157)</f>
        <v>0</v>
      </c>
      <c r="W157" s="37" t="n">
        <f aca="false">'Oct 2026'!Z157</f>
        <v>0</v>
      </c>
      <c r="X157" s="37" t="n">
        <f aca="false">IF(B157="",0,N(Students!J146))</f>
        <v>0</v>
      </c>
      <c r="Y157" s="23"/>
      <c r="Z157" s="26" t="n">
        <f aca="false">N(W157)+N(X157)-N(Y157)</f>
        <v>0</v>
      </c>
      <c r="AA157" s="37" t="n">
        <f aca="false">N(E157)+N(I157)+N(M157)+N(Q157)+N(U157)+N(Y157)</f>
        <v>0</v>
      </c>
      <c r="AB157" s="26" t="n">
        <f aca="false">F157+J157+N157+R157+V157+Z157</f>
        <v>0</v>
      </c>
      <c r="AC157" s="83" t="str">
        <f aca="false">IF(B157="","",IF(AB157&lt;=0,"Clear",IF(AA157&gt;0,"Partial","Due")))</f>
        <v/>
      </c>
    </row>
    <row r="158" customFormat="false" ht="15" hidden="false" customHeight="false" outlineLevel="0" collapsed="false">
      <c r="A158" s="21" t="n">
        <v>143</v>
      </c>
      <c r="B158" s="46" t="str">
        <f aca="false">IF(Students!B147="","",Students!B147)</f>
        <v/>
      </c>
      <c r="C158" s="33" t="n">
        <f aca="false">'Oct 2026'!F158</f>
        <v>0</v>
      </c>
      <c r="D158" s="33" t="n">
        <f aca="false">IF(B158="",0,N(Students!E147))</f>
        <v>0</v>
      </c>
      <c r="E158" s="23"/>
      <c r="F158" s="24" t="n">
        <f aca="false">N(C158)+N(D158)-N(E158)</f>
        <v>0</v>
      </c>
      <c r="G158" s="33" t="n">
        <f aca="false">'Oct 2026'!J158</f>
        <v>0</v>
      </c>
      <c r="H158" s="33" t="n">
        <f aca="false">IF(B158="",0,N(Students!F147))</f>
        <v>0</v>
      </c>
      <c r="I158" s="23"/>
      <c r="J158" s="24" t="n">
        <f aca="false">N(G158)+N(H158)-N(I158)</f>
        <v>0</v>
      </c>
      <c r="K158" s="33" t="n">
        <f aca="false">'Oct 2026'!N158</f>
        <v>0</v>
      </c>
      <c r="L158" s="33" t="n">
        <f aca="false">IF(B158="",0,N(Students!G147))</f>
        <v>0</v>
      </c>
      <c r="M158" s="23"/>
      <c r="N158" s="24" t="n">
        <f aca="false">N(K158)+N(L158)-N(M158)</f>
        <v>0</v>
      </c>
      <c r="O158" s="33" t="n">
        <f aca="false">'Oct 2026'!R158</f>
        <v>0</v>
      </c>
      <c r="P158" s="33" t="n">
        <f aca="false">IF(B158="",0,N(Students!H147))</f>
        <v>0</v>
      </c>
      <c r="Q158" s="23"/>
      <c r="R158" s="24" t="n">
        <f aca="false">N(O158)+N(P158)-N(Q158)</f>
        <v>0</v>
      </c>
      <c r="S158" s="33" t="n">
        <f aca="false">'Oct 2026'!V158</f>
        <v>0</v>
      </c>
      <c r="T158" s="33" t="n">
        <f aca="false">IF(B158="",0,N(Students!I147))</f>
        <v>0</v>
      </c>
      <c r="U158" s="23"/>
      <c r="V158" s="24" t="n">
        <f aca="false">N(S158)+N(T158)-N(U158)</f>
        <v>0</v>
      </c>
      <c r="W158" s="33" t="n">
        <f aca="false">'Oct 2026'!Z158</f>
        <v>0</v>
      </c>
      <c r="X158" s="33" t="n">
        <f aca="false">IF(B158="",0,N(Students!J147))</f>
        <v>0</v>
      </c>
      <c r="Y158" s="23"/>
      <c r="Z158" s="24" t="n">
        <f aca="false">N(W158)+N(X158)-N(Y158)</f>
        <v>0</v>
      </c>
      <c r="AA158" s="33" t="n">
        <f aca="false">N(E158)+N(I158)+N(M158)+N(Q158)+N(U158)+N(Y158)</f>
        <v>0</v>
      </c>
      <c r="AB158" s="24" t="n">
        <f aca="false">F158+J158+N158+R158+V158+Z158</f>
        <v>0</v>
      </c>
      <c r="AC158" s="81" t="str">
        <f aca="false">IF(B158="","",IF(AB158&lt;=0,"Clear",IF(AA158&gt;0,"Partial","Due")))</f>
        <v/>
      </c>
    </row>
    <row r="159" customFormat="false" ht="15" hidden="false" customHeight="false" outlineLevel="0" collapsed="false">
      <c r="A159" s="25" t="n">
        <v>144</v>
      </c>
      <c r="B159" s="82" t="str">
        <f aca="false">IF(Students!B148="","",Students!B148)</f>
        <v/>
      </c>
      <c r="C159" s="37" t="n">
        <f aca="false">'Oct 2026'!F159</f>
        <v>0</v>
      </c>
      <c r="D159" s="37" t="n">
        <f aca="false">IF(B159="",0,N(Students!E148))</f>
        <v>0</v>
      </c>
      <c r="E159" s="23"/>
      <c r="F159" s="26" t="n">
        <f aca="false">N(C159)+N(D159)-N(E159)</f>
        <v>0</v>
      </c>
      <c r="G159" s="37" t="n">
        <f aca="false">'Oct 2026'!J159</f>
        <v>0</v>
      </c>
      <c r="H159" s="37" t="n">
        <f aca="false">IF(B159="",0,N(Students!F148))</f>
        <v>0</v>
      </c>
      <c r="I159" s="23"/>
      <c r="J159" s="26" t="n">
        <f aca="false">N(G159)+N(H159)-N(I159)</f>
        <v>0</v>
      </c>
      <c r="K159" s="37" t="n">
        <f aca="false">'Oct 2026'!N159</f>
        <v>0</v>
      </c>
      <c r="L159" s="37" t="n">
        <f aca="false">IF(B159="",0,N(Students!G148))</f>
        <v>0</v>
      </c>
      <c r="M159" s="23"/>
      <c r="N159" s="26" t="n">
        <f aca="false">N(K159)+N(L159)-N(M159)</f>
        <v>0</v>
      </c>
      <c r="O159" s="37" t="n">
        <f aca="false">'Oct 2026'!R159</f>
        <v>0</v>
      </c>
      <c r="P159" s="37" t="n">
        <f aca="false">IF(B159="",0,N(Students!H148))</f>
        <v>0</v>
      </c>
      <c r="Q159" s="23"/>
      <c r="R159" s="26" t="n">
        <f aca="false">N(O159)+N(P159)-N(Q159)</f>
        <v>0</v>
      </c>
      <c r="S159" s="37" t="n">
        <f aca="false">'Oct 2026'!V159</f>
        <v>0</v>
      </c>
      <c r="T159" s="37" t="n">
        <f aca="false">IF(B159="",0,N(Students!I148))</f>
        <v>0</v>
      </c>
      <c r="U159" s="23"/>
      <c r="V159" s="26" t="n">
        <f aca="false">N(S159)+N(T159)-N(U159)</f>
        <v>0</v>
      </c>
      <c r="W159" s="37" t="n">
        <f aca="false">'Oct 2026'!Z159</f>
        <v>0</v>
      </c>
      <c r="X159" s="37" t="n">
        <f aca="false">IF(B159="",0,N(Students!J148))</f>
        <v>0</v>
      </c>
      <c r="Y159" s="23"/>
      <c r="Z159" s="26" t="n">
        <f aca="false">N(W159)+N(X159)-N(Y159)</f>
        <v>0</v>
      </c>
      <c r="AA159" s="37" t="n">
        <f aca="false">N(E159)+N(I159)+N(M159)+N(Q159)+N(U159)+N(Y159)</f>
        <v>0</v>
      </c>
      <c r="AB159" s="26" t="n">
        <f aca="false">F159+J159+N159+R159+V159+Z159</f>
        <v>0</v>
      </c>
      <c r="AC159" s="83" t="str">
        <f aca="false">IF(B159="","",IF(AB159&lt;=0,"Clear",IF(AA159&gt;0,"Partial","Due")))</f>
        <v/>
      </c>
    </row>
    <row r="160" customFormat="false" ht="15" hidden="false" customHeight="false" outlineLevel="0" collapsed="false">
      <c r="A160" s="21" t="n">
        <v>145</v>
      </c>
      <c r="B160" s="46" t="str">
        <f aca="false">IF(Students!B149="","",Students!B149)</f>
        <v/>
      </c>
      <c r="C160" s="33" t="n">
        <f aca="false">'Oct 2026'!F160</f>
        <v>0</v>
      </c>
      <c r="D160" s="33" t="n">
        <f aca="false">IF(B160="",0,N(Students!E149))</f>
        <v>0</v>
      </c>
      <c r="E160" s="23"/>
      <c r="F160" s="24" t="n">
        <f aca="false">N(C160)+N(D160)-N(E160)</f>
        <v>0</v>
      </c>
      <c r="G160" s="33" t="n">
        <f aca="false">'Oct 2026'!J160</f>
        <v>0</v>
      </c>
      <c r="H160" s="33" t="n">
        <f aca="false">IF(B160="",0,N(Students!F149))</f>
        <v>0</v>
      </c>
      <c r="I160" s="23"/>
      <c r="J160" s="24" t="n">
        <f aca="false">N(G160)+N(H160)-N(I160)</f>
        <v>0</v>
      </c>
      <c r="K160" s="33" t="n">
        <f aca="false">'Oct 2026'!N160</f>
        <v>0</v>
      </c>
      <c r="L160" s="33" t="n">
        <f aca="false">IF(B160="",0,N(Students!G149))</f>
        <v>0</v>
      </c>
      <c r="M160" s="23"/>
      <c r="N160" s="24" t="n">
        <f aca="false">N(K160)+N(L160)-N(M160)</f>
        <v>0</v>
      </c>
      <c r="O160" s="33" t="n">
        <f aca="false">'Oct 2026'!R160</f>
        <v>0</v>
      </c>
      <c r="P160" s="33" t="n">
        <f aca="false">IF(B160="",0,N(Students!H149))</f>
        <v>0</v>
      </c>
      <c r="Q160" s="23"/>
      <c r="R160" s="24" t="n">
        <f aca="false">N(O160)+N(P160)-N(Q160)</f>
        <v>0</v>
      </c>
      <c r="S160" s="33" t="n">
        <f aca="false">'Oct 2026'!V160</f>
        <v>0</v>
      </c>
      <c r="T160" s="33" t="n">
        <f aca="false">IF(B160="",0,N(Students!I149))</f>
        <v>0</v>
      </c>
      <c r="U160" s="23"/>
      <c r="V160" s="24" t="n">
        <f aca="false">N(S160)+N(T160)-N(U160)</f>
        <v>0</v>
      </c>
      <c r="W160" s="33" t="n">
        <f aca="false">'Oct 2026'!Z160</f>
        <v>0</v>
      </c>
      <c r="X160" s="33" t="n">
        <f aca="false">IF(B160="",0,N(Students!J149))</f>
        <v>0</v>
      </c>
      <c r="Y160" s="23"/>
      <c r="Z160" s="24" t="n">
        <f aca="false">N(W160)+N(X160)-N(Y160)</f>
        <v>0</v>
      </c>
      <c r="AA160" s="33" t="n">
        <f aca="false">N(E160)+N(I160)+N(M160)+N(Q160)+N(U160)+N(Y160)</f>
        <v>0</v>
      </c>
      <c r="AB160" s="24" t="n">
        <f aca="false">F160+J160+N160+R160+V160+Z160</f>
        <v>0</v>
      </c>
      <c r="AC160" s="81" t="str">
        <f aca="false">IF(B160="","",IF(AB160&lt;=0,"Clear",IF(AA160&gt;0,"Partial","Due")))</f>
        <v/>
      </c>
    </row>
    <row r="161" customFormat="false" ht="15" hidden="false" customHeight="false" outlineLevel="0" collapsed="false">
      <c r="A161" s="25" t="n">
        <v>146</v>
      </c>
      <c r="B161" s="82" t="str">
        <f aca="false">IF(Students!B150="","",Students!B150)</f>
        <v/>
      </c>
      <c r="C161" s="37" t="n">
        <f aca="false">'Oct 2026'!F161</f>
        <v>0</v>
      </c>
      <c r="D161" s="37" t="n">
        <f aca="false">IF(B161="",0,N(Students!E150))</f>
        <v>0</v>
      </c>
      <c r="E161" s="23"/>
      <c r="F161" s="26" t="n">
        <f aca="false">N(C161)+N(D161)-N(E161)</f>
        <v>0</v>
      </c>
      <c r="G161" s="37" t="n">
        <f aca="false">'Oct 2026'!J161</f>
        <v>0</v>
      </c>
      <c r="H161" s="37" t="n">
        <f aca="false">IF(B161="",0,N(Students!F150))</f>
        <v>0</v>
      </c>
      <c r="I161" s="23"/>
      <c r="J161" s="26" t="n">
        <f aca="false">N(G161)+N(H161)-N(I161)</f>
        <v>0</v>
      </c>
      <c r="K161" s="37" t="n">
        <f aca="false">'Oct 2026'!N161</f>
        <v>0</v>
      </c>
      <c r="L161" s="37" t="n">
        <f aca="false">IF(B161="",0,N(Students!G150))</f>
        <v>0</v>
      </c>
      <c r="M161" s="23"/>
      <c r="N161" s="26" t="n">
        <f aca="false">N(K161)+N(L161)-N(M161)</f>
        <v>0</v>
      </c>
      <c r="O161" s="37" t="n">
        <f aca="false">'Oct 2026'!R161</f>
        <v>0</v>
      </c>
      <c r="P161" s="37" t="n">
        <f aca="false">IF(B161="",0,N(Students!H150))</f>
        <v>0</v>
      </c>
      <c r="Q161" s="23"/>
      <c r="R161" s="26" t="n">
        <f aca="false">N(O161)+N(P161)-N(Q161)</f>
        <v>0</v>
      </c>
      <c r="S161" s="37" t="n">
        <f aca="false">'Oct 2026'!V161</f>
        <v>0</v>
      </c>
      <c r="T161" s="37" t="n">
        <f aca="false">IF(B161="",0,N(Students!I150))</f>
        <v>0</v>
      </c>
      <c r="U161" s="23"/>
      <c r="V161" s="26" t="n">
        <f aca="false">N(S161)+N(T161)-N(U161)</f>
        <v>0</v>
      </c>
      <c r="W161" s="37" t="n">
        <f aca="false">'Oct 2026'!Z161</f>
        <v>0</v>
      </c>
      <c r="X161" s="37" t="n">
        <f aca="false">IF(B161="",0,N(Students!J150))</f>
        <v>0</v>
      </c>
      <c r="Y161" s="23"/>
      <c r="Z161" s="26" t="n">
        <f aca="false">N(W161)+N(X161)-N(Y161)</f>
        <v>0</v>
      </c>
      <c r="AA161" s="37" t="n">
        <f aca="false">N(E161)+N(I161)+N(M161)+N(Q161)+N(U161)+N(Y161)</f>
        <v>0</v>
      </c>
      <c r="AB161" s="26" t="n">
        <f aca="false">F161+J161+N161+R161+V161+Z161</f>
        <v>0</v>
      </c>
      <c r="AC161" s="83" t="str">
        <f aca="false">IF(B161="","",IF(AB161&lt;=0,"Clear",IF(AA161&gt;0,"Partial","Due")))</f>
        <v/>
      </c>
    </row>
    <row r="162" customFormat="false" ht="15" hidden="false" customHeight="false" outlineLevel="0" collapsed="false">
      <c r="A162" s="21" t="n">
        <v>147</v>
      </c>
      <c r="B162" s="46" t="str">
        <f aca="false">IF(Students!B151="","",Students!B151)</f>
        <v/>
      </c>
      <c r="C162" s="33" t="n">
        <f aca="false">'Oct 2026'!F162</f>
        <v>0</v>
      </c>
      <c r="D162" s="33" t="n">
        <f aca="false">IF(B162="",0,N(Students!E151))</f>
        <v>0</v>
      </c>
      <c r="E162" s="23"/>
      <c r="F162" s="24" t="n">
        <f aca="false">N(C162)+N(D162)-N(E162)</f>
        <v>0</v>
      </c>
      <c r="G162" s="33" t="n">
        <f aca="false">'Oct 2026'!J162</f>
        <v>0</v>
      </c>
      <c r="H162" s="33" t="n">
        <f aca="false">IF(B162="",0,N(Students!F151))</f>
        <v>0</v>
      </c>
      <c r="I162" s="23"/>
      <c r="J162" s="24" t="n">
        <f aca="false">N(G162)+N(H162)-N(I162)</f>
        <v>0</v>
      </c>
      <c r="K162" s="33" t="n">
        <f aca="false">'Oct 2026'!N162</f>
        <v>0</v>
      </c>
      <c r="L162" s="33" t="n">
        <f aca="false">IF(B162="",0,N(Students!G151))</f>
        <v>0</v>
      </c>
      <c r="M162" s="23"/>
      <c r="N162" s="24" t="n">
        <f aca="false">N(K162)+N(L162)-N(M162)</f>
        <v>0</v>
      </c>
      <c r="O162" s="33" t="n">
        <f aca="false">'Oct 2026'!R162</f>
        <v>0</v>
      </c>
      <c r="P162" s="33" t="n">
        <f aca="false">IF(B162="",0,N(Students!H151))</f>
        <v>0</v>
      </c>
      <c r="Q162" s="23"/>
      <c r="R162" s="24" t="n">
        <f aca="false">N(O162)+N(P162)-N(Q162)</f>
        <v>0</v>
      </c>
      <c r="S162" s="33" t="n">
        <f aca="false">'Oct 2026'!V162</f>
        <v>0</v>
      </c>
      <c r="T162" s="33" t="n">
        <f aca="false">IF(B162="",0,N(Students!I151))</f>
        <v>0</v>
      </c>
      <c r="U162" s="23"/>
      <c r="V162" s="24" t="n">
        <f aca="false">N(S162)+N(T162)-N(U162)</f>
        <v>0</v>
      </c>
      <c r="W162" s="33" t="n">
        <f aca="false">'Oct 2026'!Z162</f>
        <v>0</v>
      </c>
      <c r="X162" s="33" t="n">
        <f aca="false">IF(B162="",0,N(Students!J151))</f>
        <v>0</v>
      </c>
      <c r="Y162" s="23"/>
      <c r="Z162" s="24" t="n">
        <f aca="false">N(W162)+N(X162)-N(Y162)</f>
        <v>0</v>
      </c>
      <c r="AA162" s="33" t="n">
        <f aca="false">N(E162)+N(I162)+N(M162)+N(Q162)+N(U162)+N(Y162)</f>
        <v>0</v>
      </c>
      <c r="AB162" s="24" t="n">
        <f aca="false">F162+J162+N162+R162+V162+Z162</f>
        <v>0</v>
      </c>
      <c r="AC162" s="81" t="str">
        <f aca="false">IF(B162="","",IF(AB162&lt;=0,"Clear",IF(AA162&gt;0,"Partial","Due")))</f>
        <v/>
      </c>
    </row>
    <row r="163" customFormat="false" ht="15" hidden="false" customHeight="false" outlineLevel="0" collapsed="false">
      <c r="A163" s="25" t="n">
        <v>148</v>
      </c>
      <c r="B163" s="82" t="str">
        <f aca="false">IF(Students!B152="","",Students!B152)</f>
        <v/>
      </c>
      <c r="C163" s="37" t="n">
        <f aca="false">'Oct 2026'!F163</f>
        <v>0</v>
      </c>
      <c r="D163" s="37" t="n">
        <f aca="false">IF(B163="",0,N(Students!E152))</f>
        <v>0</v>
      </c>
      <c r="E163" s="23"/>
      <c r="F163" s="26" t="n">
        <f aca="false">N(C163)+N(D163)-N(E163)</f>
        <v>0</v>
      </c>
      <c r="G163" s="37" t="n">
        <f aca="false">'Oct 2026'!J163</f>
        <v>0</v>
      </c>
      <c r="H163" s="37" t="n">
        <f aca="false">IF(B163="",0,N(Students!F152))</f>
        <v>0</v>
      </c>
      <c r="I163" s="23"/>
      <c r="J163" s="26" t="n">
        <f aca="false">N(G163)+N(H163)-N(I163)</f>
        <v>0</v>
      </c>
      <c r="K163" s="37" t="n">
        <f aca="false">'Oct 2026'!N163</f>
        <v>0</v>
      </c>
      <c r="L163" s="37" t="n">
        <f aca="false">IF(B163="",0,N(Students!G152))</f>
        <v>0</v>
      </c>
      <c r="M163" s="23"/>
      <c r="N163" s="26" t="n">
        <f aca="false">N(K163)+N(L163)-N(M163)</f>
        <v>0</v>
      </c>
      <c r="O163" s="37" t="n">
        <f aca="false">'Oct 2026'!R163</f>
        <v>0</v>
      </c>
      <c r="P163" s="37" t="n">
        <f aca="false">IF(B163="",0,N(Students!H152))</f>
        <v>0</v>
      </c>
      <c r="Q163" s="23"/>
      <c r="R163" s="26" t="n">
        <f aca="false">N(O163)+N(P163)-N(Q163)</f>
        <v>0</v>
      </c>
      <c r="S163" s="37" t="n">
        <f aca="false">'Oct 2026'!V163</f>
        <v>0</v>
      </c>
      <c r="T163" s="37" t="n">
        <f aca="false">IF(B163="",0,N(Students!I152))</f>
        <v>0</v>
      </c>
      <c r="U163" s="23"/>
      <c r="V163" s="26" t="n">
        <f aca="false">N(S163)+N(T163)-N(U163)</f>
        <v>0</v>
      </c>
      <c r="W163" s="37" t="n">
        <f aca="false">'Oct 2026'!Z163</f>
        <v>0</v>
      </c>
      <c r="X163" s="37" t="n">
        <f aca="false">IF(B163="",0,N(Students!J152))</f>
        <v>0</v>
      </c>
      <c r="Y163" s="23"/>
      <c r="Z163" s="26" t="n">
        <f aca="false">N(W163)+N(X163)-N(Y163)</f>
        <v>0</v>
      </c>
      <c r="AA163" s="37" t="n">
        <f aca="false">N(E163)+N(I163)+N(M163)+N(Q163)+N(U163)+N(Y163)</f>
        <v>0</v>
      </c>
      <c r="AB163" s="26" t="n">
        <f aca="false">F163+J163+N163+R163+V163+Z163</f>
        <v>0</v>
      </c>
      <c r="AC163" s="83" t="str">
        <f aca="false">IF(B163="","",IF(AB163&lt;=0,"Clear",IF(AA163&gt;0,"Partial","Due")))</f>
        <v/>
      </c>
    </row>
    <row r="164" customFormat="false" ht="15" hidden="false" customHeight="false" outlineLevel="0" collapsed="false">
      <c r="A164" s="21" t="n">
        <v>149</v>
      </c>
      <c r="B164" s="46" t="str">
        <f aca="false">IF(Students!B153="","",Students!B153)</f>
        <v/>
      </c>
      <c r="C164" s="33" t="n">
        <f aca="false">'Oct 2026'!F164</f>
        <v>0</v>
      </c>
      <c r="D164" s="33" t="n">
        <f aca="false">IF(B164="",0,N(Students!E153))</f>
        <v>0</v>
      </c>
      <c r="E164" s="23"/>
      <c r="F164" s="24" t="n">
        <f aca="false">N(C164)+N(D164)-N(E164)</f>
        <v>0</v>
      </c>
      <c r="G164" s="33" t="n">
        <f aca="false">'Oct 2026'!J164</f>
        <v>0</v>
      </c>
      <c r="H164" s="33" t="n">
        <f aca="false">IF(B164="",0,N(Students!F153))</f>
        <v>0</v>
      </c>
      <c r="I164" s="23"/>
      <c r="J164" s="24" t="n">
        <f aca="false">N(G164)+N(H164)-N(I164)</f>
        <v>0</v>
      </c>
      <c r="K164" s="33" t="n">
        <f aca="false">'Oct 2026'!N164</f>
        <v>0</v>
      </c>
      <c r="L164" s="33" t="n">
        <f aca="false">IF(B164="",0,N(Students!G153))</f>
        <v>0</v>
      </c>
      <c r="M164" s="23"/>
      <c r="N164" s="24" t="n">
        <f aca="false">N(K164)+N(L164)-N(M164)</f>
        <v>0</v>
      </c>
      <c r="O164" s="33" t="n">
        <f aca="false">'Oct 2026'!R164</f>
        <v>0</v>
      </c>
      <c r="P164" s="33" t="n">
        <f aca="false">IF(B164="",0,N(Students!H153))</f>
        <v>0</v>
      </c>
      <c r="Q164" s="23"/>
      <c r="R164" s="24" t="n">
        <f aca="false">N(O164)+N(P164)-N(Q164)</f>
        <v>0</v>
      </c>
      <c r="S164" s="33" t="n">
        <f aca="false">'Oct 2026'!V164</f>
        <v>0</v>
      </c>
      <c r="T164" s="33" t="n">
        <f aca="false">IF(B164="",0,N(Students!I153))</f>
        <v>0</v>
      </c>
      <c r="U164" s="23"/>
      <c r="V164" s="24" t="n">
        <f aca="false">N(S164)+N(T164)-N(U164)</f>
        <v>0</v>
      </c>
      <c r="W164" s="33" t="n">
        <f aca="false">'Oct 2026'!Z164</f>
        <v>0</v>
      </c>
      <c r="X164" s="33" t="n">
        <f aca="false">IF(B164="",0,N(Students!J153))</f>
        <v>0</v>
      </c>
      <c r="Y164" s="23"/>
      <c r="Z164" s="24" t="n">
        <f aca="false">N(W164)+N(X164)-N(Y164)</f>
        <v>0</v>
      </c>
      <c r="AA164" s="33" t="n">
        <f aca="false">N(E164)+N(I164)+N(M164)+N(Q164)+N(U164)+N(Y164)</f>
        <v>0</v>
      </c>
      <c r="AB164" s="24" t="n">
        <f aca="false">F164+J164+N164+R164+V164+Z164</f>
        <v>0</v>
      </c>
      <c r="AC164" s="81" t="str">
        <f aca="false">IF(B164="","",IF(AB164&lt;=0,"Clear",IF(AA164&gt;0,"Partial","Due")))</f>
        <v/>
      </c>
    </row>
    <row r="165" customFormat="false" ht="15" hidden="false" customHeight="false" outlineLevel="0" collapsed="false">
      <c r="A165" s="25" t="n">
        <v>150</v>
      </c>
      <c r="B165" s="82" t="str">
        <f aca="false">IF(Students!B154="","",Students!B154)</f>
        <v/>
      </c>
      <c r="C165" s="37" t="n">
        <f aca="false">'Oct 2026'!F165</f>
        <v>0</v>
      </c>
      <c r="D165" s="37" t="n">
        <f aca="false">IF(B165="",0,N(Students!E154))</f>
        <v>0</v>
      </c>
      <c r="E165" s="23"/>
      <c r="F165" s="26" t="n">
        <f aca="false">N(C165)+N(D165)-N(E165)</f>
        <v>0</v>
      </c>
      <c r="G165" s="37" t="n">
        <f aca="false">'Oct 2026'!J165</f>
        <v>0</v>
      </c>
      <c r="H165" s="37" t="n">
        <f aca="false">IF(B165="",0,N(Students!F154))</f>
        <v>0</v>
      </c>
      <c r="I165" s="23"/>
      <c r="J165" s="26" t="n">
        <f aca="false">N(G165)+N(H165)-N(I165)</f>
        <v>0</v>
      </c>
      <c r="K165" s="37" t="n">
        <f aca="false">'Oct 2026'!N165</f>
        <v>0</v>
      </c>
      <c r="L165" s="37" t="n">
        <f aca="false">IF(B165="",0,N(Students!G154))</f>
        <v>0</v>
      </c>
      <c r="M165" s="23"/>
      <c r="N165" s="26" t="n">
        <f aca="false">N(K165)+N(L165)-N(M165)</f>
        <v>0</v>
      </c>
      <c r="O165" s="37" t="n">
        <f aca="false">'Oct 2026'!R165</f>
        <v>0</v>
      </c>
      <c r="P165" s="37" t="n">
        <f aca="false">IF(B165="",0,N(Students!H154))</f>
        <v>0</v>
      </c>
      <c r="Q165" s="23"/>
      <c r="R165" s="26" t="n">
        <f aca="false">N(O165)+N(P165)-N(Q165)</f>
        <v>0</v>
      </c>
      <c r="S165" s="37" t="n">
        <f aca="false">'Oct 2026'!V165</f>
        <v>0</v>
      </c>
      <c r="T165" s="37" t="n">
        <f aca="false">IF(B165="",0,N(Students!I154))</f>
        <v>0</v>
      </c>
      <c r="U165" s="23"/>
      <c r="V165" s="26" t="n">
        <f aca="false">N(S165)+N(T165)-N(U165)</f>
        <v>0</v>
      </c>
      <c r="W165" s="37" t="n">
        <f aca="false">'Oct 2026'!Z165</f>
        <v>0</v>
      </c>
      <c r="X165" s="37" t="n">
        <f aca="false">IF(B165="",0,N(Students!J154))</f>
        <v>0</v>
      </c>
      <c r="Y165" s="23"/>
      <c r="Z165" s="26" t="n">
        <f aca="false">N(W165)+N(X165)-N(Y165)</f>
        <v>0</v>
      </c>
      <c r="AA165" s="37" t="n">
        <f aca="false">N(E165)+N(I165)+N(M165)+N(Q165)+N(U165)+N(Y165)</f>
        <v>0</v>
      </c>
      <c r="AB165" s="26" t="n">
        <f aca="false">F165+J165+N165+R165+V165+Z165</f>
        <v>0</v>
      </c>
      <c r="AC165" s="83" t="str">
        <f aca="false">IF(B165="","",IF(AB165&lt;=0,"Clear",IF(AA165&gt;0,"Partial","Due")))</f>
        <v/>
      </c>
    </row>
    <row r="166" customFormat="false" ht="15" hidden="false" customHeight="true" outlineLevel="0" collapsed="false">
      <c r="A166" s="4" t="s">
        <v>79</v>
      </c>
      <c r="B166" s="4"/>
      <c r="C166" s="41" t="n">
        <f aca="false">SUM(C16:C165)</f>
        <v>0</v>
      </c>
      <c r="D166" s="41" t="n">
        <f aca="false">SUM(D16:D165)</f>
        <v>0</v>
      </c>
      <c r="E166" s="41" t="n">
        <f aca="false">SUM(E16:E165)</f>
        <v>0</v>
      </c>
      <c r="F166" s="41" t="n">
        <f aca="false">SUM(F16:F165)</f>
        <v>0</v>
      </c>
      <c r="G166" s="41" t="n">
        <f aca="false">SUM(G16:G165)</f>
        <v>0</v>
      </c>
      <c r="H166" s="41" t="n">
        <f aca="false">SUM(H16:H165)</f>
        <v>2000</v>
      </c>
      <c r="I166" s="41" t="n">
        <f aca="false">SUM(I16:I165)</f>
        <v>0</v>
      </c>
      <c r="J166" s="41" t="n">
        <f aca="false">SUM(J16:J165)</f>
        <v>2000</v>
      </c>
      <c r="K166" s="41" t="n">
        <f aca="false">SUM(K16:K165)</f>
        <v>0</v>
      </c>
      <c r="L166" s="41" t="n">
        <f aca="false">SUM(L16:L165)</f>
        <v>0</v>
      </c>
      <c r="M166" s="41" t="n">
        <f aca="false">SUM(M16:M165)</f>
        <v>0</v>
      </c>
      <c r="N166" s="41" t="n">
        <f aca="false">SUM(N16:N165)</f>
        <v>0</v>
      </c>
      <c r="O166" s="41" t="n">
        <f aca="false">SUM(O16:O165)</f>
        <v>500</v>
      </c>
      <c r="P166" s="41" t="n">
        <f aca="false">SUM(P16:P165)</f>
        <v>1500</v>
      </c>
      <c r="Q166" s="41" t="n">
        <f aca="false">SUM(Q16:Q165)</f>
        <v>0</v>
      </c>
      <c r="R166" s="41" t="n">
        <f aca="false">SUM(R16:R165)</f>
        <v>2000</v>
      </c>
      <c r="S166" s="41" t="n">
        <f aca="false">SUM(S16:S165)</f>
        <v>0</v>
      </c>
      <c r="T166" s="41" t="n">
        <f aca="false">SUM(T16:T165)</f>
        <v>0</v>
      </c>
      <c r="U166" s="41" t="n">
        <f aca="false">SUM(U16:U165)</f>
        <v>0</v>
      </c>
      <c r="V166" s="41" t="n">
        <f aca="false">SUM(V16:V165)</f>
        <v>0</v>
      </c>
      <c r="W166" s="41" t="n">
        <f aca="false">SUM(W16:W165)</f>
        <v>0</v>
      </c>
      <c r="X166" s="41" t="n">
        <f aca="false">SUM(X16:X165)</f>
        <v>0</v>
      </c>
      <c r="Y166" s="41" t="n">
        <f aca="false">SUM(Y16:Y165)</f>
        <v>0</v>
      </c>
      <c r="Z166" s="41" t="n">
        <f aca="false">SUM(Z16:Z165)</f>
        <v>0</v>
      </c>
      <c r="AA166" s="41" t="n">
        <f aca="false">SUM(AA16:AA165)</f>
        <v>0</v>
      </c>
      <c r="AB166" s="41" t="n">
        <f aca="false">SUM(AB16:AB165)</f>
        <v>4000</v>
      </c>
      <c r="AC166" s="43"/>
    </row>
  </sheetData>
  <mergeCells count="34">
    <mergeCell ref="A1:AC1"/>
    <mergeCell ref="A2:AC2"/>
    <mergeCell ref="B4:I4"/>
    <mergeCell ref="K4:N4"/>
    <mergeCell ref="C5:D5"/>
    <mergeCell ref="K5:M5"/>
    <mergeCell ref="P5:R5"/>
    <mergeCell ref="T5:V5"/>
    <mergeCell ref="X5:Z5"/>
    <mergeCell ref="C6:D6"/>
    <mergeCell ref="K6:M6"/>
    <mergeCell ref="P6:R7"/>
    <mergeCell ref="T6:V7"/>
    <mergeCell ref="X6:Z7"/>
    <mergeCell ref="C7:D7"/>
    <mergeCell ref="K7:M7"/>
    <mergeCell ref="C8:D8"/>
    <mergeCell ref="K8:M8"/>
    <mergeCell ref="C9:D9"/>
    <mergeCell ref="P9:Z9"/>
    <mergeCell ref="C10:D10"/>
    <mergeCell ref="K10:M10"/>
    <mergeCell ref="C11:D11"/>
    <mergeCell ref="K11:N11"/>
    <mergeCell ref="C12:D12"/>
    <mergeCell ref="A14:B14"/>
    <mergeCell ref="C14:F14"/>
    <mergeCell ref="G14:J14"/>
    <mergeCell ref="K14:N14"/>
    <mergeCell ref="O14:R14"/>
    <mergeCell ref="S14:V14"/>
    <mergeCell ref="W14:Z14"/>
    <mergeCell ref="AA14:AC14"/>
    <mergeCell ref="A166:B166"/>
  </mergeCells>
  <conditionalFormatting sqref="AC16:AC165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F16:F165 J16:J165 N16:N165 R16:R165 V16:V165 Z16:Z165 AB16:AB165">
    <cfRule type="cellIs" priority="5" operator="greaterThan" aboveAverage="0" equalAverage="0" bottom="0" percent="0" rank="0" text="" dxfId="0">
      <formula>0</formula>
    </cfRule>
  </conditionalFormatting>
  <conditionalFormatting sqref="N10"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AC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29" min="5" style="0" width="11.5"/>
  </cols>
  <sheetData>
    <row r="1" customFormat="false" ht="31.5" hidden="false" customHeight="true" outlineLevel="0" collapsed="false">
      <c r="A1" s="54" t="str">
        <f aca="false">UPPER(Setup!B3)</f>
        <v>FUTURE TALENT ACADEMY JAMSHORO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customFormat="false" ht="21.75" hidden="false" customHeight="true" outlineLevel="0" collapsed="false">
      <c r="A2" s="55" t="s">
        <v>104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customFormat="false" ht="15" hidden="false" customHeight="true" outlineLevel="0" collapsed="false">
      <c r="B4" s="4" t="s">
        <v>82</v>
      </c>
      <c r="C4" s="4"/>
      <c r="D4" s="4"/>
      <c r="E4" s="4"/>
      <c r="F4" s="4"/>
      <c r="G4" s="4"/>
      <c r="H4" s="4"/>
      <c r="I4" s="4"/>
      <c r="K4" s="28" t="s">
        <v>83</v>
      </c>
      <c r="L4" s="28"/>
      <c r="M4" s="28"/>
      <c r="N4" s="28"/>
    </row>
    <row r="5" customFormat="false" ht="22.35" hidden="false" customHeight="true" outlineLevel="0" collapsed="false">
      <c r="B5" s="56" t="s">
        <v>76</v>
      </c>
      <c r="C5" s="56" t="s">
        <v>77</v>
      </c>
      <c r="D5" s="56"/>
      <c r="E5" s="56" t="s">
        <v>84</v>
      </c>
      <c r="F5" s="56" t="s">
        <v>85</v>
      </c>
      <c r="G5" s="56" t="s">
        <v>5</v>
      </c>
      <c r="H5" s="56" t="s">
        <v>6</v>
      </c>
      <c r="I5" s="56" t="s">
        <v>86</v>
      </c>
      <c r="K5" s="57" t="s">
        <v>87</v>
      </c>
      <c r="L5" s="57"/>
      <c r="M5" s="57"/>
      <c r="N5" s="58" t="n">
        <f aca="false">H12</f>
        <v>0</v>
      </c>
      <c r="P5" s="59" t="s">
        <v>88</v>
      </c>
      <c r="Q5" s="59"/>
      <c r="R5" s="59"/>
      <c r="T5" s="60" t="s">
        <v>89</v>
      </c>
      <c r="U5" s="60"/>
      <c r="V5" s="60"/>
      <c r="X5" s="61" t="s">
        <v>90</v>
      </c>
      <c r="Y5" s="61"/>
      <c r="Z5" s="61"/>
    </row>
    <row r="6" customFormat="false" ht="15" hidden="false" customHeight="true" outlineLevel="0" collapsed="false">
      <c r="B6" s="62" t="str">
        <f aca="false">Setup!A6</f>
        <v>English</v>
      </c>
      <c r="C6" s="63" t="str">
        <f aca="false">Setup!B6</f>
        <v>Sir Sajjad Ali Birhmani</v>
      </c>
      <c r="D6" s="63"/>
      <c r="E6" s="64" t="n">
        <f aca="false">D166</f>
        <v>0</v>
      </c>
      <c r="F6" s="58" t="n">
        <f aca="false">E166</f>
        <v>0</v>
      </c>
      <c r="G6" s="65" t="n">
        <f aca="false">F6*Setup!C6</f>
        <v>0</v>
      </c>
      <c r="H6" s="66" t="n">
        <f aca="false">F6-G6</f>
        <v>0</v>
      </c>
      <c r="I6" s="67" t="n">
        <f aca="false">F166</f>
        <v>0</v>
      </c>
      <c r="K6" s="57" t="s">
        <v>91</v>
      </c>
      <c r="L6" s="57"/>
      <c r="M6" s="57"/>
      <c r="N6" s="65" t="n">
        <f aca="false">SUMIFS(Administration!$G$5:$G$304,Administration!$C$5:$C$304,"Dec 2026",Administration!$D$5:$D$304,"Other Income")</f>
        <v>0</v>
      </c>
      <c r="P6" s="68" t="n">
        <f aca="false">F12</f>
        <v>0</v>
      </c>
      <c r="Q6" s="68"/>
      <c r="R6" s="68"/>
      <c r="T6" s="69" t="n">
        <f aca="false">G12</f>
        <v>0</v>
      </c>
      <c r="U6" s="69"/>
      <c r="V6" s="69"/>
      <c r="X6" s="70" t="n">
        <f aca="false">I12</f>
        <v>7500</v>
      </c>
      <c r="Y6" s="70"/>
      <c r="Z6" s="70"/>
    </row>
    <row r="7" customFormat="false" ht="15" hidden="false" customHeight="true" outlineLevel="0" collapsed="false">
      <c r="B7" s="71" t="str">
        <f aca="false">Setup!A7</f>
        <v>Computer</v>
      </c>
      <c r="C7" s="63" t="str">
        <f aca="false">Setup!B7</f>
        <v>Sir Nazeer Ahmed Jamali</v>
      </c>
      <c r="D7" s="63"/>
      <c r="E7" s="64" t="n">
        <f aca="false">H166</f>
        <v>2000</v>
      </c>
      <c r="F7" s="58" t="n">
        <f aca="false">I166</f>
        <v>0</v>
      </c>
      <c r="G7" s="65" t="n">
        <f aca="false">F7*Setup!C7</f>
        <v>0</v>
      </c>
      <c r="H7" s="66" t="n">
        <f aca="false">F7-G7</f>
        <v>0</v>
      </c>
      <c r="I7" s="67" t="n">
        <f aca="false">J166</f>
        <v>4000</v>
      </c>
      <c r="K7" s="57" t="s">
        <v>92</v>
      </c>
      <c r="L7" s="57"/>
      <c r="M7" s="57"/>
      <c r="N7" s="72" t="n">
        <f aca="false">SUMIFS(Administration!$G$5:$G$304,Administration!$C$5:$C$304,"Dec 2026",Administration!$D$5:$D$304,"Expense")</f>
        <v>0</v>
      </c>
      <c r="P7" s="68"/>
      <c r="Q7" s="68"/>
      <c r="R7" s="68"/>
      <c r="T7" s="69"/>
      <c r="U7" s="69"/>
      <c r="V7" s="69"/>
      <c r="X7" s="70"/>
      <c r="Y7" s="70"/>
      <c r="Z7" s="70"/>
    </row>
    <row r="8" customFormat="false" ht="15" hidden="false" customHeight="true" outlineLevel="0" collapsed="false">
      <c r="B8" s="73" t="str">
        <f aca="false">Setup!A8</f>
        <v>Biology</v>
      </c>
      <c r="C8" s="63" t="str">
        <f aca="false">Setup!B8</f>
        <v>Sir Azhar Ali Chandio</v>
      </c>
      <c r="D8" s="63"/>
      <c r="E8" s="64" t="n">
        <f aca="false">L166</f>
        <v>0</v>
      </c>
      <c r="F8" s="58" t="n">
        <f aca="false">M166</f>
        <v>0</v>
      </c>
      <c r="G8" s="65" t="n">
        <f aca="false">F8*Setup!C8</f>
        <v>0</v>
      </c>
      <c r="H8" s="66" t="n">
        <f aca="false">F8-G8</f>
        <v>0</v>
      </c>
      <c r="I8" s="67" t="n">
        <f aca="false">N166</f>
        <v>0</v>
      </c>
      <c r="K8" s="57" t="s">
        <v>93</v>
      </c>
      <c r="L8" s="57"/>
      <c r="M8" s="57"/>
      <c r="N8" s="72" t="n">
        <f aca="false">SUMIFS(Administration!$G$5:$G$304,Administration!$C$5:$C$304,"Dec 2026",Administration!$D$5:$D$304,"Investment")</f>
        <v>0</v>
      </c>
    </row>
    <row r="9" customFormat="false" ht="15" hidden="false" customHeight="false" outlineLevel="0" collapsed="false">
      <c r="B9" s="74" t="str">
        <f aca="false">Setup!A9</f>
        <v>Math</v>
      </c>
      <c r="C9" s="63" t="str">
        <f aca="false">Setup!B9</f>
        <v>Sir M. Faheem</v>
      </c>
      <c r="D9" s="63"/>
      <c r="E9" s="64" t="n">
        <f aca="false">P166</f>
        <v>1500</v>
      </c>
      <c r="F9" s="58" t="n">
        <f aca="false">Q166</f>
        <v>0</v>
      </c>
      <c r="G9" s="65" t="n">
        <f aca="false">F9*Setup!C9</f>
        <v>0</v>
      </c>
      <c r="H9" s="66" t="n">
        <f aca="false">F9-G9</f>
        <v>0</v>
      </c>
      <c r="I9" s="67" t="n">
        <f aca="false">R166</f>
        <v>3500</v>
      </c>
      <c r="P9" s="75" t="str">
        <f aca="false">COUNTIF(AC16:AC165,"Clear")&amp;" students fully paid   •   "&amp;(COUNTIF(AC16:AC165,"Due")+COUNTIF(AC16:AC165,"Partial"))&amp;" students with dues"</f>
        <v>0 students fully paid   •   1 students with dues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15" hidden="false" customHeight="true" outlineLevel="0" collapsed="false">
      <c r="B10" s="76" t="str">
        <f aca="false">Setup!A10</f>
        <v>Kids Coaching (Class 1)</v>
      </c>
      <c r="C10" s="63" t="str">
        <f aca="false">Setup!B10</f>
        <v>Miss Farzana</v>
      </c>
      <c r="D10" s="63"/>
      <c r="E10" s="64" t="n">
        <f aca="false">T166</f>
        <v>0</v>
      </c>
      <c r="F10" s="58" t="n">
        <f aca="false">U166</f>
        <v>0</v>
      </c>
      <c r="G10" s="65" t="n">
        <f aca="false">F10*Setup!C10</f>
        <v>0</v>
      </c>
      <c r="H10" s="66" t="n">
        <f aca="false">F10-G10</f>
        <v>0</v>
      </c>
      <c r="I10" s="67" t="n">
        <f aca="false">V166</f>
        <v>0</v>
      </c>
      <c r="K10" s="77" t="s">
        <v>59</v>
      </c>
      <c r="L10" s="77"/>
      <c r="M10" s="77"/>
      <c r="N10" s="78" t="n">
        <f aca="false">N5+N6-N7-N8</f>
        <v>0</v>
      </c>
    </row>
    <row r="11" customFormat="false" ht="15" hidden="false" customHeight="true" outlineLevel="0" collapsed="false">
      <c r="B11" s="79" t="str">
        <f aca="false">Setup!A11</f>
        <v>Kids Coaching (Class 2)</v>
      </c>
      <c r="C11" s="63" t="str">
        <f aca="false">Setup!B11</f>
        <v>Miss Fozia</v>
      </c>
      <c r="D11" s="63"/>
      <c r="E11" s="64" t="n">
        <f aca="false">X166</f>
        <v>0</v>
      </c>
      <c r="F11" s="58" t="n">
        <f aca="false">Y166</f>
        <v>0</v>
      </c>
      <c r="G11" s="65" t="n">
        <f aca="false">F11*Setup!C11</f>
        <v>0</v>
      </c>
      <c r="H11" s="66" t="n">
        <f aca="false">F11-G11</f>
        <v>0</v>
      </c>
      <c r="I11" s="67" t="n">
        <f aca="false">Z166</f>
        <v>0</v>
      </c>
      <c r="K11" s="53" t="s">
        <v>94</v>
      </c>
      <c r="L11" s="53"/>
      <c r="M11" s="53"/>
      <c r="N11" s="53"/>
    </row>
    <row r="12" customFormat="false" ht="15" hidden="false" customHeight="false" outlineLevel="0" collapsed="false">
      <c r="B12" s="40" t="s">
        <v>79</v>
      </c>
      <c r="C12" s="43"/>
      <c r="D12" s="43"/>
      <c r="E12" s="41" t="n">
        <f aca="false">SUM(E6:E11)</f>
        <v>3500</v>
      </c>
      <c r="F12" s="41" t="n">
        <f aca="false">SUM(F6:F11)</f>
        <v>0</v>
      </c>
      <c r="G12" s="41" t="n">
        <f aca="false">SUM(G6:G11)</f>
        <v>0</v>
      </c>
      <c r="H12" s="41" t="n">
        <f aca="false">SUM(H6:H11)</f>
        <v>0</v>
      </c>
      <c r="I12" s="41" t="n">
        <f aca="false">SUM(I6:I11)</f>
        <v>7500</v>
      </c>
    </row>
    <row r="14" customFormat="false" ht="25.5" hidden="false" customHeight="true" outlineLevel="0" collapsed="false">
      <c r="A14" s="4" t="s">
        <v>28</v>
      </c>
      <c r="B14" s="4"/>
      <c r="C14" s="14" t="str">
        <f aca="false">Setup!A6&amp;" — "&amp;Setup!B6</f>
        <v>English — Sir Sajjad Ali Birhmani</v>
      </c>
      <c r="D14" s="14"/>
      <c r="E14" s="14"/>
      <c r="F14" s="14"/>
      <c r="G14" s="15" t="str">
        <f aca="false">Setup!A7&amp;" — "&amp;Setup!B7</f>
        <v>Computer — Sir Nazeer Ahmed Jamali</v>
      </c>
      <c r="H14" s="15"/>
      <c r="I14" s="15"/>
      <c r="J14" s="15"/>
      <c r="K14" s="16" t="str">
        <f aca="false">Setup!A8&amp;" — "&amp;Setup!B8</f>
        <v>Biology — Sir Azhar Ali Chandio</v>
      </c>
      <c r="L14" s="16"/>
      <c r="M14" s="16"/>
      <c r="N14" s="16"/>
      <c r="O14" s="17" t="str">
        <f aca="false">Setup!A9&amp;" — "&amp;Setup!B9</f>
        <v>Math — Sir M. Faheem</v>
      </c>
      <c r="P14" s="17"/>
      <c r="Q14" s="17"/>
      <c r="R14" s="17"/>
      <c r="S14" s="18" t="str">
        <f aca="false">Setup!A10&amp;" — "&amp;Setup!B10</f>
        <v>Kids Coaching (Class 1) — Miss Farzana</v>
      </c>
      <c r="T14" s="18"/>
      <c r="U14" s="18"/>
      <c r="V14" s="18"/>
      <c r="W14" s="19" t="str">
        <f aca="false">Setup!A11&amp;" — "&amp;Setup!B11</f>
        <v>Kids Coaching (Class 2) — Miss Fozia</v>
      </c>
      <c r="X14" s="19"/>
      <c r="Y14" s="19"/>
      <c r="Z14" s="19"/>
      <c r="AA14" s="80" t="s">
        <v>95</v>
      </c>
      <c r="AB14" s="80"/>
      <c r="AC14" s="80"/>
    </row>
    <row r="15" customFormat="false" ht="30" hidden="false" customHeight="true" outlineLevel="0" collapsed="false">
      <c r="A15" s="13" t="s">
        <v>30</v>
      </c>
      <c r="B15" s="13" t="s">
        <v>31</v>
      </c>
      <c r="C15" s="14" t="s">
        <v>96</v>
      </c>
      <c r="D15" s="14" t="s">
        <v>97</v>
      </c>
      <c r="E15" s="14" t="s">
        <v>98</v>
      </c>
      <c r="F15" s="14" t="s">
        <v>99</v>
      </c>
      <c r="G15" s="15" t="s">
        <v>96</v>
      </c>
      <c r="H15" s="15" t="s">
        <v>97</v>
      </c>
      <c r="I15" s="15" t="s">
        <v>98</v>
      </c>
      <c r="J15" s="15" t="s">
        <v>99</v>
      </c>
      <c r="K15" s="16" t="s">
        <v>96</v>
      </c>
      <c r="L15" s="16" t="s">
        <v>97</v>
      </c>
      <c r="M15" s="16" t="s">
        <v>98</v>
      </c>
      <c r="N15" s="16" t="s">
        <v>99</v>
      </c>
      <c r="O15" s="17" t="s">
        <v>96</v>
      </c>
      <c r="P15" s="17" t="s">
        <v>97</v>
      </c>
      <c r="Q15" s="17" t="s">
        <v>98</v>
      </c>
      <c r="R15" s="17" t="s">
        <v>99</v>
      </c>
      <c r="S15" s="18" t="s">
        <v>96</v>
      </c>
      <c r="T15" s="18" t="s">
        <v>97</v>
      </c>
      <c r="U15" s="18" t="s">
        <v>98</v>
      </c>
      <c r="V15" s="18" t="s">
        <v>99</v>
      </c>
      <c r="W15" s="19" t="s">
        <v>96</v>
      </c>
      <c r="X15" s="19" t="s">
        <v>97</v>
      </c>
      <c r="Y15" s="19" t="s">
        <v>98</v>
      </c>
      <c r="Z15" s="19" t="s">
        <v>99</v>
      </c>
      <c r="AA15" s="20" t="s">
        <v>100</v>
      </c>
      <c r="AB15" s="20" t="s">
        <v>101</v>
      </c>
      <c r="AC15" s="20" t="s">
        <v>102</v>
      </c>
    </row>
    <row r="16" customFormat="false" ht="15" hidden="false" customHeight="false" outlineLevel="0" collapsed="false">
      <c r="A16" s="21" t="n">
        <v>1</v>
      </c>
      <c r="B16" s="46" t="str">
        <f aca="false">IF(Students!B5="","",Students!B5)</f>
        <v>Ali (example)</v>
      </c>
      <c r="C16" s="33" t="n">
        <f aca="false">'Nov 2026'!F16</f>
        <v>0</v>
      </c>
      <c r="D16" s="33" t="n">
        <f aca="false">IF(B16="",0,N(Students!E5))</f>
        <v>0</v>
      </c>
      <c r="E16" s="23"/>
      <c r="F16" s="24" t="n">
        <f aca="false">N(C16)+N(D16)-N(E16)</f>
        <v>0</v>
      </c>
      <c r="G16" s="33" t="n">
        <f aca="false">'Nov 2026'!J16</f>
        <v>2000</v>
      </c>
      <c r="H16" s="33" t="n">
        <f aca="false">IF(B16="",0,N(Students!F5))</f>
        <v>2000</v>
      </c>
      <c r="I16" s="23"/>
      <c r="J16" s="24" t="n">
        <f aca="false">N(G16)+N(H16)-N(I16)</f>
        <v>4000</v>
      </c>
      <c r="K16" s="33" t="n">
        <f aca="false">'Nov 2026'!N16</f>
        <v>0</v>
      </c>
      <c r="L16" s="33" t="n">
        <f aca="false">IF(B16="",0,N(Students!G5))</f>
        <v>0</v>
      </c>
      <c r="M16" s="23"/>
      <c r="N16" s="24" t="n">
        <f aca="false">N(K16)+N(L16)-N(M16)</f>
        <v>0</v>
      </c>
      <c r="O16" s="33" t="n">
        <f aca="false">'Nov 2026'!R16</f>
        <v>2000</v>
      </c>
      <c r="P16" s="33" t="n">
        <f aca="false">IF(B16="",0,N(Students!H5))</f>
        <v>1500</v>
      </c>
      <c r="Q16" s="23"/>
      <c r="R16" s="24" t="n">
        <f aca="false">N(O16)+N(P16)-N(Q16)</f>
        <v>3500</v>
      </c>
      <c r="S16" s="33" t="n">
        <f aca="false">'Nov 2026'!V16</f>
        <v>0</v>
      </c>
      <c r="T16" s="33" t="n">
        <f aca="false">IF(B16="",0,N(Students!I5))</f>
        <v>0</v>
      </c>
      <c r="U16" s="23"/>
      <c r="V16" s="24" t="n">
        <f aca="false">N(S16)+N(T16)-N(U16)</f>
        <v>0</v>
      </c>
      <c r="W16" s="33" t="n">
        <f aca="false">'Nov 2026'!Z16</f>
        <v>0</v>
      </c>
      <c r="X16" s="33" t="n">
        <f aca="false">IF(B16="",0,N(Students!J5))</f>
        <v>0</v>
      </c>
      <c r="Y16" s="23"/>
      <c r="Z16" s="24" t="n">
        <f aca="false">N(W16)+N(X16)-N(Y16)</f>
        <v>0</v>
      </c>
      <c r="AA16" s="33" t="n">
        <f aca="false">N(E16)+N(I16)+N(M16)+N(Q16)+N(U16)+N(Y16)</f>
        <v>0</v>
      </c>
      <c r="AB16" s="24" t="n">
        <f aca="false">F16+J16+N16+R16+V16+Z16</f>
        <v>7500</v>
      </c>
      <c r="AC16" s="81" t="str">
        <f aca="false">IF(B16="","",IF(AB16&lt;=0,"Clear",IF(AA16&gt;0,"Partial","Due")))</f>
        <v>Due</v>
      </c>
    </row>
    <row r="17" customFormat="false" ht="15" hidden="false" customHeight="false" outlineLevel="0" collapsed="false">
      <c r="A17" s="25" t="n">
        <v>2</v>
      </c>
      <c r="B17" s="82" t="str">
        <f aca="false">IF(Students!B6="","",Students!B6)</f>
        <v/>
      </c>
      <c r="C17" s="37" t="n">
        <f aca="false">'Nov 2026'!F17</f>
        <v>0</v>
      </c>
      <c r="D17" s="37" t="n">
        <f aca="false">IF(B17="",0,N(Students!E6))</f>
        <v>0</v>
      </c>
      <c r="E17" s="23"/>
      <c r="F17" s="26" t="n">
        <f aca="false">N(C17)+N(D17)-N(E17)</f>
        <v>0</v>
      </c>
      <c r="G17" s="37" t="n">
        <f aca="false">'Nov 2026'!J17</f>
        <v>0</v>
      </c>
      <c r="H17" s="37" t="n">
        <f aca="false">IF(B17="",0,N(Students!F6))</f>
        <v>0</v>
      </c>
      <c r="I17" s="23"/>
      <c r="J17" s="26" t="n">
        <f aca="false">N(G17)+N(H17)-N(I17)</f>
        <v>0</v>
      </c>
      <c r="K17" s="37" t="n">
        <f aca="false">'Nov 2026'!N17</f>
        <v>0</v>
      </c>
      <c r="L17" s="37" t="n">
        <f aca="false">IF(B17="",0,N(Students!G6))</f>
        <v>0</v>
      </c>
      <c r="M17" s="23"/>
      <c r="N17" s="26" t="n">
        <f aca="false">N(K17)+N(L17)-N(M17)</f>
        <v>0</v>
      </c>
      <c r="O17" s="37" t="n">
        <f aca="false">'Nov 2026'!R17</f>
        <v>0</v>
      </c>
      <c r="P17" s="37" t="n">
        <f aca="false">IF(B17="",0,N(Students!H6))</f>
        <v>0</v>
      </c>
      <c r="Q17" s="23"/>
      <c r="R17" s="26" t="n">
        <f aca="false">N(O17)+N(P17)-N(Q17)</f>
        <v>0</v>
      </c>
      <c r="S17" s="37" t="n">
        <f aca="false">'Nov 2026'!V17</f>
        <v>0</v>
      </c>
      <c r="T17" s="37" t="n">
        <f aca="false">IF(B17="",0,N(Students!I6))</f>
        <v>0</v>
      </c>
      <c r="U17" s="23"/>
      <c r="V17" s="26" t="n">
        <f aca="false">N(S17)+N(T17)-N(U17)</f>
        <v>0</v>
      </c>
      <c r="W17" s="37" t="n">
        <f aca="false">'Nov 2026'!Z17</f>
        <v>0</v>
      </c>
      <c r="X17" s="37" t="n">
        <f aca="false">IF(B17="",0,N(Students!J6))</f>
        <v>0</v>
      </c>
      <c r="Y17" s="23"/>
      <c r="Z17" s="26" t="n">
        <f aca="false">N(W17)+N(X17)-N(Y17)</f>
        <v>0</v>
      </c>
      <c r="AA17" s="37" t="n">
        <f aca="false">N(E17)+N(I17)+N(M17)+N(Q17)+N(U17)+N(Y17)</f>
        <v>0</v>
      </c>
      <c r="AB17" s="26" t="n">
        <f aca="false">F17+J17+N17+R17+V17+Z17</f>
        <v>0</v>
      </c>
      <c r="AC17" s="83" t="str">
        <f aca="false">IF(B17="","",IF(AB17&lt;=0,"Clear",IF(AA17&gt;0,"Partial","Due")))</f>
        <v/>
      </c>
    </row>
    <row r="18" customFormat="false" ht="15" hidden="false" customHeight="false" outlineLevel="0" collapsed="false">
      <c r="A18" s="21" t="n">
        <v>3</v>
      </c>
      <c r="B18" s="46" t="str">
        <f aca="false">IF(Students!B7="","",Students!B7)</f>
        <v/>
      </c>
      <c r="C18" s="33" t="n">
        <f aca="false">'Nov 2026'!F18</f>
        <v>0</v>
      </c>
      <c r="D18" s="33" t="n">
        <f aca="false">IF(B18="",0,N(Students!E7))</f>
        <v>0</v>
      </c>
      <c r="E18" s="23"/>
      <c r="F18" s="24" t="n">
        <f aca="false">N(C18)+N(D18)-N(E18)</f>
        <v>0</v>
      </c>
      <c r="G18" s="33" t="n">
        <f aca="false">'Nov 2026'!J18</f>
        <v>0</v>
      </c>
      <c r="H18" s="33" t="n">
        <f aca="false">IF(B18="",0,N(Students!F7))</f>
        <v>0</v>
      </c>
      <c r="I18" s="23"/>
      <c r="J18" s="24" t="n">
        <f aca="false">N(G18)+N(H18)-N(I18)</f>
        <v>0</v>
      </c>
      <c r="K18" s="33" t="n">
        <f aca="false">'Nov 2026'!N18</f>
        <v>0</v>
      </c>
      <c r="L18" s="33" t="n">
        <f aca="false">IF(B18="",0,N(Students!G7))</f>
        <v>0</v>
      </c>
      <c r="M18" s="23"/>
      <c r="N18" s="24" t="n">
        <f aca="false">N(K18)+N(L18)-N(M18)</f>
        <v>0</v>
      </c>
      <c r="O18" s="33" t="n">
        <f aca="false">'Nov 2026'!R18</f>
        <v>0</v>
      </c>
      <c r="P18" s="33" t="n">
        <f aca="false">IF(B18="",0,N(Students!H7))</f>
        <v>0</v>
      </c>
      <c r="Q18" s="23"/>
      <c r="R18" s="24" t="n">
        <f aca="false">N(O18)+N(P18)-N(Q18)</f>
        <v>0</v>
      </c>
      <c r="S18" s="33" t="n">
        <f aca="false">'Nov 2026'!V18</f>
        <v>0</v>
      </c>
      <c r="T18" s="33" t="n">
        <f aca="false">IF(B18="",0,N(Students!I7))</f>
        <v>0</v>
      </c>
      <c r="U18" s="23"/>
      <c r="V18" s="24" t="n">
        <f aca="false">N(S18)+N(T18)-N(U18)</f>
        <v>0</v>
      </c>
      <c r="W18" s="33" t="n">
        <f aca="false">'Nov 2026'!Z18</f>
        <v>0</v>
      </c>
      <c r="X18" s="33" t="n">
        <f aca="false">IF(B18="",0,N(Students!J7))</f>
        <v>0</v>
      </c>
      <c r="Y18" s="23"/>
      <c r="Z18" s="24" t="n">
        <f aca="false">N(W18)+N(X18)-N(Y18)</f>
        <v>0</v>
      </c>
      <c r="AA18" s="33" t="n">
        <f aca="false">N(E18)+N(I18)+N(M18)+N(Q18)+N(U18)+N(Y18)</f>
        <v>0</v>
      </c>
      <c r="AB18" s="24" t="n">
        <f aca="false">F18+J18+N18+R18+V18+Z18</f>
        <v>0</v>
      </c>
      <c r="AC18" s="81" t="str">
        <f aca="false">IF(B18="","",IF(AB18&lt;=0,"Clear",IF(AA18&gt;0,"Partial","Due")))</f>
        <v/>
      </c>
    </row>
    <row r="19" customFormat="false" ht="15" hidden="false" customHeight="false" outlineLevel="0" collapsed="false">
      <c r="A19" s="25" t="n">
        <v>4</v>
      </c>
      <c r="B19" s="82" t="str">
        <f aca="false">IF(Students!B8="","",Students!B8)</f>
        <v/>
      </c>
      <c r="C19" s="37" t="n">
        <f aca="false">'Nov 2026'!F19</f>
        <v>0</v>
      </c>
      <c r="D19" s="37" t="n">
        <f aca="false">IF(B19="",0,N(Students!E8))</f>
        <v>0</v>
      </c>
      <c r="E19" s="23"/>
      <c r="F19" s="26" t="n">
        <f aca="false">N(C19)+N(D19)-N(E19)</f>
        <v>0</v>
      </c>
      <c r="G19" s="37" t="n">
        <f aca="false">'Nov 2026'!J19</f>
        <v>0</v>
      </c>
      <c r="H19" s="37" t="n">
        <f aca="false">IF(B19="",0,N(Students!F8))</f>
        <v>0</v>
      </c>
      <c r="I19" s="23"/>
      <c r="J19" s="26" t="n">
        <f aca="false">N(G19)+N(H19)-N(I19)</f>
        <v>0</v>
      </c>
      <c r="K19" s="37" t="n">
        <f aca="false">'Nov 2026'!N19</f>
        <v>0</v>
      </c>
      <c r="L19" s="37" t="n">
        <f aca="false">IF(B19="",0,N(Students!G8))</f>
        <v>0</v>
      </c>
      <c r="M19" s="23"/>
      <c r="N19" s="26" t="n">
        <f aca="false">N(K19)+N(L19)-N(M19)</f>
        <v>0</v>
      </c>
      <c r="O19" s="37" t="n">
        <f aca="false">'Nov 2026'!R19</f>
        <v>0</v>
      </c>
      <c r="P19" s="37" t="n">
        <f aca="false">IF(B19="",0,N(Students!H8))</f>
        <v>0</v>
      </c>
      <c r="Q19" s="23"/>
      <c r="R19" s="26" t="n">
        <f aca="false">N(O19)+N(P19)-N(Q19)</f>
        <v>0</v>
      </c>
      <c r="S19" s="37" t="n">
        <f aca="false">'Nov 2026'!V19</f>
        <v>0</v>
      </c>
      <c r="T19" s="37" t="n">
        <f aca="false">IF(B19="",0,N(Students!I8))</f>
        <v>0</v>
      </c>
      <c r="U19" s="23"/>
      <c r="V19" s="26" t="n">
        <f aca="false">N(S19)+N(T19)-N(U19)</f>
        <v>0</v>
      </c>
      <c r="W19" s="37" t="n">
        <f aca="false">'Nov 2026'!Z19</f>
        <v>0</v>
      </c>
      <c r="X19" s="37" t="n">
        <f aca="false">IF(B19="",0,N(Students!J8))</f>
        <v>0</v>
      </c>
      <c r="Y19" s="23"/>
      <c r="Z19" s="26" t="n">
        <f aca="false">N(W19)+N(X19)-N(Y19)</f>
        <v>0</v>
      </c>
      <c r="AA19" s="37" t="n">
        <f aca="false">N(E19)+N(I19)+N(M19)+N(Q19)+N(U19)+N(Y19)</f>
        <v>0</v>
      </c>
      <c r="AB19" s="26" t="n">
        <f aca="false">F19+J19+N19+R19+V19+Z19</f>
        <v>0</v>
      </c>
      <c r="AC19" s="83" t="str">
        <f aca="false">IF(B19="","",IF(AB19&lt;=0,"Clear",IF(AA19&gt;0,"Partial","Due")))</f>
        <v/>
      </c>
    </row>
    <row r="20" customFormat="false" ht="15" hidden="false" customHeight="false" outlineLevel="0" collapsed="false">
      <c r="A20" s="21" t="n">
        <v>5</v>
      </c>
      <c r="B20" s="46" t="str">
        <f aca="false">IF(Students!B9="","",Students!B9)</f>
        <v/>
      </c>
      <c r="C20" s="33" t="n">
        <f aca="false">'Nov 2026'!F20</f>
        <v>0</v>
      </c>
      <c r="D20" s="33" t="n">
        <f aca="false">IF(B20="",0,N(Students!E9))</f>
        <v>0</v>
      </c>
      <c r="E20" s="23"/>
      <c r="F20" s="24" t="n">
        <f aca="false">N(C20)+N(D20)-N(E20)</f>
        <v>0</v>
      </c>
      <c r="G20" s="33" t="n">
        <f aca="false">'Nov 2026'!J20</f>
        <v>0</v>
      </c>
      <c r="H20" s="33" t="n">
        <f aca="false">IF(B20="",0,N(Students!F9))</f>
        <v>0</v>
      </c>
      <c r="I20" s="23"/>
      <c r="J20" s="24" t="n">
        <f aca="false">N(G20)+N(H20)-N(I20)</f>
        <v>0</v>
      </c>
      <c r="K20" s="33" t="n">
        <f aca="false">'Nov 2026'!N20</f>
        <v>0</v>
      </c>
      <c r="L20" s="33" t="n">
        <f aca="false">IF(B20="",0,N(Students!G9))</f>
        <v>0</v>
      </c>
      <c r="M20" s="23"/>
      <c r="N20" s="24" t="n">
        <f aca="false">N(K20)+N(L20)-N(M20)</f>
        <v>0</v>
      </c>
      <c r="O20" s="33" t="n">
        <f aca="false">'Nov 2026'!R20</f>
        <v>0</v>
      </c>
      <c r="P20" s="33" t="n">
        <f aca="false">IF(B20="",0,N(Students!H9))</f>
        <v>0</v>
      </c>
      <c r="Q20" s="23"/>
      <c r="R20" s="24" t="n">
        <f aca="false">N(O20)+N(P20)-N(Q20)</f>
        <v>0</v>
      </c>
      <c r="S20" s="33" t="n">
        <f aca="false">'Nov 2026'!V20</f>
        <v>0</v>
      </c>
      <c r="T20" s="33" t="n">
        <f aca="false">IF(B20="",0,N(Students!I9))</f>
        <v>0</v>
      </c>
      <c r="U20" s="23"/>
      <c r="V20" s="24" t="n">
        <f aca="false">N(S20)+N(T20)-N(U20)</f>
        <v>0</v>
      </c>
      <c r="W20" s="33" t="n">
        <f aca="false">'Nov 2026'!Z20</f>
        <v>0</v>
      </c>
      <c r="X20" s="33" t="n">
        <f aca="false">IF(B20="",0,N(Students!J9))</f>
        <v>0</v>
      </c>
      <c r="Y20" s="23"/>
      <c r="Z20" s="24" t="n">
        <f aca="false">N(W20)+N(X20)-N(Y20)</f>
        <v>0</v>
      </c>
      <c r="AA20" s="33" t="n">
        <f aca="false">N(E20)+N(I20)+N(M20)+N(Q20)+N(U20)+N(Y20)</f>
        <v>0</v>
      </c>
      <c r="AB20" s="24" t="n">
        <f aca="false">F20+J20+N20+R20+V20+Z20</f>
        <v>0</v>
      </c>
      <c r="AC20" s="81" t="str">
        <f aca="false">IF(B20="","",IF(AB20&lt;=0,"Clear",IF(AA20&gt;0,"Partial","Due")))</f>
        <v/>
      </c>
    </row>
    <row r="21" customFormat="false" ht="15" hidden="false" customHeight="false" outlineLevel="0" collapsed="false">
      <c r="A21" s="25" t="n">
        <v>6</v>
      </c>
      <c r="B21" s="82" t="str">
        <f aca="false">IF(Students!B10="","",Students!B10)</f>
        <v/>
      </c>
      <c r="C21" s="37" t="n">
        <f aca="false">'Nov 2026'!F21</f>
        <v>0</v>
      </c>
      <c r="D21" s="37" t="n">
        <f aca="false">IF(B21="",0,N(Students!E10))</f>
        <v>0</v>
      </c>
      <c r="E21" s="23"/>
      <c r="F21" s="26" t="n">
        <f aca="false">N(C21)+N(D21)-N(E21)</f>
        <v>0</v>
      </c>
      <c r="G21" s="37" t="n">
        <f aca="false">'Nov 2026'!J21</f>
        <v>0</v>
      </c>
      <c r="H21" s="37" t="n">
        <f aca="false">IF(B21="",0,N(Students!F10))</f>
        <v>0</v>
      </c>
      <c r="I21" s="23"/>
      <c r="J21" s="26" t="n">
        <f aca="false">N(G21)+N(H21)-N(I21)</f>
        <v>0</v>
      </c>
      <c r="K21" s="37" t="n">
        <f aca="false">'Nov 2026'!N21</f>
        <v>0</v>
      </c>
      <c r="L21" s="37" t="n">
        <f aca="false">IF(B21="",0,N(Students!G10))</f>
        <v>0</v>
      </c>
      <c r="M21" s="23"/>
      <c r="N21" s="26" t="n">
        <f aca="false">N(K21)+N(L21)-N(M21)</f>
        <v>0</v>
      </c>
      <c r="O21" s="37" t="n">
        <f aca="false">'Nov 2026'!R21</f>
        <v>0</v>
      </c>
      <c r="P21" s="37" t="n">
        <f aca="false">IF(B21="",0,N(Students!H10))</f>
        <v>0</v>
      </c>
      <c r="Q21" s="23"/>
      <c r="R21" s="26" t="n">
        <f aca="false">N(O21)+N(P21)-N(Q21)</f>
        <v>0</v>
      </c>
      <c r="S21" s="37" t="n">
        <f aca="false">'Nov 2026'!V21</f>
        <v>0</v>
      </c>
      <c r="T21" s="37" t="n">
        <f aca="false">IF(B21="",0,N(Students!I10))</f>
        <v>0</v>
      </c>
      <c r="U21" s="23"/>
      <c r="V21" s="26" t="n">
        <f aca="false">N(S21)+N(T21)-N(U21)</f>
        <v>0</v>
      </c>
      <c r="W21" s="37" t="n">
        <f aca="false">'Nov 2026'!Z21</f>
        <v>0</v>
      </c>
      <c r="X21" s="37" t="n">
        <f aca="false">IF(B21="",0,N(Students!J10))</f>
        <v>0</v>
      </c>
      <c r="Y21" s="23"/>
      <c r="Z21" s="26" t="n">
        <f aca="false">N(W21)+N(X21)-N(Y21)</f>
        <v>0</v>
      </c>
      <c r="AA21" s="37" t="n">
        <f aca="false">N(E21)+N(I21)+N(M21)+N(Q21)+N(U21)+N(Y21)</f>
        <v>0</v>
      </c>
      <c r="AB21" s="26" t="n">
        <f aca="false">F21+J21+N21+R21+V21+Z21</f>
        <v>0</v>
      </c>
      <c r="AC21" s="83" t="str">
        <f aca="false">IF(B21="","",IF(AB21&lt;=0,"Clear",IF(AA21&gt;0,"Partial","Due")))</f>
        <v/>
      </c>
    </row>
    <row r="22" customFormat="false" ht="15" hidden="false" customHeight="false" outlineLevel="0" collapsed="false">
      <c r="A22" s="21" t="n">
        <v>7</v>
      </c>
      <c r="B22" s="46" t="str">
        <f aca="false">IF(Students!B11="","",Students!B11)</f>
        <v/>
      </c>
      <c r="C22" s="33" t="n">
        <f aca="false">'Nov 2026'!F22</f>
        <v>0</v>
      </c>
      <c r="D22" s="33" t="n">
        <f aca="false">IF(B22="",0,N(Students!E11))</f>
        <v>0</v>
      </c>
      <c r="E22" s="23"/>
      <c r="F22" s="24" t="n">
        <f aca="false">N(C22)+N(D22)-N(E22)</f>
        <v>0</v>
      </c>
      <c r="G22" s="33" t="n">
        <f aca="false">'Nov 2026'!J22</f>
        <v>0</v>
      </c>
      <c r="H22" s="33" t="n">
        <f aca="false">IF(B22="",0,N(Students!F11))</f>
        <v>0</v>
      </c>
      <c r="I22" s="23"/>
      <c r="J22" s="24" t="n">
        <f aca="false">N(G22)+N(H22)-N(I22)</f>
        <v>0</v>
      </c>
      <c r="K22" s="33" t="n">
        <f aca="false">'Nov 2026'!N22</f>
        <v>0</v>
      </c>
      <c r="L22" s="33" t="n">
        <f aca="false">IF(B22="",0,N(Students!G11))</f>
        <v>0</v>
      </c>
      <c r="M22" s="23"/>
      <c r="N22" s="24" t="n">
        <f aca="false">N(K22)+N(L22)-N(M22)</f>
        <v>0</v>
      </c>
      <c r="O22" s="33" t="n">
        <f aca="false">'Nov 2026'!R22</f>
        <v>0</v>
      </c>
      <c r="P22" s="33" t="n">
        <f aca="false">IF(B22="",0,N(Students!H11))</f>
        <v>0</v>
      </c>
      <c r="Q22" s="23"/>
      <c r="R22" s="24" t="n">
        <f aca="false">N(O22)+N(P22)-N(Q22)</f>
        <v>0</v>
      </c>
      <c r="S22" s="33" t="n">
        <f aca="false">'Nov 2026'!V22</f>
        <v>0</v>
      </c>
      <c r="T22" s="33" t="n">
        <f aca="false">IF(B22="",0,N(Students!I11))</f>
        <v>0</v>
      </c>
      <c r="U22" s="23"/>
      <c r="V22" s="24" t="n">
        <f aca="false">N(S22)+N(T22)-N(U22)</f>
        <v>0</v>
      </c>
      <c r="W22" s="33" t="n">
        <f aca="false">'Nov 2026'!Z22</f>
        <v>0</v>
      </c>
      <c r="X22" s="33" t="n">
        <f aca="false">IF(B22="",0,N(Students!J11))</f>
        <v>0</v>
      </c>
      <c r="Y22" s="23"/>
      <c r="Z22" s="24" t="n">
        <f aca="false">N(W22)+N(X22)-N(Y22)</f>
        <v>0</v>
      </c>
      <c r="AA22" s="33" t="n">
        <f aca="false">N(E22)+N(I22)+N(M22)+N(Q22)+N(U22)+N(Y22)</f>
        <v>0</v>
      </c>
      <c r="AB22" s="24" t="n">
        <f aca="false">F22+J22+N22+R22+V22+Z22</f>
        <v>0</v>
      </c>
      <c r="AC22" s="81" t="str">
        <f aca="false">IF(B22="","",IF(AB22&lt;=0,"Clear",IF(AA22&gt;0,"Partial","Due")))</f>
        <v/>
      </c>
    </row>
    <row r="23" customFormat="false" ht="15" hidden="false" customHeight="false" outlineLevel="0" collapsed="false">
      <c r="A23" s="25" t="n">
        <v>8</v>
      </c>
      <c r="B23" s="82" t="str">
        <f aca="false">IF(Students!B12="","",Students!B12)</f>
        <v/>
      </c>
      <c r="C23" s="37" t="n">
        <f aca="false">'Nov 2026'!F23</f>
        <v>0</v>
      </c>
      <c r="D23" s="37" t="n">
        <f aca="false">IF(B23="",0,N(Students!E12))</f>
        <v>0</v>
      </c>
      <c r="E23" s="23"/>
      <c r="F23" s="26" t="n">
        <f aca="false">N(C23)+N(D23)-N(E23)</f>
        <v>0</v>
      </c>
      <c r="G23" s="37" t="n">
        <f aca="false">'Nov 2026'!J23</f>
        <v>0</v>
      </c>
      <c r="H23" s="37" t="n">
        <f aca="false">IF(B23="",0,N(Students!F12))</f>
        <v>0</v>
      </c>
      <c r="I23" s="23"/>
      <c r="J23" s="26" t="n">
        <f aca="false">N(G23)+N(H23)-N(I23)</f>
        <v>0</v>
      </c>
      <c r="K23" s="37" t="n">
        <f aca="false">'Nov 2026'!N23</f>
        <v>0</v>
      </c>
      <c r="L23" s="37" t="n">
        <f aca="false">IF(B23="",0,N(Students!G12))</f>
        <v>0</v>
      </c>
      <c r="M23" s="23"/>
      <c r="N23" s="26" t="n">
        <f aca="false">N(K23)+N(L23)-N(M23)</f>
        <v>0</v>
      </c>
      <c r="O23" s="37" t="n">
        <f aca="false">'Nov 2026'!R23</f>
        <v>0</v>
      </c>
      <c r="P23" s="37" t="n">
        <f aca="false">IF(B23="",0,N(Students!H12))</f>
        <v>0</v>
      </c>
      <c r="Q23" s="23"/>
      <c r="R23" s="26" t="n">
        <f aca="false">N(O23)+N(P23)-N(Q23)</f>
        <v>0</v>
      </c>
      <c r="S23" s="37" t="n">
        <f aca="false">'Nov 2026'!V23</f>
        <v>0</v>
      </c>
      <c r="T23" s="37" t="n">
        <f aca="false">IF(B23="",0,N(Students!I12))</f>
        <v>0</v>
      </c>
      <c r="U23" s="23"/>
      <c r="V23" s="26" t="n">
        <f aca="false">N(S23)+N(T23)-N(U23)</f>
        <v>0</v>
      </c>
      <c r="W23" s="37" t="n">
        <f aca="false">'Nov 2026'!Z23</f>
        <v>0</v>
      </c>
      <c r="X23" s="37" t="n">
        <f aca="false">IF(B23="",0,N(Students!J12))</f>
        <v>0</v>
      </c>
      <c r="Y23" s="23"/>
      <c r="Z23" s="26" t="n">
        <f aca="false">N(W23)+N(X23)-N(Y23)</f>
        <v>0</v>
      </c>
      <c r="AA23" s="37" t="n">
        <f aca="false">N(E23)+N(I23)+N(M23)+N(Q23)+N(U23)+N(Y23)</f>
        <v>0</v>
      </c>
      <c r="AB23" s="26" t="n">
        <f aca="false">F23+J23+N23+R23+V23+Z23</f>
        <v>0</v>
      </c>
      <c r="AC23" s="83" t="str">
        <f aca="false">IF(B23="","",IF(AB23&lt;=0,"Clear",IF(AA23&gt;0,"Partial","Due")))</f>
        <v/>
      </c>
    </row>
    <row r="24" customFormat="false" ht="15" hidden="false" customHeight="false" outlineLevel="0" collapsed="false">
      <c r="A24" s="21" t="n">
        <v>9</v>
      </c>
      <c r="B24" s="46" t="str">
        <f aca="false">IF(Students!B13="","",Students!B13)</f>
        <v/>
      </c>
      <c r="C24" s="33" t="n">
        <f aca="false">'Nov 2026'!F24</f>
        <v>0</v>
      </c>
      <c r="D24" s="33" t="n">
        <f aca="false">IF(B24="",0,N(Students!E13))</f>
        <v>0</v>
      </c>
      <c r="E24" s="23"/>
      <c r="F24" s="24" t="n">
        <f aca="false">N(C24)+N(D24)-N(E24)</f>
        <v>0</v>
      </c>
      <c r="G24" s="33" t="n">
        <f aca="false">'Nov 2026'!J24</f>
        <v>0</v>
      </c>
      <c r="H24" s="33" t="n">
        <f aca="false">IF(B24="",0,N(Students!F13))</f>
        <v>0</v>
      </c>
      <c r="I24" s="23"/>
      <c r="J24" s="24" t="n">
        <f aca="false">N(G24)+N(H24)-N(I24)</f>
        <v>0</v>
      </c>
      <c r="K24" s="33" t="n">
        <f aca="false">'Nov 2026'!N24</f>
        <v>0</v>
      </c>
      <c r="L24" s="33" t="n">
        <f aca="false">IF(B24="",0,N(Students!G13))</f>
        <v>0</v>
      </c>
      <c r="M24" s="23"/>
      <c r="N24" s="24" t="n">
        <f aca="false">N(K24)+N(L24)-N(M24)</f>
        <v>0</v>
      </c>
      <c r="O24" s="33" t="n">
        <f aca="false">'Nov 2026'!R24</f>
        <v>0</v>
      </c>
      <c r="P24" s="33" t="n">
        <f aca="false">IF(B24="",0,N(Students!H13))</f>
        <v>0</v>
      </c>
      <c r="Q24" s="23"/>
      <c r="R24" s="24" t="n">
        <f aca="false">N(O24)+N(P24)-N(Q24)</f>
        <v>0</v>
      </c>
      <c r="S24" s="33" t="n">
        <f aca="false">'Nov 2026'!V24</f>
        <v>0</v>
      </c>
      <c r="T24" s="33" t="n">
        <f aca="false">IF(B24="",0,N(Students!I13))</f>
        <v>0</v>
      </c>
      <c r="U24" s="23"/>
      <c r="V24" s="24" t="n">
        <f aca="false">N(S24)+N(T24)-N(U24)</f>
        <v>0</v>
      </c>
      <c r="W24" s="33" t="n">
        <f aca="false">'Nov 2026'!Z24</f>
        <v>0</v>
      </c>
      <c r="X24" s="33" t="n">
        <f aca="false">IF(B24="",0,N(Students!J13))</f>
        <v>0</v>
      </c>
      <c r="Y24" s="23"/>
      <c r="Z24" s="24" t="n">
        <f aca="false">N(W24)+N(X24)-N(Y24)</f>
        <v>0</v>
      </c>
      <c r="AA24" s="33" t="n">
        <f aca="false">N(E24)+N(I24)+N(M24)+N(Q24)+N(U24)+N(Y24)</f>
        <v>0</v>
      </c>
      <c r="AB24" s="24" t="n">
        <f aca="false">F24+J24+N24+R24+V24+Z24</f>
        <v>0</v>
      </c>
      <c r="AC24" s="81" t="str">
        <f aca="false">IF(B24="","",IF(AB24&lt;=0,"Clear",IF(AA24&gt;0,"Partial","Due")))</f>
        <v/>
      </c>
    </row>
    <row r="25" customFormat="false" ht="15" hidden="false" customHeight="false" outlineLevel="0" collapsed="false">
      <c r="A25" s="25" t="n">
        <v>10</v>
      </c>
      <c r="B25" s="82" t="str">
        <f aca="false">IF(Students!B14="","",Students!B14)</f>
        <v/>
      </c>
      <c r="C25" s="37" t="n">
        <f aca="false">'Nov 2026'!F25</f>
        <v>0</v>
      </c>
      <c r="D25" s="37" t="n">
        <f aca="false">IF(B25="",0,N(Students!E14))</f>
        <v>0</v>
      </c>
      <c r="E25" s="23"/>
      <c r="F25" s="26" t="n">
        <f aca="false">N(C25)+N(D25)-N(E25)</f>
        <v>0</v>
      </c>
      <c r="G25" s="37" t="n">
        <f aca="false">'Nov 2026'!J25</f>
        <v>0</v>
      </c>
      <c r="H25" s="37" t="n">
        <f aca="false">IF(B25="",0,N(Students!F14))</f>
        <v>0</v>
      </c>
      <c r="I25" s="23"/>
      <c r="J25" s="26" t="n">
        <f aca="false">N(G25)+N(H25)-N(I25)</f>
        <v>0</v>
      </c>
      <c r="K25" s="37" t="n">
        <f aca="false">'Nov 2026'!N25</f>
        <v>0</v>
      </c>
      <c r="L25" s="37" t="n">
        <f aca="false">IF(B25="",0,N(Students!G14))</f>
        <v>0</v>
      </c>
      <c r="M25" s="23"/>
      <c r="N25" s="26" t="n">
        <f aca="false">N(K25)+N(L25)-N(M25)</f>
        <v>0</v>
      </c>
      <c r="O25" s="37" t="n">
        <f aca="false">'Nov 2026'!R25</f>
        <v>0</v>
      </c>
      <c r="P25" s="37" t="n">
        <f aca="false">IF(B25="",0,N(Students!H14))</f>
        <v>0</v>
      </c>
      <c r="Q25" s="23"/>
      <c r="R25" s="26" t="n">
        <f aca="false">N(O25)+N(P25)-N(Q25)</f>
        <v>0</v>
      </c>
      <c r="S25" s="37" t="n">
        <f aca="false">'Nov 2026'!V25</f>
        <v>0</v>
      </c>
      <c r="T25" s="37" t="n">
        <f aca="false">IF(B25="",0,N(Students!I14))</f>
        <v>0</v>
      </c>
      <c r="U25" s="23"/>
      <c r="V25" s="26" t="n">
        <f aca="false">N(S25)+N(T25)-N(U25)</f>
        <v>0</v>
      </c>
      <c r="W25" s="37" t="n">
        <f aca="false">'Nov 2026'!Z25</f>
        <v>0</v>
      </c>
      <c r="X25" s="37" t="n">
        <f aca="false">IF(B25="",0,N(Students!J14))</f>
        <v>0</v>
      </c>
      <c r="Y25" s="23"/>
      <c r="Z25" s="26" t="n">
        <f aca="false">N(W25)+N(X25)-N(Y25)</f>
        <v>0</v>
      </c>
      <c r="AA25" s="37" t="n">
        <f aca="false">N(E25)+N(I25)+N(M25)+N(Q25)+N(U25)+N(Y25)</f>
        <v>0</v>
      </c>
      <c r="AB25" s="26" t="n">
        <f aca="false">F25+J25+N25+R25+V25+Z25</f>
        <v>0</v>
      </c>
      <c r="AC25" s="83" t="str">
        <f aca="false">IF(B25="","",IF(AB25&lt;=0,"Clear",IF(AA25&gt;0,"Partial","Due")))</f>
        <v/>
      </c>
    </row>
    <row r="26" customFormat="false" ht="15" hidden="false" customHeight="false" outlineLevel="0" collapsed="false">
      <c r="A26" s="21" t="n">
        <v>11</v>
      </c>
      <c r="B26" s="46" t="str">
        <f aca="false">IF(Students!B15="","",Students!B15)</f>
        <v/>
      </c>
      <c r="C26" s="33" t="n">
        <f aca="false">'Nov 2026'!F26</f>
        <v>0</v>
      </c>
      <c r="D26" s="33" t="n">
        <f aca="false">IF(B26="",0,N(Students!E15))</f>
        <v>0</v>
      </c>
      <c r="E26" s="23"/>
      <c r="F26" s="24" t="n">
        <f aca="false">N(C26)+N(D26)-N(E26)</f>
        <v>0</v>
      </c>
      <c r="G26" s="33" t="n">
        <f aca="false">'Nov 2026'!J26</f>
        <v>0</v>
      </c>
      <c r="H26" s="33" t="n">
        <f aca="false">IF(B26="",0,N(Students!F15))</f>
        <v>0</v>
      </c>
      <c r="I26" s="23"/>
      <c r="J26" s="24" t="n">
        <f aca="false">N(G26)+N(H26)-N(I26)</f>
        <v>0</v>
      </c>
      <c r="K26" s="33" t="n">
        <f aca="false">'Nov 2026'!N26</f>
        <v>0</v>
      </c>
      <c r="L26" s="33" t="n">
        <f aca="false">IF(B26="",0,N(Students!G15))</f>
        <v>0</v>
      </c>
      <c r="M26" s="23"/>
      <c r="N26" s="24" t="n">
        <f aca="false">N(K26)+N(L26)-N(M26)</f>
        <v>0</v>
      </c>
      <c r="O26" s="33" t="n">
        <f aca="false">'Nov 2026'!R26</f>
        <v>0</v>
      </c>
      <c r="P26" s="33" t="n">
        <f aca="false">IF(B26="",0,N(Students!H15))</f>
        <v>0</v>
      </c>
      <c r="Q26" s="23"/>
      <c r="R26" s="24" t="n">
        <f aca="false">N(O26)+N(P26)-N(Q26)</f>
        <v>0</v>
      </c>
      <c r="S26" s="33" t="n">
        <f aca="false">'Nov 2026'!V26</f>
        <v>0</v>
      </c>
      <c r="T26" s="33" t="n">
        <f aca="false">IF(B26="",0,N(Students!I15))</f>
        <v>0</v>
      </c>
      <c r="U26" s="23"/>
      <c r="V26" s="24" t="n">
        <f aca="false">N(S26)+N(T26)-N(U26)</f>
        <v>0</v>
      </c>
      <c r="W26" s="33" t="n">
        <f aca="false">'Nov 2026'!Z26</f>
        <v>0</v>
      </c>
      <c r="X26" s="33" t="n">
        <f aca="false">IF(B26="",0,N(Students!J15))</f>
        <v>0</v>
      </c>
      <c r="Y26" s="23"/>
      <c r="Z26" s="24" t="n">
        <f aca="false">N(W26)+N(X26)-N(Y26)</f>
        <v>0</v>
      </c>
      <c r="AA26" s="33" t="n">
        <f aca="false">N(E26)+N(I26)+N(M26)+N(Q26)+N(U26)+N(Y26)</f>
        <v>0</v>
      </c>
      <c r="AB26" s="24" t="n">
        <f aca="false">F26+J26+N26+R26+V26+Z26</f>
        <v>0</v>
      </c>
      <c r="AC26" s="81" t="str">
        <f aca="false">IF(B26="","",IF(AB26&lt;=0,"Clear",IF(AA26&gt;0,"Partial","Due")))</f>
        <v/>
      </c>
    </row>
    <row r="27" customFormat="false" ht="15" hidden="false" customHeight="false" outlineLevel="0" collapsed="false">
      <c r="A27" s="25" t="n">
        <v>12</v>
      </c>
      <c r="B27" s="82" t="str">
        <f aca="false">IF(Students!B16="","",Students!B16)</f>
        <v/>
      </c>
      <c r="C27" s="37" t="n">
        <f aca="false">'Nov 2026'!F27</f>
        <v>0</v>
      </c>
      <c r="D27" s="37" t="n">
        <f aca="false">IF(B27="",0,N(Students!E16))</f>
        <v>0</v>
      </c>
      <c r="E27" s="23"/>
      <c r="F27" s="26" t="n">
        <f aca="false">N(C27)+N(D27)-N(E27)</f>
        <v>0</v>
      </c>
      <c r="G27" s="37" t="n">
        <f aca="false">'Nov 2026'!J27</f>
        <v>0</v>
      </c>
      <c r="H27" s="37" t="n">
        <f aca="false">IF(B27="",0,N(Students!F16))</f>
        <v>0</v>
      </c>
      <c r="I27" s="23"/>
      <c r="J27" s="26" t="n">
        <f aca="false">N(G27)+N(H27)-N(I27)</f>
        <v>0</v>
      </c>
      <c r="K27" s="37" t="n">
        <f aca="false">'Nov 2026'!N27</f>
        <v>0</v>
      </c>
      <c r="L27" s="37" t="n">
        <f aca="false">IF(B27="",0,N(Students!G16))</f>
        <v>0</v>
      </c>
      <c r="M27" s="23"/>
      <c r="N27" s="26" t="n">
        <f aca="false">N(K27)+N(L27)-N(M27)</f>
        <v>0</v>
      </c>
      <c r="O27" s="37" t="n">
        <f aca="false">'Nov 2026'!R27</f>
        <v>0</v>
      </c>
      <c r="P27" s="37" t="n">
        <f aca="false">IF(B27="",0,N(Students!H16))</f>
        <v>0</v>
      </c>
      <c r="Q27" s="23"/>
      <c r="R27" s="26" t="n">
        <f aca="false">N(O27)+N(P27)-N(Q27)</f>
        <v>0</v>
      </c>
      <c r="S27" s="37" t="n">
        <f aca="false">'Nov 2026'!V27</f>
        <v>0</v>
      </c>
      <c r="T27" s="37" t="n">
        <f aca="false">IF(B27="",0,N(Students!I16))</f>
        <v>0</v>
      </c>
      <c r="U27" s="23"/>
      <c r="V27" s="26" t="n">
        <f aca="false">N(S27)+N(T27)-N(U27)</f>
        <v>0</v>
      </c>
      <c r="W27" s="37" t="n">
        <f aca="false">'Nov 2026'!Z27</f>
        <v>0</v>
      </c>
      <c r="X27" s="37" t="n">
        <f aca="false">IF(B27="",0,N(Students!J16))</f>
        <v>0</v>
      </c>
      <c r="Y27" s="23"/>
      <c r="Z27" s="26" t="n">
        <f aca="false">N(W27)+N(X27)-N(Y27)</f>
        <v>0</v>
      </c>
      <c r="AA27" s="37" t="n">
        <f aca="false">N(E27)+N(I27)+N(M27)+N(Q27)+N(U27)+N(Y27)</f>
        <v>0</v>
      </c>
      <c r="AB27" s="26" t="n">
        <f aca="false">F27+J27+N27+R27+V27+Z27</f>
        <v>0</v>
      </c>
      <c r="AC27" s="83" t="str">
        <f aca="false">IF(B27="","",IF(AB27&lt;=0,"Clear",IF(AA27&gt;0,"Partial","Due")))</f>
        <v/>
      </c>
    </row>
    <row r="28" customFormat="false" ht="15" hidden="false" customHeight="false" outlineLevel="0" collapsed="false">
      <c r="A28" s="21" t="n">
        <v>13</v>
      </c>
      <c r="B28" s="46" t="str">
        <f aca="false">IF(Students!B17="","",Students!B17)</f>
        <v/>
      </c>
      <c r="C28" s="33" t="n">
        <f aca="false">'Nov 2026'!F28</f>
        <v>0</v>
      </c>
      <c r="D28" s="33" t="n">
        <f aca="false">IF(B28="",0,N(Students!E17))</f>
        <v>0</v>
      </c>
      <c r="E28" s="23"/>
      <c r="F28" s="24" t="n">
        <f aca="false">N(C28)+N(D28)-N(E28)</f>
        <v>0</v>
      </c>
      <c r="G28" s="33" t="n">
        <f aca="false">'Nov 2026'!J28</f>
        <v>0</v>
      </c>
      <c r="H28" s="33" t="n">
        <f aca="false">IF(B28="",0,N(Students!F17))</f>
        <v>0</v>
      </c>
      <c r="I28" s="23"/>
      <c r="J28" s="24" t="n">
        <f aca="false">N(G28)+N(H28)-N(I28)</f>
        <v>0</v>
      </c>
      <c r="K28" s="33" t="n">
        <f aca="false">'Nov 2026'!N28</f>
        <v>0</v>
      </c>
      <c r="L28" s="33" t="n">
        <f aca="false">IF(B28="",0,N(Students!G17))</f>
        <v>0</v>
      </c>
      <c r="M28" s="23"/>
      <c r="N28" s="24" t="n">
        <f aca="false">N(K28)+N(L28)-N(M28)</f>
        <v>0</v>
      </c>
      <c r="O28" s="33" t="n">
        <f aca="false">'Nov 2026'!R28</f>
        <v>0</v>
      </c>
      <c r="P28" s="33" t="n">
        <f aca="false">IF(B28="",0,N(Students!H17))</f>
        <v>0</v>
      </c>
      <c r="Q28" s="23"/>
      <c r="R28" s="24" t="n">
        <f aca="false">N(O28)+N(P28)-N(Q28)</f>
        <v>0</v>
      </c>
      <c r="S28" s="33" t="n">
        <f aca="false">'Nov 2026'!V28</f>
        <v>0</v>
      </c>
      <c r="T28" s="33" t="n">
        <f aca="false">IF(B28="",0,N(Students!I17))</f>
        <v>0</v>
      </c>
      <c r="U28" s="23"/>
      <c r="V28" s="24" t="n">
        <f aca="false">N(S28)+N(T28)-N(U28)</f>
        <v>0</v>
      </c>
      <c r="W28" s="33" t="n">
        <f aca="false">'Nov 2026'!Z28</f>
        <v>0</v>
      </c>
      <c r="X28" s="33" t="n">
        <f aca="false">IF(B28="",0,N(Students!J17))</f>
        <v>0</v>
      </c>
      <c r="Y28" s="23"/>
      <c r="Z28" s="24" t="n">
        <f aca="false">N(W28)+N(X28)-N(Y28)</f>
        <v>0</v>
      </c>
      <c r="AA28" s="33" t="n">
        <f aca="false">N(E28)+N(I28)+N(M28)+N(Q28)+N(U28)+N(Y28)</f>
        <v>0</v>
      </c>
      <c r="AB28" s="24" t="n">
        <f aca="false">F28+J28+N28+R28+V28+Z28</f>
        <v>0</v>
      </c>
      <c r="AC28" s="81" t="str">
        <f aca="false">IF(B28="","",IF(AB28&lt;=0,"Clear",IF(AA28&gt;0,"Partial","Due")))</f>
        <v/>
      </c>
    </row>
    <row r="29" customFormat="false" ht="15" hidden="false" customHeight="false" outlineLevel="0" collapsed="false">
      <c r="A29" s="25" t="n">
        <v>14</v>
      </c>
      <c r="B29" s="82" t="str">
        <f aca="false">IF(Students!B18="","",Students!B18)</f>
        <v/>
      </c>
      <c r="C29" s="37" t="n">
        <f aca="false">'Nov 2026'!F29</f>
        <v>0</v>
      </c>
      <c r="D29" s="37" t="n">
        <f aca="false">IF(B29="",0,N(Students!E18))</f>
        <v>0</v>
      </c>
      <c r="E29" s="23"/>
      <c r="F29" s="26" t="n">
        <f aca="false">N(C29)+N(D29)-N(E29)</f>
        <v>0</v>
      </c>
      <c r="G29" s="37" t="n">
        <f aca="false">'Nov 2026'!J29</f>
        <v>0</v>
      </c>
      <c r="H29" s="37" t="n">
        <f aca="false">IF(B29="",0,N(Students!F18))</f>
        <v>0</v>
      </c>
      <c r="I29" s="23"/>
      <c r="J29" s="26" t="n">
        <f aca="false">N(G29)+N(H29)-N(I29)</f>
        <v>0</v>
      </c>
      <c r="K29" s="37" t="n">
        <f aca="false">'Nov 2026'!N29</f>
        <v>0</v>
      </c>
      <c r="L29" s="37" t="n">
        <f aca="false">IF(B29="",0,N(Students!G18))</f>
        <v>0</v>
      </c>
      <c r="M29" s="23"/>
      <c r="N29" s="26" t="n">
        <f aca="false">N(K29)+N(L29)-N(M29)</f>
        <v>0</v>
      </c>
      <c r="O29" s="37" t="n">
        <f aca="false">'Nov 2026'!R29</f>
        <v>0</v>
      </c>
      <c r="P29" s="37" t="n">
        <f aca="false">IF(B29="",0,N(Students!H18))</f>
        <v>0</v>
      </c>
      <c r="Q29" s="23"/>
      <c r="R29" s="26" t="n">
        <f aca="false">N(O29)+N(P29)-N(Q29)</f>
        <v>0</v>
      </c>
      <c r="S29" s="37" t="n">
        <f aca="false">'Nov 2026'!V29</f>
        <v>0</v>
      </c>
      <c r="T29" s="37" t="n">
        <f aca="false">IF(B29="",0,N(Students!I18))</f>
        <v>0</v>
      </c>
      <c r="U29" s="23"/>
      <c r="V29" s="26" t="n">
        <f aca="false">N(S29)+N(T29)-N(U29)</f>
        <v>0</v>
      </c>
      <c r="W29" s="37" t="n">
        <f aca="false">'Nov 2026'!Z29</f>
        <v>0</v>
      </c>
      <c r="X29" s="37" t="n">
        <f aca="false">IF(B29="",0,N(Students!J18))</f>
        <v>0</v>
      </c>
      <c r="Y29" s="23"/>
      <c r="Z29" s="26" t="n">
        <f aca="false">N(W29)+N(X29)-N(Y29)</f>
        <v>0</v>
      </c>
      <c r="AA29" s="37" t="n">
        <f aca="false">N(E29)+N(I29)+N(M29)+N(Q29)+N(U29)+N(Y29)</f>
        <v>0</v>
      </c>
      <c r="AB29" s="26" t="n">
        <f aca="false">F29+J29+N29+R29+V29+Z29</f>
        <v>0</v>
      </c>
      <c r="AC29" s="83" t="str">
        <f aca="false">IF(B29="","",IF(AB29&lt;=0,"Clear",IF(AA29&gt;0,"Partial","Due")))</f>
        <v/>
      </c>
    </row>
    <row r="30" customFormat="false" ht="15" hidden="false" customHeight="false" outlineLevel="0" collapsed="false">
      <c r="A30" s="21" t="n">
        <v>15</v>
      </c>
      <c r="B30" s="46" t="str">
        <f aca="false">IF(Students!B19="","",Students!B19)</f>
        <v/>
      </c>
      <c r="C30" s="33" t="n">
        <f aca="false">'Nov 2026'!F30</f>
        <v>0</v>
      </c>
      <c r="D30" s="33" t="n">
        <f aca="false">IF(B30="",0,N(Students!E19))</f>
        <v>0</v>
      </c>
      <c r="E30" s="23"/>
      <c r="F30" s="24" t="n">
        <f aca="false">N(C30)+N(D30)-N(E30)</f>
        <v>0</v>
      </c>
      <c r="G30" s="33" t="n">
        <f aca="false">'Nov 2026'!J30</f>
        <v>0</v>
      </c>
      <c r="H30" s="33" t="n">
        <f aca="false">IF(B30="",0,N(Students!F19))</f>
        <v>0</v>
      </c>
      <c r="I30" s="23"/>
      <c r="J30" s="24" t="n">
        <f aca="false">N(G30)+N(H30)-N(I30)</f>
        <v>0</v>
      </c>
      <c r="K30" s="33" t="n">
        <f aca="false">'Nov 2026'!N30</f>
        <v>0</v>
      </c>
      <c r="L30" s="33" t="n">
        <f aca="false">IF(B30="",0,N(Students!G19))</f>
        <v>0</v>
      </c>
      <c r="M30" s="23"/>
      <c r="N30" s="24" t="n">
        <f aca="false">N(K30)+N(L30)-N(M30)</f>
        <v>0</v>
      </c>
      <c r="O30" s="33" t="n">
        <f aca="false">'Nov 2026'!R30</f>
        <v>0</v>
      </c>
      <c r="P30" s="33" t="n">
        <f aca="false">IF(B30="",0,N(Students!H19))</f>
        <v>0</v>
      </c>
      <c r="Q30" s="23"/>
      <c r="R30" s="24" t="n">
        <f aca="false">N(O30)+N(P30)-N(Q30)</f>
        <v>0</v>
      </c>
      <c r="S30" s="33" t="n">
        <f aca="false">'Nov 2026'!V30</f>
        <v>0</v>
      </c>
      <c r="T30" s="33" t="n">
        <f aca="false">IF(B30="",0,N(Students!I19))</f>
        <v>0</v>
      </c>
      <c r="U30" s="23"/>
      <c r="V30" s="24" t="n">
        <f aca="false">N(S30)+N(T30)-N(U30)</f>
        <v>0</v>
      </c>
      <c r="W30" s="33" t="n">
        <f aca="false">'Nov 2026'!Z30</f>
        <v>0</v>
      </c>
      <c r="X30" s="33" t="n">
        <f aca="false">IF(B30="",0,N(Students!J19))</f>
        <v>0</v>
      </c>
      <c r="Y30" s="23"/>
      <c r="Z30" s="24" t="n">
        <f aca="false">N(W30)+N(X30)-N(Y30)</f>
        <v>0</v>
      </c>
      <c r="AA30" s="33" t="n">
        <f aca="false">N(E30)+N(I30)+N(M30)+N(Q30)+N(U30)+N(Y30)</f>
        <v>0</v>
      </c>
      <c r="AB30" s="24" t="n">
        <f aca="false">F30+J30+N30+R30+V30+Z30</f>
        <v>0</v>
      </c>
      <c r="AC30" s="81" t="str">
        <f aca="false">IF(B30="","",IF(AB30&lt;=0,"Clear",IF(AA30&gt;0,"Partial","Due")))</f>
        <v/>
      </c>
    </row>
    <row r="31" customFormat="false" ht="15" hidden="false" customHeight="false" outlineLevel="0" collapsed="false">
      <c r="A31" s="25" t="n">
        <v>16</v>
      </c>
      <c r="B31" s="82" t="str">
        <f aca="false">IF(Students!B20="","",Students!B20)</f>
        <v/>
      </c>
      <c r="C31" s="37" t="n">
        <f aca="false">'Nov 2026'!F31</f>
        <v>0</v>
      </c>
      <c r="D31" s="37" t="n">
        <f aca="false">IF(B31="",0,N(Students!E20))</f>
        <v>0</v>
      </c>
      <c r="E31" s="23"/>
      <c r="F31" s="26" t="n">
        <f aca="false">N(C31)+N(D31)-N(E31)</f>
        <v>0</v>
      </c>
      <c r="G31" s="37" t="n">
        <f aca="false">'Nov 2026'!J31</f>
        <v>0</v>
      </c>
      <c r="H31" s="37" t="n">
        <f aca="false">IF(B31="",0,N(Students!F20))</f>
        <v>0</v>
      </c>
      <c r="I31" s="23"/>
      <c r="J31" s="26" t="n">
        <f aca="false">N(G31)+N(H31)-N(I31)</f>
        <v>0</v>
      </c>
      <c r="K31" s="37" t="n">
        <f aca="false">'Nov 2026'!N31</f>
        <v>0</v>
      </c>
      <c r="L31" s="37" t="n">
        <f aca="false">IF(B31="",0,N(Students!G20))</f>
        <v>0</v>
      </c>
      <c r="M31" s="23"/>
      <c r="N31" s="26" t="n">
        <f aca="false">N(K31)+N(L31)-N(M31)</f>
        <v>0</v>
      </c>
      <c r="O31" s="37" t="n">
        <f aca="false">'Nov 2026'!R31</f>
        <v>0</v>
      </c>
      <c r="P31" s="37" t="n">
        <f aca="false">IF(B31="",0,N(Students!H20))</f>
        <v>0</v>
      </c>
      <c r="Q31" s="23"/>
      <c r="R31" s="26" t="n">
        <f aca="false">N(O31)+N(P31)-N(Q31)</f>
        <v>0</v>
      </c>
      <c r="S31" s="37" t="n">
        <f aca="false">'Nov 2026'!V31</f>
        <v>0</v>
      </c>
      <c r="T31" s="37" t="n">
        <f aca="false">IF(B31="",0,N(Students!I20))</f>
        <v>0</v>
      </c>
      <c r="U31" s="23"/>
      <c r="V31" s="26" t="n">
        <f aca="false">N(S31)+N(T31)-N(U31)</f>
        <v>0</v>
      </c>
      <c r="W31" s="37" t="n">
        <f aca="false">'Nov 2026'!Z31</f>
        <v>0</v>
      </c>
      <c r="X31" s="37" t="n">
        <f aca="false">IF(B31="",0,N(Students!J20))</f>
        <v>0</v>
      </c>
      <c r="Y31" s="23"/>
      <c r="Z31" s="26" t="n">
        <f aca="false">N(W31)+N(X31)-N(Y31)</f>
        <v>0</v>
      </c>
      <c r="AA31" s="37" t="n">
        <f aca="false">N(E31)+N(I31)+N(M31)+N(Q31)+N(U31)+N(Y31)</f>
        <v>0</v>
      </c>
      <c r="AB31" s="26" t="n">
        <f aca="false">F31+J31+N31+R31+V31+Z31</f>
        <v>0</v>
      </c>
      <c r="AC31" s="83" t="str">
        <f aca="false">IF(B31="","",IF(AB31&lt;=0,"Clear",IF(AA31&gt;0,"Partial","Due")))</f>
        <v/>
      </c>
    </row>
    <row r="32" customFormat="false" ht="15" hidden="false" customHeight="false" outlineLevel="0" collapsed="false">
      <c r="A32" s="21" t="n">
        <v>17</v>
      </c>
      <c r="B32" s="46" t="str">
        <f aca="false">IF(Students!B21="","",Students!B21)</f>
        <v/>
      </c>
      <c r="C32" s="33" t="n">
        <f aca="false">'Nov 2026'!F32</f>
        <v>0</v>
      </c>
      <c r="D32" s="33" t="n">
        <f aca="false">IF(B32="",0,N(Students!E21))</f>
        <v>0</v>
      </c>
      <c r="E32" s="23"/>
      <c r="F32" s="24" t="n">
        <f aca="false">N(C32)+N(D32)-N(E32)</f>
        <v>0</v>
      </c>
      <c r="G32" s="33" t="n">
        <f aca="false">'Nov 2026'!J32</f>
        <v>0</v>
      </c>
      <c r="H32" s="33" t="n">
        <f aca="false">IF(B32="",0,N(Students!F21))</f>
        <v>0</v>
      </c>
      <c r="I32" s="23"/>
      <c r="J32" s="24" t="n">
        <f aca="false">N(G32)+N(H32)-N(I32)</f>
        <v>0</v>
      </c>
      <c r="K32" s="33" t="n">
        <f aca="false">'Nov 2026'!N32</f>
        <v>0</v>
      </c>
      <c r="L32" s="33" t="n">
        <f aca="false">IF(B32="",0,N(Students!G21))</f>
        <v>0</v>
      </c>
      <c r="M32" s="23"/>
      <c r="N32" s="24" t="n">
        <f aca="false">N(K32)+N(L32)-N(M32)</f>
        <v>0</v>
      </c>
      <c r="O32" s="33" t="n">
        <f aca="false">'Nov 2026'!R32</f>
        <v>0</v>
      </c>
      <c r="P32" s="33" t="n">
        <f aca="false">IF(B32="",0,N(Students!H21))</f>
        <v>0</v>
      </c>
      <c r="Q32" s="23"/>
      <c r="R32" s="24" t="n">
        <f aca="false">N(O32)+N(P32)-N(Q32)</f>
        <v>0</v>
      </c>
      <c r="S32" s="33" t="n">
        <f aca="false">'Nov 2026'!V32</f>
        <v>0</v>
      </c>
      <c r="T32" s="33" t="n">
        <f aca="false">IF(B32="",0,N(Students!I21))</f>
        <v>0</v>
      </c>
      <c r="U32" s="23"/>
      <c r="V32" s="24" t="n">
        <f aca="false">N(S32)+N(T32)-N(U32)</f>
        <v>0</v>
      </c>
      <c r="W32" s="33" t="n">
        <f aca="false">'Nov 2026'!Z32</f>
        <v>0</v>
      </c>
      <c r="X32" s="33" t="n">
        <f aca="false">IF(B32="",0,N(Students!J21))</f>
        <v>0</v>
      </c>
      <c r="Y32" s="23"/>
      <c r="Z32" s="24" t="n">
        <f aca="false">N(W32)+N(X32)-N(Y32)</f>
        <v>0</v>
      </c>
      <c r="AA32" s="33" t="n">
        <f aca="false">N(E32)+N(I32)+N(M32)+N(Q32)+N(U32)+N(Y32)</f>
        <v>0</v>
      </c>
      <c r="AB32" s="24" t="n">
        <f aca="false">F32+J32+N32+R32+V32+Z32</f>
        <v>0</v>
      </c>
      <c r="AC32" s="81" t="str">
        <f aca="false">IF(B32="","",IF(AB32&lt;=0,"Clear",IF(AA32&gt;0,"Partial","Due")))</f>
        <v/>
      </c>
    </row>
    <row r="33" customFormat="false" ht="15" hidden="false" customHeight="false" outlineLevel="0" collapsed="false">
      <c r="A33" s="25" t="n">
        <v>18</v>
      </c>
      <c r="B33" s="82" t="str">
        <f aca="false">IF(Students!B22="","",Students!B22)</f>
        <v/>
      </c>
      <c r="C33" s="37" t="n">
        <f aca="false">'Nov 2026'!F33</f>
        <v>0</v>
      </c>
      <c r="D33" s="37" t="n">
        <f aca="false">IF(B33="",0,N(Students!E22))</f>
        <v>0</v>
      </c>
      <c r="E33" s="23"/>
      <c r="F33" s="26" t="n">
        <f aca="false">N(C33)+N(D33)-N(E33)</f>
        <v>0</v>
      </c>
      <c r="G33" s="37" t="n">
        <f aca="false">'Nov 2026'!J33</f>
        <v>0</v>
      </c>
      <c r="H33" s="37" t="n">
        <f aca="false">IF(B33="",0,N(Students!F22))</f>
        <v>0</v>
      </c>
      <c r="I33" s="23"/>
      <c r="J33" s="26" t="n">
        <f aca="false">N(G33)+N(H33)-N(I33)</f>
        <v>0</v>
      </c>
      <c r="K33" s="37" t="n">
        <f aca="false">'Nov 2026'!N33</f>
        <v>0</v>
      </c>
      <c r="L33" s="37" t="n">
        <f aca="false">IF(B33="",0,N(Students!G22))</f>
        <v>0</v>
      </c>
      <c r="M33" s="23"/>
      <c r="N33" s="26" t="n">
        <f aca="false">N(K33)+N(L33)-N(M33)</f>
        <v>0</v>
      </c>
      <c r="O33" s="37" t="n">
        <f aca="false">'Nov 2026'!R33</f>
        <v>0</v>
      </c>
      <c r="P33" s="37" t="n">
        <f aca="false">IF(B33="",0,N(Students!H22))</f>
        <v>0</v>
      </c>
      <c r="Q33" s="23"/>
      <c r="R33" s="26" t="n">
        <f aca="false">N(O33)+N(P33)-N(Q33)</f>
        <v>0</v>
      </c>
      <c r="S33" s="37" t="n">
        <f aca="false">'Nov 2026'!V33</f>
        <v>0</v>
      </c>
      <c r="T33" s="37" t="n">
        <f aca="false">IF(B33="",0,N(Students!I22))</f>
        <v>0</v>
      </c>
      <c r="U33" s="23"/>
      <c r="V33" s="26" t="n">
        <f aca="false">N(S33)+N(T33)-N(U33)</f>
        <v>0</v>
      </c>
      <c r="W33" s="37" t="n">
        <f aca="false">'Nov 2026'!Z33</f>
        <v>0</v>
      </c>
      <c r="X33" s="37" t="n">
        <f aca="false">IF(B33="",0,N(Students!J22))</f>
        <v>0</v>
      </c>
      <c r="Y33" s="23"/>
      <c r="Z33" s="26" t="n">
        <f aca="false">N(W33)+N(X33)-N(Y33)</f>
        <v>0</v>
      </c>
      <c r="AA33" s="37" t="n">
        <f aca="false">N(E33)+N(I33)+N(M33)+N(Q33)+N(U33)+N(Y33)</f>
        <v>0</v>
      </c>
      <c r="AB33" s="26" t="n">
        <f aca="false">F33+J33+N33+R33+V33+Z33</f>
        <v>0</v>
      </c>
      <c r="AC33" s="83" t="str">
        <f aca="false">IF(B33="","",IF(AB33&lt;=0,"Clear",IF(AA33&gt;0,"Partial","Due")))</f>
        <v/>
      </c>
    </row>
    <row r="34" customFormat="false" ht="15" hidden="false" customHeight="false" outlineLevel="0" collapsed="false">
      <c r="A34" s="21" t="n">
        <v>19</v>
      </c>
      <c r="B34" s="46" t="str">
        <f aca="false">IF(Students!B23="","",Students!B23)</f>
        <v/>
      </c>
      <c r="C34" s="33" t="n">
        <f aca="false">'Nov 2026'!F34</f>
        <v>0</v>
      </c>
      <c r="D34" s="33" t="n">
        <f aca="false">IF(B34="",0,N(Students!E23))</f>
        <v>0</v>
      </c>
      <c r="E34" s="23"/>
      <c r="F34" s="24" t="n">
        <f aca="false">N(C34)+N(D34)-N(E34)</f>
        <v>0</v>
      </c>
      <c r="G34" s="33" t="n">
        <f aca="false">'Nov 2026'!J34</f>
        <v>0</v>
      </c>
      <c r="H34" s="33" t="n">
        <f aca="false">IF(B34="",0,N(Students!F23))</f>
        <v>0</v>
      </c>
      <c r="I34" s="23"/>
      <c r="J34" s="24" t="n">
        <f aca="false">N(G34)+N(H34)-N(I34)</f>
        <v>0</v>
      </c>
      <c r="K34" s="33" t="n">
        <f aca="false">'Nov 2026'!N34</f>
        <v>0</v>
      </c>
      <c r="L34" s="33" t="n">
        <f aca="false">IF(B34="",0,N(Students!G23))</f>
        <v>0</v>
      </c>
      <c r="M34" s="23"/>
      <c r="N34" s="24" t="n">
        <f aca="false">N(K34)+N(L34)-N(M34)</f>
        <v>0</v>
      </c>
      <c r="O34" s="33" t="n">
        <f aca="false">'Nov 2026'!R34</f>
        <v>0</v>
      </c>
      <c r="P34" s="33" t="n">
        <f aca="false">IF(B34="",0,N(Students!H23))</f>
        <v>0</v>
      </c>
      <c r="Q34" s="23"/>
      <c r="R34" s="24" t="n">
        <f aca="false">N(O34)+N(P34)-N(Q34)</f>
        <v>0</v>
      </c>
      <c r="S34" s="33" t="n">
        <f aca="false">'Nov 2026'!V34</f>
        <v>0</v>
      </c>
      <c r="T34" s="33" t="n">
        <f aca="false">IF(B34="",0,N(Students!I23))</f>
        <v>0</v>
      </c>
      <c r="U34" s="23"/>
      <c r="V34" s="24" t="n">
        <f aca="false">N(S34)+N(T34)-N(U34)</f>
        <v>0</v>
      </c>
      <c r="W34" s="33" t="n">
        <f aca="false">'Nov 2026'!Z34</f>
        <v>0</v>
      </c>
      <c r="X34" s="33" t="n">
        <f aca="false">IF(B34="",0,N(Students!J23))</f>
        <v>0</v>
      </c>
      <c r="Y34" s="23"/>
      <c r="Z34" s="24" t="n">
        <f aca="false">N(W34)+N(X34)-N(Y34)</f>
        <v>0</v>
      </c>
      <c r="AA34" s="33" t="n">
        <f aca="false">N(E34)+N(I34)+N(M34)+N(Q34)+N(U34)+N(Y34)</f>
        <v>0</v>
      </c>
      <c r="AB34" s="24" t="n">
        <f aca="false">F34+J34+N34+R34+V34+Z34</f>
        <v>0</v>
      </c>
      <c r="AC34" s="81" t="str">
        <f aca="false">IF(B34="","",IF(AB34&lt;=0,"Clear",IF(AA34&gt;0,"Partial","Due")))</f>
        <v/>
      </c>
    </row>
    <row r="35" customFormat="false" ht="15" hidden="false" customHeight="false" outlineLevel="0" collapsed="false">
      <c r="A35" s="25" t="n">
        <v>20</v>
      </c>
      <c r="B35" s="82" t="str">
        <f aca="false">IF(Students!B24="","",Students!B24)</f>
        <v/>
      </c>
      <c r="C35" s="37" t="n">
        <f aca="false">'Nov 2026'!F35</f>
        <v>0</v>
      </c>
      <c r="D35" s="37" t="n">
        <f aca="false">IF(B35="",0,N(Students!E24))</f>
        <v>0</v>
      </c>
      <c r="E35" s="23"/>
      <c r="F35" s="26" t="n">
        <f aca="false">N(C35)+N(D35)-N(E35)</f>
        <v>0</v>
      </c>
      <c r="G35" s="37" t="n">
        <f aca="false">'Nov 2026'!J35</f>
        <v>0</v>
      </c>
      <c r="H35" s="37" t="n">
        <f aca="false">IF(B35="",0,N(Students!F24))</f>
        <v>0</v>
      </c>
      <c r="I35" s="23"/>
      <c r="J35" s="26" t="n">
        <f aca="false">N(G35)+N(H35)-N(I35)</f>
        <v>0</v>
      </c>
      <c r="K35" s="37" t="n">
        <f aca="false">'Nov 2026'!N35</f>
        <v>0</v>
      </c>
      <c r="L35" s="37" t="n">
        <f aca="false">IF(B35="",0,N(Students!G24))</f>
        <v>0</v>
      </c>
      <c r="M35" s="23"/>
      <c r="N35" s="26" t="n">
        <f aca="false">N(K35)+N(L35)-N(M35)</f>
        <v>0</v>
      </c>
      <c r="O35" s="37" t="n">
        <f aca="false">'Nov 2026'!R35</f>
        <v>0</v>
      </c>
      <c r="P35" s="37" t="n">
        <f aca="false">IF(B35="",0,N(Students!H24))</f>
        <v>0</v>
      </c>
      <c r="Q35" s="23"/>
      <c r="R35" s="26" t="n">
        <f aca="false">N(O35)+N(P35)-N(Q35)</f>
        <v>0</v>
      </c>
      <c r="S35" s="37" t="n">
        <f aca="false">'Nov 2026'!V35</f>
        <v>0</v>
      </c>
      <c r="T35" s="37" t="n">
        <f aca="false">IF(B35="",0,N(Students!I24))</f>
        <v>0</v>
      </c>
      <c r="U35" s="23"/>
      <c r="V35" s="26" t="n">
        <f aca="false">N(S35)+N(T35)-N(U35)</f>
        <v>0</v>
      </c>
      <c r="W35" s="37" t="n">
        <f aca="false">'Nov 2026'!Z35</f>
        <v>0</v>
      </c>
      <c r="X35" s="37" t="n">
        <f aca="false">IF(B35="",0,N(Students!J24))</f>
        <v>0</v>
      </c>
      <c r="Y35" s="23"/>
      <c r="Z35" s="26" t="n">
        <f aca="false">N(W35)+N(X35)-N(Y35)</f>
        <v>0</v>
      </c>
      <c r="AA35" s="37" t="n">
        <f aca="false">N(E35)+N(I35)+N(M35)+N(Q35)+N(U35)+N(Y35)</f>
        <v>0</v>
      </c>
      <c r="AB35" s="26" t="n">
        <f aca="false">F35+J35+N35+R35+V35+Z35</f>
        <v>0</v>
      </c>
      <c r="AC35" s="83" t="str">
        <f aca="false">IF(B35="","",IF(AB35&lt;=0,"Clear",IF(AA35&gt;0,"Partial","Due")))</f>
        <v/>
      </c>
    </row>
    <row r="36" customFormat="false" ht="15" hidden="false" customHeight="false" outlineLevel="0" collapsed="false">
      <c r="A36" s="21" t="n">
        <v>21</v>
      </c>
      <c r="B36" s="46" t="str">
        <f aca="false">IF(Students!B25="","",Students!B25)</f>
        <v/>
      </c>
      <c r="C36" s="33" t="n">
        <f aca="false">'Nov 2026'!F36</f>
        <v>0</v>
      </c>
      <c r="D36" s="33" t="n">
        <f aca="false">IF(B36="",0,N(Students!E25))</f>
        <v>0</v>
      </c>
      <c r="E36" s="23"/>
      <c r="F36" s="24" t="n">
        <f aca="false">N(C36)+N(D36)-N(E36)</f>
        <v>0</v>
      </c>
      <c r="G36" s="33" t="n">
        <f aca="false">'Nov 2026'!J36</f>
        <v>0</v>
      </c>
      <c r="H36" s="33" t="n">
        <f aca="false">IF(B36="",0,N(Students!F25))</f>
        <v>0</v>
      </c>
      <c r="I36" s="23"/>
      <c r="J36" s="24" t="n">
        <f aca="false">N(G36)+N(H36)-N(I36)</f>
        <v>0</v>
      </c>
      <c r="K36" s="33" t="n">
        <f aca="false">'Nov 2026'!N36</f>
        <v>0</v>
      </c>
      <c r="L36" s="33" t="n">
        <f aca="false">IF(B36="",0,N(Students!G25))</f>
        <v>0</v>
      </c>
      <c r="M36" s="23"/>
      <c r="N36" s="24" t="n">
        <f aca="false">N(K36)+N(L36)-N(M36)</f>
        <v>0</v>
      </c>
      <c r="O36" s="33" t="n">
        <f aca="false">'Nov 2026'!R36</f>
        <v>0</v>
      </c>
      <c r="P36" s="33" t="n">
        <f aca="false">IF(B36="",0,N(Students!H25))</f>
        <v>0</v>
      </c>
      <c r="Q36" s="23"/>
      <c r="R36" s="24" t="n">
        <f aca="false">N(O36)+N(P36)-N(Q36)</f>
        <v>0</v>
      </c>
      <c r="S36" s="33" t="n">
        <f aca="false">'Nov 2026'!V36</f>
        <v>0</v>
      </c>
      <c r="T36" s="33" t="n">
        <f aca="false">IF(B36="",0,N(Students!I25))</f>
        <v>0</v>
      </c>
      <c r="U36" s="23"/>
      <c r="V36" s="24" t="n">
        <f aca="false">N(S36)+N(T36)-N(U36)</f>
        <v>0</v>
      </c>
      <c r="W36" s="33" t="n">
        <f aca="false">'Nov 2026'!Z36</f>
        <v>0</v>
      </c>
      <c r="X36" s="33" t="n">
        <f aca="false">IF(B36="",0,N(Students!J25))</f>
        <v>0</v>
      </c>
      <c r="Y36" s="23"/>
      <c r="Z36" s="24" t="n">
        <f aca="false">N(W36)+N(X36)-N(Y36)</f>
        <v>0</v>
      </c>
      <c r="AA36" s="33" t="n">
        <f aca="false">N(E36)+N(I36)+N(M36)+N(Q36)+N(U36)+N(Y36)</f>
        <v>0</v>
      </c>
      <c r="AB36" s="24" t="n">
        <f aca="false">F36+J36+N36+R36+V36+Z36</f>
        <v>0</v>
      </c>
      <c r="AC36" s="81" t="str">
        <f aca="false">IF(B36="","",IF(AB36&lt;=0,"Clear",IF(AA36&gt;0,"Partial","Due")))</f>
        <v/>
      </c>
    </row>
    <row r="37" customFormat="false" ht="15" hidden="false" customHeight="false" outlineLevel="0" collapsed="false">
      <c r="A37" s="25" t="n">
        <v>22</v>
      </c>
      <c r="B37" s="82" t="str">
        <f aca="false">IF(Students!B26="","",Students!B26)</f>
        <v/>
      </c>
      <c r="C37" s="37" t="n">
        <f aca="false">'Nov 2026'!F37</f>
        <v>0</v>
      </c>
      <c r="D37" s="37" t="n">
        <f aca="false">IF(B37="",0,N(Students!E26))</f>
        <v>0</v>
      </c>
      <c r="E37" s="23"/>
      <c r="F37" s="26" t="n">
        <f aca="false">N(C37)+N(D37)-N(E37)</f>
        <v>0</v>
      </c>
      <c r="G37" s="37" t="n">
        <f aca="false">'Nov 2026'!J37</f>
        <v>0</v>
      </c>
      <c r="H37" s="37" t="n">
        <f aca="false">IF(B37="",0,N(Students!F26))</f>
        <v>0</v>
      </c>
      <c r="I37" s="23"/>
      <c r="J37" s="26" t="n">
        <f aca="false">N(G37)+N(H37)-N(I37)</f>
        <v>0</v>
      </c>
      <c r="K37" s="37" t="n">
        <f aca="false">'Nov 2026'!N37</f>
        <v>0</v>
      </c>
      <c r="L37" s="37" t="n">
        <f aca="false">IF(B37="",0,N(Students!G26))</f>
        <v>0</v>
      </c>
      <c r="M37" s="23"/>
      <c r="N37" s="26" t="n">
        <f aca="false">N(K37)+N(L37)-N(M37)</f>
        <v>0</v>
      </c>
      <c r="O37" s="37" t="n">
        <f aca="false">'Nov 2026'!R37</f>
        <v>0</v>
      </c>
      <c r="P37" s="37" t="n">
        <f aca="false">IF(B37="",0,N(Students!H26))</f>
        <v>0</v>
      </c>
      <c r="Q37" s="23"/>
      <c r="R37" s="26" t="n">
        <f aca="false">N(O37)+N(P37)-N(Q37)</f>
        <v>0</v>
      </c>
      <c r="S37" s="37" t="n">
        <f aca="false">'Nov 2026'!V37</f>
        <v>0</v>
      </c>
      <c r="T37" s="37" t="n">
        <f aca="false">IF(B37="",0,N(Students!I26))</f>
        <v>0</v>
      </c>
      <c r="U37" s="23"/>
      <c r="V37" s="26" t="n">
        <f aca="false">N(S37)+N(T37)-N(U37)</f>
        <v>0</v>
      </c>
      <c r="W37" s="37" t="n">
        <f aca="false">'Nov 2026'!Z37</f>
        <v>0</v>
      </c>
      <c r="X37" s="37" t="n">
        <f aca="false">IF(B37="",0,N(Students!J26))</f>
        <v>0</v>
      </c>
      <c r="Y37" s="23"/>
      <c r="Z37" s="26" t="n">
        <f aca="false">N(W37)+N(X37)-N(Y37)</f>
        <v>0</v>
      </c>
      <c r="AA37" s="37" t="n">
        <f aca="false">N(E37)+N(I37)+N(M37)+N(Q37)+N(U37)+N(Y37)</f>
        <v>0</v>
      </c>
      <c r="AB37" s="26" t="n">
        <f aca="false">F37+J37+N37+R37+V37+Z37</f>
        <v>0</v>
      </c>
      <c r="AC37" s="83" t="str">
        <f aca="false">IF(B37="","",IF(AB37&lt;=0,"Clear",IF(AA37&gt;0,"Partial","Due")))</f>
        <v/>
      </c>
    </row>
    <row r="38" customFormat="false" ht="15" hidden="false" customHeight="false" outlineLevel="0" collapsed="false">
      <c r="A38" s="21" t="n">
        <v>23</v>
      </c>
      <c r="B38" s="46" t="str">
        <f aca="false">IF(Students!B27="","",Students!B27)</f>
        <v/>
      </c>
      <c r="C38" s="33" t="n">
        <f aca="false">'Nov 2026'!F38</f>
        <v>0</v>
      </c>
      <c r="D38" s="33" t="n">
        <f aca="false">IF(B38="",0,N(Students!E27))</f>
        <v>0</v>
      </c>
      <c r="E38" s="23"/>
      <c r="F38" s="24" t="n">
        <f aca="false">N(C38)+N(D38)-N(E38)</f>
        <v>0</v>
      </c>
      <c r="G38" s="33" t="n">
        <f aca="false">'Nov 2026'!J38</f>
        <v>0</v>
      </c>
      <c r="H38" s="33" t="n">
        <f aca="false">IF(B38="",0,N(Students!F27))</f>
        <v>0</v>
      </c>
      <c r="I38" s="23"/>
      <c r="J38" s="24" t="n">
        <f aca="false">N(G38)+N(H38)-N(I38)</f>
        <v>0</v>
      </c>
      <c r="K38" s="33" t="n">
        <f aca="false">'Nov 2026'!N38</f>
        <v>0</v>
      </c>
      <c r="L38" s="33" t="n">
        <f aca="false">IF(B38="",0,N(Students!G27))</f>
        <v>0</v>
      </c>
      <c r="M38" s="23"/>
      <c r="N38" s="24" t="n">
        <f aca="false">N(K38)+N(L38)-N(M38)</f>
        <v>0</v>
      </c>
      <c r="O38" s="33" t="n">
        <f aca="false">'Nov 2026'!R38</f>
        <v>0</v>
      </c>
      <c r="P38" s="33" t="n">
        <f aca="false">IF(B38="",0,N(Students!H27))</f>
        <v>0</v>
      </c>
      <c r="Q38" s="23"/>
      <c r="R38" s="24" t="n">
        <f aca="false">N(O38)+N(P38)-N(Q38)</f>
        <v>0</v>
      </c>
      <c r="S38" s="33" t="n">
        <f aca="false">'Nov 2026'!V38</f>
        <v>0</v>
      </c>
      <c r="T38" s="33" t="n">
        <f aca="false">IF(B38="",0,N(Students!I27))</f>
        <v>0</v>
      </c>
      <c r="U38" s="23"/>
      <c r="V38" s="24" t="n">
        <f aca="false">N(S38)+N(T38)-N(U38)</f>
        <v>0</v>
      </c>
      <c r="W38" s="33" t="n">
        <f aca="false">'Nov 2026'!Z38</f>
        <v>0</v>
      </c>
      <c r="X38" s="33" t="n">
        <f aca="false">IF(B38="",0,N(Students!J27))</f>
        <v>0</v>
      </c>
      <c r="Y38" s="23"/>
      <c r="Z38" s="24" t="n">
        <f aca="false">N(W38)+N(X38)-N(Y38)</f>
        <v>0</v>
      </c>
      <c r="AA38" s="33" t="n">
        <f aca="false">N(E38)+N(I38)+N(M38)+N(Q38)+N(U38)+N(Y38)</f>
        <v>0</v>
      </c>
      <c r="AB38" s="24" t="n">
        <f aca="false">F38+J38+N38+R38+V38+Z38</f>
        <v>0</v>
      </c>
      <c r="AC38" s="81" t="str">
        <f aca="false">IF(B38="","",IF(AB38&lt;=0,"Clear",IF(AA38&gt;0,"Partial","Due")))</f>
        <v/>
      </c>
    </row>
    <row r="39" customFormat="false" ht="15" hidden="false" customHeight="false" outlineLevel="0" collapsed="false">
      <c r="A39" s="25" t="n">
        <v>24</v>
      </c>
      <c r="B39" s="82" t="str">
        <f aca="false">IF(Students!B28="","",Students!B28)</f>
        <v/>
      </c>
      <c r="C39" s="37" t="n">
        <f aca="false">'Nov 2026'!F39</f>
        <v>0</v>
      </c>
      <c r="D39" s="37" t="n">
        <f aca="false">IF(B39="",0,N(Students!E28))</f>
        <v>0</v>
      </c>
      <c r="E39" s="23"/>
      <c r="F39" s="26" t="n">
        <f aca="false">N(C39)+N(D39)-N(E39)</f>
        <v>0</v>
      </c>
      <c r="G39" s="37" t="n">
        <f aca="false">'Nov 2026'!J39</f>
        <v>0</v>
      </c>
      <c r="H39" s="37" t="n">
        <f aca="false">IF(B39="",0,N(Students!F28))</f>
        <v>0</v>
      </c>
      <c r="I39" s="23"/>
      <c r="J39" s="26" t="n">
        <f aca="false">N(G39)+N(H39)-N(I39)</f>
        <v>0</v>
      </c>
      <c r="K39" s="37" t="n">
        <f aca="false">'Nov 2026'!N39</f>
        <v>0</v>
      </c>
      <c r="L39" s="37" t="n">
        <f aca="false">IF(B39="",0,N(Students!G28))</f>
        <v>0</v>
      </c>
      <c r="M39" s="23"/>
      <c r="N39" s="26" t="n">
        <f aca="false">N(K39)+N(L39)-N(M39)</f>
        <v>0</v>
      </c>
      <c r="O39" s="37" t="n">
        <f aca="false">'Nov 2026'!R39</f>
        <v>0</v>
      </c>
      <c r="P39" s="37" t="n">
        <f aca="false">IF(B39="",0,N(Students!H28))</f>
        <v>0</v>
      </c>
      <c r="Q39" s="23"/>
      <c r="R39" s="26" t="n">
        <f aca="false">N(O39)+N(P39)-N(Q39)</f>
        <v>0</v>
      </c>
      <c r="S39" s="37" t="n">
        <f aca="false">'Nov 2026'!V39</f>
        <v>0</v>
      </c>
      <c r="T39" s="37" t="n">
        <f aca="false">IF(B39="",0,N(Students!I28))</f>
        <v>0</v>
      </c>
      <c r="U39" s="23"/>
      <c r="V39" s="26" t="n">
        <f aca="false">N(S39)+N(T39)-N(U39)</f>
        <v>0</v>
      </c>
      <c r="W39" s="37" t="n">
        <f aca="false">'Nov 2026'!Z39</f>
        <v>0</v>
      </c>
      <c r="X39" s="37" t="n">
        <f aca="false">IF(B39="",0,N(Students!J28))</f>
        <v>0</v>
      </c>
      <c r="Y39" s="23"/>
      <c r="Z39" s="26" t="n">
        <f aca="false">N(W39)+N(X39)-N(Y39)</f>
        <v>0</v>
      </c>
      <c r="AA39" s="37" t="n">
        <f aca="false">N(E39)+N(I39)+N(M39)+N(Q39)+N(U39)+N(Y39)</f>
        <v>0</v>
      </c>
      <c r="AB39" s="26" t="n">
        <f aca="false">F39+J39+N39+R39+V39+Z39</f>
        <v>0</v>
      </c>
      <c r="AC39" s="83" t="str">
        <f aca="false">IF(B39="","",IF(AB39&lt;=0,"Clear",IF(AA39&gt;0,"Partial","Due")))</f>
        <v/>
      </c>
    </row>
    <row r="40" customFormat="false" ht="15" hidden="false" customHeight="false" outlineLevel="0" collapsed="false">
      <c r="A40" s="21" t="n">
        <v>25</v>
      </c>
      <c r="B40" s="46" t="str">
        <f aca="false">IF(Students!B29="","",Students!B29)</f>
        <v/>
      </c>
      <c r="C40" s="33" t="n">
        <f aca="false">'Nov 2026'!F40</f>
        <v>0</v>
      </c>
      <c r="D40" s="33" t="n">
        <f aca="false">IF(B40="",0,N(Students!E29))</f>
        <v>0</v>
      </c>
      <c r="E40" s="23"/>
      <c r="F40" s="24" t="n">
        <f aca="false">N(C40)+N(D40)-N(E40)</f>
        <v>0</v>
      </c>
      <c r="G40" s="33" t="n">
        <f aca="false">'Nov 2026'!J40</f>
        <v>0</v>
      </c>
      <c r="H40" s="33" t="n">
        <f aca="false">IF(B40="",0,N(Students!F29))</f>
        <v>0</v>
      </c>
      <c r="I40" s="23"/>
      <c r="J40" s="24" t="n">
        <f aca="false">N(G40)+N(H40)-N(I40)</f>
        <v>0</v>
      </c>
      <c r="K40" s="33" t="n">
        <f aca="false">'Nov 2026'!N40</f>
        <v>0</v>
      </c>
      <c r="L40" s="33" t="n">
        <f aca="false">IF(B40="",0,N(Students!G29))</f>
        <v>0</v>
      </c>
      <c r="M40" s="23"/>
      <c r="N40" s="24" t="n">
        <f aca="false">N(K40)+N(L40)-N(M40)</f>
        <v>0</v>
      </c>
      <c r="O40" s="33" t="n">
        <f aca="false">'Nov 2026'!R40</f>
        <v>0</v>
      </c>
      <c r="P40" s="33" t="n">
        <f aca="false">IF(B40="",0,N(Students!H29))</f>
        <v>0</v>
      </c>
      <c r="Q40" s="23"/>
      <c r="R40" s="24" t="n">
        <f aca="false">N(O40)+N(P40)-N(Q40)</f>
        <v>0</v>
      </c>
      <c r="S40" s="33" t="n">
        <f aca="false">'Nov 2026'!V40</f>
        <v>0</v>
      </c>
      <c r="T40" s="33" t="n">
        <f aca="false">IF(B40="",0,N(Students!I29))</f>
        <v>0</v>
      </c>
      <c r="U40" s="23"/>
      <c r="V40" s="24" t="n">
        <f aca="false">N(S40)+N(T40)-N(U40)</f>
        <v>0</v>
      </c>
      <c r="W40" s="33" t="n">
        <f aca="false">'Nov 2026'!Z40</f>
        <v>0</v>
      </c>
      <c r="X40" s="33" t="n">
        <f aca="false">IF(B40="",0,N(Students!J29))</f>
        <v>0</v>
      </c>
      <c r="Y40" s="23"/>
      <c r="Z40" s="24" t="n">
        <f aca="false">N(W40)+N(X40)-N(Y40)</f>
        <v>0</v>
      </c>
      <c r="AA40" s="33" t="n">
        <f aca="false">N(E40)+N(I40)+N(M40)+N(Q40)+N(U40)+N(Y40)</f>
        <v>0</v>
      </c>
      <c r="AB40" s="24" t="n">
        <f aca="false">F40+J40+N40+R40+V40+Z40</f>
        <v>0</v>
      </c>
      <c r="AC40" s="81" t="str">
        <f aca="false">IF(B40="","",IF(AB40&lt;=0,"Clear",IF(AA40&gt;0,"Partial","Due")))</f>
        <v/>
      </c>
    </row>
    <row r="41" customFormat="false" ht="15" hidden="false" customHeight="false" outlineLevel="0" collapsed="false">
      <c r="A41" s="25" t="n">
        <v>26</v>
      </c>
      <c r="B41" s="82" t="str">
        <f aca="false">IF(Students!B30="","",Students!B30)</f>
        <v/>
      </c>
      <c r="C41" s="37" t="n">
        <f aca="false">'Nov 2026'!F41</f>
        <v>0</v>
      </c>
      <c r="D41" s="37" t="n">
        <f aca="false">IF(B41="",0,N(Students!E30))</f>
        <v>0</v>
      </c>
      <c r="E41" s="23"/>
      <c r="F41" s="26" t="n">
        <f aca="false">N(C41)+N(D41)-N(E41)</f>
        <v>0</v>
      </c>
      <c r="G41" s="37" t="n">
        <f aca="false">'Nov 2026'!J41</f>
        <v>0</v>
      </c>
      <c r="H41" s="37" t="n">
        <f aca="false">IF(B41="",0,N(Students!F30))</f>
        <v>0</v>
      </c>
      <c r="I41" s="23"/>
      <c r="J41" s="26" t="n">
        <f aca="false">N(G41)+N(H41)-N(I41)</f>
        <v>0</v>
      </c>
      <c r="K41" s="37" t="n">
        <f aca="false">'Nov 2026'!N41</f>
        <v>0</v>
      </c>
      <c r="L41" s="37" t="n">
        <f aca="false">IF(B41="",0,N(Students!G30))</f>
        <v>0</v>
      </c>
      <c r="M41" s="23"/>
      <c r="N41" s="26" t="n">
        <f aca="false">N(K41)+N(L41)-N(M41)</f>
        <v>0</v>
      </c>
      <c r="O41" s="37" t="n">
        <f aca="false">'Nov 2026'!R41</f>
        <v>0</v>
      </c>
      <c r="P41" s="37" t="n">
        <f aca="false">IF(B41="",0,N(Students!H30))</f>
        <v>0</v>
      </c>
      <c r="Q41" s="23"/>
      <c r="R41" s="26" t="n">
        <f aca="false">N(O41)+N(P41)-N(Q41)</f>
        <v>0</v>
      </c>
      <c r="S41" s="37" t="n">
        <f aca="false">'Nov 2026'!V41</f>
        <v>0</v>
      </c>
      <c r="T41" s="37" t="n">
        <f aca="false">IF(B41="",0,N(Students!I30))</f>
        <v>0</v>
      </c>
      <c r="U41" s="23"/>
      <c r="V41" s="26" t="n">
        <f aca="false">N(S41)+N(T41)-N(U41)</f>
        <v>0</v>
      </c>
      <c r="W41" s="37" t="n">
        <f aca="false">'Nov 2026'!Z41</f>
        <v>0</v>
      </c>
      <c r="X41" s="37" t="n">
        <f aca="false">IF(B41="",0,N(Students!J30))</f>
        <v>0</v>
      </c>
      <c r="Y41" s="23"/>
      <c r="Z41" s="26" t="n">
        <f aca="false">N(W41)+N(X41)-N(Y41)</f>
        <v>0</v>
      </c>
      <c r="AA41" s="37" t="n">
        <f aca="false">N(E41)+N(I41)+N(M41)+N(Q41)+N(U41)+N(Y41)</f>
        <v>0</v>
      </c>
      <c r="AB41" s="26" t="n">
        <f aca="false">F41+J41+N41+R41+V41+Z41</f>
        <v>0</v>
      </c>
      <c r="AC41" s="83" t="str">
        <f aca="false">IF(B41="","",IF(AB41&lt;=0,"Clear",IF(AA41&gt;0,"Partial","Due")))</f>
        <v/>
      </c>
    </row>
    <row r="42" customFormat="false" ht="15" hidden="false" customHeight="false" outlineLevel="0" collapsed="false">
      <c r="A42" s="21" t="n">
        <v>27</v>
      </c>
      <c r="B42" s="46" t="str">
        <f aca="false">IF(Students!B31="","",Students!B31)</f>
        <v/>
      </c>
      <c r="C42" s="33" t="n">
        <f aca="false">'Nov 2026'!F42</f>
        <v>0</v>
      </c>
      <c r="D42" s="33" t="n">
        <f aca="false">IF(B42="",0,N(Students!E31))</f>
        <v>0</v>
      </c>
      <c r="E42" s="23"/>
      <c r="F42" s="24" t="n">
        <f aca="false">N(C42)+N(D42)-N(E42)</f>
        <v>0</v>
      </c>
      <c r="G42" s="33" t="n">
        <f aca="false">'Nov 2026'!J42</f>
        <v>0</v>
      </c>
      <c r="H42" s="33" t="n">
        <f aca="false">IF(B42="",0,N(Students!F31))</f>
        <v>0</v>
      </c>
      <c r="I42" s="23"/>
      <c r="J42" s="24" t="n">
        <f aca="false">N(G42)+N(H42)-N(I42)</f>
        <v>0</v>
      </c>
      <c r="K42" s="33" t="n">
        <f aca="false">'Nov 2026'!N42</f>
        <v>0</v>
      </c>
      <c r="L42" s="33" t="n">
        <f aca="false">IF(B42="",0,N(Students!G31))</f>
        <v>0</v>
      </c>
      <c r="M42" s="23"/>
      <c r="N42" s="24" t="n">
        <f aca="false">N(K42)+N(L42)-N(M42)</f>
        <v>0</v>
      </c>
      <c r="O42" s="33" t="n">
        <f aca="false">'Nov 2026'!R42</f>
        <v>0</v>
      </c>
      <c r="P42" s="33" t="n">
        <f aca="false">IF(B42="",0,N(Students!H31))</f>
        <v>0</v>
      </c>
      <c r="Q42" s="23"/>
      <c r="R42" s="24" t="n">
        <f aca="false">N(O42)+N(P42)-N(Q42)</f>
        <v>0</v>
      </c>
      <c r="S42" s="33" t="n">
        <f aca="false">'Nov 2026'!V42</f>
        <v>0</v>
      </c>
      <c r="T42" s="33" t="n">
        <f aca="false">IF(B42="",0,N(Students!I31))</f>
        <v>0</v>
      </c>
      <c r="U42" s="23"/>
      <c r="V42" s="24" t="n">
        <f aca="false">N(S42)+N(T42)-N(U42)</f>
        <v>0</v>
      </c>
      <c r="W42" s="33" t="n">
        <f aca="false">'Nov 2026'!Z42</f>
        <v>0</v>
      </c>
      <c r="X42" s="33" t="n">
        <f aca="false">IF(B42="",0,N(Students!J31))</f>
        <v>0</v>
      </c>
      <c r="Y42" s="23"/>
      <c r="Z42" s="24" t="n">
        <f aca="false">N(W42)+N(X42)-N(Y42)</f>
        <v>0</v>
      </c>
      <c r="AA42" s="33" t="n">
        <f aca="false">N(E42)+N(I42)+N(M42)+N(Q42)+N(U42)+N(Y42)</f>
        <v>0</v>
      </c>
      <c r="AB42" s="24" t="n">
        <f aca="false">F42+J42+N42+R42+V42+Z42</f>
        <v>0</v>
      </c>
      <c r="AC42" s="81" t="str">
        <f aca="false">IF(B42="","",IF(AB42&lt;=0,"Clear",IF(AA42&gt;0,"Partial","Due")))</f>
        <v/>
      </c>
    </row>
    <row r="43" customFormat="false" ht="15" hidden="false" customHeight="false" outlineLevel="0" collapsed="false">
      <c r="A43" s="25" t="n">
        <v>28</v>
      </c>
      <c r="B43" s="82" t="str">
        <f aca="false">IF(Students!B32="","",Students!B32)</f>
        <v/>
      </c>
      <c r="C43" s="37" t="n">
        <f aca="false">'Nov 2026'!F43</f>
        <v>0</v>
      </c>
      <c r="D43" s="37" t="n">
        <f aca="false">IF(B43="",0,N(Students!E32))</f>
        <v>0</v>
      </c>
      <c r="E43" s="23"/>
      <c r="F43" s="26" t="n">
        <f aca="false">N(C43)+N(D43)-N(E43)</f>
        <v>0</v>
      </c>
      <c r="G43" s="37" t="n">
        <f aca="false">'Nov 2026'!J43</f>
        <v>0</v>
      </c>
      <c r="H43" s="37" t="n">
        <f aca="false">IF(B43="",0,N(Students!F32))</f>
        <v>0</v>
      </c>
      <c r="I43" s="23"/>
      <c r="J43" s="26" t="n">
        <f aca="false">N(G43)+N(H43)-N(I43)</f>
        <v>0</v>
      </c>
      <c r="K43" s="37" t="n">
        <f aca="false">'Nov 2026'!N43</f>
        <v>0</v>
      </c>
      <c r="L43" s="37" t="n">
        <f aca="false">IF(B43="",0,N(Students!G32))</f>
        <v>0</v>
      </c>
      <c r="M43" s="23"/>
      <c r="N43" s="26" t="n">
        <f aca="false">N(K43)+N(L43)-N(M43)</f>
        <v>0</v>
      </c>
      <c r="O43" s="37" t="n">
        <f aca="false">'Nov 2026'!R43</f>
        <v>0</v>
      </c>
      <c r="P43" s="37" t="n">
        <f aca="false">IF(B43="",0,N(Students!H32))</f>
        <v>0</v>
      </c>
      <c r="Q43" s="23"/>
      <c r="R43" s="26" t="n">
        <f aca="false">N(O43)+N(P43)-N(Q43)</f>
        <v>0</v>
      </c>
      <c r="S43" s="37" t="n">
        <f aca="false">'Nov 2026'!V43</f>
        <v>0</v>
      </c>
      <c r="T43" s="37" t="n">
        <f aca="false">IF(B43="",0,N(Students!I32))</f>
        <v>0</v>
      </c>
      <c r="U43" s="23"/>
      <c r="V43" s="26" t="n">
        <f aca="false">N(S43)+N(T43)-N(U43)</f>
        <v>0</v>
      </c>
      <c r="W43" s="37" t="n">
        <f aca="false">'Nov 2026'!Z43</f>
        <v>0</v>
      </c>
      <c r="X43" s="37" t="n">
        <f aca="false">IF(B43="",0,N(Students!J32))</f>
        <v>0</v>
      </c>
      <c r="Y43" s="23"/>
      <c r="Z43" s="26" t="n">
        <f aca="false">N(W43)+N(X43)-N(Y43)</f>
        <v>0</v>
      </c>
      <c r="AA43" s="37" t="n">
        <f aca="false">N(E43)+N(I43)+N(M43)+N(Q43)+N(U43)+N(Y43)</f>
        <v>0</v>
      </c>
      <c r="AB43" s="26" t="n">
        <f aca="false">F43+J43+N43+R43+V43+Z43</f>
        <v>0</v>
      </c>
      <c r="AC43" s="83" t="str">
        <f aca="false">IF(B43="","",IF(AB43&lt;=0,"Clear",IF(AA43&gt;0,"Partial","Due")))</f>
        <v/>
      </c>
    </row>
    <row r="44" customFormat="false" ht="15" hidden="false" customHeight="false" outlineLevel="0" collapsed="false">
      <c r="A44" s="21" t="n">
        <v>29</v>
      </c>
      <c r="B44" s="46" t="str">
        <f aca="false">IF(Students!B33="","",Students!B33)</f>
        <v/>
      </c>
      <c r="C44" s="33" t="n">
        <f aca="false">'Nov 2026'!F44</f>
        <v>0</v>
      </c>
      <c r="D44" s="33" t="n">
        <f aca="false">IF(B44="",0,N(Students!E33))</f>
        <v>0</v>
      </c>
      <c r="E44" s="23"/>
      <c r="F44" s="24" t="n">
        <f aca="false">N(C44)+N(D44)-N(E44)</f>
        <v>0</v>
      </c>
      <c r="G44" s="33" t="n">
        <f aca="false">'Nov 2026'!J44</f>
        <v>0</v>
      </c>
      <c r="H44" s="33" t="n">
        <f aca="false">IF(B44="",0,N(Students!F33))</f>
        <v>0</v>
      </c>
      <c r="I44" s="23"/>
      <c r="J44" s="24" t="n">
        <f aca="false">N(G44)+N(H44)-N(I44)</f>
        <v>0</v>
      </c>
      <c r="K44" s="33" t="n">
        <f aca="false">'Nov 2026'!N44</f>
        <v>0</v>
      </c>
      <c r="L44" s="33" t="n">
        <f aca="false">IF(B44="",0,N(Students!G33))</f>
        <v>0</v>
      </c>
      <c r="M44" s="23"/>
      <c r="N44" s="24" t="n">
        <f aca="false">N(K44)+N(L44)-N(M44)</f>
        <v>0</v>
      </c>
      <c r="O44" s="33" t="n">
        <f aca="false">'Nov 2026'!R44</f>
        <v>0</v>
      </c>
      <c r="P44" s="33" t="n">
        <f aca="false">IF(B44="",0,N(Students!H33))</f>
        <v>0</v>
      </c>
      <c r="Q44" s="23"/>
      <c r="R44" s="24" t="n">
        <f aca="false">N(O44)+N(P44)-N(Q44)</f>
        <v>0</v>
      </c>
      <c r="S44" s="33" t="n">
        <f aca="false">'Nov 2026'!V44</f>
        <v>0</v>
      </c>
      <c r="T44" s="33" t="n">
        <f aca="false">IF(B44="",0,N(Students!I33))</f>
        <v>0</v>
      </c>
      <c r="U44" s="23"/>
      <c r="V44" s="24" t="n">
        <f aca="false">N(S44)+N(T44)-N(U44)</f>
        <v>0</v>
      </c>
      <c r="W44" s="33" t="n">
        <f aca="false">'Nov 2026'!Z44</f>
        <v>0</v>
      </c>
      <c r="X44" s="33" t="n">
        <f aca="false">IF(B44="",0,N(Students!J33))</f>
        <v>0</v>
      </c>
      <c r="Y44" s="23"/>
      <c r="Z44" s="24" t="n">
        <f aca="false">N(W44)+N(X44)-N(Y44)</f>
        <v>0</v>
      </c>
      <c r="AA44" s="33" t="n">
        <f aca="false">N(E44)+N(I44)+N(M44)+N(Q44)+N(U44)+N(Y44)</f>
        <v>0</v>
      </c>
      <c r="AB44" s="24" t="n">
        <f aca="false">F44+J44+N44+R44+V44+Z44</f>
        <v>0</v>
      </c>
      <c r="AC44" s="81" t="str">
        <f aca="false">IF(B44="","",IF(AB44&lt;=0,"Clear",IF(AA44&gt;0,"Partial","Due")))</f>
        <v/>
      </c>
    </row>
    <row r="45" customFormat="false" ht="15" hidden="false" customHeight="false" outlineLevel="0" collapsed="false">
      <c r="A45" s="25" t="n">
        <v>30</v>
      </c>
      <c r="B45" s="82" t="str">
        <f aca="false">IF(Students!B34="","",Students!B34)</f>
        <v/>
      </c>
      <c r="C45" s="37" t="n">
        <f aca="false">'Nov 2026'!F45</f>
        <v>0</v>
      </c>
      <c r="D45" s="37" t="n">
        <f aca="false">IF(B45="",0,N(Students!E34))</f>
        <v>0</v>
      </c>
      <c r="E45" s="23"/>
      <c r="F45" s="26" t="n">
        <f aca="false">N(C45)+N(D45)-N(E45)</f>
        <v>0</v>
      </c>
      <c r="G45" s="37" t="n">
        <f aca="false">'Nov 2026'!J45</f>
        <v>0</v>
      </c>
      <c r="H45" s="37" t="n">
        <f aca="false">IF(B45="",0,N(Students!F34))</f>
        <v>0</v>
      </c>
      <c r="I45" s="23"/>
      <c r="J45" s="26" t="n">
        <f aca="false">N(G45)+N(H45)-N(I45)</f>
        <v>0</v>
      </c>
      <c r="K45" s="37" t="n">
        <f aca="false">'Nov 2026'!N45</f>
        <v>0</v>
      </c>
      <c r="L45" s="37" t="n">
        <f aca="false">IF(B45="",0,N(Students!G34))</f>
        <v>0</v>
      </c>
      <c r="M45" s="23"/>
      <c r="N45" s="26" t="n">
        <f aca="false">N(K45)+N(L45)-N(M45)</f>
        <v>0</v>
      </c>
      <c r="O45" s="37" t="n">
        <f aca="false">'Nov 2026'!R45</f>
        <v>0</v>
      </c>
      <c r="P45" s="37" t="n">
        <f aca="false">IF(B45="",0,N(Students!H34))</f>
        <v>0</v>
      </c>
      <c r="Q45" s="23"/>
      <c r="R45" s="26" t="n">
        <f aca="false">N(O45)+N(P45)-N(Q45)</f>
        <v>0</v>
      </c>
      <c r="S45" s="37" t="n">
        <f aca="false">'Nov 2026'!V45</f>
        <v>0</v>
      </c>
      <c r="T45" s="37" t="n">
        <f aca="false">IF(B45="",0,N(Students!I34))</f>
        <v>0</v>
      </c>
      <c r="U45" s="23"/>
      <c r="V45" s="26" t="n">
        <f aca="false">N(S45)+N(T45)-N(U45)</f>
        <v>0</v>
      </c>
      <c r="W45" s="37" t="n">
        <f aca="false">'Nov 2026'!Z45</f>
        <v>0</v>
      </c>
      <c r="X45" s="37" t="n">
        <f aca="false">IF(B45="",0,N(Students!J34))</f>
        <v>0</v>
      </c>
      <c r="Y45" s="23"/>
      <c r="Z45" s="26" t="n">
        <f aca="false">N(W45)+N(X45)-N(Y45)</f>
        <v>0</v>
      </c>
      <c r="AA45" s="37" t="n">
        <f aca="false">N(E45)+N(I45)+N(M45)+N(Q45)+N(U45)+N(Y45)</f>
        <v>0</v>
      </c>
      <c r="AB45" s="26" t="n">
        <f aca="false">F45+J45+N45+R45+V45+Z45</f>
        <v>0</v>
      </c>
      <c r="AC45" s="83" t="str">
        <f aca="false">IF(B45="","",IF(AB45&lt;=0,"Clear",IF(AA45&gt;0,"Partial","Due")))</f>
        <v/>
      </c>
    </row>
    <row r="46" customFormat="false" ht="15" hidden="false" customHeight="false" outlineLevel="0" collapsed="false">
      <c r="A46" s="21" t="n">
        <v>31</v>
      </c>
      <c r="B46" s="46" t="str">
        <f aca="false">IF(Students!B35="","",Students!B35)</f>
        <v/>
      </c>
      <c r="C46" s="33" t="n">
        <f aca="false">'Nov 2026'!F46</f>
        <v>0</v>
      </c>
      <c r="D46" s="33" t="n">
        <f aca="false">IF(B46="",0,N(Students!E35))</f>
        <v>0</v>
      </c>
      <c r="E46" s="23"/>
      <c r="F46" s="24" t="n">
        <f aca="false">N(C46)+N(D46)-N(E46)</f>
        <v>0</v>
      </c>
      <c r="G46" s="33" t="n">
        <f aca="false">'Nov 2026'!J46</f>
        <v>0</v>
      </c>
      <c r="H46" s="33" t="n">
        <f aca="false">IF(B46="",0,N(Students!F35))</f>
        <v>0</v>
      </c>
      <c r="I46" s="23"/>
      <c r="J46" s="24" t="n">
        <f aca="false">N(G46)+N(H46)-N(I46)</f>
        <v>0</v>
      </c>
      <c r="K46" s="33" t="n">
        <f aca="false">'Nov 2026'!N46</f>
        <v>0</v>
      </c>
      <c r="L46" s="33" t="n">
        <f aca="false">IF(B46="",0,N(Students!G35))</f>
        <v>0</v>
      </c>
      <c r="M46" s="23"/>
      <c r="N46" s="24" t="n">
        <f aca="false">N(K46)+N(L46)-N(M46)</f>
        <v>0</v>
      </c>
      <c r="O46" s="33" t="n">
        <f aca="false">'Nov 2026'!R46</f>
        <v>0</v>
      </c>
      <c r="P46" s="33" t="n">
        <f aca="false">IF(B46="",0,N(Students!H35))</f>
        <v>0</v>
      </c>
      <c r="Q46" s="23"/>
      <c r="R46" s="24" t="n">
        <f aca="false">N(O46)+N(P46)-N(Q46)</f>
        <v>0</v>
      </c>
      <c r="S46" s="33" t="n">
        <f aca="false">'Nov 2026'!V46</f>
        <v>0</v>
      </c>
      <c r="T46" s="33" t="n">
        <f aca="false">IF(B46="",0,N(Students!I35))</f>
        <v>0</v>
      </c>
      <c r="U46" s="23"/>
      <c r="V46" s="24" t="n">
        <f aca="false">N(S46)+N(T46)-N(U46)</f>
        <v>0</v>
      </c>
      <c r="W46" s="33" t="n">
        <f aca="false">'Nov 2026'!Z46</f>
        <v>0</v>
      </c>
      <c r="X46" s="33" t="n">
        <f aca="false">IF(B46="",0,N(Students!J35))</f>
        <v>0</v>
      </c>
      <c r="Y46" s="23"/>
      <c r="Z46" s="24" t="n">
        <f aca="false">N(W46)+N(X46)-N(Y46)</f>
        <v>0</v>
      </c>
      <c r="AA46" s="33" t="n">
        <f aca="false">N(E46)+N(I46)+N(M46)+N(Q46)+N(U46)+N(Y46)</f>
        <v>0</v>
      </c>
      <c r="AB46" s="24" t="n">
        <f aca="false">F46+J46+N46+R46+V46+Z46</f>
        <v>0</v>
      </c>
      <c r="AC46" s="81" t="str">
        <f aca="false">IF(B46="","",IF(AB46&lt;=0,"Clear",IF(AA46&gt;0,"Partial","Due")))</f>
        <v/>
      </c>
    </row>
    <row r="47" customFormat="false" ht="15" hidden="false" customHeight="false" outlineLevel="0" collapsed="false">
      <c r="A47" s="25" t="n">
        <v>32</v>
      </c>
      <c r="B47" s="82" t="str">
        <f aca="false">IF(Students!B36="","",Students!B36)</f>
        <v/>
      </c>
      <c r="C47" s="37" t="n">
        <f aca="false">'Nov 2026'!F47</f>
        <v>0</v>
      </c>
      <c r="D47" s="37" t="n">
        <f aca="false">IF(B47="",0,N(Students!E36))</f>
        <v>0</v>
      </c>
      <c r="E47" s="23"/>
      <c r="F47" s="26" t="n">
        <f aca="false">N(C47)+N(D47)-N(E47)</f>
        <v>0</v>
      </c>
      <c r="G47" s="37" t="n">
        <f aca="false">'Nov 2026'!J47</f>
        <v>0</v>
      </c>
      <c r="H47" s="37" t="n">
        <f aca="false">IF(B47="",0,N(Students!F36))</f>
        <v>0</v>
      </c>
      <c r="I47" s="23"/>
      <c r="J47" s="26" t="n">
        <f aca="false">N(G47)+N(H47)-N(I47)</f>
        <v>0</v>
      </c>
      <c r="K47" s="37" t="n">
        <f aca="false">'Nov 2026'!N47</f>
        <v>0</v>
      </c>
      <c r="L47" s="37" t="n">
        <f aca="false">IF(B47="",0,N(Students!G36))</f>
        <v>0</v>
      </c>
      <c r="M47" s="23"/>
      <c r="N47" s="26" t="n">
        <f aca="false">N(K47)+N(L47)-N(M47)</f>
        <v>0</v>
      </c>
      <c r="O47" s="37" t="n">
        <f aca="false">'Nov 2026'!R47</f>
        <v>0</v>
      </c>
      <c r="P47" s="37" t="n">
        <f aca="false">IF(B47="",0,N(Students!H36))</f>
        <v>0</v>
      </c>
      <c r="Q47" s="23"/>
      <c r="R47" s="26" t="n">
        <f aca="false">N(O47)+N(P47)-N(Q47)</f>
        <v>0</v>
      </c>
      <c r="S47" s="37" t="n">
        <f aca="false">'Nov 2026'!V47</f>
        <v>0</v>
      </c>
      <c r="T47" s="37" t="n">
        <f aca="false">IF(B47="",0,N(Students!I36))</f>
        <v>0</v>
      </c>
      <c r="U47" s="23"/>
      <c r="V47" s="26" t="n">
        <f aca="false">N(S47)+N(T47)-N(U47)</f>
        <v>0</v>
      </c>
      <c r="W47" s="37" t="n">
        <f aca="false">'Nov 2026'!Z47</f>
        <v>0</v>
      </c>
      <c r="X47" s="37" t="n">
        <f aca="false">IF(B47="",0,N(Students!J36))</f>
        <v>0</v>
      </c>
      <c r="Y47" s="23"/>
      <c r="Z47" s="26" t="n">
        <f aca="false">N(W47)+N(X47)-N(Y47)</f>
        <v>0</v>
      </c>
      <c r="AA47" s="37" t="n">
        <f aca="false">N(E47)+N(I47)+N(M47)+N(Q47)+N(U47)+N(Y47)</f>
        <v>0</v>
      </c>
      <c r="AB47" s="26" t="n">
        <f aca="false">F47+J47+N47+R47+V47+Z47</f>
        <v>0</v>
      </c>
      <c r="AC47" s="83" t="str">
        <f aca="false">IF(B47="","",IF(AB47&lt;=0,"Clear",IF(AA47&gt;0,"Partial","Due")))</f>
        <v/>
      </c>
    </row>
    <row r="48" customFormat="false" ht="15" hidden="false" customHeight="false" outlineLevel="0" collapsed="false">
      <c r="A48" s="21" t="n">
        <v>33</v>
      </c>
      <c r="B48" s="46" t="str">
        <f aca="false">IF(Students!B37="","",Students!B37)</f>
        <v/>
      </c>
      <c r="C48" s="33" t="n">
        <f aca="false">'Nov 2026'!F48</f>
        <v>0</v>
      </c>
      <c r="D48" s="33" t="n">
        <f aca="false">IF(B48="",0,N(Students!E37))</f>
        <v>0</v>
      </c>
      <c r="E48" s="23"/>
      <c r="F48" s="24" t="n">
        <f aca="false">N(C48)+N(D48)-N(E48)</f>
        <v>0</v>
      </c>
      <c r="G48" s="33" t="n">
        <f aca="false">'Nov 2026'!J48</f>
        <v>0</v>
      </c>
      <c r="H48" s="33" t="n">
        <f aca="false">IF(B48="",0,N(Students!F37))</f>
        <v>0</v>
      </c>
      <c r="I48" s="23"/>
      <c r="J48" s="24" t="n">
        <f aca="false">N(G48)+N(H48)-N(I48)</f>
        <v>0</v>
      </c>
      <c r="K48" s="33" t="n">
        <f aca="false">'Nov 2026'!N48</f>
        <v>0</v>
      </c>
      <c r="L48" s="33" t="n">
        <f aca="false">IF(B48="",0,N(Students!G37))</f>
        <v>0</v>
      </c>
      <c r="M48" s="23"/>
      <c r="N48" s="24" t="n">
        <f aca="false">N(K48)+N(L48)-N(M48)</f>
        <v>0</v>
      </c>
      <c r="O48" s="33" t="n">
        <f aca="false">'Nov 2026'!R48</f>
        <v>0</v>
      </c>
      <c r="P48" s="33" t="n">
        <f aca="false">IF(B48="",0,N(Students!H37))</f>
        <v>0</v>
      </c>
      <c r="Q48" s="23"/>
      <c r="R48" s="24" t="n">
        <f aca="false">N(O48)+N(P48)-N(Q48)</f>
        <v>0</v>
      </c>
      <c r="S48" s="33" t="n">
        <f aca="false">'Nov 2026'!V48</f>
        <v>0</v>
      </c>
      <c r="T48" s="33" t="n">
        <f aca="false">IF(B48="",0,N(Students!I37))</f>
        <v>0</v>
      </c>
      <c r="U48" s="23"/>
      <c r="V48" s="24" t="n">
        <f aca="false">N(S48)+N(T48)-N(U48)</f>
        <v>0</v>
      </c>
      <c r="W48" s="33" t="n">
        <f aca="false">'Nov 2026'!Z48</f>
        <v>0</v>
      </c>
      <c r="X48" s="33" t="n">
        <f aca="false">IF(B48="",0,N(Students!J37))</f>
        <v>0</v>
      </c>
      <c r="Y48" s="23"/>
      <c r="Z48" s="24" t="n">
        <f aca="false">N(W48)+N(X48)-N(Y48)</f>
        <v>0</v>
      </c>
      <c r="AA48" s="33" t="n">
        <f aca="false">N(E48)+N(I48)+N(M48)+N(Q48)+N(U48)+N(Y48)</f>
        <v>0</v>
      </c>
      <c r="AB48" s="24" t="n">
        <f aca="false">F48+J48+N48+R48+V48+Z48</f>
        <v>0</v>
      </c>
      <c r="AC48" s="81" t="str">
        <f aca="false">IF(B48="","",IF(AB48&lt;=0,"Clear",IF(AA48&gt;0,"Partial","Due")))</f>
        <v/>
      </c>
    </row>
    <row r="49" customFormat="false" ht="15" hidden="false" customHeight="false" outlineLevel="0" collapsed="false">
      <c r="A49" s="25" t="n">
        <v>34</v>
      </c>
      <c r="B49" s="82" t="str">
        <f aca="false">IF(Students!B38="","",Students!B38)</f>
        <v/>
      </c>
      <c r="C49" s="37" t="n">
        <f aca="false">'Nov 2026'!F49</f>
        <v>0</v>
      </c>
      <c r="D49" s="37" t="n">
        <f aca="false">IF(B49="",0,N(Students!E38))</f>
        <v>0</v>
      </c>
      <c r="E49" s="23"/>
      <c r="F49" s="26" t="n">
        <f aca="false">N(C49)+N(D49)-N(E49)</f>
        <v>0</v>
      </c>
      <c r="G49" s="37" t="n">
        <f aca="false">'Nov 2026'!J49</f>
        <v>0</v>
      </c>
      <c r="H49" s="37" t="n">
        <f aca="false">IF(B49="",0,N(Students!F38))</f>
        <v>0</v>
      </c>
      <c r="I49" s="23"/>
      <c r="J49" s="26" t="n">
        <f aca="false">N(G49)+N(H49)-N(I49)</f>
        <v>0</v>
      </c>
      <c r="K49" s="37" t="n">
        <f aca="false">'Nov 2026'!N49</f>
        <v>0</v>
      </c>
      <c r="L49" s="37" t="n">
        <f aca="false">IF(B49="",0,N(Students!G38))</f>
        <v>0</v>
      </c>
      <c r="M49" s="23"/>
      <c r="N49" s="26" t="n">
        <f aca="false">N(K49)+N(L49)-N(M49)</f>
        <v>0</v>
      </c>
      <c r="O49" s="37" t="n">
        <f aca="false">'Nov 2026'!R49</f>
        <v>0</v>
      </c>
      <c r="P49" s="37" t="n">
        <f aca="false">IF(B49="",0,N(Students!H38))</f>
        <v>0</v>
      </c>
      <c r="Q49" s="23"/>
      <c r="R49" s="26" t="n">
        <f aca="false">N(O49)+N(P49)-N(Q49)</f>
        <v>0</v>
      </c>
      <c r="S49" s="37" t="n">
        <f aca="false">'Nov 2026'!V49</f>
        <v>0</v>
      </c>
      <c r="T49" s="37" t="n">
        <f aca="false">IF(B49="",0,N(Students!I38))</f>
        <v>0</v>
      </c>
      <c r="U49" s="23"/>
      <c r="V49" s="26" t="n">
        <f aca="false">N(S49)+N(T49)-N(U49)</f>
        <v>0</v>
      </c>
      <c r="W49" s="37" t="n">
        <f aca="false">'Nov 2026'!Z49</f>
        <v>0</v>
      </c>
      <c r="X49" s="37" t="n">
        <f aca="false">IF(B49="",0,N(Students!J38))</f>
        <v>0</v>
      </c>
      <c r="Y49" s="23"/>
      <c r="Z49" s="26" t="n">
        <f aca="false">N(W49)+N(X49)-N(Y49)</f>
        <v>0</v>
      </c>
      <c r="AA49" s="37" t="n">
        <f aca="false">N(E49)+N(I49)+N(M49)+N(Q49)+N(U49)+N(Y49)</f>
        <v>0</v>
      </c>
      <c r="AB49" s="26" t="n">
        <f aca="false">F49+J49+N49+R49+V49+Z49</f>
        <v>0</v>
      </c>
      <c r="AC49" s="83" t="str">
        <f aca="false">IF(B49="","",IF(AB49&lt;=0,"Clear",IF(AA49&gt;0,"Partial","Due")))</f>
        <v/>
      </c>
    </row>
    <row r="50" customFormat="false" ht="15" hidden="false" customHeight="false" outlineLevel="0" collapsed="false">
      <c r="A50" s="21" t="n">
        <v>35</v>
      </c>
      <c r="B50" s="46" t="str">
        <f aca="false">IF(Students!B39="","",Students!B39)</f>
        <v/>
      </c>
      <c r="C50" s="33" t="n">
        <f aca="false">'Nov 2026'!F50</f>
        <v>0</v>
      </c>
      <c r="D50" s="33" t="n">
        <f aca="false">IF(B50="",0,N(Students!E39))</f>
        <v>0</v>
      </c>
      <c r="E50" s="23"/>
      <c r="F50" s="24" t="n">
        <f aca="false">N(C50)+N(D50)-N(E50)</f>
        <v>0</v>
      </c>
      <c r="G50" s="33" t="n">
        <f aca="false">'Nov 2026'!J50</f>
        <v>0</v>
      </c>
      <c r="H50" s="33" t="n">
        <f aca="false">IF(B50="",0,N(Students!F39))</f>
        <v>0</v>
      </c>
      <c r="I50" s="23"/>
      <c r="J50" s="24" t="n">
        <f aca="false">N(G50)+N(H50)-N(I50)</f>
        <v>0</v>
      </c>
      <c r="K50" s="33" t="n">
        <f aca="false">'Nov 2026'!N50</f>
        <v>0</v>
      </c>
      <c r="L50" s="33" t="n">
        <f aca="false">IF(B50="",0,N(Students!G39))</f>
        <v>0</v>
      </c>
      <c r="M50" s="23"/>
      <c r="N50" s="24" t="n">
        <f aca="false">N(K50)+N(L50)-N(M50)</f>
        <v>0</v>
      </c>
      <c r="O50" s="33" t="n">
        <f aca="false">'Nov 2026'!R50</f>
        <v>0</v>
      </c>
      <c r="P50" s="33" t="n">
        <f aca="false">IF(B50="",0,N(Students!H39))</f>
        <v>0</v>
      </c>
      <c r="Q50" s="23"/>
      <c r="R50" s="24" t="n">
        <f aca="false">N(O50)+N(P50)-N(Q50)</f>
        <v>0</v>
      </c>
      <c r="S50" s="33" t="n">
        <f aca="false">'Nov 2026'!V50</f>
        <v>0</v>
      </c>
      <c r="T50" s="33" t="n">
        <f aca="false">IF(B50="",0,N(Students!I39))</f>
        <v>0</v>
      </c>
      <c r="U50" s="23"/>
      <c r="V50" s="24" t="n">
        <f aca="false">N(S50)+N(T50)-N(U50)</f>
        <v>0</v>
      </c>
      <c r="W50" s="33" t="n">
        <f aca="false">'Nov 2026'!Z50</f>
        <v>0</v>
      </c>
      <c r="X50" s="33" t="n">
        <f aca="false">IF(B50="",0,N(Students!J39))</f>
        <v>0</v>
      </c>
      <c r="Y50" s="23"/>
      <c r="Z50" s="24" t="n">
        <f aca="false">N(W50)+N(X50)-N(Y50)</f>
        <v>0</v>
      </c>
      <c r="AA50" s="33" t="n">
        <f aca="false">N(E50)+N(I50)+N(M50)+N(Q50)+N(U50)+N(Y50)</f>
        <v>0</v>
      </c>
      <c r="AB50" s="24" t="n">
        <f aca="false">F50+J50+N50+R50+V50+Z50</f>
        <v>0</v>
      </c>
      <c r="AC50" s="81" t="str">
        <f aca="false">IF(B50="","",IF(AB50&lt;=0,"Clear",IF(AA50&gt;0,"Partial","Due")))</f>
        <v/>
      </c>
    </row>
    <row r="51" customFormat="false" ht="15" hidden="false" customHeight="false" outlineLevel="0" collapsed="false">
      <c r="A51" s="25" t="n">
        <v>36</v>
      </c>
      <c r="B51" s="82" t="str">
        <f aca="false">IF(Students!B40="","",Students!B40)</f>
        <v/>
      </c>
      <c r="C51" s="37" t="n">
        <f aca="false">'Nov 2026'!F51</f>
        <v>0</v>
      </c>
      <c r="D51" s="37" t="n">
        <f aca="false">IF(B51="",0,N(Students!E40))</f>
        <v>0</v>
      </c>
      <c r="E51" s="23"/>
      <c r="F51" s="26" t="n">
        <f aca="false">N(C51)+N(D51)-N(E51)</f>
        <v>0</v>
      </c>
      <c r="G51" s="37" t="n">
        <f aca="false">'Nov 2026'!J51</f>
        <v>0</v>
      </c>
      <c r="H51" s="37" t="n">
        <f aca="false">IF(B51="",0,N(Students!F40))</f>
        <v>0</v>
      </c>
      <c r="I51" s="23"/>
      <c r="J51" s="26" t="n">
        <f aca="false">N(G51)+N(H51)-N(I51)</f>
        <v>0</v>
      </c>
      <c r="K51" s="37" t="n">
        <f aca="false">'Nov 2026'!N51</f>
        <v>0</v>
      </c>
      <c r="L51" s="37" t="n">
        <f aca="false">IF(B51="",0,N(Students!G40))</f>
        <v>0</v>
      </c>
      <c r="M51" s="23"/>
      <c r="N51" s="26" t="n">
        <f aca="false">N(K51)+N(L51)-N(M51)</f>
        <v>0</v>
      </c>
      <c r="O51" s="37" t="n">
        <f aca="false">'Nov 2026'!R51</f>
        <v>0</v>
      </c>
      <c r="P51" s="37" t="n">
        <f aca="false">IF(B51="",0,N(Students!H40))</f>
        <v>0</v>
      </c>
      <c r="Q51" s="23"/>
      <c r="R51" s="26" t="n">
        <f aca="false">N(O51)+N(P51)-N(Q51)</f>
        <v>0</v>
      </c>
      <c r="S51" s="37" t="n">
        <f aca="false">'Nov 2026'!V51</f>
        <v>0</v>
      </c>
      <c r="T51" s="37" t="n">
        <f aca="false">IF(B51="",0,N(Students!I40))</f>
        <v>0</v>
      </c>
      <c r="U51" s="23"/>
      <c r="V51" s="26" t="n">
        <f aca="false">N(S51)+N(T51)-N(U51)</f>
        <v>0</v>
      </c>
      <c r="W51" s="37" t="n">
        <f aca="false">'Nov 2026'!Z51</f>
        <v>0</v>
      </c>
      <c r="X51" s="37" t="n">
        <f aca="false">IF(B51="",0,N(Students!J40))</f>
        <v>0</v>
      </c>
      <c r="Y51" s="23"/>
      <c r="Z51" s="26" t="n">
        <f aca="false">N(W51)+N(X51)-N(Y51)</f>
        <v>0</v>
      </c>
      <c r="AA51" s="37" t="n">
        <f aca="false">N(E51)+N(I51)+N(M51)+N(Q51)+N(U51)+N(Y51)</f>
        <v>0</v>
      </c>
      <c r="AB51" s="26" t="n">
        <f aca="false">F51+J51+N51+R51+V51+Z51</f>
        <v>0</v>
      </c>
      <c r="AC51" s="83" t="str">
        <f aca="false">IF(B51="","",IF(AB51&lt;=0,"Clear",IF(AA51&gt;0,"Partial","Due")))</f>
        <v/>
      </c>
    </row>
    <row r="52" customFormat="false" ht="15" hidden="false" customHeight="false" outlineLevel="0" collapsed="false">
      <c r="A52" s="21" t="n">
        <v>37</v>
      </c>
      <c r="B52" s="46" t="str">
        <f aca="false">IF(Students!B41="","",Students!B41)</f>
        <v/>
      </c>
      <c r="C52" s="33" t="n">
        <f aca="false">'Nov 2026'!F52</f>
        <v>0</v>
      </c>
      <c r="D52" s="33" t="n">
        <f aca="false">IF(B52="",0,N(Students!E41))</f>
        <v>0</v>
      </c>
      <c r="E52" s="23"/>
      <c r="F52" s="24" t="n">
        <f aca="false">N(C52)+N(D52)-N(E52)</f>
        <v>0</v>
      </c>
      <c r="G52" s="33" t="n">
        <f aca="false">'Nov 2026'!J52</f>
        <v>0</v>
      </c>
      <c r="H52" s="33" t="n">
        <f aca="false">IF(B52="",0,N(Students!F41))</f>
        <v>0</v>
      </c>
      <c r="I52" s="23"/>
      <c r="J52" s="24" t="n">
        <f aca="false">N(G52)+N(H52)-N(I52)</f>
        <v>0</v>
      </c>
      <c r="K52" s="33" t="n">
        <f aca="false">'Nov 2026'!N52</f>
        <v>0</v>
      </c>
      <c r="L52" s="33" t="n">
        <f aca="false">IF(B52="",0,N(Students!G41))</f>
        <v>0</v>
      </c>
      <c r="M52" s="23"/>
      <c r="N52" s="24" t="n">
        <f aca="false">N(K52)+N(L52)-N(M52)</f>
        <v>0</v>
      </c>
      <c r="O52" s="33" t="n">
        <f aca="false">'Nov 2026'!R52</f>
        <v>0</v>
      </c>
      <c r="P52" s="33" t="n">
        <f aca="false">IF(B52="",0,N(Students!H41))</f>
        <v>0</v>
      </c>
      <c r="Q52" s="23"/>
      <c r="R52" s="24" t="n">
        <f aca="false">N(O52)+N(P52)-N(Q52)</f>
        <v>0</v>
      </c>
      <c r="S52" s="33" t="n">
        <f aca="false">'Nov 2026'!V52</f>
        <v>0</v>
      </c>
      <c r="T52" s="33" t="n">
        <f aca="false">IF(B52="",0,N(Students!I41))</f>
        <v>0</v>
      </c>
      <c r="U52" s="23"/>
      <c r="V52" s="24" t="n">
        <f aca="false">N(S52)+N(T52)-N(U52)</f>
        <v>0</v>
      </c>
      <c r="W52" s="33" t="n">
        <f aca="false">'Nov 2026'!Z52</f>
        <v>0</v>
      </c>
      <c r="X52" s="33" t="n">
        <f aca="false">IF(B52="",0,N(Students!J41))</f>
        <v>0</v>
      </c>
      <c r="Y52" s="23"/>
      <c r="Z52" s="24" t="n">
        <f aca="false">N(W52)+N(X52)-N(Y52)</f>
        <v>0</v>
      </c>
      <c r="AA52" s="33" t="n">
        <f aca="false">N(E52)+N(I52)+N(M52)+N(Q52)+N(U52)+N(Y52)</f>
        <v>0</v>
      </c>
      <c r="AB52" s="24" t="n">
        <f aca="false">F52+J52+N52+R52+V52+Z52</f>
        <v>0</v>
      </c>
      <c r="AC52" s="81" t="str">
        <f aca="false">IF(B52="","",IF(AB52&lt;=0,"Clear",IF(AA52&gt;0,"Partial","Due")))</f>
        <v/>
      </c>
    </row>
    <row r="53" customFormat="false" ht="15" hidden="false" customHeight="false" outlineLevel="0" collapsed="false">
      <c r="A53" s="25" t="n">
        <v>38</v>
      </c>
      <c r="B53" s="82" t="str">
        <f aca="false">IF(Students!B42="","",Students!B42)</f>
        <v/>
      </c>
      <c r="C53" s="37" t="n">
        <f aca="false">'Nov 2026'!F53</f>
        <v>0</v>
      </c>
      <c r="D53" s="37" t="n">
        <f aca="false">IF(B53="",0,N(Students!E42))</f>
        <v>0</v>
      </c>
      <c r="E53" s="23"/>
      <c r="F53" s="26" t="n">
        <f aca="false">N(C53)+N(D53)-N(E53)</f>
        <v>0</v>
      </c>
      <c r="G53" s="37" t="n">
        <f aca="false">'Nov 2026'!J53</f>
        <v>0</v>
      </c>
      <c r="H53" s="37" t="n">
        <f aca="false">IF(B53="",0,N(Students!F42))</f>
        <v>0</v>
      </c>
      <c r="I53" s="23"/>
      <c r="J53" s="26" t="n">
        <f aca="false">N(G53)+N(H53)-N(I53)</f>
        <v>0</v>
      </c>
      <c r="K53" s="37" t="n">
        <f aca="false">'Nov 2026'!N53</f>
        <v>0</v>
      </c>
      <c r="L53" s="37" t="n">
        <f aca="false">IF(B53="",0,N(Students!G42))</f>
        <v>0</v>
      </c>
      <c r="M53" s="23"/>
      <c r="N53" s="26" t="n">
        <f aca="false">N(K53)+N(L53)-N(M53)</f>
        <v>0</v>
      </c>
      <c r="O53" s="37" t="n">
        <f aca="false">'Nov 2026'!R53</f>
        <v>0</v>
      </c>
      <c r="P53" s="37" t="n">
        <f aca="false">IF(B53="",0,N(Students!H42))</f>
        <v>0</v>
      </c>
      <c r="Q53" s="23"/>
      <c r="R53" s="26" t="n">
        <f aca="false">N(O53)+N(P53)-N(Q53)</f>
        <v>0</v>
      </c>
      <c r="S53" s="37" t="n">
        <f aca="false">'Nov 2026'!V53</f>
        <v>0</v>
      </c>
      <c r="T53" s="37" t="n">
        <f aca="false">IF(B53="",0,N(Students!I42))</f>
        <v>0</v>
      </c>
      <c r="U53" s="23"/>
      <c r="V53" s="26" t="n">
        <f aca="false">N(S53)+N(T53)-N(U53)</f>
        <v>0</v>
      </c>
      <c r="W53" s="37" t="n">
        <f aca="false">'Nov 2026'!Z53</f>
        <v>0</v>
      </c>
      <c r="X53" s="37" t="n">
        <f aca="false">IF(B53="",0,N(Students!J42))</f>
        <v>0</v>
      </c>
      <c r="Y53" s="23"/>
      <c r="Z53" s="26" t="n">
        <f aca="false">N(W53)+N(X53)-N(Y53)</f>
        <v>0</v>
      </c>
      <c r="AA53" s="37" t="n">
        <f aca="false">N(E53)+N(I53)+N(M53)+N(Q53)+N(U53)+N(Y53)</f>
        <v>0</v>
      </c>
      <c r="AB53" s="26" t="n">
        <f aca="false">F53+J53+N53+R53+V53+Z53</f>
        <v>0</v>
      </c>
      <c r="AC53" s="83" t="str">
        <f aca="false">IF(B53="","",IF(AB53&lt;=0,"Clear",IF(AA53&gt;0,"Partial","Due")))</f>
        <v/>
      </c>
    </row>
    <row r="54" customFormat="false" ht="15" hidden="false" customHeight="false" outlineLevel="0" collapsed="false">
      <c r="A54" s="21" t="n">
        <v>39</v>
      </c>
      <c r="B54" s="46" t="str">
        <f aca="false">IF(Students!B43="","",Students!B43)</f>
        <v/>
      </c>
      <c r="C54" s="33" t="n">
        <f aca="false">'Nov 2026'!F54</f>
        <v>0</v>
      </c>
      <c r="D54" s="33" t="n">
        <f aca="false">IF(B54="",0,N(Students!E43))</f>
        <v>0</v>
      </c>
      <c r="E54" s="23"/>
      <c r="F54" s="24" t="n">
        <f aca="false">N(C54)+N(D54)-N(E54)</f>
        <v>0</v>
      </c>
      <c r="G54" s="33" t="n">
        <f aca="false">'Nov 2026'!J54</f>
        <v>0</v>
      </c>
      <c r="H54" s="33" t="n">
        <f aca="false">IF(B54="",0,N(Students!F43))</f>
        <v>0</v>
      </c>
      <c r="I54" s="23"/>
      <c r="J54" s="24" t="n">
        <f aca="false">N(G54)+N(H54)-N(I54)</f>
        <v>0</v>
      </c>
      <c r="K54" s="33" t="n">
        <f aca="false">'Nov 2026'!N54</f>
        <v>0</v>
      </c>
      <c r="L54" s="33" t="n">
        <f aca="false">IF(B54="",0,N(Students!G43))</f>
        <v>0</v>
      </c>
      <c r="M54" s="23"/>
      <c r="N54" s="24" t="n">
        <f aca="false">N(K54)+N(L54)-N(M54)</f>
        <v>0</v>
      </c>
      <c r="O54" s="33" t="n">
        <f aca="false">'Nov 2026'!R54</f>
        <v>0</v>
      </c>
      <c r="P54" s="33" t="n">
        <f aca="false">IF(B54="",0,N(Students!H43))</f>
        <v>0</v>
      </c>
      <c r="Q54" s="23"/>
      <c r="R54" s="24" t="n">
        <f aca="false">N(O54)+N(P54)-N(Q54)</f>
        <v>0</v>
      </c>
      <c r="S54" s="33" t="n">
        <f aca="false">'Nov 2026'!V54</f>
        <v>0</v>
      </c>
      <c r="T54" s="33" t="n">
        <f aca="false">IF(B54="",0,N(Students!I43))</f>
        <v>0</v>
      </c>
      <c r="U54" s="23"/>
      <c r="V54" s="24" t="n">
        <f aca="false">N(S54)+N(T54)-N(U54)</f>
        <v>0</v>
      </c>
      <c r="W54" s="33" t="n">
        <f aca="false">'Nov 2026'!Z54</f>
        <v>0</v>
      </c>
      <c r="X54" s="33" t="n">
        <f aca="false">IF(B54="",0,N(Students!J43))</f>
        <v>0</v>
      </c>
      <c r="Y54" s="23"/>
      <c r="Z54" s="24" t="n">
        <f aca="false">N(W54)+N(X54)-N(Y54)</f>
        <v>0</v>
      </c>
      <c r="AA54" s="33" t="n">
        <f aca="false">N(E54)+N(I54)+N(M54)+N(Q54)+N(U54)+N(Y54)</f>
        <v>0</v>
      </c>
      <c r="AB54" s="24" t="n">
        <f aca="false">F54+J54+N54+R54+V54+Z54</f>
        <v>0</v>
      </c>
      <c r="AC54" s="81" t="str">
        <f aca="false">IF(B54="","",IF(AB54&lt;=0,"Clear",IF(AA54&gt;0,"Partial","Due")))</f>
        <v/>
      </c>
    </row>
    <row r="55" customFormat="false" ht="15" hidden="false" customHeight="false" outlineLevel="0" collapsed="false">
      <c r="A55" s="25" t="n">
        <v>40</v>
      </c>
      <c r="B55" s="82" t="str">
        <f aca="false">IF(Students!B44="","",Students!B44)</f>
        <v/>
      </c>
      <c r="C55" s="37" t="n">
        <f aca="false">'Nov 2026'!F55</f>
        <v>0</v>
      </c>
      <c r="D55" s="37" t="n">
        <f aca="false">IF(B55="",0,N(Students!E44))</f>
        <v>0</v>
      </c>
      <c r="E55" s="23"/>
      <c r="F55" s="26" t="n">
        <f aca="false">N(C55)+N(D55)-N(E55)</f>
        <v>0</v>
      </c>
      <c r="G55" s="37" t="n">
        <f aca="false">'Nov 2026'!J55</f>
        <v>0</v>
      </c>
      <c r="H55" s="37" t="n">
        <f aca="false">IF(B55="",0,N(Students!F44))</f>
        <v>0</v>
      </c>
      <c r="I55" s="23"/>
      <c r="J55" s="26" t="n">
        <f aca="false">N(G55)+N(H55)-N(I55)</f>
        <v>0</v>
      </c>
      <c r="K55" s="37" t="n">
        <f aca="false">'Nov 2026'!N55</f>
        <v>0</v>
      </c>
      <c r="L55" s="37" t="n">
        <f aca="false">IF(B55="",0,N(Students!G44))</f>
        <v>0</v>
      </c>
      <c r="M55" s="23"/>
      <c r="N55" s="26" t="n">
        <f aca="false">N(K55)+N(L55)-N(M55)</f>
        <v>0</v>
      </c>
      <c r="O55" s="37" t="n">
        <f aca="false">'Nov 2026'!R55</f>
        <v>0</v>
      </c>
      <c r="P55" s="37" t="n">
        <f aca="false">IF(B55="",0,N(Students!H44))</f>
        <v>0</v>
      </c>
      <c r="Q55" s="23"/>
      <c r="R55" s="26" t="n">
        <f aca="false">N(O55)+N(P55)-N(Q55)</f>
        <v>0</v>
      </c>
      <c r="S55" s="37" t="n">
        <f aca="false">'Nov 2026'!V55</f>
        <v>0</v>
      </c>
      <c r="T55" s="37" t="n">
        <f aca="false">IF(B55="",0,N(Students!I44))</f>
        <v>0</v>
      </c>
      <c r="U55" s="23"/>
      <c r="V55" s="26" t="n">
        <f aca="false">N(S55)+N(T55)-N(U55)</f>
        <v>0</v>
      </c>
      <c r="W55" s="37" t="n">
        <f aca="false">'Nov 2026'!Z55</f>
        <v>0</v>
      </c>
      <c r="X55" s="37" t="n">
        <f aca="false">IF(B55="",0,N(Students!J44))</f>
        <v>0</v>
      </c>
      <c r="Y55" s="23"/>
      <c r="Z55" s="26" t="n">
        <f aca="false">N(W55)+N(X55)-N(Y55)</f>
        <v>0</v>
      </c>
      <c r="AA55" s="37" t="n">
        <f aca="false">N(E55)+N(I55)+N(M55)+N(Q55)+N(U55)+N(Y55)</f>
        <v>0</v>
      </c>
      <c r="AB55" s="26" t="n">
        <f aca="false">F55+J55+N55+R55+V55+Z55</f>
        <v>0</v>
      </c>
      <c r="AC55" s="83" t="str">
        <f aca="false">IF(B55="","",IF(AB55&lt;=0,"Clear",IF(AA55&gt;0,"Partial","Due")))</f>
        <v/>
      </c>
    </row>
    <row r="56" customFormat="false" ht="15" hidden="false" customHeight="false" outlineLevel="0" collapsed="false">
      <c r="A56" s="21" t="n">
        <v>41</v>
      </c>
      <c r="B56" s="46" t="str">
        <f aca="false">IF(Students!B45="","",Students!B45)</f>
        <v/>
      </c>
      <c r="C56" s="33" t="n">
        <f aca="false">'Nov 2026'!F56</f>
        <v>0</v>
      </c>
      <c r="D56" s="33" t="n">
        <f aca="false">IF(B56="",0,N(Students!E45))</f>
        <v>0</v>
      </c>
      <c r="E56" s="23"/>
      <c r="F56" s="24" t="n">
        <f aca="false">N(C56)+N(D56)-N(E56)</f>
        <v>0</v>
      </c>
      <c r="G56" s="33" t="n">
        <f aca="false">'Nov 2026'!J56</f>
        <v>0</v>
      </c>
      <c r="H56" s="33" t="n">
        <f aca="false">IF(B56="",0,N(Students!F45))</f>
        <v>0</v>
      </c>
      <c r="I56" s="23"/>
      <c r="J56" s="24" t="n">
        <f aca="false">N(G56)+N(H56)-N(I56)</f>
        <v>0</v>
      </c>
      <c r="K56" s="33" t="n">
        <f aca="false">'Nov 2026'!N56</f>
        <v>0</v>
      </c>
      <c r="L56" s="33" t="n">
        <f aca="false">IF(B56="",0,N(Students!G45))</f>
        <v>0</v>
      </c>
      <c r="M56" s="23"/>
      <c r="N56" s="24" t="n">
        <f aca="false">N(K56)+N(L56)-N(M56)</f>
        <v>0</v>
      </c>
      <c r="O56" s="33" t="n">
        <f aca="false">'Nov 2026'!R56</f>
        <v>0</v>
      </c>
      <c r="P56" s="33" t="n">
        <f aca="false">IF(B56="",0,N(Students!H45))</f>
        <v>0</v>
      </c>
      <c r="Q56" s="23"/>
      <c r="R56" s="24" t="n">
        <f aca="false">N(O56)+N(P56)-N(Q56)</f>
        <v>0</v>
      </c>
      <c r="S56" s="33" t="n">
        <f aca="false">'Nov 2026'!V56</f>
        <v>0</v>
      </c>
      <c r="T56" s="33" t="n">
        <f aca="false">IF(B56="",0,N(Students!I45))</f>
        <v>0</v>
      </c>
      <c r="U56" s="23"/>
      <c r="V56" s="24" t="n">
        <f aca="false">N(S56)+N(T56)-N(U56)</f>
        <v>0</v>
      </c>
      <c r="W56" s="33" t="n">
        <f aca="false">'Nov 2026'!Z56</f>
        <v>0</v>
      </c>
      <c r="X56" s="33" t="n">
        <f aca="false">IF(B56="",0,N(Students!J45))</f>
        <v>0</v>
      </c>
      <c r="Y56" s="23"/>
      <c r="Z56" s="24" t="n">
        <f aca="false">N(W56)+N(X56)-N(Y56)</f>
        <v>0</v>
      </c>
      <c r="AA56" s="33" t="n">
        <f aca="false">N(E56)+N(I56)+N(M56)+N(Q56)+N(U56)+N(Y56)</f>
        <v>0</v>
      </c>
      <c r="AB56" s="24" t="n">
        <f aca="false">F56+J56+N56+R56+V56+Z56</f>
        <v>0</v>
      </c>
      <c r="AC56" s="81" t="str">
        <f aca="false">IF(B56="","",IF(AB56&lt;=0,"Clear",IF(AA56&gt;0,"Partial","Due")))</f>
        <v/>
      </c>
    </row>
    <row r="57" customFormat="false" ht="15" hidden="false" customHeight="false" outlineLevel="0" collapsed="false">
      <c r="A57" s="25" t="n">
        <v>42</v>
      </c>
      <c r="B57" s="82" t="str">
        <f aca="false">IF(Students!B46="","",Students!B46)</f>
        <v/>
      </c>
      <c r="C57" s="37" t="n">
        <f aca="false">'Nov 2026'!F57</f>
        <v>0</v>
      </c>
      <c r="D57" s="37" t="n">
        <f aca="false">IF(B57="",0,N(Students!E46))</f>
        <v>0</v>
      </c>
      <c r="E57" s="23"/>
      <c r="F57" s="26" t="n">
        <f aca="false">N(C57)+N(D57)-N(E57)</f>
        <v>0</v>
      </c>
      <c r="G57" s="37" t="n">
        <f aca="false">'Nov 2026'!J57</f>
        <v>0</v>
      </c>
      <c r="H57" s="37" t="n">
        <f aca="false">IF(B57="",0,N(Students!F46))</f>
        <v>0</v>
      </c>
      <c r="I57" s="23"/>
      <c r="J57" s="26" t="n">
        <f aca="false">N(G57)+N(H57)-N(I57)</f>
        <v>0</v>
      </c>
      <c r="K57" s="37" t="n">
        <f aca="false">'Nov 2026'!N57</f>
        <v>0</v>
      </c>
      <c r="L57" s="37" t="n">
        <f aca="false">IF(B57="",0,N(Students!G46))</f>
        <v>0</v>
      </c>
      <c r="M57" s="23"/>
      <c r="N57" s="26" t="n">
        <f aca="false">N(K57)+N(L57)-N(M57)</f>
        <v>0</v>
      </c>
      <c r="O57" s="37" t="n">
        <f aca="false">'Nov 2026'!R57</f>
        <v>0</v>
      </c>
      <c r="P57" s="37" t="n">
        <f aca="false">IF(B57="",0,N(Students!H46))</f>
        <v>0</v>
      </c>
      <c r="Q57" s="23"/>
      <c r="R57" s="26" t="n">
        <f aca="false">N(O57)+N(P57)-N(Q57)</f>
        <v>0</v>
      </c>
      <c r="S57" s="37" t="n">
        <f aca="false">'Nov 2026'!V57</f>
        <v>0</v>
      </c>
      <c r="T57" s="37" t="n">
        <f aca="false">IF(B57="",0,N(Students!I46))</f>
        <v>0</v>
      </c>
      <c r="U57" s="23"/>
      <c r="V57" s="26" t="n">
        <f aca="false">N(S57)+N(T57)-N(U57)</f>
        <v>0</v>
      </c>
      <c r="W57" s="37" t="n">
        <f aca="false">'Nov 2026'!Z57</f>
        <v>0</v>
      </c>
      <c r="X57" s="37" t="n">
        <f aca="false">IF(B57="",0,N(Students!J46))</f>
        <v>0</v>
      </c>
      <c r="Y57" s="23"/>
      <c r="Z57" s="26" t="n">
        <f aca="false">N(W57)+N(X57)-N(Y57)</f>
        <v>0</v>
      </c>
      <c r="AA57" s="37" t="n">
        <f aca="false">N(E57)+N(I57)+N(M57)+N(Q57)+N(U57)+N(Y57)</f>
        <v>0</v>
      </c>
      <c r="AB57" s="26" t="n">
        <f aca="false">F57+J57+N57+R57+V57+Z57</f>
        <v>0</v>
      </c>
      <c r="AC57" s="83" t="str">
        <f aca="false">IF(B57="","",IF(AB57&lt;=0,"Clear",IF(AA57&gt;0,"Partial","Due")))</f>
        <v/>
      </c>
    </row>
    <row r="58" customFormat="false" ht="15" hidden="false" customHeight="false" outlineLevel="0" collapsed="false">
      <c r="A58" s="21" t="n">
        <v>43</v>
      </c>
      <c r="B58" s="46" t="str">
        <f aca="false">IF(Students!B47="","",Students!B47)</f>
        <v/>
      </c>
      <c r="C58" s="33" t="n">
        <f aca="false">'Nov 2026'!F58</f>
        <v>0</v>
      </c>
      <c r="D58" s="33" t="n">
        <f aca="false">IF(B58="",0,N(Students!E47))</f>
        <v>0</v>
      </c>
      <c r="E58" s="23"/>
      <c r="F58" s="24" t="n">
        <f aca="false">N(C58)+N(D58)-N(E58)</f>
        <v>0</v>
      </c>
      <c r="G58" s="33" t="n">
        <f aca="false">'Nov 2026'!J58</f>
        <v>0</v>
      </c>
      <c r="H58" s="33" t="n">
        <f aca="false">IF(B58="",0,N(Students!F47))</f>
        <v>0</v>
      </c>
      <c r="I58" s="23"/>
      <c r="J58" s="24" t="n">
        <f aca="false">N(G58)+N(H58)-N(I58)</f>
        <v>0</v>
      </c>
      <c r="K58" s="33" t="n">
        <f aca="false">'Nov 2026'!N58</f>
        <v>0</v>
      </c>
      <c r="L58" s="33" t="n">
        <f aca="false">IF(B58="",0,N(Students!G47))</f>
        <v>0</v>
      </c>
      <c r="M58" s="23"/>
      <c r="N58" s="24" t="n">
        <f aca="false">N(K58)+N(L58)-N(M58)</f>
        <v>0</v>
      </c>
      <c r="O58" s="33" t="n">
        <f aca="false">'Nov 2026'!R58</f>
        <v>0</v>
      </c>
      <c r="P58" s="33" t="n">
        <f aca="false">IF(B58="",0,N(Students!H47))</f>
        <v>0</v>
      </c>
      <c r="Q58" s="23"/>
      <c r="R58" s="24" t="n">
        <f aca="false">N(O58)+N(P58)-N(Q58)</f>
        <v>0</v>
      </c>
      <c r="S58" s="33" t="n">
        <f aca="false">'Nov 2026'!V58</f>
        <v>0</v>
      </c>
      <c r="T58" s="33" t="n">
        <f aca="false">IF(B58="",0,N(Students!I47))</f>
        <v>0</v>
      </c>
      <c r="U58" s="23"/>
      <c r="V58" s="24" t="n">
        <f aca="false">N(S58)+N(T58)-N(U58)</f>
        <v>0</v>
      </c>
      <c r="W58" s="33" t="n">
        <f aca="false">'Nov 2026'!Z58</f>
        <v>0</v>
      </c>
      <c r="X58" s="33" t="n">
        <f aca="false">IF(B58="",0,N(Students!J47))</f>
        <v>0</v>
      </c>
      <c r="Y58" s="23"/>
      <c r="Z58" s="24" t="n">
        <f aca="false">N(W58)+N(X58)-N(Y58)</f>
        <v>0</v>
      </c>
      <c r="AA58" s="33" t="n">
        <f aca="false">N(E58)+N(I58)+N(M58)+N(Q58)+N(U58)+N(Y58)</f>
        <v>0</v>
      </c>
      <c r="AB58" s="24" t="n">
        <f aca="false">F58+J58+N58+R58+V58+Z58</f>
        <v>0</v>
      </c>
      <c r="AC58" s="81" t="str">
        <f aca="false">IF(B58="","",IF(AB58&lt;=0,"Clear",IF(AA58&gt;0,"Partial","Due")))</f>
        <v/>
      </c>
    </row>
    <row r="59" customFormat="false" ht="15" hidden="false" customHeight="false" outlineLevel="0" collapsed="false">
      <c r="A59" s="25" t="n">
        <v>44</v>
      </c>
      <c r="B59" s="82" t="str">
        <f aca="false">IF(Students!B48="","",Students!B48)</f>
        <v/>
      </c>
      <c r="C59" s="37" t="n">
        <f aca="false">'Nov 2026'!F59</f>
        <v>0</v>
      </c>
      <c r="D59" s="37" t="n">
        <f aca="false">IF(B59="",0,N(Students!E48))</f>
        <v>0</v>
      </c>
      <c r="E59" s="23"/>
      <c r="F59" s="26" t="n">
        <f aca="false">N(C59)+N(D59)-N(E59)</f>
        <v>0</v>
      </c>
      <c r="G59" s="37" t="n">
        <f aca="false">'Nov 2026'!J59</f>
        <v>0</v>
      </c>
      <c r="H59" s="37" t="n">
        <f aca="false">IF(B59="",0,N(Students!F48))</f>
        <v>0</v>
      </c>
      <c r="I59" s="23"/>
      <c r="J59" s="26" t="n">
        <f aca="false">N(G59)+N(H59)-N(I59)</f>
        <v>0</v>
      </c>
      <c r="K59" s="37" t="n">
        <f aca="false">'Nov 2026'!N59</f>
        <v>0</v>
      </c>
      <c r="L59" s="37" t="n">
        <f aca="false">IF(B59="",0,N(Students!G48))</f>
        <v>0</v>
      </c>
      <c r="M59" s="23"/>
      <c r="N59" s="26" t="n">
        <f aca="false">N(K59)+N(L59)-N(M59)</f>
        <v>0</v>
      </c>
      <c r="O59" s="37" t="n">
        <f aca="false">'Nov 2026'!R59</f>
        <v>0</v>
      </c>
      <c r="P59" s="37" t="n">
        <f aca="false">IF(B59="",0,N(Students!H48))</f>
        <v>0</v>
      </c>
      <c r="Q59" s="23"/>
      <c r="R59" s="26" t="n">
        <f aca="false">N(O59)+N(P59)-N(Q59)</f>
        <v>0</v>
      </c>
      <c r="S59" s="37" t="n">
        <f aca="false">'Nov 2026'!V59</f>
        <v>0</v>
      </c>
      <c r="T59" s="37" t="n">
        <f aca="false">IF(B59="",0,N(Students!I48))</f>
        <v>0</v>
      </c>
      <c r="U59" s="23"/>
      <c r="V59" s="26" t="n">
        <f aca="false">N(S59)+N(T59)-N(U59)</f>
        <v>0</v>
      </c>
      <c r="W59" s="37" t="n">
        <f aca="false">'Nov 2026'!Z59</f>
        <v>0</v>
      </c>
      <c r="X59" s="37" t="n">
        <f aca="false">IF(B59="",0,N(Students!J48))</f>
        <v>0</v>
      </c>
      <c r="Y59" s="23"/>
      <c r="Z59" s="26" t="n">
        <f aca="false">N(W59)+N(X59)-N(Y59)</f>
        <v>0</v>
      </c>
      <c r="AA59" s="37" t="n">
        <f aca="false">N(E59)+N(I59)+N(M59)+N(Q59)+N(U59)+N(Y59)</f>
        <v>0</v>
      </c>
      <c r="AB59" s="26" t="n">
        <f aca="false">F59+J59+N59+R59+V59+Z59</f>
        <v>0</v>
      </c>
      <c r="AC59" s="83" t="str">
        <f aca="false">IF(B59="","",IF(AB59&lt;=0,"Clear",IF(AA59&gt;0,"Partial","Due")))</f>
        <v/>
      </c>
    </row>
    <row r="60" customFormat="false" ht="15" hidden="false" customHeight="false" outlineLevel="0" collapsed="false">
      <c r="A60" s="21" t="n">
        <v>45</v>
      </c>
      <c r="B60" s="46" t="str">
        <f aca="false">IF(Students!B49="","",Students!B49)</f>
        <v/>
      </c>
      <c r="C60" s="33" t="n">
        <f aca="false">'Nov 2026'!F60</f>
        <v>0</v>
      </c>
      <c r="D60" s="33" t="n">
        <f aca="false">IF(B60="",0,N(Students!E49))</f>
        <v>0</v>
      </c>
      <c r="E60" s="23"/>
      <c r="F60" s="24" t="n">
        <f aca="false">N(C60)+N(D60)-N(E60)</f>
        <v>0</v>
      </c>
      <c r="G60" s="33" t="n">
        <f aca="false">'Nov 2026'!J60</f>
        <v>0</v>
      </c>
      <c r="H60" s="33" t="n">
        <f aca="false">IF(B60="",0,N(Students!F49))</f>
        <v>0</v>
      </c>
      <c r="I60" s="23"/>
      <c r="J60" s="24" t="n">
        <f aca="false">N(G60)+N(H60)-N(I60)</f>
        <v>0</v>
      </c>
      <c r="K60" s="33" t="n">
        <f aca="false">'Nov 2026'!N60</f>
        <v>0</v>
      </c>
      <c r="L60" s="33" t="n">
        <f aca="false">IF(B60="",0,N(Students!G49))</f>
        <v>0</v>
      </c>
      <c r="M60" s="23"/>
      <c r="N60" s="24" t="n">
        <f aca="false">N(K60)+N(L60)-N(M60)</f>
        <v>0</v>
      </c>
      <c r="O60" s="33" t="n">
        <f aca="false">'Nov 2026'!R60</f>
        <v>0</v>
      </c>
      <c r="P60" s="33" t="n">
        <f aca="false">IF(B60="",0,N(Students!H49))</f>
        <v>0</v>
      </c>
      <c r="Q60" s="23"/>
      <c r="R60" s="24" t="n">
        <f aca="false">N(O60)+N(P60)-N(Q60)</f>
        <v>0</v>
      </c>
      <c r="S60" s="33" t="n">
        <f aca="false">'Nov 2026'!V60</f>
        <v>0</v>
      </c>
      <c r="T60" s="33" t="n">
        <f aca="false">IF(B60="",0,N(Students!I49))</f>
        <v>0</v>
      </c>
      <c r="U60" s="23"/>
      <c r="V60" s="24" t="n">
        <f aca="false">N(S60)+N(T60)-N(U60)</f>
        <v>0</v>
      </c>
      <c r="W60" s="33" t="n">
        <f aca="false">'Nov 2026'!Z60</f>
        <v>0</v>
      </c>
      <c r="X60" s="33" t="n">
        <f aca="false">IF(B60="",0,N(Students!J49))</f>
        <v>0</v>
      </c>
      <c r="Y60" s="23"/>
      <c r="Z60" s="24" t="n">
        <f aca="false">N(W60)+N(X60)-N(Y60)</f>
        <v>0</v>
      </c>
      <c r="AA60" s="33" t="n">
        <f aca="false">N(E60)+N(I60)+N(M60)+N(Q60)+N(U60)+N(Y60)</f>
        <v>0</v>
      </c>
      <c r="AB60" s="24" t="n">
        <f aca="false">F60+J60+N60+R60+V60+Z60</f>
        <v>0</v>
      </c>
      <c r="AC60" s="81" t="str">
        <f aca="false">IF(B60="","",IF(AB60&lt;=0,"Clear",IF(AA60&gt;0,"Partial","Due")))</f>
        <v/>
      </c>
    </row>
    <row r="61" customFormat="false" ht="15" hidden="false" customHeight="false" outlineLevel="0" collapsed="false">
      <c r="A61" s="25" t="n">
        <v>46</v>
      </c>
      <c r="B61" s="82" t="str">
        <f aca="false">IF(Students!B50="","",Students!B50)</f>
        <v/>
      </c>
      <c r="C61" s="37" t="n">
        <f aca="false">'Nov 2026'!F61</f>
        <v>0</v>
      </c>
      <c r="D61" s="37" t="n">
        <f aca="false">IF(B61="",0,N(Students!E50))</f>
        <v>0</v>
      </c>
      <c r="E61" s="23"/>
      <c r="F61" s="26" t="n">
        <f aca="false">N(C61)+N(D61)-N(E61)</f>
        <v>0</v>
      </c>
      <c r="G61" s="37" t="n">
        <f aca="false">'Nov 2026'!J61</f>
        <v>0</v>
      </c>
      <c r="H61" s="37" t="n">
        <f aca="false">IF(B61="",0,N(Students!F50))</f>
        <v>0</v>
      </c>
      <c r="I61" s="23"/>
      <c r="J61" s="26" t="n">
        <f aca="false">N(G61)+N(H61)-N(I61)</f>
        <v>0</v>
      </c>
      <c r="K61" s="37" t="n">
        <f aca="false">'Nov 2026'!N61</f>
        <v>0</v>
      </c>
      <c r="L61" s="37" t="n">
        <f aca="false">IF(B61="",0,N(Students!G50))</f>
        <v>0</v>
      </c>
      <c r="M61" s="23"/>
      <c r="N61" s="26" t="n">
        <f aca="false">N(K61)+N(L61)-N(M61)</f>
        <v>0</v>
      </c>
      <c r="O61" s="37" t="n">
        <f aca="false">'Nov 2026'!R61</f>
        <v>0</v>
      </c>
      <c r="P61" s="37" t="n">
        <f aca="false">IF(B61="",0,N(Students!H50))</f>
        <v>0</v>
      </c>
      <c r="Q61" s="23"/>
      <c r="R61" s="26" t="n">
        <f aca="false">N(O61)+N(P61)-N(Q61)</f>
        <v>0</v>
      </c>
      <c r="S61" s="37" t="n">
        <f aca="false">'Nov 2026'!V61</f>
        <v>0</v>
      </c>
      <c r="T61" s="37" t="n">
        <f aca="false">IF(B61="",0,N(Students!I50))</f>
        <v>0</v>
      </c>
      <c r="U61" s="23"/>
      <c r="V61" s="26" t="n">
        <f aca="false">N(S61)+N(T61)-N(U61)</f>
        <v>0</v>
      </c>
      <c r="W61" s="37" t="n">
        <f aca="false">'Nov 2026'!Z61</f>
        <v>0</v>
      </c>
      <c r="X61" s="37" t="n">
        <f aca="false">IF(B61="",0,N(Students!J50))</f>
        <v>0</v>
      </c>
      <c r="Y61" s="23"/>
      <c r="Z61" s="26" t="n">
        <f aca="false">N(W61)+N(X61)-N(Y61)</f>
        <v>0</v>
      </c>
      <c r="AA61" s="37" t="n">
        <f aca="false">N(E61)+N(I61)+N(M61)+N(Q61)+N(U61)+N(Y61)</f>
        <v>0</v>
      </c>
      <c r="AB61" s="26" t="n">
        <f aca="false">F61+J61+N61+R61+V61+Z61</f>
        <v>0</v>
      </c>
      <c r="AC61" s="83" t="str">
        <f aca="false">IF(B61="","",IF(AB61&lt;=0,"Clear",IF(AA61&gt;0,"Partial","Due")))</f>
        <v/>
      </c>
    </row>
    <row r="62" customFormat="false" ht="15" hidden="false" customHeight="false" outlineLevel="0" collapsed="false">
      <c r="A62" s="21" t="n">
        <v>47</v>
      </c>
      <c r="B62" s="46" t="str">
        <f aca="false">IF(Students!B51="","",Students!B51)</f>
        <v/>
      </c>
      <c r="C62" s="33" t="n">
        <f aca="false">'Nov 2026'!F62</f>
        <v>0</v>
      </c>
      <c r="D62" s="33" t="n">
        <f aca="false">IF(B62="",0,N(Students!E51))</f>
        <v>0</v>
      </c>
      <c r="E62" s="23"/>
      <c r="F62" s="24" t="n">
        <f aca="false">N(C62)+N(D62)-N(E62)</f>
        <v>0</v>
      </c>
      <c r="G62" s="33" t="n">
        <f aca="false">'Nov 2026'!J62</f>
        <v>0</v>
      </c>
      <c r="H62" s="33" t="n">
        <f aca="false">IF(B62="",0,N(Students!F51))</f>
        <v>0</v>
      </c>
      <c r="I62" s="23"/>
      <c r="J62" s="24" t="n">
        <f aca="false">N(G62)+N(H62)-N(I62)</f>
        <v>0</v>
      </c>
      <c r="K62" s="33" t="n">
        <f aca="false">'Nov 2026'!N62</f>
        <v>0</v>
      </c>
      <c r="L62" s="33" t="n">
        <f aca="false">IF(B62="",0,N(Students!G51))</f>
        <v>0</v>
      </c>
      <c r="M62" s="23"/>
      <c r="N62" s="24" t="n">
        <f aca="false">N(K62)+N(L62)-N(M62)</f>
        <v>0</v>
      </c>
      <c r="O62" s="33" t="n">
        <f aca="false">'Nov 2026'!R62</f>
        <v>0</v>
      </c>
      <c r="P62" s="33" t="n">
        <f aca="false">IF(B62="",0,N(Students!H51))</f>
        <v>0</v>
      </c>
      <c r="Q62" s="23"/>
      <c r="R62" s="24" t="n">
        <f aca="false">N(O62)+N(P62)-N(Q62)</f>
        <v>0</v>
      </c>
      <c r="S62" s="33" t="n">
        <f aca="false">'Nov 2026'!V62</f>
        <v>0</v>
      </c>
      <c r="T62" s="33" t="n">
        <f aca="false">IF(B62="",0,N(Students!I51))</f>
        <v>0</v>
      </c>
      <c r="U62" s="23"/>
      <c r="V62" s="24" t="n">
        <f aca="false">N(S62)+N(T62)-N(U62)</f>
        <v>0</v>
      </c>
      <c r="W62" s="33" t="n">
        <f aca="false">'Nov 2026'!Z62</f>
        <v>0</v>
      </c>
      <c r="X62" s="33" t="n">
        <f aca="false">IF(B62="",0,N(Students!J51))</f>
        <v>0</v>
      </c>
      <c r="Y62" s="23"/>
      <c r="Z62" s="24" t="n">
        <f aca="false">N(W62)+N(X62)-N(Y62)</f>
        <v>0</v>
      </c>
      <c r="AA62" s="33" t="n">
        <f aca="false">N(E62)+N(I62)+N(M62)+N(Q62)+N(U62)+N(Y62)</f>
        <v>0</v>
      </c>
      <c r="AB62" s="24" t="n">
        <f aca="false">F62+J62+N62+R62+V62+Z62</f>
        <v>0</v>
      </c>
      <c r="AC62" s="81" t="str">
        <f aca="false">IF(B62="","",IF(AB62&lt;=0,"Clear",IF(AA62&gt;0,"Partial","Due")))</f>
        <v/>
      </c>
    </row>
    <row r="63" customFormat="false" ht="15" hidden="false" customHeight="false" outlineLevel="0" collapsed="false">
      <c r="A63" s="25" t="n">
        <v>48</v>
      </c>
      <c r="B63" s="82" t="str">
        <f aca="false">IF(Students!B52="","",Students!B52)</f>
        <v/>
      </c>
      <c r="C63" s="37" t="n">
        <f aca="false">'Nov 2026'!F63</f>
        <v>0</v>
      </c>
      <c r="D63" s="37" t="n">
        <f aca="false">IF(B63="",0,N(Students!E52))</f>
        <v>0</v>
      </c>
      <c r="E63" s="23"/>
      <c r="F63" s="26" t="n">
        <f aca="false">N(C63)+N(D63)-N(E63)</f>
        <v>0</v>
      </c>
      <c r="G63" s="37" t="n">
        <f aca="false">'Nov 2026'!J63</f>
        <v>0</v>
      </c>
      <c r="H63" s="37" t="n">
        <f aca="false">IF(B63="",0,N(Students!F52))</f>
        <v>0</v>
      </c>
      <c r="I63" s="23"/>
      <c r="J63" s="26" t="n">
        <f aca="false">N(G63)+N(H63)-N(I63)</f>
        <v>0</v>
      </c>
      <c r="K63" s="37" t="n">
        <f aca="false">'Nov 2026'!N63</f>
        <v>0</v>
      </c>
      <c r="L63" s="37" t="n">
        <f aca="false">IF(B63="",0,N(Students!G52))</f>
        <v>0</v>
      </c>
      <c r="M63" s="23"/>
      <c r="N63" s="26" t="n">
        <f aca="false">N(K63)+N(L63)-N(M63)</f>
        <v>0</v>
      </c>
      <c r="O63" s="37" t="n">
        <f aca="false">'Nov 2026'!R63</f>
        <v>0</v>
      </c>
      <c r="P63" s="37" t="n">
        <f aca="false">IF(B63="",0,N(Students!H52))</f>
        <v>0</v>
      </c>
      <c r="Q63" s="23"/>
      <c r="R63" s="26" t="n">
        <f aca="false">N(O63)+N(P63)-N(Q63)</f>
        <v>0</v>
      </c>
      <c r="S63" s="37" t="n">
        <f aca="false">'Nov 2026'!V63</f>
        <v>0</v>
      </c>
      <c r="T63" s="37" t="n">
        <f aca="false">IF(B63="",0,N(Students!I52))</f>
        <v>0</v>
      </c>
      <c r="U63" s="23"/>
      <c r="V63" s="26" t="n">
        <f aca="false">N(S63)+N(T63)-N(U63)</f>
        <v>0</v>
      </c>
      <c r="W63" s="37" t="n">
        <f aca="false">'Nov 2026'!Z63</f>
        <v>0</v>
      </c>
      <c r="X63" s="37" t="n">
        <f aca="false">IF(B63="",0,N(Students!J52))</f>
        <v>0</v>
      </c>
      <c r="Y63" s="23"/>
      <c r="Z63" s="26" t="n">
        <f aca="false">N(W63)+N(X63)-N(Y63)</f>
        <v>0</v>
      </c>
      <c r="AA63" s="37" t="n">
        <f aca="false">N(E63)+N(I63)+N(M63)+N(Q63)+N(U63)+N(Y63)</f>
        <v>0</v>
      </c>
      <c r="AB63" s="26" t="n">
        <f aca="false">F63+J63+N63+R63+V63+Z63</f>
        <v>0</v>
      </c>
      <c r="AC63" s="83" t="str">
        <f aca="false">IF(B63="","",IF(AB63&lt;=0,"Clear",IF(AA63&gt;0,"Partial","Due")))</f>
        <v/>
      </c>
    </row>
    <row r="64" customFormat="false" ht="15" hidden="false" customHeight="false" outlineLevel="0" collapsed="false">
      <c r="A64" s="21" t="n">
        <v>49</v>
      </c>
      <c r="B64" s="46" t="str">
        <f aca="false">IF(Students!B53="","",Students!B53)</f>
        <v/>
      </c>
      <c r="C64" s="33" t="n">
        <f aca="false">'Nov 2026'!F64</f>
        <v>0</v>
      </c>
      <c r="D64" s="33" t="n">
        <f aca="false">IF(B64="",0,N(Students!E53))</f>
        <v>0</v>
      </c>
      <c r="E64" s="23"/>
      <c r="F64" s="24" t="n">
        <f aca="false">N(C64)+N(D64)-N(E64)</f>
        <v>0</v>
      </c>
      <c r="G64" s="33" t="n">
        <f aca="false">'Nov 2026'!J64</f>
        <v>0</v>
      </c>
      <c r="H64" s="33" t="n">
        <f aca="false">IF(B64="",0,N(Students!F53))</f>
        <v>0</v>
      </c>
      <c r="I64" s="23"/>
      <c r="J64" s="24" t="n">
        <f aca="false">N(G64)+N(H64)-N(I64)</f>
        <v>0</v>
      </c>
      <c r="K64" s="33" t="n">
        <f aca="false">'Nov 2026'!N64</f>
        <v>0</v>
      </c>
      <c r="L64" s="33" t="n">
        <f aca="false">IF(B64="",0,N(Students!G53))</f>
        <v>0</v>
      </c>
      <c r="M64" s="23"/>
      <c r="N64" s="24" t="n">
        <f aca="false">N(K64)+N(L64)-N(M64)</f>
        <v>0</v>
      </c>
      <c r="O64" s="33" t="n">
        <f aca="false">'Nov 2026'!R64</f>
        <v>0</v>
      </c>
      <c r="P64" s="33" t="n">
        <f aca="false">IF(B64="",0,N(Students!H53))</f>
        <v>0</v>
      </c>
      <c r="Q64" s="23"/>
      <c r="R64" s="24" t="n">
        <f aca="false">N(O64)+N(P64)-N(Q64)</f>
        <v>0</v>
      </c>
      <c r="S64" s="33" t="n">
        <f aca="false">'Nov 2026'!V64</f>
        <v>0</v>
      </c>
      <c r="T64" s="33" t="n">
        <f aca="false">IF(B64="",0,N(Students!I53))</f>
        <v>0</v>
      </c>
      <c r="U64" s="23"/>
      <c r="V64" s="24" t="n">
        <f aca="false">N(S64)+N(T64)-N(U64)</f>
        <v>0</v>
      </c>
      <c r="W64" s="33" t="n">
        <f aca="false">'Nov 2026'!Z64</f>
        <v>0</v>
      </c>
      <c r="X64" s="33" t="n">
        <f aca="false">IF(B64="",0,N(Students!J53))</f>
        <v>0</v>
      </c>
      <c r="Y64" s="23"/>
      <c r="Z64" s="24" t="n">
        <f aca="false">N(W64)+N(X64)-N(Y64)</f>
        <v>0</v>
      </c>
      <c r="AA64" s="33" t="n">
        <f aca="false">N(E64)+N(I64)+N(M64)+N(Q64)+N(U64)+N(Y64)</f>
        <v>0</v>
      </c>
      <c r="AB64" s="24" t="n">
        <f aca="false">F64+J64+N64+R64+V64+Z64</f>
        <v>0</v>
      </c>
      <c r="AC64" s="81" t="str">
        <f aca="false">IF(B64="","",IF(AB64&lt;=0,"Clear",IF(AA64&gt;0,"Partial","Due")))</f>
        <v/>
      </c>
    </row>
    <row r="65" customFormat="false" ht="15" hidden="false" customHeight="false" outlineLevel="0" collapsed="false">
      <c r="A65" s="25" t="n">
        <v>50</v>
      </c>
      <c r="B65" s="82" t="str">
        <f aca="false">IF(Students!B54="","",Students!B54)</f>
        <v/>
      </c>
      <c r="C65" s="37" t="n">
        <f aca="false">'Nov 2026'!F65</f>
        <v>0</v>
      </c>
      <c r="D65" s="37" t="n">
        <f aca="false">IF(B65="",0,N(Students!E54))</f>
        <v>0</v>
      </c>
      <c r="E65" s="23"/>
      <c r="F65" s="26" t="n">
        <f aca="false">N(C65)+N(D65)-N(E65)</f>
        <v>0</v>
      </c>
      <c r="G65" s="37" t="n">
        <f aca="false">'Nov 2026'!J65</f>
        <v>0</v>
      </c>
      <c r="H65" s="37" t="n">
        <f aca="false">IF(B65="",0,N(Students!F54))</f>
        <v>0</v>
      </c>
      <c r="I65" s="23"/>
      <c r="J65" s="26" t="n">
        <f aca="false">N(G65)+N(H65)-N(I65)</f>
        <v>0</v>
      </c>
      <c r="K65" s="37" t="n">
        <f aca="false">'Nov 2026'!N65</f>
        <v>0</v>
      </c>
      <c r="L65" s="37" t="n">
        <f aca="false">IF(B65="",0,N(Students!G54))</f>
        <v>0</v>
      </c>
      <c r="M65" s="23"/>
      <c r="N65" s="26" t="n">
        <f aca="false">N(K65)+N(L65)-N(M65)</f>
        <v>0</v>
      </c>
      <c r="O65" s="37" t="n">
        <f aca="false">'Nov 2026'!R65</f>
        <v>0</v>
      </c>
      <c r="P65" s="37" t="n">
        <f aca="false">IF(B65="",0,N(Students!H54))</f>
        <v>0</v>
      </c>
      <c r="Q65" s="23"/>
      <c r="R65" s="26" t="n">
        <f aca="false">N(O65)+N(P65)-N(Q65)</f>
        <v>0</v>
      </c>
      <c r="S65" s="37" t="n">
        <f aca="false">'Nov 2026'!V65</f>
        <v>0</v>
      </c>
      <c r="T65" s="37" t="n">
        <f aca="false">IF(B65="",0,N(Students!I54))</f>
        <v>0</v>
      </c>
      <c r="U65" s="23"/>
      <c r="V65" s="26" t="n">
        <f aca="false">N(S65)+N(T65)-N(U65)</f>
        <v>0</v>
      </c>
      <c r="W65" s="37" t="n">
        <f aca="false">'Nov 2026'!Z65</f>
        <v>0</v>
      </c>
      <c r="X65" s="37" t="n">
        <f aca="false">IF(B65="",0,N(Students!J54))</f>
        <v>0</v>
      </c>
      <c r="Y65" s="23"/>
      <c r="Z65" s="26" t="n">
        <f aca="false">N(W65)+N(X65)-N(Y65)</f>
        <v>0</v>
      </c>
      <c r="AA65" s="37" t="n">
        <f aca="false">N(E65)+N(I65)+N(M65)+N(Q65)+N(U65)+N(Y65)</f>
        <v>0</v>
      </c>
      <c r="AB65" s="26" t="n">
        <f aca="false">F65+J65+N65+R65+V65+Z65</f>
        <v>0</v>
      </c>
      <c r="AC65" s="83" t="str">
        <f aca="false">IF(B65="","",IF(AB65&lt;=0,"Clear",IF(AA65&gt;0,"Partial","Due")))</f>
        <v/>
      </c>
    </row>
    <row r="66" customFormat="false" ht="15" hidden="false" customHeight="false" outlineLevel="0" collapsed="false">
      <c r="A66" s="21" t="n">
        <v>51</v>
      </c>
      <c r="B66" s="46" t="str">
        <f aca="false">IF(Students!B55="","",Students!B55)</f>
        <v/>
      </c>
      <c r="C66" s="33" t="n">
        <f aca="false">'Nov 2026'!F66</f>
        <v>0</v>
      </c>
      <c r="D66" s="33" t="n">
        <f aca="false">IF(B66="",0,N(Students!E55))</f>
        <v>0</v>
      </c>
      <c r="E66" s="23"/>
      <c r="F66" s="24" t="n">
        <f aca="false">N(C66)+N(D66)-N(E66)</f>
        <v>0</v>
      </c>
      <c r="G66" s="33" t="n">
        <f aca="false">'Nov 2026'!J66</f>
        <v>0</v>
      </c>
      <c r="H66" s="33" t="n">
        <f aca="false">IF(B66="",0,N(Students!F55))</f>
        <v>0</v>
      </c>
      <c r="I66" s="23"/>
      <c r="J66" s="24" t="n">
        <f aca="false">N(G66)+N(H66)-N(I66)</f>
        <v>0</v>
      </c>
      <c r="K66" s="33" t="n">
        <f aca="false">'Nov 2026'!N66</f>
        <v>0</v>
      </c>
      <c r="L66" s="33" t="n">
        <f aca="false">IF(B66="",0,N(Students!G55))</f>
        <v>0</v>
      </c>
      <c r="M66" s="23"/>
      <c r="N66" s="24" t="n">
        <f aca="false">N(K66)+N(L66)-N(M66)</f>
        <v>0</v>
      </c>
      <c r="O66" s="33" t="n">
        <f aca="false">'Nov 2026'!R66</f>
        <v>0</v>
      </c>
      <c r="P66" s="33" t="n">
        <f aca="false">IF(B66="",0,N(Students!H55))</f>
        <v>0</v>
      </c>
      <c r="Q66" s="23"/>
      <c r="R66" s="24" t="n">
        <f aca="false">N(O66)+N(P66)-N(Q66)</f>
        <v>0</v>
      </c>
      <c r="S66" s="33" t="n">
        <f aca="false">'Nov 2026'!V66</f>
        <v>0</v>
      </c>
      <c r="T66" s="33" t="n">
        <f aca="false">IF(B66="",0,N(Students!I55))</f>
        <v>0</v>
      </c>
      <c r="U66" s="23"/>
      <c r="V66" s="24" t="n">
        <f aca="false">N(S66)+N(T66)-N(U66)</f>
        <v>0</v>
      </c>
      <c r="W66" s="33" t="n">
        <f aca="false">'Nov 2026'!Z66</f>
        <v>0</v>
      </c>
      <c r="X66" s="33" t="n">
        <f aca="false">IF(B66="",0,N(Students!J55))</f>
        <v>0</v>
      </c>
      <c r="Y66" s="23"/>
      <c r="Z66" s="24" t="n">
        <f aca="false">N(W66)+N(X66)-N(Y66)</f>
        <v>0</v>
      </c>
      <c r="AA66" s="33" t="n">
        <f aca="false">N(E66)+N(I66)+N(M66)+N(Q66)+N(U66)+N(Y66)</f>
        <v>0</v>
      </c>
      <c r="AB66" s="24" t="n">
        <f aca="false">F66+J66+N66+R66+V66+Z66</f>
        <v>0</v>
      </c>
      <c r="AC66" s="81" t="str">
        <f aca="false">IF(B66="","",IF(AB66&lt;=0,"Clear",IF(AA66&gt;0,"Partial","Due")))</f>
        <v/>
      </c>
    </row>
    <row r="67" customFormat="false" ht="15" hidden="false" customHeight="false" outlineLevel="0" collapsed="false">
      <c r="A67" s="25" t="n">
        <v>52</v>
      </c>
      <c r="B67" s="82" t="str">
        <f aca="false">IF(Students!B56="","",Students!B56)</f>
        <v/>
      </c>
      <c r="C67" s="37" t="n">
        <f aca="false">'Nov 2026'!F67</f>
        <v>0</v>
      </c>
      <c r="D67" s="37" t="n">
        <f aca="false">IF(B67="",0,N(Students!E56))</f>
        <v>0</v>
      </c>
      <c r="E67" s="23"/>
      <c r="F67" s="26" t="n">
        <f aca="false">N(C67)+N(D67)-N(E67)</f>
        <v>0</v>
      </c>
      <c r="G67" s="37" t="n">
        <f aca="false">'Nov 2026'!J67</f>
        <v>0</v>
      </c>
      <c r="H67" s="37" t="n">
        <f aca="false">IF(B67="",0,N(Students!F56))</f>
        <v>0</v>
      </c>
      <c r="I67" s="23"/>
      <c r="J67" s="26" t="n">
        <f aca="false">N(G67)+N(H67)-N(I67)</f>
        <v>0</v>
      </c>
      <c r="K67" s="37" t="n">
        <f aca="false">'Nov 2026'!N67</f>
        <v>0</v>
      </c>
      <c r="L67" s="37" t="n">
        <f aca="false">IF(B67="",0,N(Students!G56))</f>
        <v>0</v>
      </c>
      <c r="M67" s="23"/>
      <c r="N67" s="26" t="n">
        <f aca="false">N(K67)+N(L67)-N(M67)</f>
        <v>0</v>
      </c>
      <c r="O67" s="37" t="n">
        <f aca="false">'Nov 2026'!R67</f>
        <v>0</v>
      </c>
      <c r="P67" s="37" t="n">
        <f aca="false">IF(B67="",0,N(Students!H56))</f>
        <v>0</v>
      </c>
      <c r="Q67" s="23"/>
      <c r="R67" s="26" t="n">
        <f aca="false">N(O67)+N(P67)-N(Q67)</f>
        <v>0</v>
      </c>
      <c r="S67" s="37" t="n">
        <f aca="false">'Nov 2026'!V67</f>
        <v>0</v>
      </c>
      <c r="T67" s="37" t="n">
        <f aca="false">IF(B67="",0,N(Students!I56))</f>
        <v>0</v>
      </c>
      <c r="U67" s="23"/>
      <c r="V67" s="26" t="n">
        <f aca="false">N(S67)+N(T67)-N(U67)</f>
        <v>0</v>
      </c>
      <c r="W67" s="37" t="n">
        <f aca="false">'Nov 2026'!Z67</f>
        <v>0</v>
      </c>
      <c r="X67" s="37" t="n">
        <f aca="false">IF(B67="",0,N(Students!J56))</f>
        <v>0</v>
      </c>
      <c r="Y67" s="23"/>
      <c r="Z67" s="26" t="n">
        <f aca="false">N(W67)+N(X67)-N(Y67)</f>
        <v>0</v>
      </c>
      <c r="AA67" s="37" t="n">
        <f aca="false">N(E67)+N(I67)+N(M67)+N(Q67)+N(U67)+N(Y67)</f>
        <v>0</v>
      </c>
      <c r="AB67" s="26" t="n">
        <f aca="false">F67+J67+N67+R67+V67+Z67</f>
        <v>0</v>
      </c>
      <c r="AC67" s="83" t="str">
        <f aca="false">IF(B67="","",IF(AB67&lt;=0,"Clear",IF(AA67&gt;0,"Partial","Due")))</f>
        <v/>
      </c>
    </row>
    <row r="68" customFormat="false" ht="15" hidden="false" customHeight="false" outlineLevel="0" collapsed="false">
      <c r="A68" s="21" t="n">
        <v>53</v>
      </c>
      <c r="B68" s="46" t="str">
        <f aca="false">IF(Students!B57="","",Students!B57)</f>
        <v/>
      </c>
      <c r="C68" s="33" t="n">
        <f aca="false">'Nov 2026'!F68</f>
        <v>0</v>
      </c>
      <c r="D68" s="33" t="n">
        <f aca="false">IF(B68="",0,N(Students!E57))</f>
        <v>0</v>
      </c>
      <c r="E68" s="23"/>
      <c r="F68" s="24" t="n">
        <f aca="false">N(C68)+N(D68)-N(E68)</f>
        <v>0</v>
      </c>
      <c r="G68" s="33" t="n">
        <f aca="false">'Nov 2026'!J68</f>
        <v>0</v>
      </c>
      <c r="H68" s="33" t="n">
        <f aca="false">IF(B68="",0,N(Students!F57))</f>
        <v>0</v>
      </c>
      <c r="I68" s="23"/>
      <c r="J68" s="24" t="n">
        <f aca="false">N(G68)+N(H68)-N(I68)</f>
        <v>0</v>
      </c>
      <c r="K68" s="33" t="n">
        <f aca="false">'Nov 2026'!N68</f>
        <v>0</v>
      </c>
      <c r="L68" s="33" t="n">
        <f aca="false">IF(B68="",0,N(Students!G57))</f>
        <v>0</v>
      </c>
      <c r="M68" s="23"/>
      <c r="N68" s="24" t="n">
        <f aca="false">N(K68)+N(L68)-N(M68)</f>
        <v>0</v>
      </c>
      <c r="O68" s="33" t="n">
        <f aca="false">'Nov 2026'!R68</f>
        <v>0</v>
      </c>
      <c r="P68" s="33" t="n">
        <f aca="false">IF(B68="",0,N(Students!H57))</f>
        <v>0</v>
      </c>
      <c r="Q68" s="23"/>
      <c r="R68" s="24" t="n">
        <f aca="false">N(O68)+N(P68)-N(Q68)</f>
        <v>0</v>
      </c>
      <c r="S68" s="33" t="n">
        <f aca="false">'Nov 2026'!V68</f>
        <v>0</v>
      </c>
      <c r="T68" s="33" t="n">
        <f aca="false">IF(B68="",0,N(Students!I57))</f>
        <v>0</v>
      </c>
      <c r="U68" s="23"/>
      <c r="V68" s="24" t="n">
        <f aca="false">N(S68)+N(T68)-N(U68)</f>
        <v>0</v>
      </c>
      <c r="W68" s="33" t="n">
        <f aca="false">'Nov 2026'!Z68</f>
        <v>0</v>
      </c>
      <c r="X68" s="33" t="n">
        <f aca="false">IF(B68="",0,N(Students!J57))</f>
        <v>0</v>
      </c>
      <c r="Y68" s="23"/>
      <c r="Z68" s="24" t="n">
        <f aca="false">N(W68)+N(X68)-N(Y68)</f>
        <v>0</v>
      </c>
      <c r="AA68" s="33" t="n">
        <f aca="false">N(E68)+N(I68)+N(M68)+N(Q68)+N(U68)+N(Y68)</f>
        <v>0</v>
      </c>
      <c r="AB68" s="24" t="n">
        <f aca="false">F68+J68+N68+R68+V68+Z68</f>
        <v>0</v>
      </c>
      <c r="AC68" s="81" t="str">
        <f aca="false">IF(B68="","",IF(AB68&lt;=0,"Clear",IF(AA68&gt;0,"Partial","Due")))</f>
        <v/>
      </c>
    </row>
    <row r="69" customFormat="false" ht="15" hidden="false" customHeight="false" outlineLevel="0" collapsed="false">
      <c r="A69" s="25" t="n">
        <v>54</v>
      </c>
      <c r="B69" s="82" t="str">
        <f aca="false">IF(Students!B58="","",Students!B58)</f>
        <v/>
      </c>
      <c r="C69" s="37" t="n">
        <f aca="false">'Nov 2026'!F69</f>
        <v>0</v>
      </c>
      <c r="D69" s="37" t="n">
        <f aca="false">IF(B69="",0,N(Students!E58))</f>
        <v>0</v>
      </c>
      <c r="E69" s="23"/>
      <c r="F69" s="26" t="n">
        <f aca="false">N(C69)+N(D69)-N(E69)</f>
        <v>0</v>
      </c>
      <c r="G69" s="37" t="n">
        <f aca="false">'Nov 2026'!J69</f>
        <v>0</v>
      </c>
      <c r="H69" s="37" t="n">
        <f aca="false">IF(B69="",0,N(Students!F58))</f>
        <v>0</v>
      </c>
      <c r="I69" s="23"/>
      <c r="J69" s="26" t="n">
        <f aca="false">N(G69)+N(H69)-N(I69)</f>
        <v>0</v>
      </c>
      <c r="K69" s="37" t="n">
        <f aca="false">'Nov 2026'!N69</f>
        <v>0</v>
      </c>
      <c r="L69" s="37" t="n">
        <f aca="false">IF(B69="",0,N(Students!G58))</f>
        <v>0</v>
      </c>
      <c r="M69" s="23"/>
      <c r="N69" s="26" t="n">
        <f aca="false">N(K69)+N(L69)-N(M69)</f>
        <v>0</v>
      </c>
      <c r="O69" s="37" t="n">
        <f aca="false">'Nov 2026'!R69</f>
        <v>0</v>
      </c>
      <c r="P69" s="37" t="n">
        <f aca="false">IF(B69="",0,N(Students!H58))</f>
        <v>0</v>
      </c>
      <c r="Q69" s="23"/>
      <c r="R69" s="26" t="n">
        <f aca="false">N(O69)+N(P69)-N(Q69)</f>
        <v>0</v>
      </c>
      <c r="S69" s="37" t="n">
        <f aca="false">'Nov 2026'!V69</f>
        <v>0</v>
      </c>
      <c r="T69" s="37" t="n">
        <f aca="false">IF(B69="",0,N(Students!I58))</f>
        <v>0</v>
      </c>
      <c r="U69" s="23"/>
      <c r="V69" s="26" t="n">
        <f aca="false">N(S69)+N(T69)-N(U69)</f>
        <v>0</v>
      </c>
      <c r="W69" s="37" t="n">
        <f aca="false">'Nov 2026'!Z69</f>
        <v>0</v>
      </c>
      <c r="X69" s="37" t="n">
        <f aca="false">IF(B69="",0,N(Students!J58))</f>
        <v>0</v>
      </c>
      <c r="Y69" s="23"/>
      <c r="Z69" s="26" t="n">
        <f aca="false">N(W69)+N(X69)-N(Y69)</f>
        <v>0</v>
      </c>
      <c r="AA69" s="37" t="n">
        <f aca="false">N(E69)+N(I69)+N(M69)+N(Q69)+N(U69)+N(Y69)</f>
        <v>0</v>
      </c>
      <c r="AB69" s="26" t="n">
        <f aca="false">F69+J69+N69+R69+V69+Z69</f>
        <v>0</v>
      </c>
      <c r="AC69" s="83" t="str">
        <f aca="false">IF(B69="","",IF(AB69&lt;=0,"Clear",IF(AA69&gt;0,"Partial","Due")))</f>
        <v/>
      </c>
    </row>
    <row r="70" customFormat="false" ht="15" hidden="false" customHeight="false" outlineLevel="0" collapsed="false">
      <c r="A70" s="21" t="n">
        <v>55</v>
      </c>
      <c r="B70" s="46" t="str">
        <f aca="false">IF(Students!B59="","",Students!B59)</f>
        <v/>
      </c>
      <c r="C70" s="33" t="n">
        <f aca="false">'Nov 2026'!F70</f>
        <v>0</v>
      </c>
      <c r="D70" s="33" t="n">
        <f aca="false">IF(B70="",0,N(Students!E59))</f>
        <v>0</v>
      </c>
      <c r="E70" s="23"/>
      <c r="F70" s="24" t="n">
        <f aca="false">N(C70)+N(D70)-N(E70)</f>
        <v>0</v>
      </c>
      <c r="G70" s="33" t="n">
        <f aca="false">'Nov 2026'!J70</f>
        <v>0</v>
      </c>
      <c r="H70" s="33" t="n">
        <f aca="false">IF(B70="",0,N(Students!F59))</f>
        <v>0</v>
      </c>
      <c r="I70" s="23"/>
      <c r="J70" s="24" t="n">
        <f aca="false">N(G70)+N(H70)-N(I70)</f>
        <v>0</v>
      </c>
      <c r="K70" s="33" t="n">
        <f aca="false">'Nov 2026'!N70</f>
        <v>0</v>
      </c>
      <c r="L70" s="33" t="n">
        <f aca="false">IF(B70="",0,N(Students!G59))</f>
        <v>0</v>
      </c>
      <c r="M70" s="23"/>
      <c r="N70" s="24" t="n">
        <f aca="false">N(K70)+N(L70)-N(M70)</f>
        <v>0</v>
      </c>
      <c r="O70" s="33" t="n">
        <f aca="false">'Nov 2026'!R70</f>
        <v>0</v>
      </c>
      <c r="P70" s="33" t="n">
        <f aca="false">IF(B70="",0,N(Students!H59))</f>
        <v>0</v>
      </c>
      <c r="Q70" s="23"/>
      <c r="R70" s="24" t="n">
        <f aca="false">N(O70)+N(P70)-N(Q70)</f>
        <v>0</v>
      </c>
      <c r="S70" s="33" t="n">
        <f aca="false">'Nov 2026'!V70</f>
        <v>0</v>
      </c>
      <c r="T70" s="33" t="n">
        <f aca="false">IF(B70="",0,N(Students!I59))</f>
        <v>0</v>
      </c>
      <c r="U70" s="23"/>
      <c r="V70" s="24" t="n">
        <f aca="false">N(S70)+N(T70)-N(U70)</f>
        <v>0</v>
      </c>
      <c r="W70" s="33" t="n">
        <f aca="false">'Nov 2026'!Z70</f>
        <v>0</v>
      </c>
      <c r="X70" s="33" t="n">
        <f aca="false">IF(B70="",0,N(Students!J59))</f>
        <v>0</v>
      </c>
      <c r="Y70" s="23"/>
      <c r="Z70" s="24" t="n">
        <f aca="false">N(W70)+N(X70)-N(Y70)</f>
        <v>0</v>
      </c>
      <c r="AA70" s="33" t="n">
        <f aca="false">N(E70)+N(I70)+N(M70)+N(Q70)+N(U70)+N(Y70)</f>
        <v>0</v>
      </c>
      <c r="AB70" s="24" t="n">
        <f aca="false">F70+J70+N70+R70+V70+Z70</f>
        <v>0</v>
      </c>
      <c r="AC70" s="81" t="str">
        <f aca="false">IF(B70="","",IF(AB70&lt;=0,"Clear",IF(AA70&gt;0,"Partial","Due")))</f>
        <v/>
      </c>
    </row>
    <row r="71" customFormat="false" ht="15" hidden="false" customHeight="false" outlineLevel="0" collapsed="false">
      <c r="A71" s="25" t="n">
        <v>56</v>
      </c>
      <c r="B71" s="82" t="str">
        <f aca="false">IF(Students!B60="","",Students!B60)</f>
        <v/>
      </c>
      <c r="C71" s="37" t="n">
        <f aca="false">'Nov 2026'!F71</f>
        <v>0</v>
      </c>
      <c r="D71" s="37" t="n">
        <f aca="false">IF(B71="",0,N(Students!E60))</f>
        <v>0</v>
      </c>
      <c r="E71" s="23"/>
      <c r="F71" s="26" t="n">
        <f aca="false">N(C71)+N(D71)-N(E71)</f>
        <v>0</v>
      </c>
      <c r="G71" s="37" t="n">
        <f aca="false">'Nov 2026'!J71</f>
        <v>0</v>
      </c>
      <c r="H71" s="37" t="n">
        <f aca="false">IF(B71="",0,N(Students!F60))</f>
        <v>0</v>
      </c>
      <c r="I71" s="23"/>
      <c r="J71" s="26" t="n">
        <f aca="false">N(G71)+N(H71)-N(I71)</f>
        <v>0</v>
      </c>
      <c r="K71" s="37" t="n">
        <f aca="false">'Nov 2026'!N71</f>
        <v>0</v>
      </c>
      <c r="L71" s="37" t="n">
        <f aca="false">IF(B71="",0,N(Students!G60))</f>
        <v>0</v>
      </c>
      <c r="M71" s="23"/>
      <c r="N71" s="26" t="n">
        <f aca="false">N(K71)+N(L71)-N(M71)</f>
        <v>0</v>
      </c>
      <c r="O71" s="37" t="n">
        <f aca="false">'Nov 2026'!R71</f>
        <v>0</v>
      </c>
      <c r="P71" s="37" t="n">
        <f aca="false">IF(B71="",0,N(Students!H60))</f>
        <v>0</v>
      </c>
      <c r="Q71" s="23"/>
      <c r="R71" s="26" t="n">
        <f aca="false">N(O71)+N(P71)-N(Q71)</f>
        <v>0</v>
      </c>
      <c r="S71" s="37" t="n">
        <f aca="false">'Nov 2026'!V71</f>
        <v>0</v>
      </c>
      <c r="T71" s="37" t="n">
        <f aca="false">IF(B71="",0,N(Students!I60))</f>
        <v>0</v>
      </c>
      <c r="U71" s="23"/>
      <c r="V71" s="26" t="n">
        <f aca="false">N(S71)+N(T71)-N(U71)</f>
        <v>0</v>
      </c>
      <c r="W71" s="37" t="n">
        <f aca="false">'Nov 2026'!Z71</f>
        <v>0</v>
      </c>
      <c r="X71" s="37" t="n">
        <f aca="false">IF(B71="",0,N(Students!J60))</f>
        <v>0</v>
      </c>
      <c r="Y71" s="23"/>
      <c r="Z71" s="26" t="n">
        <f aca="false">N(W71)+N(X71)-N(Y71)</f>
        <v>0</v>
      </c>
      <c r="AA71" s="37" t="n">
        <f aca="false">N(E71)+N(I71)+N(M71)+N(Q71)+N(U71)+N(Y71)</f>
        <v>0</v>
      </c>
      <c r="AB71" s="26" t="n">
        <f aca="false">F71+J71+N71+R71+V71+Z71</f>
        <v>0</v>
      </c>
      <c r="AC71" s="83" t="str">
        <f aca="false">IF(B71="","",IF(AB71&lt;=0,"Clear",IF(AA71&gt;0,"Partial","Due")))</f>
        <v/>
      </c>
    </row>
    <row r="72" customFormat="false" ht="15" hidden="false" customHeight="false" outlineLevel="0" collapsed="false">
      <c r="A72" s="21" t="n">
        <v>57</v>
      </c>
      <c r="B72" s="46" t="str">
        <f aca="false">IF(Students!B61="","",Students!B61)</f>
        <v/>
      </c>
      <c r="C72" s="33" t="n">
        <f aca="false">'Nov 2026'!F72</f>
        <v>0</v>
      </c>
      <c r="D72" s="33" t="n">
        <f aca="false">IF(B72="",0,N(Students!E61))</f>
        <v>0</v>
      </c>
      <c r="E72" s="23"/>
      <c r="F72" s="24" t="n">
        <f aca="false">N(C72)+N(D72)-N(E72)</f>
        <v>0</v>
      </c>
      <c r="G72" s="33" t="n">
        <f aca="false">'Nov 2026'!J72</f>
        <v>0</v>
      </c>
      <c r="H72" s="33" t="n">
        <f aca="false">IF(B72="",0,N(Students!F61))</f>
        <v>0</v>
      </c>
      <c r="I72" s="23"/>
      <c r="J72" s="24" t="n">
        <f aca="false">N(G72)+N(H72)-N(I72)</f>
        <v>0</v>
      </c>
      <c r="K72" s="33" t="n">
        <f aca="false">'Nov 2026'!N72</f>
        <v>0</v>
      </c>
      <c r="L72" s="33" t="n">
        <f aca="false">IF(B72="",0,N(Students!G61))</f>
        <v>0</v>
      </c>
      <c r="M72" s="23"/>
      <c r="N72" s="24" t="n">
        <f aca="false">N(K72)+N(L72)-N(M72)</f>
        <v>0</v>
      </c>
      <c r="O72" s="33" t="n">
        <f aca="false">'Nov 2026'!R72</f>
        <v>0</v>
      </c>
      <c r="P72" s="33" t="n">
        <f aca="false">IF(B72="",0,N(Students!H61))</f>
        <v>0</v>
      </c>
      <c r="Q72" s="23"/>
      <c r="R72" s="24" t="n">
        <f aca="false">N(O72)+N(P72)-N(Q72)</f>
        <v>0</v>
      </c>
      <c r="S72" s="33" t="n">
        <f aca="false">'Nov 2026'!V72</f>
        <v>0</v>
      </c>
      <c r="T72" s="33" t="n">
        <f aca="false">IF(B72="",0,N(Students!I61))</f>
        <v>0</v>
      </c>
      <c r="U72" s="23"/>
      <c r="V72" s="24" t="n">
        <f aca="false">N(S72)+N(T72)-N(U72)</f>
        <v>0</v>
      </c>
      <c r="W72" s="33" t="n">
        <f aca="false">'Nov 2026'!Z72</f>
        <v>0</v>
      </c>
      <c r="X72" s="33" t="n">
        <f aca="false">IF(B72="",0,N(Students!J61))</f>
        <v>0</v>
      </c>
      <c r="Y72" s="23"/>
      <c r="Z72" s="24" t="n">
        <f aca="false">N(W72)+N(X72)-N(Y72)</f>
        <v>0</v>
      </c>
      <c r="AA72" s="33" t="n">
        <f aca="false">N(E72)+N(I72)+N(M72)+N(Q72)+N(U72)+N(Y72)</f>
        <v>0</v>
      </c>
      <c r="AB72" s="24" t="n">
        <f aca="false">F72+J72+N72+R72+V72+Z72</f>
        <v>0</v>
      </c>
      <c r="AC72" s="81" t="str">
        <f aca="false">IF(B72="","",IF(AB72&lt;=0,"Clear",IF(AA72&gt;0,"Partial","Due")))</f>
        <v/>
      </c>
    </row>
    <row r="73" customFormat="false" ht="15" hidden="false" customHeight="false" outlineLevel="0" collapsed="false">
      <c r="A73" s="25" t="n">
        <v>58</v>
      </c>
      <c r="B73" s="82" t="str">
        <f aca="false">IF(Students!B62="","",Students!B62)</f>
        <v/>
      </c>
      <c r="C73" s="37" t="n">
        <f aca="false">'Nov 2026'!F73</f>
        <v>0</v>
      </c>
      <c r="D73" s="37" t="n">
        <f aca="false">IF(B73="",0,N(Students!E62))</f>
        <v>0</v>
      </c>
      <c r="E73" s="23"/>
      <c r="F73" s="26" t="n">
        <f aca="false">N(C73)+N(D73)-N(E73)</f>
        <v>0</v>
      </c>
      <c r="G73" s="37" t="n">
        <f aca="false">'Nov 2026'!J73</f>
        <v>0</v>
      </c>
      <c r="H73" s="37" t="n">
        <f aca="false">IF(B73="",0,N(Students!F62))</f>
        <v>0</v>
      </c>
      <c r="I73" s="23"/>
      <c r="J73" s="26" t="n">
        <f aca="false">N(G73)+N(H73)-N(I73)</f>
        <v>0</v>
      </c>
      <c r="K73" s="37" t="n">
        <f aca="false">'Nov 2026'!N73</f>
        <v>0</v>
      </c>
      <c r="L73" s="37" t="n">
        <f aca="false">IF(B73="",0,N(Students!G62))</f>
        <v>0</v>
      </c>
      <c r="M73" s="23"/>
      <c r="N73" s="26" t="n">
        <f aca="false">N(K73)+N(L73)-N(M73)</f>
        <v>0</v>
      </c>
      <c r="O73" s="37" t="n">
        <f aca="false">'Nov 2026'!R73</f>
        <v>0</v>
      </c>
      <c r="P73" s="37" t="n">
        <f aca="false">IF(B73="",0,N(Students!H62))</f>
        <v>0</v>
      </c>
      <c r="Q73" s="23"/>
      <c r="R73" s="26" t="n">
        <f aca="false">N(O73)+N(P73)-N(Q73)</f>
        <v>0</v>
      </c>
      <c r="S73" s="37" t="n">
        <f aca="false">'Nov 2026'!V73</f>
        <v>0</v>
      </c>
      <c r="T73" s="37" t="n">
        <f aca="false">IF(B73="",0,N(Students!I62))</f>
        <v>0</v>
      </c>
      <c r="U73" s="23"/>
      <c r="V73" s="26" t="n">
        <f aca="false">N(S73)+N(T73)-N(U73)</f>
        <v>0</v>
      </c>
      <c r="W73" s="37" t="n">
        <f aca="false">'Nov 2026'!Z73</f>
        <v>0</v>
      </c>
      <c r="X73" s="37" t="n">
        <f aca="false">IF(B73="",0,N(Students!J62))</f>
        <v>0</v>
      </c>
      <c r="Y73" s="23"/>
      <c r="Z73" s="26" t="n">
        <f aca="false">N(W73)+N(X73)-N(Y73)</f>
        <v>0</v>
      </c>
      <c r="AA73" s="37" t="n">
        <f aca="false">N(E73)+N(I73)+N(M73)+N(Q73)+N(U73)+N(Y73)</f>
        <v>0</v>
      </c>
      <c r="AB73" s="26" t="n">
        <f aca="false">F73+J73+N73+R73+V73+Z73</f>
        <v>0</v>
      </c>
      <c r="AC73" s="83" t="str">
        <f aca="false">IF(B73="","",IF(AB73&lt;=0,"Clear",IF(AA73&gt;0,"Partial","Due")))</f>
        <v/>
      </c>
    </row>
    <row r="74" customFormat="false" ht="15" hidden="false" customHeight="false" outlineLevel="0" collapsed="false">
      <c r="A74" s="21" t="n">
        <v>59</v>
      </c>
      <c r="B74" s="46" t="str">
        <f aca="false">IF(Students!B63="","",Students!B63)</f>
        <v/>
      </c>
      <c r="C74" s="33" t="n">
        <f aca="false">'Nov 2026'!F74</f>
        <v>0</v>
      </c>
      <c r="D74" s="33" t="n">
        <f aca="false">IF(B74="",0,N(Students!E63))</f>
        <v>0</v>
      </c>
      <c r="E74" s="23"/>
      <c r="F74" s="24" t="n">
        <f aca="false">N(C74)+N(D74)-N(E74)</f>
        <v>0</v>
      </c>
      <c r="G74" s="33" t="n">
        <f aca="false">'Nov 2026'!J74</f>
        <v>0</v>
      </c>
      <c r="H74" s="33" t="n">
        <f aca="false">IF(B74="",0,N(Students!F63))</f>
        <v>0</v>
      </c>
      <c r="I74" s="23"/>
      <c r="J74" s="24" t="n">
        <f aca="false">N(G74)+N(H74)-N(I74)</f>
        <v>0</v>
      </c>
      <c r="K74" s="33" t="n">
        <f aca="false">'Nov 2026'!N74</f>
        <v>0</v>
      </c>
      <c r="L74" s="33" t="n">
        <f aca="false">IF(B74="",0,N(Students!G63))</f>
        <v>0</v>
      </c>
      <c r="M74" s="23"/>
      <c r="N74" s="24" t="n">
        <f aca="false">N(K74)+N(L74)-N(M74)</f>
        <v>0</v>
      </c>
      <c r="O74" s="33" t="n">
        <f aca="false">'Nov 2026'!R74</f>
        <v>0</v>
      </c>
      <c r="P74" s="33" t="n">
        <f aca="false">IF(B74="",0,N(Students!H63))</f>
        <v>0</v>
      </c>
      <c r="Q74" s="23"/>
      <c r="R74" s="24" t="n">
        <f aca="false">N(O74)+N(P74)-N(Q74)</f>
        <v>0</v>
      </c>
      <c r="S74" s="33" t="n">
        <f aca="false">'Nov 2026'!V74</f>
        <v>0</v>
      </c>
      <c r="T74" s="33" t="n">
        <f aca="false">IF(B74="",0,N(Students!I63))</f>
        <v>0</v>
      </c>
      <c r="U74" s="23"/>
      <c r="V74" s="24" t="n">
        <f aca="false">N(S74)+N(T74)-N(U74)</f>
        <v>0</v>
      </c>
      <c r="W74" s="33" t="n">
        <f aca="false">'Nov 2026'!Z74</f>
        <v>0</v>
      </c>
      <c r="X74" s="33" t="n">
        <f aca="false">IF(B74="",0,N(Students!J63))</f>
        <v>0</v>
      </c>
      <c r="Y74" s="23"/>
      <c r="Z74" s="24" t="n">
        <f aca="false">N(W74)+N(X74)-N(Y74)</f>
        <v>0</v>
      </c>
      <c r="AA74" s="33" t="n">
        <f aca="false">N(E74)+N(I74)+N(M74)+N(Q74)+N(U74)+N(Y74)</f>
        <v>0</v>
      </c>
      <c r="AB74" s="24" t="n">
        <f aca="false">F74+J74+N74+R74+V74+Z74</f>
        <v>0</v>
      </c>
      <c r="AC74" s="81" t="str">
        <f aca="false">IF(B74="","",IF(AB74&lt;=0,"Clear",IF(AA74&gt;0,"Partial","Due")))</f>
        <v/>
      </c>
    </row>
    <row r="75" customFormat="false" ht="15" hidden="false" customHeight="false" outlineLevel="0" collapsed="false">
      <c r="A75" s="25" t="n">
        <v>60</v>
      </c>
      <c r="B75" s="82" t="str">
        <f aca="false">IF(Students!B64="","",Students!B64)</f>
        <v/>
      </c>
      <c r="C75" s="37" t="n">
        <f aca="false">'Nov 2026'!F75</f>
        <v>0</v>
      </c>
      <c r="D75" s="37" t="n">
        <f aca="false">IF(B75="",0,N(Students!E64))</f>
        <v>0</v>
      </c>
      <c r="E75" s="23"/>
      <c r="F75" s="26" t="n">
        <f aca="false">N(C75)+N(D75)-N(E75)</f>
        <v>0</v>
      </c>
      <c r="G75" s="37" t="n">
        <f aca="false">'Nov 2026'!J75</f>
        <v>0</v>
      </c>
      <c r="H75" s="37" t="n">
        <f aca="false">IF(B75="",0,N(Students!F64))</f>
        <v>0</v>
      </c>
      <c r="I75" s="23"/>
      <c r="J75" s="26" t="n">
        <f aca="false">N(G75)+N(H75)-N(I75)</f>
        <v>0</v>
      </c>
      <c r="K75" s="37" t="n">
        <f aca="false">'Nov 2026'!N75</f>
        <v>0</v>
      </c>
      <c r="L75" s="37" t="n">
        <f aca="false">IF(B75="",0,N(Students!G64))</f>
        <v>0</v>
      </c>
      <c r="M75" s="23"/>
      <c r="N75" s="26" t="n">
        <f aca="false">N(K75)+N(L75)-N(M75)</f>
        <v>0</v>
      </c>
      <c r="O75" s="37" t="n">
        <f aca="false">'Nov 2026'!R75</f>
        <v>0</v>
      </c>
      <c r="P75" s="37" t="n">
        <f aca="false">IF(B75="",0,N(Students!H64))</f>
        <v>0</v>
      </c>
      <c r="Q75" s="23"/>
      <c r="R75" s="26" t="n">
        <f aca="false">N(O75)+N(P75)-N(Q75)</f>
        <v>0</v>
      </c>
      <c r="S75" s="37" t="n">
        <f aca="false">'Nov 2026'!V75</f>
        <v>0</v>
      </c>
      <c r="T75" s="37" t="n">
        <f aca="false">IF(B75="",0,N(Students!I64))</f>
        <v>0</v>
      </c>
      <c r="U75" s="23"/>
      <c r="V75" s="26" t="n">
        <f aca="false">N(S75)+N(T75)-N(U75)</f>
        <v>0</v>
      </c>
      <c r="W75" s="37" t="n">
        <f aca="false">'Nov 2026'!Z75</f>
        <v>0</v>
      </c>
      <c r="X75" s="37" t="n">
        <f aca="false">IF(B75="",0,N(Students!J64))</f>
        <v>0</v>
      </c>
      <c r="Y75" s="23"/>
      <c r="Z75" s="26" t="n">
        <f aca="false">N(W75)+N(X75)-N(Y75)</f>
        <v>0</v>
      </c>
      <c r="AA75" s="37" t="n">
        <f aca="false">N(E75)+N(I75)+N(M75)+N(Q75)+N(U75)+N(Y75)</f>
        <v>0</v>
      </c>
      <c r="AB75" s="26" t="n">
        <f aca="false">F75+J75+N75+R75+V75+Z75</f>
        <v>0</v>
      </c>
      <c r="AC75" s="83" t="str">
        <f aca="false">IF(B75="","",IF(AB75&lt;=0,"Clear",IF(AA75&gt;0,"Partial","Due")))</f>
        <v/>
      </c>
    </row>
    <row r="76" customFormat="false" ht="15" hidden="false" customHeight="false" outlineLevel="0" collapsed="false">
      <c r="A76" s="21" t="n">
        <v>61</v>
      </c>
      <c r="B76" s="46" t="str">
        <f aca="false">IF(Students!B65="","",Students!B65)</f>
        <v/>
      </c>
      <c r="C76" s="33" t="n">
        <f aca="false">'Nov 2026'!F76</f>
        <v>0</v>
      </c>
      <c r="D76" s="33" t="n">
        <f aca="false">IF(B76="",0,N(Students!E65))</f>
        <v>0</v>
      </c>
      <c r="E76" s="23"/>
      <c r="F76" s="24" t="n">
        <f aca="false">N(C76)+N(D76)-N(E76)</f>
        <v>0</v>
      </c>
      <c r="G76" s="33" t="n">
        <f aca="false">'Nov 2026'!J76</f>
        <v>0</v>
      </c>
      <c r="H76" s="33" t="n">
        <f aca="false">IF(B76="",0,N(Students!F65))</f>
        <v>0</v>
      </c>
      <c r="I76" s="23"/>
      <c r="J76" s="24" t="n">
        <f aca="false">N(G76)+N(H76)-N(I76)</f>
        <v>0</v>
      </c>
      <c r="K76" s="33" t="n">
        <f aca="false">'Nov 2026'!N76</f>
        <v>0</v>
      </c>
      <c r="L76" s="33" t="n">
        <f aca="false">IF(B76="",0,N(Students!G65))</f>
        <v>0</v>
      </c>
      <c r="M76" s="23"/>
      <c r="N76" s="24" t="n">
        <f aca="false">N(K76)+N(L76)-N(M76)</f>
        <v>0</v>
      </c>
      <c r="O76" s="33" t="n">
        <f aca="false">'Nov 2026'!R76</f>
        <v>0</v>
      </c>
      <c r="P76" s="33" t="n">
        <f aca="false">IF(B76="",0,N(Students!H65))</f>
        <v>0</v>
      </c>
      <c r="Q76" s="23"/>
      <c r="R76" s="24" t="n">
        <f aca="false">N(O76)+N(P76)-N(Q76)</f>
        <v>0</v>
      </c>
      <c r="S76" s="33" t="n">
        <f aca="false">'Nov 2026'!V76</f>
        <v>0</v>
      </c>
      <c r="T76" s="33" t="n">
        <f aca="false">IF(B76="",0,N(Students!I65))</f>
        <v>0</v>
      </c>
      <c r="U76" s="23"/>
      <c r="V76" s="24" t="n">
        <f aca="false">N(S76)+N(T76)-N(U76)</f>
        <v>0</v>
      </c>
      <c r="W76" s="33" t="n">
        <f aca="false">'Nov 2026'!Z76</f>
        <v>0</v>
      </c>
      <c r="X76" s="33" t="n">
        <f aca="false">IF(B76="",0,N(Students!J65))</f>
        <v>0</v>
      </c>
      <c r="Y76" s="23"/>
      <c r="Z76" s="24" t="n">
        <f aca="false">N(W76)+N(X76)-N(Y76)</f>
        <v>0</v>
      </c>
      <c r="AA76" s="33" t="n">
        <f aca="false">N(E76)+N(I76)+N(M76)+N(Q76)+N(U76)+N(Y76)</f>
        <v>0</v>
      </c>
      <c r="AB76" s="24" t="n">
        <f aca="false">F76+J76+N76+R76+V76+Z76</f>
        <v>0</v>
      </c>
      <c r="AC76" s="81" t="str">
        <f aca="false">IF(B76="","",IF(AB76&lt;=0,"Clear",IF(AA76&gt;0,"Partial","Due")))</f>
        <v/>
      </c>
    </row>
    <row r="77" customFormat="false" ht="15" hidden="false" customHeight="false" outlineLevel="0" collapsed="false">
      <c r="A77" s="25" t="n">
        <v>62</v>
      </c>
      <c r="B77" s="82" t="str">
        <f aca="false">IF(Students!B66="","",Students!B66)</f>
        <v/>
      </c>
      <c r="C77" s="37" t="n">
        <f aca="false">'Nov 2026'!F77</f>
        <v>0</v>
      </c>
      <c r="D77" s="37" t="n">
        <f aca="false">IF(B77="",0,N(Students!E66))</f>
        <v>0</v>
      </c>
      <c r="E77" s="23"/>
      <c r="F77" s="26" t="n">
        <f aca="false">N(C77)+N(D77)-N(E77)</f>
        <v>0</v>
      </c>
      <c r="G77" s="37" t="n">
        <f aca="false">'Nov 2026'!J77</f>
        <v>0</v>
      </c>
      <c r="H77" s="37" t="n">
        <f aca="false">IF(B77="",0,N(Students!F66))</f>
        <v>0</v>
      </c>
      <c r="I77" s="23"/>
      <c r="J77" s="26" t="n">
        <f aca="false">N(G77)+N(H77)-N(I77)</f>
        <v>0</v>
      </c>
      <c r="K77" s="37" t="n">
        <f aca="false">'Nov 2026'!N77</f>
        <v>0</v>
      </c>
      <c r="L77" s="37" t="n">
        <f aca="false">IF(B77="",0,N(Students!G66))</f>
        <v>0</v>
      </c>
      <c r="M77" s="23"/>
      <c r="N77" s="26" t="n">
        <f aca="false">N(K77)+N(L77)-N(M77)</f>
        <v>0</v>
      </c>
      <c r="O77" s="37" t="n">
        <f aca="false">'Nov 2026'!R77</f>
        <v>0</v>
      </c>
      <c r="P77" s="37" t="n">
        <f aca="false">IF(B77="",0,N(Students!H66))</f>
        <v>0</v>
      </c>
      <c r="Q77" s="23"/>
      <c r="R77" s="26" t="n">
        <f aca="false">N(O77)+N(P77)-N(Q77)</f>
        <v>0</v>
      </c>
      <c r="S77" s="37" t="n">
        <f aca="false">'Nov 2026'!V77</f>
        <v>0</v>
      </c>
      <c r="T77" s="37" t="n">
        <f aca="false">IF(B77="",0,N(Students!I66))</f>
        <v>0</v>
      </c>
      <c r="U77" s="23"/>
      <c r="V77" s="26" t="n">
        <f aca="false">N(S77)+N(T77)-N(U77)</f>
        <v>0</v>
      </c>
      <c r="W77" s="37" t="n">
        <f aca="false">'Nov 2026'!Z77</f>
        <v>0</v>
      </c>
      <c r="X77" s="37" t="n">
        <f aca="false">IF(B77="",0,N(Students!J66))</f>
        <v>0</v>
      </c>
      <c r="Y77" s="23"/>
      <c r="Z77" s="26" t="n">
        <f aca="false">N(W77)+N(X77)-N(Y77)</f>
        <v>0</v>
      </c>
      <c r="AA77" s="37" t="n">
        <f aca="false">N(E77)+N(I77)+N(M77)+N(Q77)+N(U77)+N(Y77)</f>
        <v>0</v>
      </c>
      <c r="AB77" s="26" t="n">
        <f aca="false">F77+J77+N77+R77+V77+Z77</f>
        <v>0</v>
      </c>
      <c r="AC77" s="83" t="str">
        <f aca="false">IF(B77="","",IF(AB77&lt;=0,"Clear",IF(AA77&gt;0,"Partial","Due")))</f>
        <v/>
      </c>
    </row>
    <row r="78" customFormat="false" ht="15" hidden="false" customHeight="false" outlineLevel="0" collapsed="false">
      <c r="A78" s="21" t="n">
        <v>63</v>
      </c>
      <c r="B78" s="46" t="str">
        <f aca="false">IF(Students!B67="","",Students!B67)</f>
        <v/>
      </c>
      <c r="C78" s="33" t="n">
        <f aca="false">'Nov 2026'!F78</f>
        <v>0</v>
      </c>
      <c r="D78" s="33" t="n">
        <f aca="false">IF(B78="",0,N(Students!E67))</f>
        <v>0</v>
      </c>
      <c r="E78" s="23"/>
      <c r="F78" s="24" t="n">
        <f aca="false">N(C78)+N(D78)-N(E78)</f>
        <v>0</v>
      </c>
      <c r="G78" s="33" t="n">
        <f aca="false">'Nov 2026'!J78</f>
        <v>0</v>
      </c>
      <c r="H78" s="33" t="n">
        <f aca="false">IF(B78="",0,N(Students!F67))</f>
        <v>0</v>
      </c>
      <c r="I78" s="23"/>
      <c r="J78" s="24" t="n">
        <f aca="false">N(G78)+N(H78)-N(I78)</f>
        <v>0</v>
      </c>
      <c r="K78" s="33" t="n">
        <f aca="false">'Nov 2026'!N78</f>
        <v>0</v>
      </c>
      <c r="L78" s="33" t="n">
        <f aca="false">IF(B78="",0,N(Students!G67))</f>
        <v>0</v>
      </c>
      <c r="M78" s="23"/>
      <c r="N78" s="24" t="n">
        <f aca="false">N(K78)+N(L78)-N(M78)</f>
        <v>0</v>
      </c>
      <c r="O78" s="33" t="n">
        <f aca="false">'Nov 2026'!R78</f>
        <v>0</v>
      </c>
      <c r="P78" s="33" t="n">
        <f aca="false">IF(B78="",0,N(Students!H67))</f>
        <v>0</v>
      </c>
      <c r="Q78" s="23"/>
      <c r="R78" s="24" t="n">
        <f aca="false">N(O78)+N(P78)-N(Q78)</f>
        <v>0</v>
      </c>
      <c r="S78" s="33" t="n">
        <f aca="false">'Nov 2026'!V78</f>
        <v>0</v>
      </c>
      <c r="T78" s="33" t="n">
        <f aca="false">IF(B78="",0,N(Students!I67))</f>
        <v>0</v>
      </c>
      <c r="U78" s="23"/>
      <c r="V78" s="24" t="n">
        <f aca="false">N(S78)+N(T78)-N(U78)</f>
        <v>0</v>
      </c>
      <c r="W78" s="33" t="n">
        <f aca="false">'Nov 2026'!Z78</f>
        <v>0</v>
      </c>
      <c r="X78" s="33" t="n">
        <f aca="false">IF(B78="",0,N(Students!J67))</f>
        <v>0</v>
      </c>
      <c r="Y78" s="23"/>
      <c r="Z78" s="24" t="n">
        <f aca="false">N(W78)+N(X78)-N(Y78)</f>
        <v>0</v>
      </c>
      <c r="AA78" s="33" t="n">
        <f aca="false">N(E78)+N(I78)+N(M78)+N(Q78)+N(U78)+N(Y78)</f>
        <v>0</v>
      </c>
      <c r="AB78" s="24" t="n">
        <f aca="false">F78+J78+N78+R78+V78+Z78</f>
        <v>0</v>
      </c>
      <c r="AC78" s="81" t="str">
        <f aca="false">IF(B78="","",IF(AB78&lt;=0,"Clear",IF(AA78&gt;0,"Partial","Due")))</f>
        <v/>
      </c>
    </row>
    <row r="79" customFormat="false" ht="15" hidden="false" customHeight="false" outlineLevel="0" collapsed="false">
      <c r="A79" s="25" t="n">
        <v>64</v>
      </c>
      <c r="B79" s="82" t="str">
        <f aca="false">IF(Students!B68="","",Students!B68)</f>
        <v/>
      </c>
      <c r="C79" s="37" t="n">
        <f aca="false">'Nov 2026'!F79</f>
        <v>0</v>
      </c>
      <c r="D79" s="37" t="n">
        <f aca="false">IF(B79="",0,N(Students!E68))</f>
        <v>0</v>
      </c>
      <c r="E79" s="23"/>
      <c r="F79" s="26" t="n">
        <f aca="false">N(C79)+N(D79)-N(E79)</f>
        <v>0</v>
      </c>
      <c r="G79" s="37" t="n">
        <f aca="false">'Nov 2026'!J79</f>
        <v>0</v>
      </c>
      <c r="H79" s="37" t="n">
        <f aca="false">IF(B79="",0,N(Students!F68))</f>
        <v>0</v>
      </c>
      <c r="I79" s="23"/>
      <c r="J79" s="26" t="n">
        <f aca="false">N(G79)+N(H79)-N(I79)</f>
        <v>0</v>
      </c>
      <c r="K79" s="37" t="n">
        <f aca="false">'Nov 2026'!N79</f>
        <v>0</v>
      </c>
      <c r="L79" s="37" t="n">
        <f aca="false">IF(B79="",0,N(Students!G68))</f>
        <v>0</v>
      </c>
      <c r="M79" s="23"/>
      <c r="N79" s="26" t="n">
        <f aca="false">N(K79)+N(L79)-N(M79)</f>
        <v>0</v>
      </c>
      <c r="O79" s="37" t="n">
        <f aca="false">'Nov 2026'!R79</f>
        <v>0</v>
      </c>
      <c r="P79" s="37" t="n">
        <f aca="false">IF(B79="",0,N(Students!H68))</f>
        <v>0</v>
      </c>
      <c r="Q79" s="23"/>
      <c r="R79" s="26" t="n">
        <f aca="false">N(O79)+N(P79)-N(Q79)</f>
        <v>0</v>
      </c>
      <c r="S79" s="37" t="n">
        <f aca="false">'Nov 2026'!V79</f>
        <v>0</v>
      </c>
      <c r="T79" s="37" t="n">
        <f aca="false">IF(B79="",0,N(Students!I68))</f>
        <v>0</v>
      </c>
      <c r="U79" s="23"/>
      <c r="V79" s="26" t="n">
        <f aca="false">N(S79)+N(T79)-N(U79)</f>
        <v>0</v>
      </c>
      <c r="W79" s="37" t="n">
        <f aca="false">'Nov 2026'!Z79</f>
        <v>0</v>
      </c>
      <c r="X79" s="37" t="n">
        <f aca="false">IF(B79="",0,N(Students!J68))</f>
        <v>0</v>
      </c>
      <c r="Y79" s="23"/>
      <c r="Z79" s="26" t="n">
        <f aca="false">N(W79)+N(X79)-N(Y79)</f>
        <v>0</v>
      </c>
      <c r="AA79" s="37" t="n">
        <f aca="false">N(E79)+N(I79)+N(M79)+N(Q79)+N(U79)+N(Y79)</f>
        <v>0</v>
      </c>
      <c r="AB79" s="26" t="n">
        <f aca="false">F79+J79+N79+R79+V79+Z79</f>
        <v>0</v>
      </c>
      <c r="AC79" s="83" t="str">
        <f aca="false">IF(B79="","",IF(AB79&lt;=0,"Clear",IF(AA79&gt;0,"Partial","Due")))</f>
        <v/>
      </c>
    </row>
    <row r="80" customFormat="false" ht="15" hidden="false" customHeight="false" outlineLevel="0" collapsed="false">
      <c r="A80" s="21" t="n">
        <v>65</v>
      </c>
      <c r="B80" s="46" t="str">
        <f aca="false">IF(Students!B69="","",Students!B69)</f>
        <v/>
      </c>
      <c r="C80" s="33" t="n">
        <f aca="false">'Nov 2026'!F80</f>
        <v>0</v>
      </c>
      <c r="D80" s="33" t="n">
        <f aca="false">IF(B80="",0,N(Students!E69))</f>
        <v>0</v>
      </c>
      <c r="E80" s="23"/>
      <c r="F80" s="24" t="n">
        <f aca="false">N(C80)+N(D80)-N(E80)</f>
        <v>0</v>
      </c>
      <c r="G80" s="33" t="n">
        <f aca="false">'Nov 2026'!J80</f>
        <v>0</v>
      </c>
      <c r="H80" s="33" t="n">
        <f aca="false">IF(B80="",0,N(Students!F69))</f>
        <v>0</v>
      </c>
      <c r="I80" s="23"/>
      <c r="J80" s="24" t="n">
        <f aca="false">N(G80)+N(H80)-N(I80)</f>
        <v>0</v>
      </c>
      <c r="K80" s="33" t="n">
        <f aca="false">'Nov 2026'!N80</f>
        <v>0</v>
      </c>
      <c r="L80" s="33" t="n">
        <f aca="false">IF(B80="",0,N(Students!G69))</f>
        <v>0</v>
      </c>
      <c r="M80" s="23"/>
      <c r="N80" s="24" t="n">
        <f aca="false">N(K80)+N(L80)-N(M80)</f>
        <v>0</v>
      </c>
      <c r="O80" s="33" t="n">
        <f aca="false">'Nov 2026'!R80</f>
        <v>0</v>
      </c>
      <c r="P80" s="33" t="n">
        <f aca="false">IF(B80="",0,N(Students!H69))</f>
        <v>0</v>
      </c>
      <c r="Q80" s="23"/>
      <c r="R80" s="24" t="n">
        <f aca="false">N(O80)+N(P80)-N(Q80)</f>
        <v>0</v>
      </c>
      <c r="S80" s="33" t="n">
        <f aca="false">'Nov 2026'!V80</f>
        <v>0</v>
      </c>
      <c r="T80" s="33" t="n">
        <f aca="false">IF(B80="",0,N(Students!I69))</f>
        <v>0</v>
      </c>
      <c r="U80" s="23"/>
      <c r="V80" s="24" t="n">
        <f aca="false">N(S80)+N(T80)-N(U80)</f>
        <v>0</v>
      </c>
      <c r="W80" s="33" t="n">
        <f aca="false">'Nov 2026'!Z80</f>
        <v>0</v>
      </c>
      <c r="X80" s="33" t="n">
        <f aca="false">IF(B80="",0,N(Students!J69))</f>
        <v>0</v>
      </c>
      <c r="Y80" s="23"/>
      <c r="Z80" s="24" t="n">
        <f aca="false">N(W80)+N(X80)-N(Y80)</f>
        <v>0</v>
      </c>
      <c r="AA80" s="33" t="n">
        <f aca="false">N(E80)+N(I80)+N(M80)+N(Q80)+N(U80)+N(Y80)</f>
        <v>0</v>
      </c>
      <c r="AB80" s="24" t="n">
        <f aca="false">F80+J80+N80+R80+V80+Z80</f>
        <v>0</v>
      </c>
      <c r="AC80" s="81" t="str">
        <f aca="false">IF(B80="","",IF(AB80&lt;=0,"Clear",IF(AA80&gt;0,"Partial","Due")))</f>
        <v/>
      </c>
    </row>
    <row r="81" customFormat="false" ht="15" hidden="false" customHeight="false" outlineLevel="0" collapsed="false">
      <c r="A81" s="25" t="n">
        <v>66</v>
      </c>
      <c r="B81" s="82" t="str">
        <f aca="false">IF(Students!B70="","",Students!B70)</f>
        <v/>
      </c>
      <c r="C81" s="37" t="n">
        <f aca="false">'Nov 2026'!F81</f>
        <v>0</v>
      </c>
      <c r="D81" s="37" t="n">
        <f aca="false">IF(B81="",0,N(Students!E70))</f>
        <v>0</v>
      </c>
      <c r="E81" s="23"/>
      <c r="F81" s="26" t="n">
        <f aca="false">N(C81)+N(D81)-N(E81)</f>
        <v>0</v>
      </c>
      <c r="G81" s="37" t="n">
        <f aca="false">'Nov 2026'!J81</f>
        <v>0</v>
      </c>
      <c r="H81" s="37" t="n">
        <f aca="false">IF(B81="",0,N(Students!F70))</f>
        <v>0</v>
      </c>
      <c r="I81" s="23"/>
      <c r="J81" s="26" t="n">
        <f aca="false">N(G81)+N(H81)-N(I81)</f>
        <v>0</v>
      </c>
      <c r="K81" s="37" t="n">
        <f aca="false">'Nov 2026'!N81</f>
        <v>0</v>
      </c>
      <c r="L81" s="37" t="n">
        <f aca="false">IF(B81="",0,N(Students!G70))</f>
        <v>0</v>
      </c>
      <c r="M81" s="23"/>
      <c r="N81" s="26" t="n">
        <f aca="false">N(K81)+N(L81)-N(M81)</f>
        <v>0</v>
      </c>
      <c r="O81" s="37" t="n">
        <f aca="false">'Nov 2026'!R81</f>
        <v>0</v>
      </c>
      <c r="P81" s="37" t="n">
        <f aca="false">IF(B81="",0,N(Students!H70))</f>
        <v>0</v>
      </c>
      <c r="Q81" s="23"/>
      <c r="R81" s="26" t="n">
        <f aca="false">N(O81)+N(P81)-N(Q81)</f>
        <v>0</v>
      </c>
      <c r="S81" s="37" t="n">
        <f aca="false">'Nov 2026'!V81</f>
        <v>0</v>
      </c>
      <c r="T81" s="37" t="n">
        <f aca="false">IF(B81="",0,N(Students!I70))</f>
        <v>0</v>
      </c>
      <c r="U81" s="23"/>
      <c r="V81" s="26" t="n">
        <f aca="false">N(S81)+N(T81)-N(U81)</f>
        <v>0</v>
      </c>
      <c r="W81" s="37" t="n">
        <f aca="false">'Nov 2026'!Z81</f>
        <v>0</v>
      </c>
      <c r="X81" s="37" t="n">
        <f aca="false">IF(B81="",0,N(Students!J70))</f>
        <v>0</v>
      </c>
      <c r="Y81" s="23"/>
      <c r="Z81" s="26" t="n">
        <f aca="false">N(W81)+N(X81)-N(Y81)</f>
        <v>0</v>
      </c>
      <c r="AA81" s="37" t="n">
        <f aca="false">N(E81)+N(I81)+N(M81)+N(Q81)+N(U81)+N(Y81)</f>
        <v>0</v>
      </c>
      <c r="AB81" s="26" t="n">
        <f aca="false">F81+J81+N81+R81+V81+Z81</f>
        <v>0</v>
      </c>
      <c r="AC81" s="83" t="str">
        <f aca="false">IF(B81="","",IF(AB81&lt;=0,"Clear",IF(AA81&gt;0,"Partial","Due")))</f>
        <v/>
      </c>
    </row>
    <row r="82" customFormat="false" ht="15" hidden="false" customHeight="false" outlineLevel="0" collapsed="false">
      <c r="A82" s="21" t="n">
        <v>67</v>
      </c>
      <c r="B82" s="46" t="str">
        <f aca="false">IF(Students!B71="","",Students!B71)</f>
        <v/>
      </c>
      <c r="C82" s="33" t="n">
        <f aca="false">'Nov 2026'!F82</f>
        <v>0</v>
      </c>
      <c r="D82" s="33" t="n">
        <f aca="false">IF(B82="",0,N(Students!E71))</f>
        <v>0</v>
      </c>
      <c r="E82" s="23"/>
      <c r="F82" s="24" t="n">
        <f aca="false">N(C82)+N(D82)-N(E82)</f>
        <v>0</v>
      </c>
      <c r="G82" s="33" t="n">
        <f aca="false">'Nov 2026'!J82</f>
        <v>0</v>
      </c>
      <c r="H82" s="33" t="n">
        <f aca="false">IF(B82="",0,N(Students!F71))</f>
        <v>0</v>
      </c>
      <c r="I82" s="23"/>
      <c r="J82" s="24" t="n">
        <f aca="false">N(G82)+N(H82)-N(I82)</f>
        <v>0</v>
      </c>
      <c r="K82" s="33" t="n">
        <f aca="false">'Nov 2026'!N82</f>
        <v>0</v>
      </c>
      <c r="L82" s="33" t="n">
        <f aca="false">IF(B82="",0,N(Students!G71))</f>
        <v>0</v>
      </c>
      <c r="M82" s="23"/>
      <c r="N82" s="24" t="n">
        <f aca="false">N(K82)+N(L82)-N(M82)</f>
        <v>0</v>
      </c>
      <c r="O82" s="33" t="n">
        <f aca="false">'Nov 2026'!R82</f>
        <v>0</v>
      </c>
      <c r="P82" s="33" t="n">
        <f aca="false">IF(B82="",0,N(Students!H71))</f>
        <v>0</v>
      </c>
      <c r="Q82" s="23"/>
      <c r="R82" s="24" t="n">
        <f aca="false">N(O82)+N(P82)-N(Q82)</f>
        <v>0</v>
      </c>
      <c r="S82" s="33" t="n">
        <f aca="false">'Nov 2026'!V82</f>
        <v>0</v>
      </c>
      <c r="T82" s="33" t="n">
        <f aca="false">IF(B82="",0,N(Students!I71))</f>
        <v>0</v>
      </c>
      <c r="U82" s="23"/>
      <c r="V82" s="24" t="n">
        <f aca="false">N(S82)+N(T82)-N(U82)</f>
        <v>0</v>
      </c>
      <c r="W82" s="33" t="n">
        <f aca="false">'Nov 2026'!Z82</f>
        <v>0</v>
      </c>
      <c r="X82" s="33" t="n">
        <f aca="false">IF(B82="",0,N(Students!J71))</f>
        <v>0</v>
      </c>
      <c r="Y82" s="23"/>
      <c r="Z82" s="24" t="n">
        <f aca="false">N(W82)+N(X82)-N(Y82)</f>
        <v>0</v>
      </c>
      <c r="AA82" s="33" t="n">
        <f aca="false">N(E82)+N(I82)+N(M82)+N(Q82)+N(U82)+N(Y82)</f>
        <v>0</v>
      </c>
      <c r="AB82" s="24" t="n">
        <f aca="false">F82+J82+N82+R82+V82+Z82</f>
        <v>0</v>
      </c>
      <c r="AC82" s="81" t="str">
        <f aca="false">IF(B82="","",IF(AB82&lt;=0,"Clear",IF(AA82&gt;0,"Partial","Due")))</f>
        <v/>
      </c>
    </row>
    <row r="83" customFormat="false" ht="15" hidden="false" customHeight="false" outlineLevel="0" collapsed="false">
      <c r="A83" s="25" t="n">
        <v>68</v>
      </c>
      <c r="B83" s="82" t="str">
        <f aca="false">IF(Students!B72="","",Students!B72)</f>
        <v/>
      </c>
      <c r="C83" s="37" t="n">
        <f aca="false">'Nov 2026'!F83</f>
        <v>0</v>
      </c>
      <c r="D83" s="37" t="n">
        <f aca="false">IF(B83="",0,N(Students!E72))</f>
        <v>0</v>
      </c>
      <c r="E83" s="23"/>
      <c r="F83" s="26" t="n">
        <f aca="false">N(C83)+N(D83)-N(E83)</f>
        <v>0</v>
      </c>
      <c r="G83" s="37" t="n">
        <f aca="false">'Nov 2026'!J83</f>
        <v>0</v>
      </c>
      <c r="H83" s="37" t="n">
        <f aca="false">IF(B83="",0,N(Students!F72))</f>
        <v>0</v>
      </c>
      <c r="I83" s="23"/>
      <c r="J83" s="26" t="n">
        <f aca="false">N(G83)+N(H83)-N(I83)</f>
        <v>0</v>
      </c>
      <c r="K83" s="37" t="n">
        <f aca="false">'Nov 2026'!N83</f>
        <v>0</v>
      </c>
      <c r="L83" s="37" t="n">
        <f aca="false">IF(B83="",0,N(Students!G72))</f>
        <v>0</v>
      </c>
      <c r="M83" s="23"/>
      <c r="N83" s="26" t="n">
        <f aca="false">N(K83)+N(L83)-N(M83)</f>
        <v>0</v>
      </c>
      <c r="O83" s="37" t="n">
        <f aca="false">'Nov 2026'!R83</f>
        <v>0</v>
      </c>
      <c r="P83" s="37" t="n">
        <f aca="false">IF(B83="",0,N(Students!H72))</f>
        <v>0</v>
      </c>
      <c r="Q83" s="23"/>
      <c r="R83" s="26" t="n">
        <f aca="false">N(O83)+N(P83)-N(Q83)</f>
        <v>0</v>
      </c>
      <c r="S83" s="37" t="n">
        <f aca="false">'Nov 2026'!V83</f>
        <v>0</v>
      </c>
      <c r="T83" s="37" t="n">
        <f aca="false">IF(B83="",0,N(Students!I72))</f>
        <v>0</v>
      </c>
      <c r="U83" s="23"/>
      <c r="V83" s="26" t="n">
        <f aca="false">N(S83)+N(T83)-N(U83)</f>
        <v>0</v>
      </c>
      <c r="W83" s="37" t="n">
        <f aca="false">'Nov 2026'!Z83</f>
        <v>0</v>
      </c>
      <c r="X83" s="37" t="n">
        <f aca="false">IF(B83="",0,N(Students!J72))</f>
        <v>0</v>
      </c>
      <c r="Y83" s="23"/>
      <c r="Z83" s="26" t="n">
        <f aca="false">N(W83)+N(X83)-N(Y83)</f>
        <v>0</v>
      </c>
      <c r="AA83" s="37" t="n">
        <f aca="false">N(E83)+N(I83)+N(M83)+N(Q83)+N(U83)+N(Y83)</f>
        <v>0</v>
      </c>
      <c r="AB83" s="26" t="n">
        <f aca="false">F83+J83+N83+R83+V83+Z83</f>
        <v>0</v>
      </c>
      <c r="AC83" s="83" t="str">
        <f aca="false">IF(B83="","",IF(AB83&lt;=0,"Clear",IF(AA83&gt;0,"Partial","Due")))</f>
        <v/>
      </c>
    </row>
    <row r="84" customFormat="false" ht="15" hidden="false" customHeight="false" outlineLevel="0" collapsed="false">
      <c r="A84" s="21" t="n">
        <v>69</v>
      </c>
      <c r="B84" s="46" t="str">
        <f aca="false">IF(Students!B73="","",Students!B73)</f>
        <v/>
      </c>
      <c r="C84" s="33" t="n">
        <f aca="false">'Nov 2026'!F84</f>
        <v>0</v>
      </c>
      <c r="D84" s="33" t="n">
        <f aca="false">IF(B84="",0,N(Students!E73))</f>
        <v>0</v>
      </c>
      <c r="E84" s="23"/>
      <c r="F84" s="24" t="n">
        <f aca="false">N(C84)+N(D84)-N(E84)</f>
        <v>0</v>
      </c>
      <c r="G84" s="33" t="n">
        <f aca="false">'Nov 2026'!J84</f>
        <v>0</v>
      </c>
      <c r="H84" s="33" t="n">
        <f aca="false">IF(B84="",0,N(Students!F73))</f>
        <v>0</v>
      </c>
      <c r="I84" s="23"/>
      <c r="J84" s="24" t="n">
        <f aca="false">N(G84)+N(H84)-N(I84)</f>
        <v>0</v>
      </c>
      <c r="K84" s="33" t="n">
        <f aca="false">'Nov 2026'!N84</f>
        <v>0</v>
      </c>
      <c r="L84" s="33" t="n">
        <f aca="false">IF(B84="",0,N(Students!G73))</f>
        <v>0</v>
      </c>
      <c r="M84" s="23"/>
      <c r="N84" s="24" t="n">
        <f aca="false">N(K84)+N(L84)-N(M84)</f>
        <v>0</v>
      </c>
      <c r="O84" s="33" t="n">
        <f aca="false">'Nov 2026'!R84</f>
        <v>0</v>
      </c>
      <c r="P84" s="33" t="n">
        <f aca="false">IF(B84="",0,N(Students!H73))</f>
        <v>0</v>
      </c>
      <c r="Q84" s="23"/>
      <c r="R84" s="24" t="n">
        <f aca="false">N(O84)+N(P84)-N(Q84)</f>
        <v>0</v>
      </c>
      <c r="S84" s="33" t="n">
        <f aca="false">'Nov 2026'!V84</f>
        <v>0</v>
      </c>
      <c r="T84" s="33" t="n">
        <f aca="false">IF(B84="",0,N(Students!I73))</f>
        <v>0</v>
      </c>
      <c r="U84" s="23"/>
      <c r="V84" s="24" t="n">
        <f aca="false">N(S84)+N(T84)-N(U84)</f>
        <v>0</v>
      </c>
      <c r="W84" s="33" t="n">
        <f aca="false">'Nov 2026'!Z84</f>
        <v>0</v>
      </c>
      <c r="X84" s="33" t="n">
        <f aca="false">IF(B84="",0,N(Students!J73))</f>
        <v>0</v>
      </c>
      <c r="Y84" s="23"/>
      <c r="Z84" s="24" t="n">
        <f aca="false">N(W84)+N(X84)-N(Y84)</f>
        <v>0</v>
      </c>
      <c r="AA84" s="33" t="n">
        <f aca="false">N(E84)+N(I84)+N(M84)+N(Q84)+N(U84)+N(Y84)</f>
        <v>0</v>
      </c>
      <c r="AB84" s="24" t="n">
        <f aca="false">F84+J84+N84+R84+V84+Z84</f>
        <v>0</v>
      </c>
      <c r="AC84" s="81" t="str">
        <f aca="false">IF(B84="","",IF(AB84&lt;=0,"Clear",IF(AA84&gt;0,"Partial","Due")))</f>
        <v/>
      </c>
    </row>
    <row r="85" customFormat="false" ht="15" hidden="false" customHeight="false" outlineLevel="0" collapsed="false">
      <c r="A85" s="25" t="n">
        <v>70</v>
      </c>
      <c r="B85" s="82" t="str">
        <f aca="false">IF(Students!B74="","",Students!B74)</f>
        <v/>
      </c>
      <c r="C85" s="37" t="n">
        <f aca="false">'Nov 2026'!F85</f>
        <v>0</v>
      </c>
      <c r="D85" s="37" t="n">
        <f aca="false">IF(B85="",0,N(Students!E74))</f>
        <v>0</v>
      </c>
      <c r="E85" s="23"/>
      <c r="F85" s="26" t="n">
        <f aca="false">N(C85)+N(D85)-N(E85)</f>
        <v>0</v>
      </c>
      <c r="G85" s="37" t="n">
        <f aca="false">'Nov 2026'!J85</f>
        <v>0</v>
      </c>
      <c r="H85" s="37" t="n">
        <f aca="false">IF(B85="",0,N(Students!F74))</f>
        <v>0</v>
      </c>
      <c r="I85" s="23"/>
      <c r="J85" s="26" t="n">
        <f aca="false">N(G85)+N(H85)-N(I85)</f>
        <v>0</v>
      </c>
      <c r="K85" s="37" t="n">
        <f aca="false">'Nov 2026'!N85</f>
        <v>0</v>
      </c>
      <c r="L85" s="37" t="n">
        <f aca="false">IF(B85="",0,N(Students!G74))</f>
        <v>0</v>
      </c>
      <c r="M85" s="23"/>
      <c r="N85" s="26" t="n">
        <f aca="false">N(K85)+N(L85)-N(M85)</f>
        <v>0</v>
      </c>
      <c r="O85" s="37" t="n">
        <f aca="false">'Nov 2026'!R85</f>
        <v>0</v>
      </c>
      <c r="P85" s="37" t="n">
        <f aca="false">IF(B85="",0,N(Students!H74))</f>
        <v>0</v>
      </c>
      <c r="Q85" s="23"/>
      <c r="R85" s="26" t="n">
        <f aca="false">N(O85)+N(P85)-N(Q85)</f>
        <v>0</v>
      </c>
      <c r="S85" s="37" t="n">
        <f aca="false">'Nov 2026'!V85</f>
        <v>0</v>
      </c>
      <c r="T85" s="37" t="n">
        <f aca="false">IF(B85="",0,N(Students!I74))</f>
        <v>0</v>
      </c>
      <c r="U85" s="23"/>
      <c r="V85" s="26" t="n">
        <f aca="false">N(S85)+N(T85)-N(U85)</f>
        <v>0</v>
      </c>
      <c r="W85" s="37" t="n">
        <f aca="false">'Nov 2026'!Z85</f>
        <v>0</v>
      </c>
      <c r="X85" s="37" t="n">
        <f aca="false">IF(B85="",0,N(Students!J74))</f>
        <v>0</v>
      </c>
      <c r="Y85" s="23"/>
      <c r="Z85" s="26" t="n">
        <f aca="false">N(W85)+N(X85)-N(Y85)</f>
        <v>0</v>
      </c>
      <c r="AA85" s="37" t="n">
        <f aca="false">N(E85)+N(I85)+N(M85)+N(Q85)+N(U85)+N(Y85)</f>
        <v>0</v>
      </c>
      <c r="AB85" s="26" t="n">
        <f aca="false">F85+J85+N85+R85+V85+Z85</f>
        <v>0</v>
      </c>
      <c r="AC85" s="83" t="str">
        <f aca="false">IF(B85="","",IF(AB85&lt;=0,"Clear",IF(AA85&gt;0,"Partial","Due")))</f>
        <v/>
      </c>
    </row>
    <row r="86" customFormat="false" ht="15" hidden="false" customHeight="false" outlineLevel="0" collapsed="false">
      <c r="A86" s="21" t="n">
        <v>71</v>
      </c>
      <c r="B86" s="46" t="str">
        <f aca="false">IF(Students!B75="","",Students!B75)</f>
        <v/>
      </c>
      <c r="C86" s="33" t="n">
        <f aca="false">'Nov 2026'!F86</f>
        <v>0</v>
      </c>
      <c r="D86" s="33" t="n">
        <f aca="false">IF(B86="",0,N(Students!E75))</f>
        <v>0</v>
      </c>
      <c r="E86" s="23"/>
      <c r="F86" s="24" t="n">
        <f aca="false">N(C86)+N(D86)-N(E86)</f>
        <v>0</v>
      </c>
      <c r="G86" s="33" t="n">
        <f aca="false">'Nov 2026'!J86</f>
        <v>0</v>
      </c>
      <c r="H86" s="33" t="n">
        <f aca="false">IF(B86="",0,N(Students!F75))</f>
        <v>0</v>
      </c>
      <c r="I86" s="23"/>
      <c r="J86" s="24" t="n">
        <f aca="false">N(G86)+N(H86)-N(I86)</f>
        <v>0</v>
      </c>
      <c r="K86" s="33" t="n">
        <f aca="false">'Nov 2026'!N86</f>
        <v>0</v>
      </c>
      <c r="L86" s="33" t="n">
        <f aca="false">IF(B86="",0,N(Students!G75))</f>
        <v>0</v>
      </c>
      <c r="M86" s="23"/>
      <c r="N86" s="24" t="n">
        <f aca="false">N(K86)+N(L86)-N(M86)</f>
        <v>0</v>
      </c>
      <c r="O86" s="33" t="n">
        <f aca="false">'Nov 2026'!R86</f>
        <v>0</v>
      </c>
      <c r="P86" s="33" t="n">
        <f aca="false">IF(B86="",0,N(Students!H75))</f>
        <v>0</v>
      </c>
      <c r="Q86" s="23"/>
      <c r="R86" s="24" t="n">
        <f aca="false">N(O86)+N(P86)-N(Q86)</f>
        <v>0</v>
      </c>
      <c r="S86" s="33" t="n">
        <f aca="false">'Nov 2026'!V86</f>
        <v>0</v>
      </c>
      <c r="T86" s="33" t="n">
        <f aca="false">IF(B86="",0,N(Students!I75))</f>
        <v>0</v>
      </c>
      <c r="U86" s="23"/>
      <c r="V86" s="24" t="n">
        <f aca="false">N(S86)+N(T86)-N(U86)</f>
        <v>0</v>
      </c>
      <c r="W86" s="33" t="n">
        <f aca="false">'Nov 2026'!Z86</f>
        <v>0</v>
      </c>
      <c r="X86" s="33" t="n">
        <f aca="false">IF(B86="",0,N(Students!J75))</f>
        <v>0</v>
      </c>
      <c r="Y86" s="23"/>
      <c r="Z86" s="24" t="n">
        <f aca="false">N(W86)+N(X86)-N(Y86)</f>
        <v>0</v>
      </c>
      <c r="AA86" s="33" t="n">
        <f aca="false">N(E86)+N(I86)+N(M86)+N(Q86)+N(U86)+N(Y86)</f>
        <v>0</v>
      </c>
      <c r="AB86" s="24" t="n">
        <f aca="false">F86+J86+N86+R86+V86+Z86</f>
        <v>0</v>
      </c>
      <c r="AC86" s="81" t="str">
        <f aca="false">IF(B86="","",IF(AB86&lt;=0,"Clear",IF(AA86&gt;0,"Partial","Due")))</f>
        <v/>
      </c>
    </row>
    <row r="87" customFormat="false" ht="15" hidden="false" customHeight="false" outlineLevel="0" collapsed="false">
      <c r="A87" s="25" t="n">
        <v>72</v>
      </c>
      <c r="B87" s="82" t="str">
        <f aca="false">IF(Students!B76="","",Students!B76)</f>
        <v/>
      </c>
      <c r="C87" s="37" t="n">
        <f aca="false">'Nov 2026'!F87</f>
        <v>0</v>
      </c>
      <c r="D87" s="37" t="n">
        <f aca="false">IF(B87="",0,N(Students!E76))</f>
        <v>0</v>
      </c>
      <c r="E87" s="23"/>
      <c r="F87" s="26" t="n">
        <f aca="false">N(C87)+N(D87)-N(E87)</f>
        <v>0</v>
      </c>
      <c r="G87" s="37" t="n">
        <f aca="false">'Nov 2026'!J87</f>
        <v>0</v>
      </c>
      <c r="H87" s="37" t="n">
        <f aca="false">IF(B87="",0,N(Students!F76))</f>
        <v>0</v>
      </c>
      <c r="I87" s="23"/>
      <c r="J87" s="26" t="n">
        <f aca="false">N(G87)+N(H87)-N(I87)</f>
        <v>0</v>
      </c>
      <c r="K87" s="37" t="n">
        <f aca="false">'Nov 2026'!N87</f>
        <v>0</v>
      </c>
      <c r="L87" s="37" t="n">
        <f aca="false">IF(B87="",0,N(Students!G76))</f>
        <v>0</v>
      </c>
      <c r="M87" s="23"/>
      <c r="N87" s="26" t="n">
        <f aca="false">N(K87)+N(L87)-N(M87)</f>
        <v>0</v>
      </c>
      <c r="O87" s="37" t="n">
        <f aca="false">'Nov 2026'!R87</f>
        <v>0</v>
      </c>
      <c r="P87" s="37" t="n">
        <f aca="false">IF(B87="",0,N(Students!H76))</f>
        <v>0</v>
      </c>
      <c r="Q87" s="23"/>
      <c r="R87" s="26" t="n">
        <f aca="false">N(O87)+N(P87)-N(Q87)</f>
        <v>0</v>
      </c>
      <c r="S87" s="37" t="n">
        <f aca="false">'Nov 2026'!V87</f>
        <v>0</v>
      </c>
      <c r="T87" s="37" t="n">
        <f aca="false">IF(B87="",0,N(Students!I76))</f>
        <v>0</v>
      </c>
      <c r="U87" s="23"/>
      <c r="V87" s="26" t="n">
        <f aca="false">N(S87)+N(T87)-N(U87)</f>
        <v>0</v>
      </c>
      <c r="W87" s="37" t="n">
        <f aca="false">'Nov 2026'!Z87</f>
        <v>0</v>
      </c>
      <c r="X87" s="37" t="n">
        <f aca="false">IF(B87="",0,N(Students!J76))</f>
        <v>0</v>
      </c>
      <c r="Y87" s="23"/>
      <c r="Z87" s="26" t="n">
        <f aca="false">N(W87)+N(X87)-N(Y87)</f>
        <v>0</v>
      </c>
      <c r="AA87" s="37" t="n">
        <f aca="false">N(E87)+N(I87)+N(M87)+N(Q87)+N(U87)+N(Y87)</f>
        <v>0</v>
      </c>
      <c r="AB87" s="26" t="n">
        <f aca="false">F87+J87+N87+R87+V87+Z87</f>
        <v>0</v>
      </c>
      <c r="AC87" s="83" t="str">
        <f aca="false">IF(B87="","",IF(AB87&lt;=0,"Clear",IF(AA87&gt;0,"Partial","Due")))</f>
        <v/>
      </c>
    </row>
    <row r="88" customFormat="false" ht="15" hidden="false" customHeight="false" outlineLevel="0" collapsed="false">
      <c r="A88" s="21" t="n">
        <v>73</v>
      </c>
      <c r="B88" s="46" t="str">
        <f aca="false">IF(Students!B77="","",Students!B77)</f>
        <v/>
      </c>
      <c r="C88" s="33" t="n">
        <f aca="false">'Nov 2026'!F88</f>
        <v>0</v>
      </c>
      <c r="D88" s="33" t="n">
        <f aca="false">IF(B88="",0,N(Students!E77))</f>
        <v>0</v>
      </c>
      <c r="E88" s="23"/>
      <c r="F88" s="24" t="n">
        <f aca="false">N(C88)+N(D88)-N(E88)</f>
        <v>0</v>
      </c>
      <c r="G88" s="33" t="n">
        <f aca="false">'Nov 2026'!J88</f>
        <v>0</v>
      </c>
      <c r="H88" s="33" t="n">
        <f aca="false">IF(B88="",0,N(Students!F77))</f>
        <v>0</v>
      </c>
      <c r="I88" s="23"/>
      <c r="J88" s="24" t="n">
        <f aca="false">N(G88)+N(H88)-N(I88)</f>
        <v>0</v>
      </c>
      <c r="K88" s="33" t="n">
        <f aca="false">'Nov 2026'!N88</f>
        <v>0</v>
      </c>
      <c r="L88" s="33" t="n">
        <f aca="false">IF(B88="",0,N(Students!G77))</f>
        <v>0</v>
      </c>
      <c r="M88" s="23"/>
      <c r="N88" s="24" t="n">
        <f aca="false">N(K88)+N(L88)-N(M88)</f>
        <v>0</v>
      </c>
      <c r="O88" s="33" t="n">
        <f aca="false">'Nov 2026'!R88</f>
        <v>0</v>
      </c>
      <c r="P88" s="33" t="n">
        <f aca="false">IF(B88="",0,N(Students!H77))</f>
        <v>0</v>
      </c>
      <c r="Q88" s="23"/>
      <c r="R88" s="24" t="n">
        <f aca="false">N(O88)+N(P88)-N(Q88)</f>
        <v>0</v>
      </c>
      <c r="S88" s="33" t="n">
        <f aca="false">'Nov 2026'!V88</f>
        <v>0</v>
      </c>
      <c r="T88" s="33" t="n">
        <f aca="false">IF(B88="",0,N(Students!I77))</f>
        <v>0</v>
      </c>
      <c r="U88" s="23"/>
      <c r="V88" s="24" t="n">
        <f aca="false">N(S88)+N(T88)-N(U88)</f>
        <v>0</v>
      </c>
      <c r="W88" s="33" t="n">
        <f aca="false">'Nov 2026'!Z88</f>
        <v>0</v>
      </c>
      <c r="X88" s="33" t="n">
        <f aca="false">IF(B88="",0,N(Students!J77))</f>
        <v>0</v>
      </c>
      <c r="Y88" s="23"/>
      <c r="Z88" s="24" t="n">
        <f aca="false">N(W88)+N(X88)-N(Y88)</f>
        <v>0</v>
      </c>
      <c r="AA88" s="33" t="n">
        <f aca="false">N(E88)+N(I88)+N(M88)+N(Q88)+N(U88)+N(Y88)</f>
        <v>0</v>
      </c>
      <c r="AB88" s="24" t="n">
        <f aca="false">F88+J88+N88+R88+V88+Z88</f>
        <v>0</v>
      </c>
      <c r="AC88" s="81" t="str">
        <f aca="false">IF(B88="","",IF(AB88&lt;=0,"Clear",IF(AA88&gt;0,"Partial","Due")))</f>
        <v/>
      </c>
    </row>
    <row r="89" customFormat="false" ht="15" hidden="false" customHeight="false" outlineLevel="0" collapsed="false">
      <c r="A89" s="25" t="n">
        <v>74</v>
      </c>
      <c r="B89" s="82" t="str">
        <f aca="false">IF(Students!B78="","",Students!B78)</f>
        <v/>
      </c>
      <c r="C89" s="37" t="n">
        <f aca="false">'Nov 2026'!F89</f>
        <v>0</v>
      </c>
      <c r="D89" s="37" t="n">
        <f aca="false">IF(B89="",0,N(Students!E78))</f>
        <v>0</v>
      </c>
      <c r="E89" s="23"/>
      <c r="F89" s="26" t="n">
        <f aca="false">N(C89)+N(D89)-N(E89)</f>
        <v>0</v>
      </c>
      <c r="G89" s="37" t="n">
        <f aca="false">'Nov 2026'!J89</f>
        <v>0</v>
      </c>
      <c r="H89" s="37" t="n">
        <f aca="false">IF(B89="",0,N(Students!F78))</f>
        <v>0</v>
      </c>
      <c r="I89" s="23"/>
      <c r="J89" s="26" t="n">
        <f aca="false">N(G89)+N(H89)-N(I89)</f>
        <v>0</v>
      </c>
      <c r="K89" s="37" t="n">
        <f aca="false">'Nov 2026'!N89</f>
        <v>0</v>
      </c>
      <c r="L89" s="37" t="n">
        <f aca="false">IF(B89="",0,N(Students!G78))</f>
        <v>0</v>
      </c>
      <c r="M89" s="23"/>
      <c r="N89" s="26" t="n">
        <f aca="false">N(K89)+N(L89)-N(M89)</f>
        <v>0</v>
      </c>
      <c r="O89" s="37" t="n">
        <f aca="false">'Nov 2026'!R89</f>
        <v>0</v>
      </c>
      <c r="P89" s="37" t="n">
        <f aca="false">IF(B89="",0,N(Students!H78))</f>
        <v>0</v>
      </c>
      <c r="Q89" s="23"/>
      <c r="R89" s="26" t="n">
        <f aca="false">N(O89)+N(P89)-N(Q89)</f>
        <v>0</v>
      </c>
      <c r="S89" s="37" t="n">
        <f aca="false">'Nov 2026'!V89</f>
        <v>0</v>
      </c>
      <c r="T89" s="37" t="n">
        <f aca="false">IF(B89="",0,N(Students!I78))</f>
        <v>0</v>
      </c>
      <c r="U89" s="23"/>
      <c r="V89" s="26" t="n">
        <f aca="false">N(S89)+N(T89)-N(U89)</f>
        <v>0</v>
      </c>
      <c r="W89" s="37" t="n">
        <f aca="false">'Nov 2026'!Z89</f>
        <v>0</v>
      </c>
      <c r="X89" s="37" t="n">
        <f aca="false">IF(B89="",0,N(Students!J78))</f>
        <v>0</v>
      </c>
      <c r="Y89" s="23"/>
      <c r="Z89" s="26" t="n">
        <f aca="false">N(W89)+N(X89)-N(Y89)</f>
        <v>0</v>
      </c>
      <c r="AA89" s="37" t="n">
        <f aca="false">N(E89)+N(I89)+N(M89)+N(Q89)+N(U89)+N(Y89)</f>
        <v>0</v>
      </c>
      <c r="AB89" s="26" t="n">
        <f aca="false">F89+J89+N89+R89+V89+Z89</f>
        <v>0</v>
      </c>
      <c r="AC89" s="83" t="str">
        <f aca="false">IF(B89="","",IF(AB89&lt;=0,"Clear",IF(AA89&gt;0,"Partial","Due")))</f>
        <v/>
      </c>
    </row>
    <row r="90" customFormat="false" ht="15" hidden="false" customHeight="false" outlineLevel="0" collapsed="false">
      <c r="A90" s="21" t="n">
        <v>75</v>
      </c>
      <c r="B90" s="46" t="str">
        <f aca="false">IF(Students!B79="","",Students!B79)</f>
        <v/>
      </c>
      <c r="C90" s="33" t="n">
        <f aca="false">'Nov 2026'!F90</f>
        <v>0</v>
      </c>
      <c r="D90" s="33" t="n">
        <f aca="false">IF(B90="",0,N(Students!E79))</f>
        <v>0</v>
      </c>
      <c r="E90" s="23"/>
      <c r="F90" s="24" t="n">
        <f aca="false">N(C90)+N(D90)-N(E90)</f>
        <v>0</v>
      </c>
      <c r="G90" s="33" t="n">
        <f aca="false">'Nov 2026'!J90</f>
        <v>0</v>
      </c>
      <c r="H90" s="33" t="n">
        <f aca="false">IF(B90="",0,N(Students!F79))</f>
        <v>0</v>
      </c>
      <c r="I90" s="23"/>
      <c r="J90" s="24" t="n">
        <f aca="false">N(G90)+N(H90)-N(I90)</f>
        <v>0</v>
      </c>
      <c r="K90" s="33" t="n">
        <f aca="false">'Nov 2026'!N90</f>
        <v>0</v>
      </c>
      <c r="L90" s="33" t="n">
        <f aca="false">IF(B90="",0,N(Students!G79))</f>
        <v>0</v>
      </c>
      <c r="M90" s="23"/>
      <c r="N90" s="24" t="n">
        <f aca="false">N(K90)+N(L90)-N(M90)</f>
        <v>0</v>
      </c>
      <c r="O90" s="33" t="n">
        <f aca="false">'Nov 2026'!R90</f>
        <v>0</v>
      </c>
      <c r="P90" s="33" t="n">
        <f aca="false">IF(B90="",0,N(Students!H79))</f>
        <v>0</v>
      </c>
      <c r="Q90" s="23"/>
      <c r="R90" s="24" t="n">
        <f aca="false">N(O90)+N(P90)-N(Q90)</f>
        <v>0</v>
      </c>
      <c r="S90" s="33" t="n">
        <f aca="false">'Nov 2026'!V90</f>
        <v>0</v>
      </c>
      <c r="T90" s="33" t="n">
        <f aca="false">IF(B90="",0,N(Students!I79))</f>
        <v>0</v>
      </c>
      <c r="U90" s="23"/>
      <c r="V90" s="24" t="n">
        <f aca="false">N(S90)+N(T90)-N(U90)</f>
        <v>0</v>
      </c>
      <c r="W90" s="33" t="n">
        <f aca="false">'Nov 2026'!Z90</f>
        <v>0</v>
      </c>
      <c r="X90" s="33" t="n">
        <f aca="false">IF(B90="",0,N(Students!J79))</f>
        <v>0</v>
      </c>
      <c r="Y90" s="23"/>
      <c r="Z90" s="24" t="n">
        <f aca="false">N(W90)+N(X90)-N(Y90)</f>
        <v>0</v>
      </c>
      <c r="AA90" s="33" t="n">
        <f aca="false">N(E90)+N(I90)+N(M90)+N(Q90)+N(U90)+N(Y90)</f>
        <v>0</v>
      </c>
      <c r="AB90" s="24" t="n">
        <f aca="false">F90+J90+N90+R90+V90+Z90</f>
        <v>0</v>
      </c>
      <c r="AC90" s="81" t="str">
        <f aca="false">IF(B90="","",IF(AB90&lt;=0,"Clear",IF(AA90&gt;0,"Partial","Due")))</f>
        <v/>
      </c>
    </row>
    <row r="91" customFormat="false" ht="15" hidden="false" customHeight="false" outlineLevel="0" collapsed="false">
      <c r="A91" s="25" t="n">
        <v>76</v>
      </c>
      <c r="B91" s="82" t="str">
        <f aca="false">IF(Students!B80="","",Students!B80)</f>
        <v/>
      </c>
      <c r="C91" s="37" t="n">
        <f aca="false">'Nov 2026'!F91</f>
        <v>0</v>
      </c>
      <c r="D91" s="37" t="n">
        <f aca="false">IF(B91="",0,N(Students!E80))</f>
        <v>0</v>
      </c>
      <c r="E91" s="23"/>
      <c r="F91" s="26" t="n">
        <f aca="false">N(C91)+N(D91)-N(E91)</f>
        <v>0</v>
      </c>
      <c r="G91" s="37" t="n">
        <f aca="false">'Nov 2026'!J91</f>
        <v>0</v>
      </c>
      <c r="H91" s="37" t="n">
        <f aca="false">IF(B91="",0,N(Students!F80))</f>
        <v>0</v>
      </c>
      <c r="I91" s="23"/>
      <c r="J91" s="26" t="n">
        <f aca="false">N(G91)+N(H91)-N(I91)</f>
        <v>0</v>
      </c>
      <c r="K91" s="37" t="n">
        <f aca="false">'Nov 2026'!N91</f>
        <v>0</v>
      </c>
      <c r="L91" s="37" t="n">
        <f aca="false">IF(B91="",0,N(Students!G80))</f>
        <v>0</v>
      </c>
      <c r="M91" s="23"/>
      <c r="N91" s="26" t="n">
        <f aca="false">N(K91)+N(L91)-N(M91)</f>
        <v>0</v>
      </c>
      <c r="O91" s="37" t="n">
        <f aca="false">'Nov 2026'!R91</f>
        <v>0</v>
      </c>
      <c r="P91" s="37" t="n">
        <f aca="false">IF(B91="",0,N(Students!H80))</f>
        <v>0</v>
      </c>
      <c r="Q91" s="23"/>
      <c r="R91" s="26" t="n">
        <f aca="false">N(O91)+N(P91)-N(Q91)</f>
        <v>0</v>
      </c>
      <c r="S91" s="37" t="n">
        <f aca="false">'Nov 2026'!V91</f>
        <v>0</v>
      </c>
      <c r="T91" s="37" t="n">
        <f aca="false">IF(B91="",0,N(Students!I80))</f>
        <v>0</v>
      </c>
      <c r="U91" s="23"/>
      <c r="V91" s="26" t="n">
        <f aca="false">N(S91)+N(T91)-N(U91)</f>
        <v>0</v>
      </c>
      <c r="W91" s="37" t="n">
        <f aca="false">'Nov 2026'!Z91</f>
        <v>0</v>
      </c>
      <c r="X91" s="37" t="n">
        <f aca="false">IF(B91="",0,N(Students!J80))</f>
        <v>0</v>
      </c>
      <c r="Y91" s="23"/>
      <c r="Z91" s="26" t="n">
        <f aca="false">N(W91)+N(X91)-N(Y91)</f>
        <v>0</v>
      </c>
      <c r="AA91" s="37" t="n">
        <f aca="false">N(E91)+N(I91)+N(M91)+N(Q91)+N(U91)+N(Y91)</f>
        <v>0</v>
      </c>
      <c r="AB91" s="26" t="n">
        <f aca="false">F91+J91+N91+R91+V91+Z91</f>
        <v>0</v>
      </c>
      <c r="AC91" s="83" t="str">
        <f aca="false">IF(B91="","",IF(AB91&lt;=0,"Clear",IF(AA91&gt;0,"Partial","Due")))</f>
        <v/>
      </c>
    </row>
    <row r="92" customFormat="false" ht="15" hidden="false" customHeight="false" outlineLevel="0" collapsed="false">
      <c r="A92" s="21" t="n">
        <v>77</v>
      </c>
      <c r="B92" s="46" t="str">
        <f aca="false">IF(Students!B81="","",Students!B81)</f>
        <v/>
      </c>
      <c r="C92" s="33" t="n">
        <f aca="false">'Nov 2026'!F92</f>
        <v>0</v>
      </c>
      <c r="D92" s="33" t="n">
        <f aca="false">IF(B92="",0,N(Students!E81))</f>
        <v>0</v>
      </c>
      <c r="E92" s="23"/>
      <c r="F92" s="24" t="n">
        <f aca="false">N(C92)+N(D92)-N(E92)</f>
        <v>0</v>
      </c>
      <c r="G92" s="33" t="n">
        <f aca="false">'Nov 2026'!J92</f>
        <v>0</v>
      </c>
      <c r="H92" s="33" t="n">
        <f aca="false">IF(B92="",0,N(Students!F81))</f>
        <v>0</v>
      </c>
      <c r="I92" s="23"/>
      <c r="J92" s="24" t="n">
        <f aca="false">N(G92)+N(H92)-N(I92)</f>
        <v>0</v>
      </c>
      <c r="K92" s="33" t="n">
        <f aca="false">'Nov 2026'!N92</f>
        <v>0</v>
      </c>
      <c r="L92" s="33" t="n">
        <f aca="false">IF(B92="",0,N(Students!G81))</f>
        <v>0</v>
      </c>
      <c r="M92" s="23"/>
      <c r="N92" s="24" t="n">
        <f aca="false">N(K92)+N(L92)-N(M92)</f>
        <v>0</v>
      </c>
      <c r="O92" s="33" t="n">
        <f aca="false">'Nov 2026'!R92</f>
        <v>0</v>
      </c>
      <c r="P92" s="33" t="n">
        <f aca="false">IF(B92="",0,N(Students!H81))</f>
        <v>0</v>
      </c>
      <c r="Q92" s="23"/>
      <c r="R92" s="24" t="n">
        <f aca="false">N(O92)+N(P92)-N(Q92)</f>
        <v>0</v>
      </c>
      <c r="S92" s="33" t="n">
        <f aca="false">'Nov 2026'!V92</f>
        <v>0</v>
      </c>
      <c r="T92" s="33" t="n">
        <f aca="false">IF(B92="",0,N(Students!I81))</f>
        <v>0</v>
      </c>
      <c r="U92" s="23"/>
      <c r="V92" s="24" t="n">
        <f aca="false">N(S92)+N(T92)-N(U92)</f>
        <v>0</v>
      </c>
      <c r="W92" s="33" t="n">
        <f aca="false">'Nov 2026'!Z92</f>
        <v>0</v>
      </c>
      <c r="X92" s="33" t="n">
        <f aca="false">IF(B92="",0,N(Students!J81))</f>
        <v>0</v>
      </c>
      <c r="Y92" s="23"/>
      <c r="Z92" s="24" t="n">
        <f aca="false">N(W92)+N(X92)-N(Y92)</f>
        <v>0</v>
      </c>
      <c r="AA92" s="33" t="n">
        <f aca="false">N(E92)+N(I92)+N(M92)+N(Q92)+N(U92)+N(Y92)</f>
        <v>0</v>
      </c>
      <c r="AB92" s="24" t="n">
        <f aca="false">F92+J92+N92+R92+V92+Z92</f>
        <v>0</v>
      </c>
      <c r="AC92" s="81" t="str">
        <f aca="false">IF(B92="","",IF(AB92&lt;=0,"Clear",IF(AA92&gt;0,"Partial","Due")))</f>
        <v/>
      </c>
    </row>
    <row r="93" customFormat="false" ht="15" hidden="false" customHeight="false" outlineLevel="0" collapsed="false">
      <c r="A93" s="25" t="n">
        <v>78</v>
      </c>
      <c r="B93" s="82" t="str">
        <f aca="false">IF(Students!B82="","",Students!B82)</f>
        <v/>
      </c>
      <c r="C93" s="37" t="n">
        <f aca="false">'Nov 2026'!F93</f>
        <v>0</v>
      </c>
      <c r="D93" s="37" t="n">
        <f aca="false">IF(B93="",0,N(Students!E82))</f>
        <v>0</v>
      </c>
      <c r="E93" s="23"/>
      <c r="F93" s="26" t="n">
        <f aca="false">N(C93)+N(D93)-N(E93)</f>
        <v>0</v>
      </c>
      <c r="G93" s="37" t="n">
        <f aca="false">'Nov 2026'!J93</f>
        <v>0</v>
      </c>
      <c r="H93" s="37" t="n">
        <f aca="false">IF(B93="",0,N(Students!F82))</f>
        <v>0</v>
      </c>
      <c r="I93" s="23"/>
      <c r="J93" s="26" t="n">
        <f aca="false">N(G93)+N(H93)-N(I93)</f>
        <v>0</v>
      </c>
      <c r="K93" s="37" t="n">
        <f aca="false">'Nov 2026'!N93</f>
        <v>0</v>
      </c>
      <c r="L93" s="37" t="n">
        <f aca="false">IF(B93="",0,N(Students!G82))</f>
        <v>0</v>
      </c>
      <c r="M93" s="23"/>
      <c r="N93" s="26" t="n">
        <f aca="false">N(K93)+N(L93)-N(M93)</f>
        <v>0</v>
      </c>
      <c r="O93" s="37" t="n">
        <f aca="false">'Nov 2026'!R93</f>
        <v>0</v>
      </c>
      <c r="P93" s="37" t="n">
        <f aca="false">IF(B93="",0,N(Students!H82))</f>
        <v>0</v>
      </c>
      <c r="Q93" s="23"/>
      <c r="R93" s="26" t="n">
        <f aca="false">N(O93)+N(P93)-N(Q93)</f>
        <v>0</v>
      </c>
      <c r="S93" s="37" t="n">
        <f aca="false">'Nov 2026'!V93</f>
        <v>0</v>
      </c>
      <c r="T93" s="37" t="n">
        <f aca="false">IF(B93="",0,N(Students!I82))</f>
        <v>0</v>
      </c>
      <c r="U93" s="23"/>
      <c r="V93" s="26" t="n">
        <f aca="false">N(S93)+N(T93)-N(U93)</f>
        <v>0</v>
      </c>
      <c r="W93" s="37" t="n">
        <f aca="false">'Nov 2026'!Z93</f>
        <v>0</v>
      </c>
      <c r="X93" s="37" t="n">
        <f aca="false">IF(B93="",0,N(Students!J82))</f>
        <v>0</v>
      </c>
      <c r="Y93" s="23"/>
      <c r="Z93" s="26" t="n">
        <f aca="false">N(W93)+N(X93)-N(Y93)</f>
        <v>0</v>
      </c>
      <c r="AA93" s="37" t="n">
        <f aca="false">N(E93)+N(I93)+N(M93)+N(Q93)+N(U93)+N(Y93)</f>
        <v>0</v>
      </c>
      <c r="AB93" s="26" t="n">
        <f aca="false">F93+J93+N93+R93+V93+Z93</f>
        <v>0</v>
      </c>
      <c r="AC93" s="83" t="str">
        <f aca="false">IF(B93="","",IF(AB93&lt;=0,"Clear",IF(AA93&gt;0,"Partial","Due")))</f>
        <v/>
      </c>
    </row>
    <row r="94" customFormat="false" ht="15" hidden="false" customHeight="false" outlineLevel="0" collapsed="false">
      <c r="A94" s="21" t="n">
        <v>79</v>
      </c>
      <c r="B94" s="46" t="str">
        <f aca="false">IF(Students!B83="","",Students!B83)</f>
        <v/>
      </c>
      <c r="C94" s="33" t="n">
        <f aca="false">'Nov 2026'!F94</f>
        <v>0</v>
      </c>
      <c r="D94" s="33" t="n">
        <f aca="false">IF(B94="",0,N(Students!E83))</f>
        <v>0</v>
      </c>
      <c r="E94" s="23"/>
      <c r="F94" s="24" t="n">
        <f aca="false">N(C94)+N(D94)-N(E94)</f>
        <v>0</v>
      </c>
      <c r="G94" s="33" t="n">
        <f aca="false">'Nov 2026'!J94</f>
        <v>0</v>
      </c>
      <c r="H94" s="33" t="n">
        <f aca="false">IF(B94="",0,N(Students!F83))</f>
        <v>0</v>
      </c>
      <c r="I94" s="23"/>
      <c r="J94" s="24" t="n">
        <f aca="false">N(G94)+N(H94)-N(I94)</f>
        <v>0</v>
      </c>
      <c r="K94" s="33" t="n">
        <f aca="false">'Nov 2026'!N94</f>
        <v>0</v>
      </c>
      <c r="L94" s="33" t="n">
        <f aca="false">IF(B94="",0,N(Students!G83))</f>
        <v>0</v>
      </c>
      <c r="M94" s="23"/>
      <c r="N94" s="24" t="n">
        <f aca="false">N(K94)+N(L94)-N(M94)</f>
        <v>0</v>
      </c>
      <c r="O94" s="33" t="n">
        <f aca="false">'Nov 2026'!R94</f>
        <v>0</v>
      </c>
      <c r="P94" s="33" t="n">
        <f aca="false">IF(B94="",0,N(Students!H83))</f>
        <v>0</v>
      </c>
      <c r="Q94" s="23"/>
      <c r="R94" s="24" t="n">
        <f aca="false">N(O94)+N(P94)-N(Q94)</f>
        <v>0</v>
      </c>
      <c r="S94" s="33" t="n">
        <f aca="false">'Nov 2026'!V94</f>
        <v>0</v>
      </c>
      <c r="T94" s="33" t="n">
        <f aca="false">IF(B94="",0,N(Students!I83))</f>
        <v>0</v>
      </c>
      <c r="U94" s="23"/>
      <c r="V94" s="24" t="n">
        <f aca="false">N(S94)+N(T94)-N(U94)</f>
        <v>0</v>
      </c>
      <c r="W94" s="33" t="n">
        <f aca="false">'Nov 2026'!Z94</f>
        <v>0</v>
      </c>
      <c r="X94" s="33" t="n">
        <f aca="false">IF(B94="",0,N(Students!J83))</f>
        <v>0</v>
      </c>
      <c r="Y94" s="23"/>
      <c r="Z94" s="24" t="n">
        <f aca="false">N(W94)+N(X94)-N(Y94)</f>
        <v>0</v>
      </c>
      <c r="AA94" s="33" t="n">
        <f aca="false">N(E94)+N(I94)+N(M94)+N(Q94)+N(U94)+N(Y94)</f>
        <v>0</v>
      </c>
      <c r="AB94" s="24" t="n">
        <f aca="false">F94+J94+N94+R94+V94+Z94</f>
        <v>0</v>
      </c>
      <c r="AC94" s="81" t="str">
        <f aca="false">IF(B94="","",IF(AB94&lt;=0,"Clear",IF(AA94&gt;0,"Partial","Due")))</f>
        <v/>
      </c>
    </row>
    <row r="95" customFormat="false" ht="15" hidden="false" customHeight="false" outlineLevel="0" collapsed="false">
      <c r="A95" s="25" t="n">
        <v>80</v>
      </c>
      <c r="B95" s="82" t="str">
        <f aca="false">IF(Students!B84="","",Students!B84)</f>
        <v/>
      </c>
      <c r="C95" s="37" t="n">
        <f aca="false">'Nov 2026'!F95</f>
        <v>0</v>
      </c>
      <c r="D95" s="37" t="n">
        <f aca="false">IF(B95="",0,N(Students!E84))</f>
        <v>0</v>
      </c>
      <c r="E95" s="23"/>
      <c r="F95" s="26" t="n">
        <f aca="false">N(C95)+N(D95)-N(E95)</f>
        <v>0</v>
      </c>
      <c r="G95" s="37" t="n">
        <f aca="false">'Nov 2026'!J95</f>
        <v>0</v>
      </c>
      <c r="H95" s="37" t="n">
        <f aca="false">IF(B95="",0,N(Students!F84))</f>
        <v>0</v>
      </c>
      <c r="I95" s="23"/>
      <c r="J95" s="26" t="n">
        <f aca="false">N(G95)+N(H95)-N(I95)</f>
        <v>0</v>
      </c>
      <c r="K95" s="37" t="n">
        <f aca="false">'Nov 2026'!N95</f>
        <v>0</v>
      </c>
      <c r="L95" s="37" t="n">
        <f aca="false">IF(B95="",0,N(Students!G84))</f>
        <v>0</v>
      </c>
      <c r="M95" s="23"/>
      <c r="N95" s="26" t="n">
        <f aca="false">N(K95)+N(L95)-N(M95)</f>
        <v>0</v>
      </c>
      <c r="O95" s="37" t="n">
        <f aca="false">'Nov 2026'!R95</f>
        <v>0</v>
      </c>
      <c r="P95" s="37" t="n">
        <f aca="false">IF(B95="",0,N(Students!H84))</f>
        <v>0</v>
      </c>
      <c r="Q95" s="23"/>
      <c r="R95" s="26" t="n">
        <f aca="false">N(O95)+N(P95)-N(Q95)</f>
        <v>0</v>
      </c>
      <c r="S95" s="37" t="n">
        <f aca="false">'Nov 2026'!V95</f>
        <v>0</v>
      </c>
      <c r="T95" s="37" t="n">
        <f aca="false">IF(B95="",0,N(Students!I84))</f>
        <v>0</v>
      </c>
      <c r="U95" s="23"/>
      <c r="V95" s="26" t="n">
        <f aca="false">N(S95)+N(T95)-N(U95)</f>
        <v>0</v>
      </c>
      <c r="W95" s="37" t="n">
        <f aca="false">'Nov 2026'!Z95</f>
        <v>0</v>
      </c>
      <c r="X95" s="37" t="n">
        <f aca="false">IF(B95="",0,N(Students!J84))</f>
        <v>0</v>
      </c>
      <c r="Y95" s="23"/>
      <c r="Z95" s="26" t="n">
        <f aca="false">N(W95)+N(X95)-N(Y95)</f>
        <v>0</v>
      </c>
      <c r="AA95" s="37" t="n">
        <f aca="false">N(E95)+N(I95)+N(M95)+N(Q95)+N(U95)+N(Y95)</f>
        <v>0</v>
      </c>
      <c r="AB95" s="26" t="n">
        <f aca="false">F95+J95+N95+R95+V95+Z95</f>
        <v>0</v>
      </c>
      <c r="AC95" s="83" t="str">
        <f aca="false">IF(B95="","",IF(AB95&lt;=0,"Clear",IF(AA95&gt;0,"Partial","Due")))</f>
        <v/>
      </c>
    </row>
    <row r="96" customFormat="false" ht="15" hidden="false" customHeight="false" outlineLevel="0" collapsed="false">
      <c r="A96" s="21" t="n">
        <v>81</v>
      </c>
      <c r="B96" s="46" t="str">
        <f aca="false">IF(Students!B85="","",Students!B85)</f>
        <v/>
      </c>
      <c r="C96" s="33" t="n">
        <f aca="false">'Nov 2026'!F96</f>
        <v>0</v>
      </c>
      <c r="D96" s="33" t="n">
        <f aca="false">IF(B96="",0,N(Students!E85))</f>
        <v>0</v>
      </c>
      <c r="E96" s="23"/>
      <c r="F96" s="24" t="n">
        <f aca="false">N(C96)+N(D96)-N(E96)</f>
        <v>0</v>
      </c>
      <c r="G96" s="33" t="n">
        <f aca="false">'Nov 2026'!J96</f>
        <v>0</v>
      </c>
      <c r="H96" s="33" t="n">
        <f aca="false">IF(B96="",0,N(Students!F85))</f>
        <v>0</v>
      </c>
      <c r="I96" s="23"/>
      <c r="J96" s="24" t="n">
        <f aca="false">N(G96)+N(H96)-N(I96)</f>
        <v>0</v>
      </c>
      <c r="K96" s="33" t="n">
        <f aca="false">'Nov 2026'!N96</f>
        <v>0</v>
      </c>
      <c r="L96" s="33" t="n">
        <f aca="false">IF(B96="",0,N(Students!G85))</f>
        <v>0</v>
      </c>
      <c r="M96" s="23"/>
      <c r="N96" s="24" t="n">
        <f aca="false">N(K96)+N(L96)-N(M96)</f>
        <v>0</v>
      </c>
      <c r="O96" s="33" t="n">
        <f aca="false">'Nov 2026'!R96</f>
        <v>0</v>
      </c>
      <c r="P96" s="33" t="n">
        <f aca="false">IF(B96="",0,N(Students!H85))</f>
        <v>0</v>
      </c>
      <c r="Q96" s="23"/>
      <c r="R96" s="24" t="n">
        <f aca="false">N(O96)+N(P96)-N(Q96)</f>
        <v>0</v>
      </c>
      <c r="S96" s="33" t="n">
        <f aca="false">'Nov 2026'!V96</f>
        <v>0</v>
      </c>
      <c r="T96" s="33" t="n">
        <f aca="false">IF(B96="",0,N(Students!I85))</f>
        <v>0</v>
      </c>
      <c r="U96" s="23"/>
      <c r="V96" s="24" t="n">
        <f aca="false">N(S96)+N(T96)-N(U96)</f>
        <v>0</v>
      </c>
      <c r="W96" s="33" t="n">
        <f aca="false">'Nov 2026'!Z96</f>
        <v>0</v>
      </c>
      <c r="X96" s="33" t="n">
        <f aca="false">IF(B96="",0,N(Students!J85))</f>
        <v>0</v>
      </c>
      <c r="Y96" s="23"/>
      <c r="Z96" s="24" t="n">
        <f aca="false">N(W96)+N(X96)-N(Y96)</f>
        <v>0</v>
      </c>
      <c r="AA96" s="33" t="n">
        <f aca="false">N(E96)+N(I96)+N(M96)+N(Q96)+N(U96)+N(Y96)</f>
        <v>0</v>
      </c>
      <c r="AB96" s="24" t="n">
        <f aca="false">F96+J96+N96+R96+V96+Z96</f>
        <v>0</v>
      </c>
      <c r="AC96" s="81" t="str">
        <f aca="false">IF(B96="","",IF(AB96&lt;=0,"Clear",IF(AA96&gt;0,"Partial","Due")))</f>
        <v/>
      </c>
    </row>
    <row r="97" customFormat="false" ht="15" hidden="false" customHeight="false" outlineLevel="0" collapsed="false">
      <c r="A97" s="25" t="n">
        <v>82</v>
      </c>
      <c r="B97" s="82" t="str">
        <f aca="false">IF(Students!B86="","",Students!B86)</f>
        <v/>
      </c>
      <c r="C97" s="37" t="n">
        <f aca="false">'Nov 2026'!F97</f>
        <v>0</v>
      </c>
      <c r="D97" s="37" t="n">
        <f aca="false">IF(B97="",0,N(Students!E86))</f>
        <v>0</v>
      </c>
      <c r="E97" s="23"/>
      <c r="F97" s="26" t="n">
        <f aca="false">N(C97)+N(D97)-N(E97)</f>
        <v>0</v>
      </c>
      <c r="G97" s="37" t="n">
        <f aca="false">'Nov 2026'!J97</f>
        <v>0</v>
      </c>
      <c r="H97" s="37" t="n">
        <f aca="false">IF(B97="",0,N(Students!F86))</f>
        <v>0</v>
      </c>
      <c r="I97" s="23"/>
      <c r="J97" s="26" t="n">
        <f aca="false">N(G97)+N(H97)-N(I97)</f>
        <v>0</v>
      </c>
      <c r="K97" s="37" t="n">
        <f aca="false">'Nov 2026'!N97</f>
        <v>0</v>
      </c>
      <c r="L97" s="37" t="n">
        <f aca="false">IF(B97="",0,N(Students!G86))</f>
        <v>0</v>
      </c>
      <c r="M97" s="23"/>
      <c r="N97" s="26" t="n">
        <f aca="false">N(K97)+N(L97)-N(M97)</f>
        <v>0</v>
      </c>
      <c r="O97" s="37" t="n">
        <f aca="false">'Nov 2026'!R97</f>
        <v>0</v>
      </c>
      <c r="P97" s="37" t="n">
        <f aca="false">IF(B97="",0,N(Students!H86))</f>
        <v>0</v>
      </c>
      <c r="Q97" s="23"/>
      <c r="R97" s="26" t="n">
        <f aca="false">N(O97)+N(P97)-N(Q97)</f>
        <v>0</v>
      </c>
      <c r="S97" s="37" t="n">
        <f aca="false">'Nov 2026'!V97</f>
        <v>0</v>
      </c>
      <c r="T97" s="37" t="n">
        <f aca="false">IF(B97="",0,N(Students!I86))</f>
        <v>0</v>
      </c>
      <c r="U97" s="23"/>
      <c r="V97" s="26" t="n">
        <f aca="false">N(S97)+N(T97)-N(U97)</f>
        <v>0</v>
      </c>
      <c r="W97" s="37" t="n">
        <f aca="false">'Nov 2026'!Z97</f>
        <v>0</v>
      </c>
      <c r="X97" s="37" t="n">
        <f aca="false">IF(B97="",0,N(Students!J86))</f>
        <v>0</v>
      </c>
      <c r="Y97" s="23"/>
      <c r="Z97" s="26" t="n">
        <f aca="false">N(W97)+N(X97)-N(Y97)</f>
        <v>0</v>
      </c>
      <c r="AA97" s="37" t="n">
        <f aca="false">N(E97)+N(I97)+N(M97)+N(Q97)+N(U97)+N(Y97)</f>
        <v>0</v>
      </c>
      <c r="AB97" s="26" t="n">
        <f aca="false">F97+J97+N97+R97+V97+Z97</f>
        <v>0</v>
      </c>
      <c r="AC97" s="83" t="str">
        <f aca="false">IF(B97="","",IF(AB97&lt;=0,"Clear",IF(AA97&gt;0,"Partial","Due")))</f>
        <v/>
      </c>
    </row>
    <row r="98" customFormat="false" ht="15" hidden="false" customHeight="false" outlineLevel="0" collapsed="false">
      <c r="A98" s="21" t="n">
        <v>83</v>
      </c>
      <c r="B98" s="46" t="str">
        <f aca="false">IF(Students!B87="","",Students!B87)</f>
        <v/>
      </c>
      <c r="C98" s="33" t="n">
        <f aca="false">'Nov 2026'!F98</f>
        <v>0</v>
      </c>
      <c r="D98" s="33" t="n">
        <f aca="false">IF(B98="",0,N(Students!E87))</f>
        <v>0</v>
      </c>
      <c r="E98" s="23"/>
      <c r="F98" s="24" t="n">
        <f aca="false">N(C98)+N(D98)-N(E98)</f>
        <v>0</v>
      </c>
      <c r="G98" s="33" t="n">
        <f aca="false">'Nov 2026'!J98</f>
        <v>0</v>
      </c>
      <c r="H98" s="33" t="n">
        <f aca="false">IF(B98="",0,N(Students!F87))</f>
        <v>0</v>
      </c>
      <c r="I98" s="23"/>
      <c r="J98" s="24" t="n">
        <f aca="false">N(G98)+N(H98)-N(I98)</f>
        <v>0</v>
      </c>
      <c r="K98" s="33" t="n">
        <f aca="false">'Nov 2026'!N98</f>
        <v>0</v>
      </c>
      <c r="L98" s="33" t="n">
        <f aca="false">IF(B98="",0,N(Students!G87))</f>
        <v>0</v>
      </c>
      <c r="M98" s="23"/>
      <c r="N98" s="24" t="n">
        <f aca="false">N(K98)+N(L98)-N(M98)</f>
        <v>0</v>
      </c>
      <c r="O98" s="33" t="n">
        <f aca="false">'Nov 2026'!R98</f>
        <v>0</v>
      </c>
      <c r="P98" s="33" t="n">
        <f aca="false">IF(B98="",0,N(Students!H87))</f>
        <v>0</v>
      </c>
      <c r="Q98" s="23"/>
      <c r="R98" s="24" t="n">
        <f aca="false">N(O98)+N(P98)-N(Q98)</f>
        <v>0</v>
      </c>
      <c r="S98" s="33" t="n">
        <f aca="false">'Nov 2026'!V98</f>
        <v>0</v>
      </c>
      <c r="T98" s="33" t="n">
        <f aca="false">IF(B98="",0,N(Students!I87))</f>
        <v>0</v>
      </c>
      <c r="U98" s="23"/>
      <c r="V98" s="24" t="n">
        <f aca="false">N(S98)+N(T98)-N(U98)</f>
        <v>0</v>
      </c>
      <c r="W98" s="33" t="n">
        <f aca="false">'Nov 2026'!Z98</f>
        <v>0</v>
      </c>
      <c r="X98" s="33" t="n">
        <f aca="false">IF(B98="",0,N(Students!J87))</f>
        <v>0</v>
      </c>
      <c r="Y98" s="23"/>
      <c r="Z98" s="24" t="n">
        <f aca="false">N(W98)+N(X98)-N(Y98)</f>
        <v>0</v>
      </c>
      <c r="AA98" s="33" t="n">
        <f aca="false">N(E98)+N(I98)+N(M98)+N(Q98)+N(U98)+N(Y98)</f>
        <v>0</v>
      </c>
      <c r="AB98" s="24" t="n">
        <f aca="false">F98+J98+N98+R98+V98+Z98</f>
        <v>0</v>
      </c>
      <c r="AC98" s="81" t="str">
        <f aca="false">IF(B98="","",IF(AB98&lt;=0,"Clear",IF(AA98&gt;0,"Partial","Due")))</f>
        <v/>
      </c>
    </row>
    <row r="99" customFormat="false" ht="15" hidden="false" customHeight="false" outlineLevel="0" collapsed="false">
      <c r="A99" s="25" t="n">
        <v>84</v>
      </c>
      <c r="B99" s="82" t="str">
        <f aca="false">IF(Students!B88="","",Students!B88)</f>
        <v/>
      </c>
      <c r="C99" s="37" t="n">
        <f aca="false">'Nov 2026'!F99</f>
        <v>0</v>
      </c>
      <c r="D99" s="37" t="n">
        <f aca="false">IF(B99="",0,N(Students!E88))</f>
        <v>0</v>
      </c>
      <c r="E99" s="23"/>
      <c r="F99" s="26" t="n">
        <f aca="false">N(C99)+N(D99)-N(E99)</f>
        <v>0</v>
      </c>
      <c r="G99" s="37" t="n">
        <f aca="false">'Nov 2026'!J99</f>
        <v>0</v>
      </c>
      <c r="H99" s="37" t="n">
        <f aca="false">IF(B99="",0,N(Students!F88))</f>
        <v>0</v>
      </c>
      <c r="I99" s="23"/>
      <c r="J99" s="26" t="n">
        <f aca="false">N(G99)+N(H99)-N(I99)</f>
        <v>0</v>
      </c>
      <c r="K99" s="37" t="n">
        <f aca="false">'Nov 2026'!N99</f>
        <v>0</v>
      </c>
      <c r="L99" s="37" t="n">
        <f aca="false">IF(B99="",0,N(Students!G88))</f>
        <v>0</v>
      </c>
      <c r="M99" s="23"/>
      <c r="N99" s="26" t="n">
        <f aca="false">N(K99)+N(L99)-N(M99)</f>
        <v>0</v>
      </c>
      <c r="O99" s="37" t="n">
        <f aca="false">'Nov 2026'!R99</f>
        <v>0</v>
      </c>
      <c r="P99" s="37" t="n">
        <f aca="false">IF(B99="",0,N(Students!H88))</f>
        <v>0</v>
      </c>
      <c r="Q99" s="23"/>
      <c r="R99" s="26" t="n">
        <f aca="false">N(O99)+N(P99)-N(Q99)</f>
        <v>0</v>
      </c>
      <c r="S99" s="37" t="n">
        <f aca="false">'Nov 2026'!V99</f>
        <v>0</v>
      </c>
      <c r="T99" s="37" t="n">
        <f aca="false">IF(B99="",0,N(Students!I88))</f>
        <v>0</v>
      </c>
      <c r="U99" s="23"/>
      <c r="V99" s="26" t="n">
        <f aca="false">N(S99)+N(T99)-N(U99)</f>
        <v>0</v>
      </c>
      <c r="W99" s="37" t="n">
        <f aca="false">'Nov 2026'!Z99</f>
        <v>0</v>
      </c>
      <c r="X99" s="37" t="n">
        <f aca="false">IF(B99="",0,N(Students!J88))</f>
        <v>0</v>
      </c>
      <c r="Y99" s="23"/>
      <c r="Z99" s="26" t="n">
        <f aca="false">N(W99)+N(X99)-N(Y99)</f>
        <v>0</v>
      </c>
      <c r="AA99" s="37" t="n">
        <f aca="false">N(E99)+N(I99)+N(M99)+N(Q99)+N(U99)+N(Y99)</f>
        <v>0</v>
      </c>
      <c r="AB99" s="26" t="n">
        <f aca="false">F99+J99+N99+R99+V99+Z99</f>
        <v>0</v>
      </c>
      <c r="AC99" s="83" t="str">
        <f aca="false">IF(B99="","",IF(AB99&lt;=0,"Clear",IF(AA99&gt;0,"Partial","Due")))</f>
        <v/>
      </c>
    </row>
    <row r="100" customFormat="false" ht="15" hidden="false" customHeight="false" outlineLevel="0" collapsed="false">
      <c r="A100" s="21" t="n">
        <v>85</v>
      </c>
      <c r="B100" s="46" t="str">
        <f aca="false">IF(Students!B89="","",Students!B89)</f>
        <v/>
      </c>
      <c r="C100" s="33" t="n">
        <f aca="false">'Nov 2026'!F100</f>
        <v>0</v>
      </c>
      <c r="D100" s="33" t="n">
        <f aca="false">IF(B100="",0,N(Students!E89))</f>
        <v>0</v>
      </c>
      <c r="E100" s="23"/>
      <c r="F100" s="24" t="n">
        <f aca="false">N(C100)+N(D100)-N(E100)</f>
        <v>0</v>
      </c>
      <c r="G100" s="33" t="n">
        <f aca="false">'Nov 2026'!J100</f>
        <v>0</v>
      </c>
      <c r="H100" s="33" t="n">
        <f aca="false">IF(B100="",0,N(Students!F89))</f>
        <v>0</v>
      </c>
      <c r="I100" s="23"/>
      <c r="J100" s="24" t="n">
        <f aca="false">N(G100)+N(H100)-N(I100)</f>
        <v>0</v>
      </c>
      <c r="K100" s="33" t="n">
        <f aca="false">'Nov 2026'!N100</f>
        <v>0</v>
      </c>
      <c r="L100" s="33" t="n">
        <f aca="false">IF(B100="",0,N(Students!G89))</f>
        <v>0</v>
      </c>
      <c r="M100" s="23"/>
      <c r="N100" s="24" t="n">
        <f aca="false">N(K100)+N(L100)-N(M100)</f>
        <v>0</v>
      </c>
      <c r="O100" s="33" t="n">
        <f aca="false">'Nov 2026'!R100</f>
        <v>0</v>
      </c>
      <c r="P100" s="33" t="n">
        <f aca="false">IF(B100="",0,N(Students!H89))</f>
        <v>0</v>
      </c>
      <c r="Q100" s="23"/>
      <c r="R100" s="24" t="n">
        <f aca="false">N(O100)+N(P100)-N(Q100)</f>
        <v>0</v>
      </c>
      <c r="S100" s="33" t="n">
        <f aca="false">'Nov 2026'!V100</f>
        <v>0</v>
      </c>
      <c r="T100" s="33" t="n">
        <f aca="false">IF(B100="",0,N(Students!I89))</f>
        <v>0</v>
      </c>
      <c r="U100" s="23"/>
      <c r="V100" s="24" t="n">
        <f aca="false">N(S100)+N(T100)-N(U100)</f>
        <v>0</v>
      </c>
      <c r="W100" s="33" t="n">
        <f aca="false">'Nov 2026'!Z100</f>
        <v>0</v>
      </c>
      <c r="X100" s="33" t="n">
        <f aca="false">IF(B100="",0,N(Students!J89))</f>
        <v>0</v>
      </c>
      <c r="Y100" s="23"/>
      <c r="Z100" s="24" t="n">
        <f aca="false">N(W100)+N(X100)-N(Y100)</f>
        <v>0</v>
      </c>
      <c r="AA100" s="33" t="n">
        <f aca="false">N(E100)+N(I100)+N(M100)+N(Q100)+N(U100)+N(Y100)</f>
        <v>0</v>
      </c>
      <c r="AB100" s="24" t="n">
        <f aca="false">F100+J100+N100+R100+V100+Z100</f>
        <v>0</v>
      </c>
      <c r="AC100" s="81" t="str">
        <f aca="false">IF(B100="","",IF(AB100&lt;=0,"Clear",IF(AA100&gt;0,"Partial","Due")))</f>
        <v/>
      </c>
    </row>
    <row r="101" customFormat="false" ht="15" hidden="false" customHeight="false" outlineLevel="0" collapsed="false">
      <c r="A101" s="25" t="n">
        <v>86</v>
      </c>
      <c r="B101" s="82" t="str">
        <f aca="false">IF(Students!B90="","",Students!B90)</f>
        <v/>
      </c>
      <c r="C101" s="37" t="n">
        <f aca="false">'Nov 2026'!F101</f>
        <v>0</v>
      </c>
      <c r="D101" s="37" t="n">
        <f aca="false">IF(B101="",0,N(Students!E90))</f>
        <v>0</v>
      </c>
      <c r="E101" s="23"/>
      <c r="F101" s="26" t="n">
        <f aca="false">N(C101)+N(D101)-N(E101)</f>
        <v>0</v>
      </c>
      <c r="G101" s="37" t="n">
        <f aca="false">'Nov 2026'!J101</f>
        <v>0</v>
      </c>
      <c r="H101" s="37" t="n">
        <f aca="false">IF(B101="",0,N(Students!F90))</f>
        <v>0</v>
      </c>
      <c r="I101" s="23"/>
      <c r="J101" s="26" t="n">
        <f aca="false">N(G101)+N(H101)-N(I101)</f>
        <v>0</v>
      </c>
      <c r="K101" s="37" t="n">
        <f aca="false">'Nov 2026'!N101</f>
        <v>0</v>
      </c>
      <c r="L101" s="37" t="n">
        <f aca="false">IF(B101="",0,N(Students!G90))</f>
        <v>0</v>
      </c>
      <c r="M101" s="23"/>
      <c r="N101" s="26" t="n">
        <f aca="false">N(K101)+N(L101)-N(M101)</f>
        <v>0</v>
      </c>
      <c r="O101" s="37" t="n">
        <f aca="false">'Nov 2026'!R101</f>
        <v>0</v>
      </c>
      <c r="P101" s="37" t="n">
        <f aca="false">IF(B101="",0,N(Students!H90))</f>
        <v>0</v>
      </c>
      <c r="Q101" s="23"/>
      <c r="R101" s="26" t="n">
        <f aca="false">N(O101)+N(P101)-N(Q101)</f>
        <v>0</v>
      </c>
      <c r="S101" s="37" t="n">
        <f aca="false">'Nov 2026'!V101</f>
        <v>0</v>
      </c>
      <c r="T101" s="37" t="n">
        <f aca="false">IF(B101="",0,N(Students!I90))</f>
        <v>0</v>
      </c>
      <c r="U101" s="23"/>
      <c r="V101" s="26" t="n">
        <f aca="false">N(S101)+N(T101)-N(U101)</f>
        <v>0</v>
      </c>
      <c r="W101" s="37" t="n">
        <f aca="false">'Nov 2026'!Z101</f>
        <v>0</v>
      </c>
      <c r="X101" s="37" t="n">
        <f aca="false">IF(B101="",0,N(Students!J90))</f>
        <v>0</v>
      </c>
      <c r="Y101" s="23"/>
      <c r="Z101" s="26" t="n">
        <f aca="false">N(W101)+N(X101)-N(Y101)</f>
        <v>0</v>
      </c>
      <c r="AA101" s="37" t="n">
        <f aca="false">N(E101)+N(I101)+N(M101)+N(Q101)+N(U101)+N(Y101)</f>
        <v>0</v>
      </c>
      <c r="AB101" s="26" t="n">
        <f aca="false">F101+J101+N101+R101+V101+Z101</f>
        <v>0</v>
      </c>
      <c r="AC101" s="83" t="str">
        <f aca="false">IF(B101="","",IF(AB101&lt;=0,"Clear",IF(AA101&gt;0,"Partial","Due")))</f>
        <v/>
      </c>
    </row>
    <row r="102" customFormat="false" ht="15" hidden="false" customHeight="false" outlineLevel="0" collapsed="false">
      <c r="A102" s="21" t="n">
        <v>87</v>
      </c>
      <c r="B102" s="46" t="str">
        <f aca="false">IF(Students!B91="","",Students!B91)</f>
        <v/>
      </c>
      <c r="C102" s="33" t="n">
        <f aca="false">'Nov 2026'!F102</f>
        <v>0</v>
      </c>
      <c r="D102" s="33" t="n">
        <f aca="false">IF(B102="",0,N(Students!E91))</f>
        <v>0</v>
      </c>
      <c r="E102" s="23"/>
      <c r="F102" s="24" t="n">
        <f aca="false">N(C102)+N(D102)-N(E102)</f>
        <v>0</v>
      </c>
      <c r="G102" s="33" t="n">
        <f aca="false">'Nov 2026'!J102</f>
        <v>0</v>
      </c>
      <c r="H102" s="33" t="n">
        <f aca="false">IF(B102="",0,N(Students!F91))</f>
        <v>0</v>
      </c>
      <c r="I102" s="23"/>
      <c r="J102" s="24" t="n">
        <f aca="false">N(G102)+N(H102)-N(I102)</f>
        <v>0</v>
      </c>
      <c r="K102" s="33" t="n">
        <f aca="false">'Nov 2026'!N102</f>
        <v>0</v>
      </c>
      <c r="L102" s="33" t="n">
        <f aca="false">IF(B102="",0,N(Students!G91))</f>
        <v>0</v>
      </c>
      <c r="M102" s="23"/>
      <c r="N102" s="24" t="n">
        <f aca="false">N(K102)+N(L102)-N(M102)</f>
        <v>0</v>
      </c>
      <c r="O102" s="33" t="n">
        <f aca="false">'Nov 2026'!R102</f>
        <v>0</v>
      </c>
      <c r="P102" s="33" t="n">
        <f aca="false">IF(B102="",0,N(Students!H91))</f>
        <v>0</v>
      </c>
      <c r="Q102" s="23"/>
      <c r="R102" s="24" t="n">
        <f aca="false">N(O102)+N(P102)-N(Q102)</f>
        <v>0</v>
      </c>
      <c r="S102" s="33" t="n">
        <f aca="false">'Nov 2026'!V102</f>
        <v>0</v>
      </c>
      <c r="T102" s="33" t="n">
        <f aca="false">IF(B102="",0,N(Students!I91))</f>
        <v>0</v>
      </c>
      <c r="U102" s="23"/>
      <c r="V102" s="24" t="n">
        <f aca="false">N(S102)+N(T102)-N(U102)</f>
        <v>0</v>
      </c>
      <c r="W102" s="33" t="n">
        <f aca="false">'Nov 2026'!Z102</f>
        <v>0</v>
      </c>
      <c r="X102" s="33" t="n">
        <f aca="false">IF(B102="",0,N(Students!J91))</f>
        <v>0</v>
      </c>
      <c r="Y102" s="23"/>
      <c r="Z102" s="24" t="n">
        <f aca="false">N(W102)+N(X102)-N(Y102)</f>
        <v>0</v>
      </c>
      <c r="AA102" s="33" t="n">
        <f aca="false">N(E102)+N(I102)+N(M102)+N(Q102)+N(U102)+N(Y102)</f>
        <v>0</v>
      </c>
      <c r="AB102" s="24" t="n">
        <f aca="false">F102+J102+N102+R102+V102+Z102</f>
        <v>0</v>
      </c>
      <c r="AC102" s="81" t="str">
        <f aca="false">IF(B102="","",IF(AB102&lt;=0,"Clear",IF(AA102&gt;0,"Partial","Due")))</f>
        <v/>
      </c>
    </row>
    <row r="103" customFormat="false" ht="15" hidden="false" customHeight="false" outlineLevel="0" collapsed="false">
      <c r="A103" s="25" t="n">
        <v>88</v>
      </c>
      <c r="B103" s="82" t="str">
        <f aca="false">IF(Students!B92="","",Students!B92)</f>
        <v/>
      </c>
      <c r="C103" s="37" t="n">
        <f aca="false">'Nov 2026'!F103</f>
        <v>0</v>
      </c>
      <c r="D103" s="37" t="n">
        <f aca="false">IF(B103="",0,N(Students!E92))</f>
        <v>0</v>
      </c>
      <c r="E103" s="23"/>
      <c r="F103" s="26" t="n">
        <f aca="false">N(C103)+N(D103)-N(E103)</f>
        <v>0</v>
      </c>
      <c r="G103" s="37" t="n">
        <f aca="false">'Nov 2026'!J103</f>
        <v>0</v>
      </c>
      <c r="H103" s="37" t="n">
        <f aca="false">IF(B103="",0,N(Students!F92))</f>
        <v>0</v>
      </c>
      <c r="I103" s="23"/>
      <c r="J103" s="26" t="n">
        <f aca="false">N(G103)+N(H103)-N(I103)</f>
        <v>0</v>
      </c>
      <c r="K103" s="37" t="n">
        <f aca="false">'Nov 2026'!N103</f>
        <v>0</v>
      </c>
      <c r="L103" s="37" t="n">
        <f aca="false">IF(B103="",0,N(Students!G92))</f>
        <v>0</v>
      </c>
      <c r="M103" s="23"/>
      <c r="N103" s="26" t="n">
        <f aca="false">N(K103)+N(L103)-N(M103)</f>
        <v>0</v>
      </c>
      <c r="O103" s="37" t="n">
        <f aca="false">'Nov 2026'!R103</f>
        <v>0</v>
      </c>
      <c r="P103" s="37" t="n">
        <f aca="false">IF(B103="",0,N(Students!H92))</f>
        <v>0</v>
      </c>
      <c r="Q103" s="23"/>
      <c r="R103" s="26" t="n">
        <f aca="false">N(O103)+N(P103)-N(Q103)</f>
        <v>0</v>
      </c>
      <c r="S103" s="37" t="n">
        <f aca="false">'Nov 2026'!V103</f>
        <v>0</v>
      </c>
      <c r="T103" s="37" t="n">
        <f aca="false">IF(B103="",0,N(Students!I92))</f>
        <v>0</v>
      </c>
      <c r="U103" s="23"/>
      <c r="V103" s="26" t="n">
        <f aca="false">N(S103)+N(T103)-N(U103)</f>
        <v>0</v>
      </c>
      <c r="W103" s="37" t="n">
        <f aca="false">'Nov 2026'!Z103</f>
        <v>0</v>
      </c>
      <c r="X103" s="37" t="n">
        <f aca="false">IF(B103="",0,N(Students!J92))</f>
        <v>0</v>
      </c>
      <c r="Y103" s="23"/>
      <c r="Z103" s="26" t="n">
        <f aca="false">N(W103)+N(X103)-N(Y103)</f>
        <v>0</v>
      </c>
      <c r="AA103" s="37" t="n">
        <f aca="false">N(E103)+N(I103)+N(M103)+N(Q103)+N(U103)+N(Y103)</f>
        <v>0</v>
      </c>
      <c r="AB103" s="26" t="n">
        <f aca="false">F103+J103+N103+R103+V103+Z103</f>
        <v>0</v>
      </c>
      <c r="AC103" s="83" t="str">
        <f aca="false">IF(B103="","",IF(AB103&lt;=0,"Clear",IF(AA103&gt;0,"Partial","Due")))</f>
        <v/>
      </c>
    </row>
    <row r="104" customFormat="false" ht="15" hidden="false" customHeight="false" outlineLevel="0" collapsed="false">
      <c r="A104" s="21" t="n">
        <v>89</v>
      </c>
      <c r="B104" s="46" t="str">
        <f aca="false">IF(Students!B93="","",Students!B93)</f>
        <v/>
      </c>
      <c r="C104" s="33" t="n">
        <f aca="false">'Nov 2026'!F104</f>
        <v>0</v>
      </c>
      <c r="D104" s="33" t="n">
        <f aca="false">IF(B104="",0,N(Students!E93))</f>
        <v>0</v>
      </c>
      <c r="E104" s="23"/>
      <c r="F104" s="24" t="n">
        <f aca="false">N(C104)+N(D104)-N(E104)</f>
        <v>0</v>
      </c>
      <c r="G104" s="33" t="n">
        <f aca="false">'Nov 2026'!J104</f>
        <v>0</v>
      </c>
      <c r="H104" s="33" t="n">
        <f aca="false">IF(B104="",0,N(Students!F93))</f>
        <v>0</v>
      </c>
      <c r="I104" s="23"/>
      <c r="J104" s="24" t="n">
        <f aca="false">N(G104)+N(H104)-N(I104)</f>
        <v>0</v>
      </c>
      <c r="K104" s="33" t="n">
        <f aca="false">'Nov 2026'!N104</f>
        <v>0</v>
      </c>
      <c r="L104" s="33" t="n">
        <f aca="false">IF(B104="",0,N(Students!G93))</f>
        <v>0</v>
      </c>
      <c r="M104" s="23"/>
      <c r="N104" s="24" t="n">
        <f aca="false">N(K104)+N(L104)-N(M104)</f>
        <v>0</v>
      </c>
      <c r="O104" s="33" t="n">
        <f aca="false">'Nov 2026'!R104</f>
        <v>0</v>
      </c>
      <c r="P104" s="33" t="n">
        <f aca="false">IF(B104="",0,N(Students!H93))</f>
        <v>0</v>
      </c>
      <c r="Q104" s="23"/>
      <c r="R104" s="24" t="n">
        <f aca="false">N(O104)+N(P104)-N(Q104)</f>
        <v>0</v>
      </c>
      <c r="S104" s="33" t="n">
        <f aca="false">'Nov 2026'!V104</f>
        <v>0</v>
      </c>
      <c r="T104" s="33" t="n">
        <f aca="false">IF(B104="",0,N(Students!I93))</f>
        <v>0</v>
      </c>
      <c r="U104" s="23"/>
      <c r="V104" s="24" t="n">
        <f aca="false">N(S104)+N(T104)-N(U104)</f>
        <v>0</v>
      </c>
      <c r="W104" s="33" t="n">
        <f aca="false">'Nov 2026'!Z104</f>
        <v>0</v>
      </c>
      <c r="X104" s="33" t="n">
        <f aca="false">IF(B104="",0,N(Students!J93))</f>
        <v>0</v>
      </c>
      <c r="Y104" s="23"/>
      <c r="Z104" s="24" t="n">
        <f aca="false">N(W104)+N(X104)-N(Y104)</f>
        <v>0</v>
      </c>
      <c r="AA104" s="33" t="n">
        <f aca="false">N(E104)+N(I104)+N(M104)+N(Q104)+N(U104)+N(Y104)</f>
        <v>0</v>
      </c>
      <c r="AB104" s="24" t="n">
        <f aca="false">F104+J104+N104+R104+V104+Z104</f>
        <v>0</v>
      </c>
      <c r="AC104" s="81" t="str">
        <f aca="false">IF(B104="","",IF(AB104&lt;=0,"Clear",IF(AA104&gt;0,"Partial","Due")))</f>
        <v/>
      </c>
    </row>
    <row r="105" customFormat="false" ht="15" hidden="false" customHeight="false" outlineLevel="0" collapsed="false">
      <c r="A105" s="25" t="n">
        <v>90</v>
      </c>
      <c r="B105" s="82" t="str">
        <f aca="false">IF(Students!B94="","",Students!B94)</f>
        <v/>
      </c>
      <c r="C105" s="37" t="n">
        <f aca="false">'Nov 2026'!F105</f>
        <v>0</v>
      </c>
      <c r="D105" s="37" t="n">
        <f aca="false">IF(B105="",0,N(Students!E94))</f>
        <v>0</v>
      </c>
      <c r="E105" s="23"/>
      <c r="F105" s="26" t="n">
        <f aca="false">N(C105)+N(D105)-N(E105)</f>
        <v>0</v>
      </c>
      <c r="G105" s="37" t="n">
        <f aca="false">'Nov 2026'!J105</f>
        <v>0</v>
      </c>
      <c r="H105" s="37" t="n">
        <f aca="false">IF(B105="",0,N(Students!F94))</f>
        <v>0</v>
      </c>
      <c r="I105" s="23"/>
      <c r="J105" s="26" t="n">
        <f aca="false">N(G105)+N(H105)-N(I105)</f>
        <v>0</v>
      </c>
      <c r="K105" s="37" t="n">
        <f aca="false">'Nov 2026'!N105</f>
        <v>0</v>
      </c>
      <c r="L105" s="37" t="n">
        <f aca="false">IF(B105="",0,N(Students!G94))</f>
        <v>0</v>
      </c>
      <c r="M105" s="23"/>
      <c r="N105" s="26" t="n">
        <f aca="false">N(K105)+N(L105)-N(M105)</f>
        <v>0</v>
      </c>
      <c r="O105" s="37" t="n">
        <f aca="false">'Nov 2026'!R105</f>
        <v>0</v>
      </c>
      <c r="P105" s="37" t="n">
        <f aca="false">IF(B105="",0,N(Students!H94))</f>
        <v>0</v>
      </c>
      <c r="Q105" s="23"/>
      <c r="R105" s="26" t="n">
        <f aca="false">N(O105)+N(P105)-N(Q105)</f>
        <v>0</v>
      </c>
      <c r="S105" s="37" t="n">
        <f aca="false">'Nov 2026'!V105</f>
        <v>0</v>
      </c>
      <c r="T105" s="37" t="n">
        <f aca="false">IF(B105="",0,N(Students!I94))</f>
        <v>0</v>
      </c>
      <c r="U105" s="23"/>
      <c r="V105" s="26" t="n">
        <f aca="false">N(S105)+N(T105)-N(U105)</f>
        <v>0</v>
      </c>
      <c r="W105" s="37" t="n">
        <f aca="false">'Nov 2026'!Z105</f>
        <v>0</v>
      </c>
      <c r="X105" s="37" t="n">
        <f aca="false">IF(B105="",0,N(Students!J94))</f>
        <v>0</v>
      </c>
      <c r="Y105" s="23"/>
      <c r="Z105" s="26" t="n">
        <f aca="false">N(W105)+N(X105)-N(Y105)</f>
        <v>0</v>
      </c>
      <c r="AA105" s="37" t="n">
        <f aca="false">N(E105)+N(I105)+N(M105)+N(Q105)+N(U105)+N(Y105)</f>
        <v>0</v>
      </c>
      <c r="AB105" s="26" t="n">
        <f aca="false">F105+J105+N105+R105+V105+Z105</f>
        <v>0</v>
      </c>
      <c r="AC105" s="83" t="str">
        <f aca="false">IF(B105="","",IF(AB105&lt;=0,"Clear",IF(AA105&gt;0,"Partial","Due")))</f>
        <v/>
      </c>
    </row>
    <row r="106" customFormat="false" ht="15" hidden="false" customHeight="false" outlineLevel="0" collapsed="false">
      <c r="A106" s="21" t="n">
        <v>91</v>
      </c>
      <c r="B106" s="46" t="str">
        <f aca="false">IF(Students!B95="","",Students!B95)</f>
        <v/>
      </c>
      <c r="C106" s="33" t="n">
        <f aca="false">'Nov 2026'!F106</f>
        <v>0</v>
      </c>
      <c r="D106" s="33" t="n">
        <f aca="false">IF(B106="",0,N(Students!E95))</f>
        <v>0</v>
      </c>
      <c r="E106" s="23"/>
      <c r="F106" s="24" t="n">
        <f aca="false">N(C106)+N(D106)-N(E106)</f>
        <v>0</v>
      </c>
      <c r="G106" s="33" t="n">
        <f aca="false">'Nov 2026'!J106</f>
        <v>0</v>
      </c>
      <c r="H106" s="33" t="n">
        <f aca="false">IF(B106="",0,N(Students!F95))</f>
        <v>0</v>
      </c>
      <c r="I106" s="23"/>
      <c r="J106" s="24" t="n">
        <f aca="false">N(G106)+N(H106)-N(I106)</f>
        <v>0</v>
      </c>
      <c r="K106" s="33" t="n">
        <f aca="false">'Nov 2026'!N106</f>
        <v>0</v>
      </c>
      <c r="L106" s="33" t="n">
        <f aca="false">IF(B106="",0,N(Students!G95))</f>
        <v>0</v>
      </c>
      <c r="M106" s="23"/>
      <c r="N106" s="24" t="n">
        <f aca="false">N(K106)+N(L106)-N(M106)</f>
        <v>0</v>
      </c>
      <c r="O106" s="33" t="n">
        <f aca="false">'Nov 2026'!R106</f>
        <v>0</v>
      </c>
      <c r="P106" s="33" t="n">
        <f aca="false">IF(B106="",0,N(Students!H95))</f>
        <v>0</v>
      </c>
      <c r="Q106" s="23"/>
      <c r="R106" s="24" t="n">
        <f aca="false">N(O106)+N(P106)-N(Q106)</f>
        <v>0</v>
      </c>
      <c r="S106" s="33" t="n">
        <f aca="false">'Nov 2026'!V106</f>
        <v>0</v>
      </c>
      <c r="T106" s="33" t="n">
        <f aca="false">IF(B106="",0,N(Students!I95))</f>
        <v>0</v>
      </c>
      <c r="U106" s="23"/>
      <c r="V106" s="24" t="n">
        <f aca="false">N(S106)+N(T106)-N(U106)</f>
        <v>0</v>
      </c>
      <c r="W106" s="33" t="n">
        <f aca="false">'Nov 2026'!Z106</f>
        <v>0</v>
      </c>
      <c r="X106" s="33" t="n">
        <f aca="false">IF(B106="",0,N(Students!J95))</f>
        <v>0</v>
      </c>
      <c r="Y106" s="23"/>
      <c r="Z106" s="24" t="n">
        <f aca="false">N(W106)+N(X106)-N(Y106)</f>
        <v>0</v>
      </c>
      <c r="AA106" s="33" t="n">
        <f aca="false">N(E106)+N(I106)+N(M106)+N(Q106)+N(U106)+N(Y106)</f>
        <v>0</v>
      </c>
      <c r="AB106" s="24" t="n">
        <f aca="false">F106+J106+N106+R106+V106+Z106</f>
        <v>0</v>
      </c>
      <c r="AC106" s="81" t="str">
        <f aca="false">IF(B106="","",IF(AB106&lt;=0,"Clear",IF(AA106&gt;0,"Partial","Due")))</f>
        <v/>
      </c>
    </row>
    <row r="107" customFormat="false" ht="15" hidden="false" customHeight="false" outlineLevel="0" collapsed="false">
      <c r="A107" s="25" t="n">
        <v>92</v>
      </c>
      <c r="B107" s="82" t="str">
        <f aca="false">IF(Students!B96="","",Students!B96)</f>
        <v/>
      </c>
      <c r="C107" s="37" t="n">
        <f aca="false">'Nov 2026'!F107</f>
        <v>0</v>
      </c>
      <c r="D107" s="37" t="n">
        <f aca="false">IF(B107="",0,N(Students!E96))</f>
        <v>0</v>
      </c>
      <c r="E107" s="23"/>
      <c r="F107" s="26" t="n">
        <f aca="false">N(C107)+N(D107)-N(E107)</f>
        <v>0</v>
      </c>
      <c r="G107" s="37" t="n">
        <f aca="false">'Nov 2026'!J107</f>
        <v>0</v>
      </c>
      <c r="H107" s="37" t="n">
        <f aca="false">IF(B107="",0,N(Students!F96))</f>
        <v>0</v>
      </c>
      <c r="I107" s="23"/>
      <c r="J107" s="26" t="n">
        <f aca="false">N(G107)+N(H107)-N(I107)</f>
        <v>0</v>
      </c>
      <c r="K107" s="37" t="n">
        <f aca="false">'Nov 2026'!N107</f>
        <v>0</v>
      </c>
      <c r="L107" s="37" t="n">
        <f aca="false">IF(B107="",0,N(Students!G96))</f>
        <v>0</v>
      </c>
      <c r="M107" s="23"/>
      <c r="N107" s="26" t="n">
        <f aca="false">N(K107)+N(L107)-N(M107)</f>
        <v>0</v>
      </c>
      <c r="O107" s="37" t="n">
        <f aca="false">'Nov 2026'!R107</f>
        <v>0</v>
      </c>
      <c r="P107" s="37" t="n">
        <f aca="false">IF(B107="",0,N(Students!H96))</f>
        <v>0</v>
      </c>
      <c r="Q107" s="23"/>
      <c r="R107" s="26" t="n">
        <f aca="false">N(O107)+N(P107)-N(Q107)</f>
        <v>0</v>
      </c>
      <c r="S107" s="37" t="n">
        <f aca="false">'Nov 2026'!V107</f>
        <v>0</v>
      </c>
      <c r="T107" s="37" t="n">
        <f aca="false">IF(B107="",0,N(Students!I96))</f>
        <v>0</v>
      </c>
      <c r="U107" s="23"/>
      <c r="V107" s="26" t="n">
        <f aca="false">N(S107)+N(T107)-N(U107)</f>
        <v>0</v>
      </c>
      <c r="W107" s="37" t="n">
        <f aca="false">'Nov 2026'!Z107</f>
        <v>0</v>
      </c>
      <c r="X107" s="37" t="n">
        <f aca="false">IF(B107="",0,N(Students!J96))</f>
        <v>0</v>
      </c>
      <c r="Y107" s="23"/>
      <c r="Z107" s="26" t="n">
        <f aca="false">N(W107)+N(X107)-N(Y107)</f>
        <v>0</v>
      </c>
      <c r="AA107" s="37" t="n">
        <f aca="false">N(E107)+N(I107)+N(M107)+N(Q107)+N(U107)+N(Y107)</f>
        <v>0</v>
      </c>
      <c r="AB107" s="26" t="n">
        <f aca="false">F107+J107+N107+R107+V107+Z107</f>
        <v>0</v>
      </c>
      <c r="AC107" s="83" t="str">
        <f aca="false">IF(B107="","",IF(AB107&lt;=0,"Clear",IF(AA107&gt;0,"Partial","Due")))</f>
        <v/>
      </c>
    </row>
    <row r="108" customFormat="false" ht="15" hidden="false" customHeight="false" outlineLevel="0" collapsed="false">
      <c r="A108" s="21" t="n">
        <v>93</v>
      </c>
      <c r="B108" s="46" t="str">
        <f aca="false">IF(Students!B97="","",Students!B97)</f>
        <v/>
      </c>
      <c r="C108" s="33" t="n">
        <f aca="false">'Nov 2026'!F108</f>
        <v>0</v>
      </c>
      <c r="D108" s="33" t="n">
        <f aca="false">IF(B108="",0,N(Students!E97))</f>
        <v>0</v>
      </c>
      <c r="E108" s="23"/>
      <c r="F108" s="24" t="n">
        <f aca="false">N(C108)+N(D108)-N(E108)</f>
        <v>0</v>
      </c>
      <c r="G108" s="33" t="n">
        <f aca="false">'Nov 2026'!J108</f>
        <v>0</v>
      </c>
      <c r="H108" s="33" t="n">
        <f aca="false">IF(B108="",0,N(Students!F97))</f>
        <v>0</v>
      </c>
      <c r="I108" s="23"/>
      <c r="J108" s="24" t="n">
        <f aca="false">N(G108)+N(H108)-N(I108)</f>
        <v>0</v>
      </c>
      <c r="K108" s="33" t="n">
        <f aca="false">'Nov 2026'!N108</f>
        <v>0</v>
      </c>
      <c r="L108" s="33" t="n">
        <f aca="false">IF(B108="",0,N(Students!G97))</f>
        <v>0</v>
      </c>
      <c r="M108" s="23"/>
      <c r="N108" s="24" t="n">
        <f aca="false">N(K108)+N(L108)-N(M108)</f>
        <v>0</v>
      </c>
      <c r="O108" s="33" t="n">
        <f aca="false">'Nov 2026'!R108</f>
        <v>0</v>
      </c>
      <c r="P108" s="33" t="n">
        <f aca="false">IF(B108="",0,N(Students!H97))</f>
        <v>0</v>
      </c>
      <c r="Q108" s="23"/>
      <c r="R108" s="24" t="n">
        <f aca="false">N(O108)+N(P108)-N(Q108)</f>
        <v>0</v>
      </c>
      <c r="S108" s="33" t="n">
        <f aca="false">'Nov 2026'!V108</f>
        <v>0</v>
      </c>
      <c r="T108" s="33" t="n">
        <f aca="false">IF(B108="",0,N(Students!I97))</f>
        <v>0</v>
      </c>
      <c r="U108" s="23"/>
      <c r="V108" s="24" t="n">
        <f aca="false">N(S108)+N(T108)-N(U108)</f>
        <v>0</v>
      </c>
      <c r="W108" s="33" t="n">
        <f aca="false">'Nov 2026'!Z108</f>
        <v>0</v>
      </c>
      <c r="X108" s="33" t="n">
        <f aca="false">IF(B108="",0,N(Students!J97))</f>
        <v>0</v>
      </c>
      <c r="Y108" s="23"/>
      <c r="Z108" s="24" t="n">
        <f aca="false">N(W108)+N(X108)-N(Y108)</f>
        <v>0</v>
      </c>
      <c r="AA108" s="33" t="n">
        <f aca="false">N(E108)+N(I108)+N(M108)+N(Q108)+N(U108)+N(Y108)</f>
        <v>0</v>
      </c>
      <c r="AB108" s="24" t="n">
        <f aca="false">F108+J108+N108+R108+V108+Z108</f>
        <v>0</v>
      </c>
      <c r="AC108" s="81" t="str">
        <f aca="false">IF(B108="","",IF(AB108&lt;=0,"Clear",IF(AA108&gt;0,"Partial","Due")))</f>
        <v/>
      </c>
    </row>
    <row r="109" customFormat="false" ht="15" hidden="false" customHeight="false" outlineLevel="0" collapsed="false">
      <c r="A109" s="25" t="n">
        <v>94</v>
      </c>
      <c r="B109" s="82" t="str">
        <f aca="false">IF(Students!B98="","",Students!B98)</f>
        <v/>
      </c>
      <c r="C109" s="37" t="n">
        <f aca="false">'Nov 2026'!F109</f>
        <v>0</v>
      </c>
      <c r="D109" s="37" t="n">
        <f aca="false">IF(B109="",0,N(Students!E98))</f>
        <v>0</v>
      </c>
      <c r="E109" s="23"/>
      <c r="F109" s="26" t="n">
        <f aca="false">N(C109)+N(D109)-N(E109)</f>
        <v>0</v>
      </c>
      <c r="G109" s="37" t="n">
        <f aca="false">'Nov 2026'!J109</f>
        <v>0</v>
      </c>
      <c r="H109" s="37" t="n">
        <f aca="false">IF(B109="",0,N(Students!F98))</f>
        <v>0</v>
      </c>
      <c r="I109" s="23"/>
      <c r="J109" s="26" t="n">
        <f aca="false">N(G109)+N(H109)-N(I109)</f>
        <v>0</v>
      </c>
      <c r="K109" s="37" t="n">
        <f aca="false">'Nov 2026'!N109</f>
        <v>0</v>
      </c>
      <c r="L109" s="37" t="n">
        <f aca="false">IF(B109="",0,N(Students!G98))</f>
        <v>0</v>
      </c>
      <c r="M109" s="23"/>
      <c r="N109" s="26" t="n">
        <f aca="false">N(K109)+N(L109)-N(M109)</f>
        <v>0</v>
      </c>
      <c r="O109" s="37" t="n">
        <f aca="false">'Nov 2026'!R109</f>
        <v>0</v>
      </c>
      <c r="P109" s="37" t="n">
        <f aca="false">IF(B109="",0,N(Students!H98))</f>
        <v>0</v>
      </c>
      <c r="Q109" s="23"/>
      <c r="R109" s="26" t="n">
        <f aca="false">N(O109)+N(P109)-N(Q109)</f>
        <v>0</v>
      </c>
      <c r="S109" s="37" t="n">
        <f aca="false">'Nov 2026'!V109</f>
        <v>0</v>
      </c>
      <c r="T109" s="37" t="n">
        <f aca="false">IF(B109="",0,N(Students!I98))</f>
        <v>0</v>
      </c>
      <c r="U109" s="23"/>
      <c r="V109" s="26" t="n">
        <f aca="false">N(S109)+N(T109)-N(U109)</f>
        <v>0</v>
      </c>
      <c r="W109" s="37" t="n">
        <f aca="false">'Nov 2026'!Z109</f>
        <v>0</v>
      </c>
      <c r="X109" s="37" t="n">
        <f aca="false">IF(B109="",0,N(Students!J98))</f>
        <v>0</v>
      </c>
      <c r="Y109" s="23"/>
      <c r="Z109" s="26" t="n">
        <f aca="false">N(W109)+N(X109)-N(Y109)</f>
        <v>0</v>
      </c>
      <c r="AA109" s="37" t="n">
        <f aca="false">N(E109)+N(I109)+N(M109)+N(Q109)+N(U109)+N(Y109)</f>
        <v>0</v>
      </c>
      <c r="AB109" s="26" t="n">
        <f aca="false">F109+J109+N109+R109+V109+Z109</f>
        <v>0</v>
      </c>
      <c r="AC109" s="83" t="str">
        <f aca="false">IF(B109="","",IF(AB109&lt;=0,"Clear",IF(AA109&gt;0,"Partial","Due")))</f>
        <v/>
      </c>
    </row>
    <row r="110" customFormat="false" ht="15" hidden="false" customHeight="false" outlineLevel="0" collapsed="false">
      <c r="A110" s="21" t="n">
        <v>95</v>
      </c>
      <c r="B110" s="46" t="str">
        <f aca="false">IF(Students!B99="","",Students!B99)</f>
        <v/>
      </c>
      <c r="C110" s="33" t="n">
        <f aca="false">'Nov 2026'!F110</f>
        <v>0</v>
      </c>
      <c r="D110" s="33" t="n">
        <f aca="false">IF(B110="",0,N(Students!E99))</f>
        <v>0</v>
      </c>
      <c r="E110" s="23"/>
      <c r="F110" s="24" t="n">
        <f aca="false">N(C110)+N(D110)-N(E110)</f>
        <v>0</v>
      </c>
      <c r="G110" s="33" t="n">
        <f aca="false">'Nov 2026'!J110</f>
        <v>0</v>
      </c>
      <c r="H110" s="33" t="n">
        <f aca="false">IF(B110="",0,N(Students!F99))</f>
        <v>0</v>
      </c>
      <c r="I110" s="23"/>
      <c r="J110" s="24" t="n">
        <f aca="false">N(G110)+N(H110)-N(I110)</f>
        <v>0</v>
      </c>
      <c r="K110" s="33" t="n">
        <f aca="false">'Nov 2026'!N110</f>
        <v>0</v>
      </c>
      <c r="L110" s="33" t="n">
        <f aca="false">IF(B110="",0,N(Students!G99))</f>
        <v>0</v>
      </c>
      <c r="M110" s="23"/>
      <c r="N110" s="24" t="n">
        <f aca="false">N(K110)+N(L110)-N(M110)</f>
        <v>0</v>
      </c>
      <c r="O110" s="33" t="n">
        <f aca="false">'Nov 2026'!R110</f>
        <v>0</v>
      </c>
      <c r="P110" s="33" t="n">
        <f aca="false">IF(B110="",0,N(Students!H99))</f>
        <v>0</v>
      </c>
      <c r="Q110" s="23"/>
      <c r="R110" s="24" t="n">
        <f aca="false">N(O110)+N(P110)-N(Q110)</f>
        <v>0</v>
      </c>
      <c r="S110" s="33" t="n">
        <f aca="false">'Nov 2026'!V110</f>
        <v>0</v>
      </c>
      <c r="T110" s="33" t="n">
        <f aca="false">IF(B110="",0,N(Students!I99))</f>
        <v>0</v>
      </c>
      <c r="U110" s="23"/>
      <c r="V110" s="24" t="n">
        <f aca="false">N(S110)+N(T110)-N(U110)</f>
        <v>0</v>
      </c>
      <c r="W110" s="33" t="n">
        <f aca="false">'Nov 2026'!Z110</f>
        <v>0</v>
      </c>
      <c r="X110" s="33" t="n">
        <f aca="false">IF(B110="",0,N(Students!J99))</f>
        <v>0</v>
      </c>
      <c r="Y110" s="23"/>
      <c r="Z110" s="24" t="n">
        <f aca="false">N(W110)+N(X110)-N(Y110)</f>
        <v>0</v>
      </c>
      <c r="AA110" s="33" t="n">
        <f aca="false">N(E110)+N(I110)+N(M110)+N(Q110)+N(U110)+N(Y110)</f>
        <v>0</v>
      </c>
      <c r="AB110" s="24" t="n">
        <f aca="false">F110+J110+N110+R110+V110+Z110</f>
        <v>0</v>
      </c>
      <c r="AC110" s="81" t="str">
        <f aca="false">IF(B110="","",IF(AB110&lt;=0,"Clear",IF(AA110&gt;0,"Partial","Due")))</f>
        <v/>
      </c>
    </row>
    <row r="111" customFormat="false" ht="15" hidden="false" customHeight="false" outlineLevel="0" collapsed="false">
      <c r="A111" s="25" t="n">
        <v>96</v>
      </c>
      <c r="B111" s="82" t="str">
        <f aca="false">IF(Students!B100="","",Students!B100)</f>
        <v/>
      </c>
      <c r="C111" s="37" t="n">
        <f aca="false">'Nov 2026'!F111</f>
        <v>0</v>
      </c>
      <c r="D111" s="37" t="n">
        <f aca="false">IF(B111="",0,N(Students!E100))</f>
        <v>0</v>
      </c>
      <c r="E111" s="23"/>
      <c r="F111" s="26" t="n">
        <f aca="false">N(C111)+N(D111)-N(E111)</f>
        <v>0</v>
      </c>
      <c r="G111" s="37" t="n">
        <f aca="false">'Nov 2026'!J111</f>
        <v>0</v>
      </c>
      <c r="H111" s="37" t="n">
        <f aca="false">IF(B111="",0,N(Students!F100))</f>
        <v>0</v>
      </c>
      <c r="I111" s="23"/>
      <c r="J111" s="26" t="n">
        <f aca="false">N(G111)+N(H111)-N(I111)</f>
        <v>0</v>
      </c>
      <c r="K111" s="37" t="n">
        <f aca="false">'Nov 2026'!N111</f>
        <v>0</v>
      </c>
      <c r="L111" s="37" t="n">
        <f aca="false">IF(B111="",0,N(Students!G100))</f>
        <v>0</v>
      </c>
      <c r="M111" s="23"/>
      <c r="N111" s="26" t="n">
        <f aca="false">N(K111)+N(L111)-N(M111)</f>
        <v>0</v>
      </c>
      <c r="O111" s="37" t="n">
        <f aca="false">'Nov 2026'!R111</f>
        <v>0</v>
      </c>
      <c r="P111" s="37" t="n">
        <f aca="false">IF(B111="",0,N(Students!H100))</f>
        <v>0</v>
      </c>
      <c r="Q111" s="23"/>
      <c r="R111" s="26" t="n">
        <f aca="false">N(O111)+N(P111)-N(Q111)</f>
        <v>0</v>
      </c>
      <c r="S111" s="37" t="n">
        <f aca="false">'Nov 2026'!V111</f>
        <v>0</v>
      </c>
      <c r="T111" s="37" t="n">
        <f aca="false">IF(B111="",0,N(Students!I100))</f>
        <v>0</v>
      </c>
      <c r="U111" s="23"/>
      <c r="V111" s="26" t="n">
        <f aca="false">N(S111)+N(T111)-N(U111)</f>
        <v>0</v>
      </c>
      <c r="W111" s="37" t="n">
        <f aca="false">'Nov 2026'!Z111</f>
        <v>0</v>
      </c>
      <c r="X111" s="37" t="n">
        <f aca="false">IF(B111="",0,N(Students!J100))</f>
        <v>0</v>
      </c>
      <c r="Y111" s="23"/>
      <c r="Z111" s="26" t="n">
        <f aca="false">N(W111)+N(X111)-N(Y111)</f>
        <v>0</v>
      </c>
      <c r="AA111" s="37" t="n">
        <f aca="false">N(E111)+N(I111)+N(M111)+N(Q111)+N(U111)+N(Y111)</f>
        <v>0</v>
      </c>
      <c r="AB111" s="26" t="n">
        <f aca="false">F111+J111+N111+R111+V111+Z111</f>
        <v>0</v>
      </c>
      <c r="AC111" s="83" t="str">
        <f aca="false">IF(B111="","",IF(AB111&lt;=0,"Clear",IF(AA111&gt;0,"Partial","Due")))</f>
        <v/>
      </c>
    </row>
    <row r="112" customFormat="false" ht="15" hidden="false" customHeight="false" outlineLevel="0" collapsed="false">
      <c r="A112" s="21" t="n">
        <v>97</v>
      </c>
      <c r="B112" s="46" t="str">
        <f aca="false">IF(Students!B101="","",Students!B101)</f>
        <v/>
      </c>
      <c r="C112" s="33" t="n">
        <f aca="false">'Nov 2026'!F112</f>
        <v>0</v>
      </c>
      <c r="D112" s="33" t="n">
        <f aca="false">IF(B112="",0,N(Students!E101))</f>
        <v>0</v>
      </c>
      <c r="E112" s="23"/>
      <c r="F112" s="24" t="n">
        <f aca="false">N(C112)+N(D112)-N(E112)</f>
        <v>0</v>
      </c>
      <c r="G112" s="33" t="n">
        <f aca="false">'Nov 2026'!J112</f>
        <v>0</v>
      </c>
      <c r="H112" s="33" t="n">
        <f aca="false">IF(B112="",0,N(Students!F101))</f>
        <v>0</v>
      </c>
      <c r="I112" s="23"/>
      <c r="J112" s="24" t="n">
        <f aca="false">N(G112)+N(H112)-N(I112)</f>
        <v>0</v>
      </c>
      <c r="K112" s="33" t="n">
        <f aca="false">'Nov 2026'!N112</f>
        <v>0</v>
      </c>
      <c r="L112" s="33" t="n">
        <f aca="false">IF(B112="",0,N(Students!G101))</f>
        <v>0</v>
      </c>
      <c r="M112" s="23"/>
      <c r="N112" s="24" t="n">
        <f aca="false">N(K112)+N(L112)-N(M112)</f>
        <v>0</v>
      </c>
      <c r="O112" s="33" t="n">
        <f aca="false">'Nov 2026'!R112</f>
        <v>0</v>
      </c>
      <c r="P112" s="33" t="n">
        <f aca="false">IF(B112="",0,N(Students!H101))</f>
        <v>0</v>
      </c>
      <c r="Q112" s="23"/>
      <c r="R112" s="24" t="n">
        <f aca="false">N(O112)+N(P112)-N(Q112)</f>
        <v>0</v>
      </c>
      <c r="S112" s="33" t="n">
        <f aca="false">'Nov 2026'!V112</f>
        <v>0</v>
      </c>
      <c r="T112" s="33" t="n">
        <f aca="false">IF(B112="",0,N(Students!I101))</f>
        <v>0</v>
      </c>
      <c r="U112" s="23"/>
      <c r="V112" s="24" t="n">
        <f aca="false">N(S112)+N(T112)-N(U112)</f>
        <v>0</v>
      </c>
      <c r="W112" s="33" t="n">
        <f aca="false">'Nov 2026'!Z112</f>
        <v>0</v>
      </c>
      <c r="X112" s="33" t="n">
        <f aca="false">IF(B112="",0,N(Students!J101))</f>
        <v>0</v>
      </c>
      <c r="Y112" s="23"/>
      <c r="Z112" s="24" t="n">
        <f aca="false">N(W112)+N(X112)-N(Y112)</f>
        <v>0</v>
      </c>
      <c r="AA112" s="33" t="n">
        <f aca="false">N(E112)+N(I112)+N(M112)+N(Q112)+N(U112)+N(Y112)</f>
        <v>0</v>
      </c>
      <c r="AB112" s="24" t="n">
        <f aca="false">F112+J112+N112+R112+V112+Z112</f>
        <v>0</v>
      </c>
      <c r="AC112" s="81" t="str">
        <f aca="false">IF(B112="","",IF(AB112&lt;=0,"Clear",IF(AA112&gt;0,"Partial","Due")))</f>
        <v/>
      </c>
    </row>
    <row r="113" customFormat="false" ht="15" hidden="false" customHeight="false" outlineLevel="0" collapsed="false">
      <c r="A113" s="25" t="n">
        <v>98</v>
      </c>
      <c r="B113" s="82" t="str">
        <f aca="false">IF(Students!B102="","",Students!B102)</f>
        <v/>
      </c>
      <c r="C113" s="37" t="n">
        <f aca="false">'Nov 2026'!F113</f>
        <v>0</v>
      </c>
      <c r="D113" s="37" t="n">
        <f aca="false">IF(B113="",0,N(Students!E102))</f>
        <v>0</v>
      </c>
      <c r="E113" s="23"/>
      <c r="F113" s="26" t="n">
        <f aca="false">N(C113)+N(D113)-N(E113)</f>
        <v>0</v>
      </c>
      <c r="G113" s="37" t="n">
        <f aca="false">'Nov 2026'!J113</f>
        <v>0</v>
      </c>
      <c r="H113" s="37" t="n">
        <f aca="false">IF(B113="",0,N(Students!F102))</f>
        <v>0</v>
      </c>
      <c r="I113" s="23"/>
      <c r="J113" s="26" t="n">
        <f aca="false">N(G113)+N(H113)-N(I113)</f>
        <v>0</v>
      </c>
      <c r="K113" s="37" t="n">
        <f aca="false">'Nov 2026'!N113</f>
        <v>0</v>
      </c>
      <c r="L113" s="37" t="n">
        <f aca="false">IF(B113="",0,N(Students!G102))</f>
        <v>0</v>
      </c>
      <c r="M113" s="23"/>
      <c r="N113" s="26" t="n">
        <f aca="false">N(K113)+N(L113)-N(M113)</f>
        <v>0</v>
      </c>
      <c r="O113" s="37" t="n">
        <f aca="false">'Nov 2026'!R113</f>
        <v>0</v>
      </c>
      <c r="P113" s="37" t="n">
        <f aca="false">IF(B113="",0,N(Students!H102))</f>
        <v>0</v>
      </c>
      <c r="Q113" s="23"/>
      <c r="R113" s="26" t="n">
        <f aca="false">N(O113)+N(P113)-N(Q113)</f>
        <v>0</v>
      </c>
      <c r="S113" s="37" t="n">
        <f aca="false">'Nov 2026'!V113</f>
        <v>0</v>
      </c>
      <c r="T113" s="37" t="n">
        <f aca="false">IF(B113="",0,N(Students!I102))</f>
        <v>0</v>
      </c>
      <c r="U113" s="23"/>
      <c r="V113" s="26" t="n">
        <f aca="false">N(S113)+N(T113)-N(U113)</f>
        <v>0</v>
      </c>
      <c r="W113" s="37" t="n">
        <f aca="false">'Nov 2026'!Z113</f>
        <v>0</v>
      </c>
      <c r="X113" s="37" t="n">
        <f aca="false">IF(B113="",0,N(Students!J102))</f>
        <v>0</v>
      </c>
      <c r="Y113" s="23"/>
      <c r="Z113" s="26" t="n">
        <f aca="false">N(W113)+N(X113)-N(Y113)</f>
        <v>0</v>
      </c>
      <c r="AA113" s="37" t="n">
        <f aca="false">N(E113)+N(I113)+N(M113)+N(Q113)+N(U113)+N(Y113)</f>
        <v>0</v>
      </c>
      <c r="AB113" s="26" t="n">
        <f aca="false">F113+J113+N113+R113+V113+Z113</f>
        <v>0</v>
      </c>
      <c r="AC113" s="83" t="str">
        <f aca="false">IF(B113="","",IF(AB113&lt;=0,"Clear",IF(AA113&gt;0,"Partial","Due")))</f>
        <v/>
      </c>
    </row>
    <row r="114" customFormat="false" ht="15" hidden="false" customHeight="false" outlineLevel="0" collapsed="false">
      <c r="A114" s="21" t="n">
        <v>99</v>
      </c>
      <c r="B114" s="46" t="str">
        <f aca="false">IF(Students!B103="","",Students!B103)</f>
        <v/>
      </c>
      <c r="C114" s="33" t="n">
        <f aca="false">'Nov 2026'!F114</f>
        <v>0</v>
      </c>
      <c r="D114" s="33" t="n">
        <f aca="false">IF(B114="",0,N(Students!E103))</f>
        <v>0</v>
      </c>
      <c r="E114" s="23"/>
      <c r="F114" s="24" t="n">
        <f aca="false">N(C114)+N(D114)-N(E114)</f>
        <v>0</v>
      </c>
      <c r="G114" s="33" t="n">
        <f aca="false">'Nov 2026'!J114</f>
        <v>0</v>
      </c>
      <c r="H114" s="33" t="n">
        <f aca="false">IF(B114="",0,N(Students!F103))</f>
        <v>0</v>
      </c>
      <c r="I114" s="23"/>
      <c r="J114" s="24" t="n">
        <f aca="false">N(G114)+N(H114)-N(I114)</f>
        <v>0</v>
      </c>
      <c r="K114" s="33" t="n">
        <f aca="false">'Nov 2026'!N114</f>
        <v>0</v>
      </c>
      <c r="L114" s="33" t="n">
        <f aca="false">IF(B114="",0,N(Students!G103))</f>
        <v>0</v>
      </c>
      <c r="M114" s="23"/>
      <c r="N114" s="24" t="n">
        <f aca="false">N(K114)+N(L114)-N(M114)</f>
        <v>0</v>
      </c>
      <c r="O114" s="33" t="n">
        <f aca="false">'Nov 2026'!R114</f>
        <v>0</v>
      </c>
      <c r="P114" s="33" t="n">
        <f aca="false">IF(B114="",0,N(Students!H103))</f>
        <v>0</v>
      </c>
      <c r="Q114" s="23"/>
      <c r="R114" s="24" t="n">
        <f aca="false">N(O114)+N(P114)-N(Q114)</f>
        <v>0</v>
      </c>
      <c r="S114" s="33" t="n">
        <f aca="false">'Nov 2026'!V114</f>
        <v>0</v>
      </c>
      <c r="T114" s="33" t="n">
        <f aca="false">IF(B114="",0,N(Students!I103))</f>
        <v>0</v>
      </c>
      <c r="U114" s="23"/>
      <c r="V114" s="24" t="n">
        <f aca="false">N(S114)+N(T114)-N(U114)</f>
        <v>0</v>
      </c>
      <c r="W114" s="33" t="n">
        <f aca="false">'Nov 2026'!Z114</f>
        <v>0</v>
      </c>
      <c r="X114" s="33" t="n">
        <f aca="false">IF(B114="",0,N(Students!J103))</f>
        <v>0</v>
      </c>
      <c r="Y114" s="23"/>
      <c r="Z114" s="24" t="n">
        <f aca="false">N(W114)+N(X114)-N(Y114)</f>
        <v>0</v>
      </c>
      <c r="AA114" s="33" t="n">
        <f aca="false">N(E114)+N(I114)+N(M114)+N(Q114)+N(U114)+N(Y114)</f>
        <v>0</v>
      </c>
      <c r="AB114" s="24" t="n">
        <f aca="false">F114+J114+N114+R114+V114+Z114</f>
        <v>0</v>
      </c>
      <c r="AC114" s="81" t="str">
        <f aca="false">IF(B114="","",IF(AB114&lt;=0,"Clear",IF(AA114&gt;0,"Partial","Due")))</f>
        <v/>
      </c>
    </row>
    <row r="115" customFormat="false" ht="15" hidden="false" customHeight="false" outlineLevel="0" collapsed="false">
      <c r="A115" s="25" t="n">
        <v>100</v>
      </c>
      <c r="B115" s="82" t="str">
        <f aca="false">IF(Students!B104="","",Students!B104)</f>
        <v/>
      </c>
      <c r="C115" s="37" t="n">
        <f aca="false">'Nov 2026'!F115</f>
        <v>0</v>
      </c>
      <c r="D115" s="37" t="n">
        <f aca="false">IF(B115="",0,N(Students!E104))</f>
        <v>0</v>
      </c>
      <c r="E115" s="23"/>
      <c r="F115" s="26" t="n">
        <f aca="false">N(C115)+N(D115)-N(E115)</f>
        <v>0</v>
      </c>
      <c r="G115" s="37" t="n">
        <f aca="false">'Nov 2026'!J115</f>
        <v>0</v>
      </c>
      <c r="H115" s="37" t="n">
        <f aca="false">IF(B115="",0,N(Students!F104))</f>
        <v>0</v>
      </c>
      <c r="I115" s="23"/>
      <c r="J115" s="26" t="n">
        <f aca="false">N(G115)+N(H115)-N(I115)</f>
        <v>0</v>
      </c>
      <c r="K115" s="37" t="n">
        <f aca="false">'Nov 2026'!N115</f>
        <v>0</v>
      </c>
      <c r="L115" s="37" t="n">
        <f aca="false">IF(B115="",0,N(Students!G104))</f>
        <v>0</v>
      </c>
      <c r="M115" s="23"/>
      <c r="N115" s="26" t="n">
        <f aca="false">N(K115)+N(L115)-N(M115)</f>
        <v>0</v>
      </c>
      <c r="O115" s="37" t="n">
        <f aca="false">'Nov 2026'!R115</f>
        <v>0</v>
      </c>
      <c r="P115" s="37" t="n">
        <f aca="false">IF(B115="",0,N(Students!H104))</f>
        <v>0</v>
      </c>
      <c r="Q115" s="23"/>
      <c r="R115" s="26" t="n">
        <f aca="false">N(O115)+N(P115)-N(Q115)</f>
        <v>0</v>
      </c>
      <c r="S115" s="37" t="n">
        <f aca="false">'Nov 2026'!V115</f>
        <v>0</v>
      </c>
      <c r="T115" s="37" t="n">
        <f aca="false">IF(B115="",0,N(Students!I104))</f>
        <v>0</v>
      </c>
      <c r="U115" s="23"/>
      <c r="V115" s="26" t="n">
        <f aca="false">N(S115)+N(T115)-N(U115)</f>
        <v>0</v>
      </c>
      <c r="W115" s="37" t="n">
        <f aca="false">'Nov 2026'!Z115</f>
        <v>0</v>
      </c>
      <c r="X115" s="37" t="n">
        <f aca="false">IF(B115="",0,N(Students!J104))</f>
        <v>0</v>
      </c>
      <c r="Y115" s="23"/>
      <c r="Z115" s="26" t="n">
        <f aca="false">N(W115)+N(X115)-N(Y115)</f>
        <v>0</v>
      </c>
      <c r="AA115" s="37" t="n">
        <f aca="false">N(E115)+N(I115)+N(M115)+N(Q115)+N(U115)+N(Y115)</f>
        <v>0</v>
      </c>
      <c r="AB115" s="26" t="n">
        <f aca="false">F115+J115+N115+R115+V115+Z115</f>
        <v>0</v>
      </c>
      <c r="AC115" s="83" t="str">
        <f aca="false">IF(B115="","",IF(AB115&lt;=0,"Clear",IF(AA115&gt;0,"Partial","Due")))</f>
        <v/>
      </c>
    </row>
    <row r="116" customFormat="false" ht="15" hidden="false" customHeight="false" outlineLevel="0" collapsed="false">
      <c r="A116" s="21" t="n">
        <v>101</v>
      </c>
      <c r="B116" s="46" t="str">
        <f aca="false">IF(Students!B105="","",Students!B105)</f>
        <v/>
      </c>
      <c r="C116" s="33" t="n">
        <f aca="false">'Nov 2026'!F116</f>
        <v>0</v>
      </c>
      <c r="D116" s="33" t="n">
        <f aca="false">IF(B116="",0,N(Students!E105))</f>
        <v>0</v>
      </c>
      <c r="E116" s="23"/>
      <c r="F116" s="24" t="n">
        <f aca="false">N(C116)+N(D116)-N(E116)</f>
        <v>0</v>
      </c>
      <c r="G116" s="33" t="n">
        <f aca="false">'Nov 2026'!J116</f>
        <v>0</v>
      </c>
      <c r="H116" s="33" t="n">
        <f aca="false">IF(B116="",0,N(Students!F105))</f>
        <v>0</v>
      </c>
      <c r="I116" s="23"/>
      <c r="J116" s="24" t="n">
        <f aca="false">N(G116)+N(H116)-N(I116)</f>
        <v>0</v>
      </c>
      <c r="K116" s="33" t="n">
        <f aca="false">'Nov 2026'!N116</f>
        <v>0</v>
      </c>
      <c r="L116" s="33" t="n">
        <f aca="false">IF(B116="",0,N(Students!G105))</f>
        <v>0</v>
      </c>
      <c r="M116" s="23"/>
      <c r="N116" s="24" t="n">
        <f aca="false">N(K116)+N(L116)-N(M116)</f>
        <v>0</v>
      </c>
      <c r="O116" s="33" t="n">
        <f aca="false">'Nov 2026'!R116</f>
        <v>0</v>
      </c>
      <c r="P116" s="33" t="n">
        <f aca="false">IF(B116="",0,N(Students!H105))</f>
        <v>0</v>
      </c>
      <c r="Q116" s="23"/>
      <c r="R116" s="24" t="n">
        <f aca="false">N(O116)+N(P116)-N(Q116)</f>
        <v>0</v>
      </c>
      <c r="S116" s="33" t="n">
        <f aca="false">'Nov 2026'!V116</f>
        <v>0</v>
      </c>
      <c r="T116" s="33" t="n">
        <f aca="false">IF(B116="",0,N(Students!I105))</f>
        <v>0</v>
      </c>
      <c r="U116" s="23"/>
      <c r="V116" s="24" t="n">
        <f aca="false">N(S116)+N(T116)-N(U116)</f>
        <v>0</v>
      </c>
      <c r="W116" s="33" t="n">
        <f aca="false">'Nov 2026'!Z116</f>
        <v>0</v>
      </c>
      <c r="X116" s="33" t="n">
        <f aca="false">IF(B116="",0,N(Students!J105))</f>
        <v>0</v>
      </c>
      <c r="Y116" s="23"/>
      <c r="Z116" s="24" t="n">
        <f aca="false">N(W116)+N(X116)-N(Y116)</f>
        <v>0</v>
      </c>
      <c r="AA116" s="33" t="n">
        <f aca="false">N(E116)+N(I116)+N(M116)+N(Q116)+N(U116)+N(Y116)</f>
        <v>0</v>
      </c>
      <c r="AB116" s="24" t="n">
        <f aca="false">F116+J116+N116+R116+V116+Z116</f>
        <v>0</v>
      </c>
      <c r="AC116" s="81" t="str">
        <f aca="false">IF(B116="","",IF(AB116&lt;=0,"Clear",IF(AA116&gt;0,"Partial","Due")))</f>
        <v/>
      </c>
    </row>
    <row r="117" customFormat="false" ht="15" hidden="false" customHeight="false" outlineLevel="0" collapsed="false">
      <c r="A117" s="25" t="n">
        <v>102</v>
      </c>
      <c r="B117" s="82" t="str">
        <f aca="false">IF(Students!B106="","",Students!B106)</f>
        <v/>
      </c>
      <c r="C117" s="37" t="n">
        <f aca="false">'Nov 2026'!F117</f>
        <v>0</v>
      </c>
      <c r="D117" s="37" t="n">
        <f aca="false">IF(B117="",0,N(Students!E106))</f>
        <v>0</v>
      </c>
      <c r="E117" s="23"/>
      <c r="F117" s="26" t="n">
        <f aca="false">N(C117)+N(D117)-N(E117)</f>
        <v>0</v>
      </c>
      <c r="G117" s="37" t="n">
        <f aca="false">'Nov 2026'!J117</f>
        <v>0</v>
      </c>
      <c r="H117" s="37" t="n">
        <f aca="false">IF(B117="",0,N(Students!F106))</f>
        <v>0</v>
      </c>
      <c r="I117" s="23"/>
      <c r="J117" s="26" t="n">
        <f aca="false">N(G117)+N(H117)-N(I117)</f>
        <v>0</v>
      </c>
      <c r="K117" s="37" t="n">
        <f aca="false">'Nov 2026'!N117</f>
        <v>0</v>
      </c>
      <c r="L117" s="37" t="n">
        <f aca="false">IF(B117="",0,N(Students!G106))</f>
        <v>0</v>
      </c>
      <c r="M117" s="23"/>
      <c r="N117" s="26" t="n">
        <f aca="false">N(K117)+N(L117)-N(M117)</f>
        <v>0</v>
      </c>
      <c r="O117" s="37" t="n">
        <f aca="false">'Nov 2026'!R117</f>
        <v>0</v>
      </c>
      <c r="P117" s="37" t="n">
        <f aca="false">IF(B117="",0,N(Students!H106))</f>
        <v>0</v>
      </c>
      <c r="Q117" s="23"/>
      <c r="R117" s="26" t="n">
        <f aca="false">N(O117)+N(P117)-N(Q117)</f>
        <v>0</v>
      </c>
      <c r="S117" s="37" t="n">
        <f aca="false">'Nov 2026'!V117</f>
        <v>0</v>
      </c>
      <c r="T117" s="37" t="n">
        <f aca="false">IF(B117="",0,N(Students!I106))</f>
        <v>0</v>
      </c>
      <c r="U117" s="23"/>
      <c r="V117" s="26" t="n">
        <f aca="false">N(S117)+N(T117)-N(U117)</f>
        <v>0</v>
      </c>
      <c r="W117" s="37" t="n">
        <f aca="false">'Nov 2026'!Z117</f>
        <v>0</v>
      </c>
      <c r="X117" s="37" t="n">
        <f aca="false">IF(B117="",0,N(Students!J106))</f>
        <v>0</v>
      </c>
      <c r="Y117" s="23"/>
      <c r="Z117" s="26" t="n">
        <f aca="false">N(W117)+N(X117)-N(Y117)</f>
        <v>0</v>
      </c>
      <c r="AA117" s="37" t="n">
        <f aca="false">N(E117)+N(I117)+N(M117)+N(Q117)+N(U117)+N(Y117)</f>
        <v>0</v>
      </c>
      <c r="AB117" s="26" t="n">
        <f aca="false">F117+J117+N117+R117+V117+Z117</f>
        <v>0</v>
      </c>
      <c r="AC117" s="83" t="str">
        <f aca="false">IF(B117="","",IF(AB117&lt;=0,"Clear",IF(AA117&gt;0,"Partial","Due")))</f>
        <v/>
      </c>
    </row>
    <row r="118" customFormat="false" ht="15" hidden="false" customHeight="false" outlineLevel="0" collapsed="false">
      <c r="A118" s="21" t="n">
        <v>103</v>
      </c>
      <c r="B118" s="46" t="str">
        <f aca="false">IF(Students!B107="","",Students!B107)</f>
        <v/>
      </c>
      <c r="C118" s="33" t="n">
        <f aca="false">'Nov 2026'!F118</f>
        <v>0</v>
      </c>
      <c r="D118" s="33" t="n">
        <f aca="false">IF(B118="",0,N(Students!E107))</f>
        <v>0</v>
      </c>
      <c r="E118" s="23"/>
      <c r="F118" s="24" t="n">
        <f aca="false">N(C118)+N(D118)-N(E118)</f>
        <v>0</v>
      </c>
      <c r="G118" s="33" t="n">
        <f aca="false">'Nov 2026'!J118</f>
        <v>0</v>
      </c>
      <c r="H118" s="33" t="n">
        <f aca="false">IF(B118="",0,N(Students!F107))</f>
        <v>0</v>
      </c>
      <c r="I118" s="23"/>
      <c r="J118" s="24" t="n">
        <f aca="false">N(G118)+N(H118)-N(I118)</f>
        <v>0</v>
      </c>
      <c r="K118" s="33" t="n">
        <f aca="false">'Nov 2026'!N118</f>
        <v>0</v>
      </c>
      <c r="L118" s="33" t="n">
        <f aca="false">IF(B118="",0,N(Students!G107))</f>
        <v>0</v>
      </c>
      <c r="M118" s="23"/>
      <c r="N118" s="24" t="n">
        <f aca="false">N(K118)+N(L118)-N(M118)</f>
        <v>0</v>
      </c>
      <c r="O118" s="33" t="n">
        <f aca="false">'Nov 2026'!R118</f>
        <v>0</v>
      </c>
      <c r="P118" s="33" t="n">
        <f aca="false">IF(B118="",0,N(Students!H107))</f>
        <v>0</v>
      </c>
      <c r="Q118" s="23"/>
      <c r="R118" s="24" t="n">
        <f aca="false">N(O118)+N(P118)-N(Q118)</f>
        <v>0</v>
      </c>
      <c r="S118" s="33" t="n">
        <f aca="false">'Nov 2026'!V118</f>
        <v>0</v>
      </c>
      <c r="T118" s="33" t="n">
        <f aca="false">IF(B118="",0,N(Students!I107))</f>
        <v>0</v>
      </c>
      <c r="U118" s="23"/>
      <c r="V118" s="24" t="n">
        <f aca="false">N(S118)+N(T118)-N(U118)</f>
        <v>0</v>
      </c>
      <c r="W118" s="33" t="n">
        <f aca="false">'Nov 2026'!Z118</f>
        <v>0</v>
      </c>
      <c r="X118" s="33" t="n">
        <f aca="false">IF(B118="",0,N(Students!J107))</f>
        <v>0</v>
      </c>
      <c r="Y118" s="23"/>
      <c r="Z118" s="24" t="n">
        <f aca="false">N(W118)+N(X118)-N(Y118)</f>
        <v>0</v>
      </c>
      <c r="AA118" s="33" t="n">
        <f aca="false">N(E118)+N(I118)+N(M118)+N(Q118)+N(U118)+N(Y118)</f>
        <v>0</v>
      </c>
      <c r="AB118" s="24" t="n">
        <f aca="false">F118+J118+N118+R118+V118+Z118</f>
        <v>0</v>
      </c>
      <c r="AC118" s="81" t="str">
        <f aca="false">IF(B118="","",IF(AB118&lt;=0,"Clear",IF(AA118&gt;0,"Partial","Due")))</f>
        <v/>
      </c>
    </row>
    <row r="119" customFormat="false" ht="15" hidden="false" customHeight="false" outlineLevel="0" collapsed="false">
      <c r="A119" s="25" t="n">
        <v>104</v>
      </c>
      <c r="B119" s="82" t="str">
        <f aca="false">IF(Students!B108="","",Students!B108)</f>
        <v/>
      </c>
      <c r="C119" s="37" t="n">
        <f aca="false">'Nov 2026'!F119</f>
        <v>0</v>
      </c>
      <c r="D119" s="37" t="n">
        <f aca="false">IF(B119="",0,N(Students!E108))</f>
        <v>0</v>
      </c>
      <c r="E119" s="23"/>
      <c r="F119" s="26" t="n">
        <f aca="false">N(C119)+N(D119)-N(E119)</f>
        <v>0</v>
      </c>
      <c r="G119" s="37" t="n">
        <f aca="false">'Nov 2026'!J119</f>
        <v>0</v>
      </c>
      <c r="H119" s="37" t="n">
        <f aca="false">IF(B119="",0,N(Students!F108))</f>
        <v>0</v>
      </c>
      <c r="I119" s="23"/>
      <c r="J119" s="26" t="n">
        <f aca="false">N(G119)+N(H119)-N(I119)</f>
        <v>0</v>
      </c>
      <c r="K119" s="37" t="n">
        <f aca="false">'Nov 2026'!N119</f>
        <v>0</v>
      </c>
      <c r="L119" s="37" t="n">
        <f aca="false">IF(B119="",0,N(Students!G108))</f>
        <v>0</v>
      </c>
      <c r="M119" s="23"/>
      <c r="N119" s="26" t="n">
        <f aca="false">N(K119)+N(L119)-N(M119)</f>
        <v>0</v>
      </c>
      <c r="O119" s="37" t="n">
        <f aca="false">'Nov 2026'!R119</f>
        <v>0</v>
      </c>
      <c r="P119" s="37" t="n">
        <f aca="false">IF(B119="",0,N(Students!H108))</f>
        <v>0</v>
      </c>
      <c r="Q119" s="23"/>
      <c r="R119" s="26" t="n">
        <f aca="false">N(O119)+N(P119)-N(Q119)</f>
        <v>0</v>
      </c>
      <c r="S119" s="37" t="n">
        <f aca="false">'Nov 2026'!V119</f>
        <v>0</v>
      </c>
      <c r="T119" s="37" t="n">
        <f aca="false">IF(B119="",0,N(Students!I108))</f>
        <v>0</v>
      </c>
      <c r="U119" s="23"/>
      <c r="V119" s="26" t="n">
        <f aca="false">N(S119)+N(T119)-N(U119)</f>
        <v>0</v>
      </c>
      <c r="W119" s="37" t="n">
        <f aca="false">'Nov 2026'!Z119</f>
        <v>0</v>
      </c>
      <c r="X119" s="37" t="n">
        <f aca="false">IF(B119="",0,N(Students!J108))</f>
        <v>0</v>
      </c>
      <c r="Y119" s="23"/>
      <c r="Z119" s="26" t="n">
        <f aca="false">N(W119)+N(X119)-N(Y119)</f>
        <v>0</v>
      </c>
      <c r="AA119" s="37" t="n">
        <f aca="false">N(E119)+N(I119)+N(M119)+N(Q119)+N(U119)+N(Y119)</f>
        <v>0</v>
      </c>
      <c r="AB119" s="26" t="n">
        <f aca="false">F119+J119+N119+R119+V119+Z119</f>
        <v>0</v>
      </c>
      <c r="AC119" s="83" t="str">
        <f aca="false">IF(B119="","",IF(AB119&lt;=0,"Clear",IF(AA119&gt;0,"Partial","Due")))</f>
        <v/>
      </c>
    </row>
    <row r="120" customFormat="false" ht="15" hidden="false" customHeight="false" outlineLevel="0" collapsed="false">
      <c r="A120" s="21" t="n">
        <v>105</v>
      </c>
      <c r="B120" s="46" t="str">
        <f aca="false">IF(Students!B109="","",Students!B109)</f>
        <v/>
      </c>
      <c r="C120" s="33" t="n">
        <f aca="false">'Nov 2026'!F120</f>
        <v>0</v>
      </c>
      <c r="D120" s="33" t="n">
        <f aca="false">IF(B120="",0,N(Students!E109))</f>
        <v>0</v>
      </c>
      <c r="E120" s="23"/>
      <c r="F120" s="24" t="n">
        <f aca="false">N(C120)+N(D120)-N(E120)</f>
        <v>0</v>
      </c>
      <c r="G120" s="33" t="n">
        <f aca="false">'Nov 2026'!J120</f>
        <v>0</v>
      </c>
      <c r="H120" s="33" t="n">
        <f aca="false">IF(B120="",0,N(Students!F109))</f>
        <v>0</v>
      </c>
      <c r="I120" s="23"/>
      <c r="J120" s="24" t="n">
        <f aca="false">N(G120)+N(H120)-N(I120)</f>
        <v>0</v>
      </c>
      <c r="K120" s="33" t="n">
        <f aca="false">'Nov 2026'!N120</f>
        <v>0</v>
      </c>
      <c r="L120" s="33" t="n">
        <f aca="false">IF(B120="",0,N(Students!G109))</f>
        <v>0</v>
      </c>
      <c r="M120" s="23"/>
      <c r="N120" s="24" t="n">
        <f aca="false">N(K120)+N(L120)-N(M120)</f>
        <v>0</v>
      </c>
      <c r="O120" s="33" t="n">
        <f aca="false">'Nov 2026'!R120</f>
        <v>0</v>
      </c>
      <c r="P120" s="33" t="n">
        <f aca="false">IF(B120="",0,N(Students!H109))</f>
        <v>0</v>
      </c>
      <c r="Q120" s="23"/>
      <c r="R120" s="24" t="n">
        <f aca="false">N(O120)+N(P120)-N(Q120)</f>
        <v>0</v>
      </c>
      <c r="S120" s="33" t="n">
        <f aca="false">'Nov 2026'!V120</f>
        <v>0</v>
      </c>
      <c r="T120" s="33" t="n">
        <f aca="false">IF(B120="",0,N(Students!I109))</f>
        <v>0</v>
      </c>
      <c r="U120" s="23"/>
      <c r="V120" s="24" t="n">
        <f aca="false">N(S120)+N(T120)-N(U120)</f>
        <v>0</v>
      </c>
      <c r="W120" s="33" t="n">
        <f aca="false">'Nov 2026'!Z120</f>
        <v>0</v>
      </c>
      <c r="X120" s="33" t="n">
        <f aca="false">IF(B120="",0,N(Students!J109))</f>
        <v>0</v>
      </c>
      <c r="Y120" s="23"/>
      <c r="Z120" s="24" t="n">
        <f aca="false">N(W120)+N(X120)-N(Y120)</f>
        <v>0</v>
      </c>
      <c r="AA120" s="33" t="n">
        <f aca="false">N(E120)+N(I120)+N(M120)+N(Q120)+N(U120)+N(Y120)</f>
        <v>0</v>
      </c>
      <c r="AB120" s="24" t="n">
        <f aca="false">F120+J120+N120+R120+V120+Z120</f>
        <v>0</v>
      </c>
      <c r="AC120" s="81" t="str">
        <f aca="false">IF(B120="","",IF(AB120&lt;=0,"Clear",IF(AA120&gt;0,"Partial","Due")))</f>
        <v/>
      </c>
    </row>
    <row r="121" customFormat="false" ht="15" hidden="false" customHeight="false" outlineLevel="0" collapsed="false">
      <c r="A121" s="25" t="n">
        <v>106</v>
      </c>
      <c r="B121" s="82" t="str">
        <f aca="false">IF(Students!B110="","",Students!B110)</f>
        <v/>
      </c>
      <c r="C121" s="37" t="n">
        <f aca="false">'Nov 2026'!F121</f>
        <v>0</v>
      </c>
      <c r="D121" s="37" t="n">
        <f aca="false">IF(B121="",0,N(Students!E110))</f>
        <v>0</v>
      </c>
      <c r="E121" s="23"/>
      <c r="F121" s="26" t="n">
        <f aca="false">N(C121)+N(D121)-N(E121)</f>
        <v>0</v>
      </c>
      <c r="G121" s="37" t="n">
        <f aca="false">'Nov 2026'!J121</f>
        <v>0</v>
      </c>
      <c r="H121" s="37" t="n">
        <f aca="false">IF(B121="",0,N(Students!F110))</f>
        <v>0</v>
      </c>
      <c r="I121" s="23"/>
      <c r="J121" s="26" t="n">
        <f aca="false">N(G121)+N(H121)-N(I121)</f>
        <v>0</v>
      </c>
      <c r="K121" s="37" t="n">
        <f aca="false">'Nov 2026'!N121</f>
        <v>0</v>
      </c>
      <c r="L121" s="37" t="n">
        <f aca="false">IF(B121="",0,N(Students!G110))</f>
        <v>0</v>
      </c>
      <c r="M121" s="23"/>
      <c r="N121" s="26" t="n">
        <f aca="false">N(K121)+N(L121)-N(M121)</f>
        <v>0</v>
      </c>
      <c r="O121" s="37" t="n">
        <f aca="false">'Nov 2026'!R121</f>
        <v>0</v>
      </c>
      <c r="P121" s="37" t="n">
        <f aca="false">IF(B121="",0,N(Students!H110))</f>
        <v>0</v>
      </c>
      <c r="Q121" s="23"/>
      <c r="R121" s="26" t="n">
        <f aca="false">N(O121)+N(P121)-N(Q121)</f>
        <v>0</v>
      </c>
      <c r="S121" s="37" t="n">
        <f aca="false">'Nov 2026'!V121</f>
        <v>0</v>
      </c>
      <c r="T121" s="37" t="n">
        <f aca="false">IF(B121="",0,N(Students!I110))</f>
        <v>0</v>
      </c>
      <c r="U121" s="23"/>
      <c r="V121" s="26" t="n">
        <f aca="false">N(S121)+N(T121)-N(U121)</f>
        <v>0</v>
      </c>
      <c r="W121" s="37" t="n">
        <f aca="false">'Nov 2026'!Z121</f>
        <v>0</v>
      </c>
      <c r="X121" s="37" t="n">
        <f aca="false">IF(B121="",0,N(Students!J110))</f>
        <v>0</v>
      </c>
      <c r="Y121" s="23"/>
      <c r="Z121" s="26" t="n">
        <f aca="false">N(W121)+N(X121)-N(Y121)</f>
        <v>0</v>
      </c>
      <c r="AA121" s="37" t="n">
        <f aca="false">N(E121)+N(I121)+N(M121)+N(Q121)+N(U121)+N(Y121)</f>
        <v>0</v>
      </c>
      <c r="AB121" s="26" t="n">
        <f aca="false">F121+J121+N121+R121+V121+Z121</f>
        <v>0</v>
      </c>
      <c r="AC121" s="83" t="str">
        <f aca="false">IF(B121="","",IF(AB121&lt;=0,"Clear",IF(AA121&gt;0,"Partial","Due")))</f>
        <v/>
      </c>
    </row>
    <row r="122" customFormat="false" ht="15" hidden="false" customHeight="false" outlineLevel="0" collapsed="false">
      <c r="A122" s="21" t="n">
        <v>107</v>
      </c>
      <c r="B122" s="46" t="str">
        <f aca="false">IF(Students!B111="","",Students!B111)</f>
        <v/>
      </c>
      <c r="C122" s="33" t="n">
        <f aca="false">'Nov 2026'!F122</f>
        <v>0</v>
      </c>
      <c r="D122" s="33" t="n">
        <f aca="false">IF(B122="",0,N(Students!E111))</f>
        <v>0</v>
      </c>
      <c r="E122" s="23"/>
      <c r="F122" s="24" t="n">
        <f aca="false">N(C122)+N(D122)-N(E122)</f>
        <v>0</v>
      </c>
      <c r="G122" s="33" t="n">
        <f aca="false">'Nov 2026'!J122</f>
        <v>0</v>
      </c>
      <c r="H122" s="33" t="n">
        <f aca="false">IF(B122="",0,N(Students!F111))</f>
        <v>0</v>
      </c>
      <c r="I122" s="23"/>
      <c r="J122" s="24" t="n">
        <f aca="false">N(G122)+N(H122)-N(I122)</f>
        <v>0</v>
      </c>
      <c r="K122" s="33" t="n">
        <f aca="false">'Nov 2026'!N122</f>
        <v>0</v>
      </c>
      <c r="L122" s="33" t="n">
        <f aca="false">IF(B122="",0,N(Students!G111))</f>
        <v>0</v>
      </c>
      <c r="M122" s="23"/>
      <c r="N122" s="24" t="n">
        <f aca="false">N(K122)+N(L122)-N(M122)</f>
        <v>0</v>
      </c>
      <c r="O122" s="33" t="n">
        <f aca="false">'Nov 2026'!R122</f>
        <v>0</v>
      </c>
      <c r="P122" s="33" t="n">
        <f aca="false">IF(B122="",0,N(Students!H111))</f>
        <v>0</v>
      </c>
      <c r="Q122" s="23"/>
      <c r="R122" s="24" t="n">
        <f aca="false">N(O122)+N(P122)-N(Q122)</f>
        <v>0</v>
      </c>
      <c r="S122" s="33" t="n">
        <f aca="false">'Nov 2026'!V122</f>
        <v>0</v>
      </c>
      <c r="T122" s="33" t="n">
        <f aca="false">IF(B122="",0,N(Students!I111))</f>
        <v>0</v>
      </c>
      <c r="U122" s="23"/>
      <c r="V122" s="24" t="n">
        <f aca="false">N(S122)+N(T122)-N(U122)</f>
        <v>0</v>
      </c>
      <c r="W122" s="33" t="n">
        <f aca="false">'Nov 2026'!Z122</f>
        <v>0</v>
      </c>
      <c r="X122" s="33" t="n">
        <f aca="false">IF(B122="",0,N(Students!J111))</f>
        <v>0</v>
      </c>
      <c r="Y122" s="23"/>
      <c r="Z122" s="24" t="n">
        <f aca="false">N(W122)+N(X122)-N(Y122)</f>
        <v>0</v>
      </c>
      <c r="AA122" s="33" t="n">
        <f aca="false">N(E122)+N(I122)+N(M122)+N(Q122)+N(U122)+N(Y122)</f>
        <v>0</v>
      </c>
      <c r="AB122" s="24" t="n">
        <f aca="false">F122+J122+N122+R122+V122+Z122</f>
        <v>0</v>
      </c>
      <c r="AC122" s="81" t="str">
        <f aca="false">IF(B122="","",IF(AB122&lt;=0,"Clear",IF(AA122&gt;0,"Partial","Due")))</f>
        <v/>
      </c>
    </row>
    <row r="123" customFormat="false" ht="15" hidden="false" customHeight="false" outlineLevel="0" collapsed="false">
      <c r="A123" s="25" t="n">
        <v>108</v>
      </c>
      <c r="B123" s="82" t="str">
        <f aca="false">IF(Students!B112="","",Students!B112)</f>
        <v/>
      </c>
      <c r="C123" s="37" t="n">
        <f aca="false">'Nov 2026'!F123</f>
        <v>0</v>
      </c>
      <c r="D123" s="37" t="n">
        <f aca="false">IF(B123="",0,N(Students!E112))</f>
        <v>0</v>
      </c>
      <c r="E123" s="23"/>
      <c r="F123" s="26" t="n">
        <f aca="false">N(C123)+N(D123)-N(E123)</f>
        <v>0</v>
      </c>
      <c r="G123" s="37" t="n">
        <f aca="false">'Nov 2026'!J123</f>
        <v>0</v>
      </c>
      <c r="H123" s="37" t="n">
        <f aca="false">IF(B123="",0,N(Students!F112))</f>
        <v>0</v>
      </c>
      <c r="I123" s="23"/>
      <c r="J123" s="26" t="n">
        <f aca="false">N(G123)+N(H123)-N(I123)</f>
        <v>0</v>
      </c>
      <c r="K123" s="37" t="n">
        <f aca="false">'Nov 2026'!N123</f>
        <v>0</v>
      </c>
      <c r="L123" s="37" t="n">
        <f aca="false">IF(B123="",0,N(Students!G112))</f>
        <v>0</v>
      </c>
      <c r="M123" s="23"/>
      <c r="N123" s="26" t="n">
        <f aca="false">N(K123)+N(L123)-N(M123)</f>
        <v>0</v>
      </c>
      <c r="O123" s="37" t="n">
        <f aca="false">'Nov 2026'!R123</f>
        <v>0</v>
      </c>
      <c r="P123" s="37" t="n">
        <f aca="false">IF(B123="",0,N(Students!H112))</f>
        <v>0</v>
      </c>
      <c r="Q123" s="23"/>
      <c r="R123" s="26" t="n">
        <f aca="false">N(O123)+N(P123)-N(Q123)</f>
        <v>0</v>
      </c>
      <c r="S123" s="37" t="n">
        <f aca="false">'Nov 2026'!V123</f>
        <v>0</v>
      </c>
      <c r="T123" s="37" t="n">
        <f aca="false">IF(B123="",0,N(Students!I112))</f>
        <v>0</v>
      </c>
      <c r="U123" s="23"/>
      <c r="V123" s="26" t="n">
        <f aca="false">N(S123)+N(T123)-N(U123)</f>
        <v>0</v>
      </c>
      <c r="W123" s="37" t="n">
        <f aca="false">'Nov 2026'!Z123</f>
        <v>0</v>
      </c>
      <c r="X123" s="37" t="n">
        <f aca="false">IF(B123="",0,N(Students!J112))</f>
        <v>0</v>
      </c>
      <c r="Y123" s="23"/>
      <c r="Z123" s="26" t="n">
        <f aca="false">N(W123)+N(X123)-N(Y123)</f>
        <v>0</v>
      </c>
      <c r="AA123" s="37" t="n">
        <f aca="false">N(E123)+N(I123)+N(M123)+N(Q123)+N(U123)+N(Y123)</f>
        <v>0</v>
      </c>
      <c r="AB123" s="26" t="n">
        <f aca="false">F123+J123+N123+R123+V123+Z123</f>
        <v>0</v>
      </c>
      <c r="AC123" s="83" t="str">
        <f aca="false">IF(B123="","",IF(AB123&lt;=0,"Clear",IF(AA123&gt;0,"Partial","Due")))</f>
        <v/>
      </c>
    </row>
    <row r="124" customFormat="false" ht="15" hidden="false" customHeight="false" outlineLevel="0" collapsed="false">
      <c r="A124" s="21" t="n">
        <v>109</v>
      </c>
      <c r="B124" s="46" t="str">
        <f aca="false">IF(Students!B113="","",Students!B113)</f>
        <v/>
      </c>
      <c r="C124" s="33" t="n">
        <f aca="false">'Nov 2026'!F124</f>
        <v>0</v>
      </c>
      <c r="D124" s="33" t="n">
        <f aca="false">IF(B124="",0,N(Students!E113))</f>
        <v>0</v>
      </c>
      <c r="E124" s="23"/>
      <c r="F124" s="24" t="n">
        <f aca="false">N(C124)+N(D124)-N(E124)</f>
        <v>0</v>
      </c>
      <c r="G124" s="33" t="n">
        <f aca="false">'Nov 2026'!J124</f>
        <v>0</v>
      </c>
      <c r="H124" s="33" t="n">
        <f aca="false">IF(B124="",0,N(Students!F113))</f>
        <v>0</v>
      </c>
      <c r="I124" s="23"/>
      <c r="J124" s="24" t="n">
        <f aca="false">N(G124)+N(H124)-N(I124)</f>
        <v>0</v>
      </c>
      <c r="K124" s="33" t="n">
        <f aca="false">'Nov 2026'!N124</f>
        <v>0</v>
      </c>
      <c r="L124" s="33" t="n">
        <f aca="false">IF(B124="",0,N(Students!G113))</f>
        <v>0</v>
      </c>
      <c r="M124" s="23"/>
      <c r="N124" s="24" t="n">
        <f aca="false">N(K124)+N(L124)-N(M124)</f>
        <v>0</v>
      </c>
      <c r="O124" s="33" t="n">
        <f aca="false">'Nov 2026'!R124</f>
        <v>0</v>
      </c>
      <c r="P124" s="33" t="n">
        <f aca="false">IF(B124="",0,N(Students!H113))</f>
        <v>0</v>
      </c>
      <c r="Q124" s="23"/>
      <c r="R124" s="24" t="n">
        <f aca="false">N(O124)+N(P124)-N(Q124)</f>
        <v>0</v>
      </c>
      <c r="S124" s="33" t="n">
        <f aca="false">'Nov 2026'!V124</f>
        <v>0</v>
      </c>
      <c r="T124" s="33" t="n">
        <f aca="false">IF(B124="",0,N(Students!I113))</f>
        <v>0</v>
      </c>
      <c r="U124" s="23"/>
      <c r="V124" s="24" t="n">
        <f aca="false">N(S124)+N(T124)-N(U124)</f>
        <v>0</v>
      </c>
      <c r="W124" s="33" t="n">
        <f aca="false">'Nov 2026'!Z124</f>
        <v>0</v>
      </c>
      <c r="X124" s="33" t="n">
        <f aca="false">IF(B124="",0,N(Students!J113))</f>
        <v>0</v>
      </c>
      <c r="Y124" s="23"/>
      <c r="Z124" s="24" t="n">
        <f aca="false">N(W124)+N(X124)-N(Y124)</f>
        <v>0</v>
      </c>
      <c r="AA124" s="33" t="n">
        <f aca="false">N(E124)+N(I124)+N(M124)+N(Q124)+N(U124)+N(Y124)</f>
        <v>0</v>
      </c>
      <c r="AB124" s="24" t="n">
        <f aca="false">F124+J124+N124+R124+V124+Z124</f>
        <v>0</v>
      </c>
      <c r="AC124" s="81" t="str">
        <f aca="false">IF(B124="","",IF(AB124&lt;=0,"Clear",IF(AA124&gt;0,"Partial","Due")))</f>
        <v/>
      </c>
    </row>
    <row r="125" customFormat="false" ht="15" hidden="false" customHeight="false" outlineLevel="0" collapsed="false">
      <c r="A125" s="25" t="n">
        <v>110</v>
      </c>
      <c r="B125" s="82" t="str">
        <f aca="false">IF(Students!B114="","",Students!B114)</f>
        <v/>
      </c>
      <c r="C125" s="37" t="n">
        <f aca="false">'Nov 2026'!F125</f>
        <v>0</v>
      </c>
      <c r="D125" s="37" t="n">
        <f aca="false">IF(B125="",0,N(Students!E114))</f>
        <v>0</v>
      </c>
      <c r="E125" s="23"/>
      <c r="F125" s="26" t="n">
        <f aca="false">N(C125)+N(D125)-N(E125)</f>
        <v>0</v>
      </c>
      <c r="G125" s="37" t="n">
        <f aca="false">'Nov 2026'!J125</f>
        <v>0</v>
      </c>
      <c r="H125" s="37" t="n">
        <f aca="false">IF(B125="",0,N(Students!F114))</f>
        <v>0</v>
      </c>
      <c r="I125" s="23"/>
      <c r="J125" s="26" t="n">
        <f aca="false">N(G125)+N(H125)-N(I125)</f>
        <v>0</v>
      </c>
      <c r="K125" s="37" t="n">
        <f aca="false">'Nov 2026'!N125</f>
        <v>0</v>
      </c>
      <c r="L125" s="37" t="n">
        <f aca="false">IF(B125="",0,N(Students!G114))</f>
        <v>0</v>
      </c>
      <c r="M125" s="23"/>
      <c r="N125" s="26" t="n">
        <f aca="false">N(K125)+N(L125)-N(M125)</f>
        <v>0</v>
      </c>
      <c r="O125" s="37" t="n">
        <f aca="false">'Nov 2026'!R125</f>
        <v>0</v>
      </c>
      <c r="P125" s="37" t="n">
        <f aca="false">IF(B125="",0,N(Students!H114))</f>
        <v>0</v>
      </c>
      <c r="Q125" s="23"/>
      <c r="R125" s="26" t="n">
        <f aca="false">N(O125)+N(P125)-N(Q125)</f>
        <v>0</v>
      </c>
      <c r="S125" s="37" t="n">
        <f aca="false">'Nov 2026'!V125</f>
        <v>0</v>
      </c>
      <c r="T125" s="37" t="n">
        <f aca="false">IF(B125="",0,N(Students!I114))</f>
        <v>0</v>
      </c>
      <c r="U125" s="23"/>
      <c r="V125" s="26" t="n">
        <f aca="false">N(S125)+N(T125)-N(U125)</f>
        <v>0</v>
      </c>
      <c r="W125" s="37" t="n">
        <f aca="false">'Nov 2026'!Z125</f>
        <v>0</v>
      </c>
      <c r="X125" s="37" t="n">
        <f aca="false">IF(B125="",0,N(Students!J114))</f>
        <v>0</v>
      </c>
      <c r="Y125" s="23"/>
      <c r="Z125" s="26" t="n">
        <f aca="false">N(W125)+N(X125)-N(Y125)</f>
        <v>0</v>
      </c>
      <c r="AA125" s="37" t="n">
        <f aca="false">N(E125)+N(I125)+N(M125)+N(Q125)+N(U125)+N(Y125)</f>
        <v>0</v>
      </c>
      <c r="AB125" s="26" t="n">
        <f aca="false">F125+J125+N125+R125+V125+Z125</f>
        <v>0</v>
      </c>
      <c r="AC125" s="83" t="str">
        <f aca="false">IF(B125="","",IF(AB125&lt;=0,"Clear",IF(AA125&gt;0,"Partial","Due")))</f>
        <v/>
      </c>
    </row>
    <row r="126" customFormat="false" ht="15" hidden="false" customHeight="false" outlineLevel="0" collapsed="false">
      <c r="A126" s="21" t="n">
        <v>111</v>
      </c>
      <c r="B126" s="46" t="str">
        <f aca="false">IF(Students!B115="","",Students!B115)</f>
        <v/>
      </c>
      <c r="C126" s="33" t="n">
        <f aca="false">'Nov 2026'!F126</f>
        <v>0</v>
      </c>
      <c r="D126" s="33" t="n">
        <f aca="false">IF(B126="",0,N(Students!E115))</f>
        <v>0</v>
      </c>
      <c r="E126" s="23"/>
      <c r="F126" s="24" t="n">
        <f aca="false">N(C126)+N(D126)-N(E126)</f>
        <v>0</v>
      </c>
      <c r="G126" s="33" t="n">
        <f aca="false">'Nov 2026'!J126</f>
        <v>0</v>
      </c>
      <c r="H126" s="33" t="n">
        <f aca="false">IF(B126="",0,N(Students!F115))</f>
        <v>0</v>
      </c>
      <c r="I126" s="23"/>
      <c r="J126" s="24" t="n">
        <f aca="false">N(G126)+N(H126)-N(I126)</f>
        <v>0</v>
      </c>
      <c r="K126" s="33" t="n">
        <f aca="false">'Nov 2026'!N126</f>
        <v>0</v>
      </c>
      <c r="L126" s="33" t="n">
        <f aca="false">IF(B126="",0,N(Students!G115))</f>
        <v>0</v>
      </c>
      <c r="M126" s="23"/>
      <c r="N126" s="24" t="n">
        <f aca="false">N(K126)+N(L126)-N(M126)</f>
        <v>0</v>
      </c>
      <c r="O126" s="33" t="n">
        <f aca="false">'Nov 2026'!R126</f>
        <v>0</v>
      </c>
      <c r="P126" s="33" t="n">
        <f aca="false">IF(B126="",0,N(Students!H115))</f>
        <v>0</v>
      </c>
      <c r="Q126" s="23"/>
      <c r="R126" s="24" t="n">
        <f aca="false">N(O126)+N(P126)-N(Q126)</f>
        <v>0</v>
      </c>
      <c r="S126" s="33" t="n">
        <f aca="false">'Nov 2026'!V126</f>
        <v>0</v>
      </c>
      <c r="T126" s="33" t="n">
        <f aca="false">IF(B126="",0,N(Students!I115))</f>
        <v>0</v>
      </c>
      <c r="U126" s="23"/>
      <c r="V126" s="24" t="n">
        <f aca="false">N(S126)+N(T126)-N(U126)</f>
        <v>0</v>
      </c>
      <c r="W126" s="33" t="n">
        <f aca="false">'Nov 2026'!Z126</f>
        <v>0</v>
      </c>
      <c r="X126" s="33" t="n">
        <f aca="false">IF(B126="",0,N(Students!J115))</f>
        <v>0</v>
      </c>
      <c r="Y126" s="23"/>
      <c r="Z126" s="24" t="n">
        <f aca="false">N(W126)+N(X126)-N(Y126)</f>
        <v>0</v>
      </c>
      <c r="AA126" s="33" t="n">
        <f aca="false">N(E126)+N(I126)+N(M126)+N(Q126)+N(U126)+N(Y126)</f>
        <v>0</v>
      </c>
      <c r="AB126" s="24" t="n">
        <f aca="false">F126+J126+N126+R126+V126+Z126</f>
        <v>0</v>
      </c>
      <c r="AC126" s="81" t="str">
        <f aca="false">IF(B126="","",IF(AB126&lt;=0,"Clear",IF(AA126&gt;0,"Partial","Due")))</f>
        <v/>
      </c>
    </row>
    <row r="127" customFormat="false" ht="15" hidden="false" customHeight="false" outlineLevel="0" collapsed="false">
      <c r="A127" s="25" t="n">
        <v>112</v>
      </c>
      <c r="B127" s="82" t="str">
        <f aca="false">IF(Students!B116="","",Students!B116)</f>
        <v/>
      </c>
      <c r="C127" s="37" t="n">
        <f aca="false">'Nov 2026'!F127</f>
        <v>0</v>
      </c>
      <c r="D127" s="37" t="n">
        <f aca="false">IF(B127="",0,N(Students!E116))</f>
        <v>0</v>
      </c>
      <c r="E127" s="23"/>
      <c r="F127" s="26" t="n">
        <f aca="false">N(C127)+N(D127)-N(E127)</f>
        <v>0</v>
      </c>
      <c r="G127" s="37" t="n">
        <f aca="false">'Nov 2026'!J127</f>
        <v>0</v>
      </c>
      <c r="H127" s="37" t="n">
        <f aca="false">IF(B127="",0,N(Students!F116))</f>
        <v>0</v>
      </c>
      <c r="I127" s="23"/>
      <c r="J127" s="26" t="n">
        <f aca="false">N(G127)+N(H127)-N(I127)</f>
        <v>0</v>
      </c>
      <c r="K127" s="37" t="n">
        <f aca="false">'Nov 2026'!N127</f>
        <v>0</v>
      </c>
      <c r="L127" s="37" t="n">
        <f aca="false">IF(B127="",0,N(Students!G116))</f>
        <v>0</v>
      </c>
      <c r="M127" s="23"/>
      <c r="N127" s="26" t="n">
        <f aca="false">N(K127)+N(L127)-N(M127)</f>
        <v>0</v>
      </c>
      <c r="O127" s="37" t="n">
        <f aca="false">'Nov 2026'!R127</f>
        <v>0</v>
      </c>
      <c r="P127" s="37" t="n">
        <f aca="false">IF(B127="",0,N(Students!H116))</f>
        <v>0</v>
      </c>
      <c r="Q127" s="23"/>
      <c r="R127" s="26" t="n">
        <f aca="false">N(O127)+N(P127)-N(Q127)</f>
        <v>0</v>
      </c>
      <c r="S127" s="37" t="n">
        <f aca="false">'Nov 2026'!V127</f>
        <v>0</v>
      </c>
      <c r="T127" s="37" t="n">
        <f aca="false">IF(B127="",0,N(Students!I116))</f>
        <v>0</v>
      </c>
      <c r="U127" s="23"/>
      <c r="V127" s="26" t="n">
        <f aca="false">N(S127)+N(T127)-N(U127)</f>
        <v>0</v>
      </c>
      <c r="W127" s="37" t="n">
        <f aca="false">'Nov 2026'!Z127</f>
        <v>0</v>
      </c>
      <c r="X127" s="37" t="n">
        <f aca="false">IF(B127="",0,N(Students!J116))</f>
        <v>0</v>
      </c>
      <c r="Y127" s="23"/>
      <c r="Z127" s="26" t="n">
        <f aca="false">N(W127)+N(X127)-N(Y127)</f>
        <v>0</v>
      </c>
      <c r="AA127" s="37" t="n">
        <f aca="false">N(E127)+N(I127)+N(M127)+N(Q127)+N(U127)+N(Y127)</f>
        <v>0</v>
      </c>
      <c r="AB127" s="26" t="n">
        <f aca="false">F127+J127+N127+R127+V127+Z127</f>
        <v>0</v>
      </c>
      <c r="AC127" s="83" t="str">
        <f aca="false">IF(B127="","",IF(AB127&lt;=0,"Clear",IF(AA127&gt;0,"Partial","Due")))</f>
        <v/>
      </c>
    </row>
    <row r="128" customFormat="false" ht="15" hidden="false" customHeight="false" outlineLevel="0" collapsed="false">
      <c r="A128" s="21" t="n">
        <v>113</v>
      </c>
      <c r="B128" s="46" t="str">
        <f aca="false">IF(Students!B117="","",Students!B117)</f>
        <v/>
      </c>
      <c r="C128" s="33" t="n">
        <f aca="false">'Nov 2026'!F128</f>
        <v>0</v>
      </c>
      <c r="D128" s="33" t="n">
        <f aca="false">IF(B128="",0,N(Students!E117))</f>
        <v>0</v>
      </c>
      <c r="E128" s="23"/>
      <c r="F128" s="24" t="n">
        <f aca="false">N(C128)+N(D128)-N(E128)</f>
        <v>0</v>
      </c>
      <c r="G128" s="33" t="n">
        <f aca="false">'Nov 2026'!J128</f>
        <v>0</v>
      </c>
      <c r="H128" s="33" t="n">
        <f aca="false">IF(B128="",0,N(Students!F117))</f>
        <v>0</v>
      </c>
      <c r="I128" s="23"/>
      <c r="J128" s="24" t="n">
        <f aca="false">N(G128)+N(H128)-N(I128)</f>
        <v>0</v>
      </c>
      <c r="K128" s="33" t="n">
        <f aca="false">'Nov 2026'!N128</f>
        <v>0</v>
      </c>
      <c r="L128" s="33" t="n">
        <f aca="false">IF(B128="",0,N(Students!G117))</f>
        <v>0</v>
      </c>
      <c r="M128" s="23"/>
      <c r="N128" s="24" t="n">
        <f aca="false">N(K128)+N(L128)-N(M128)</f>
        <v>0</v>
      </c>
      <c r="O128" s="33" t="n">
        <f aca="false">'Nov 2026'!R128</f>
        <v>0</v>
      </c>
      <c r="P128" s="33" t="n">
        <f aca="false">IF(B128="",0,N(Students!H117))</f>
        <v>0</v>
      </c>
      <c r="Q128" s="23"/>
      <c r="R128" s="24" t="n">
        <f aca="false">N(O128)+N(P128)-N(Q128)</f>
        <v>0</v>
      </c>
      <c r="S128" s="33" t="n">
        <f aca="false">'Nov 2026'!V128</f>
        <v>0</v>
      </c>
      <c r="T128" s="33" t="n">
        <f aca="false">IF(B128="",0,N(Students!I117))</f>
        <v>0</v>
      </c>
      <c r="U128" s="23"/>
      <c r="V128" s="24" t="n">
        <f aca="false">N(S128)+N(T128)-N(U128)</f>
        <v>0</v>
      </c>
      <c r="W128" s="33" t="n">
        <f aca="false">'Nov 2026'!Z128</f>
        <v>0</v>
      </c>
      <c r="X128" s="33" t="n">
        <f aca="false">IF(B128="",0,N(Students!J117))</f>
        <v>0</v>
      </c>
      <c r="Y128" s="23"/>
      <c r="Z128" s="24" t="n">
        <f aca="false">N(W128)+N(X128)-N(Y128)</f>
        <v>0</v>
      </c>
      <c r="AA128" s="33" t="n">
        <f aca="false">N(E128)+N(I128)+N(M128)+N(Q128)+N(U128)+N(Y128)</f>
        <v>0</v>
      </c>
      <c r="AB128" s="24" t="n">
        <f aca="false">F128+J128+N128+R128+V128+Z128</f>
        <v>0</v>
      </c>
      <c r="AC128" s="81" t="str">
        <f aca="false">IF(B128="","",IF(AB128&lt;=0,"Clear",IF(AA128&gt;0,"Partial","Due")))</f>
        <v/>
      </c>
    </row>
    <row r="129" customFormat="false" ht="15" hidden="false" customHeight="false" outlineLevel="0" collapsed="false">
      <c r="A129" s="25" t="n">
        <v>114</v>
      </c>
      <c r="B129" s="82" t="str">
        <f aca="false">IF(Students!B118="","",Students!B118)</f>
        <v/>
      </c>
      <c r="C129" s="37" t="n">
        <f aca="false">'Nov 2026'!F129</f>
        <v>0</v>
      </c>
      <c r="D129" s="37" t="n">
        <f aca="false">IF(B129="",0,N(Students!E118))</f>
        <v>0</v>
      </c>
      <c r="E129" s="23"/>
      <c r="F129" s="26" t="n">
        <f aca="false">N(C129)+N(D129)-N(E129)</f>
        <v>0</v>
      </c>
      <c r="G129" s="37" t="n">
        <f aca="false">'Nov 2026'!J129</f>
        <v>0</v>
      </c>
      <c r="H129" s="37" t="n">
        <f aca="false">IF(B129="",0,N(Students!F118))</f>
        <v>0</v>
      </c>
      <c r="I129" s="23"/>
      <c r="J129" s="26" t="n">
        <f aca="false">N(G129)+N(H129)-N(I129)</f>
        <v>0</v>
      </c>
      <c r="K129" s="37" t="n">
        <f aca="false">'Nov 2026'!N129</f>
        <v>0</v>
      </c>
      <c r="L129" s="37" t="n">
        <f aca="false">IF(B129="",0,N(Students!G118))</f>
        <v>0</v>
      </c>
      <c r="M129" s="23"/>
      <c r="N129" s="26" t="n">
        <f aca="false">N(K129)+N(L129)-N(M129)</f>
        <v>0</v>
      </c>
      <c r="O129" s="37" t="n">
        <f aca="false">'Nov 2026'!R129</f>
        <v>0</v>
      </c>
      <c r="P129" s="37" t="n">
        <f aca="false">IF(B129="",0,N(Students!H118))</f>
        <v>0</v>
      </c>
      <c r="Q129" s="23"/>
      <c r="R129" s="26" t="n">
        <f aca="false">N(O129)+N(P129)-N(Q129)</f>
        <v>0</v>
      </c>
      <c r="S129" s="37" t="n">
        <f aca="false">'Nov 2026'!V129</f>
        <v>0</v>
      </c>
      <c r="T129" s="37" t="n">
        <f aca="false">IF(B129="",0,N(Students!I118))</f>
        <v>0</v>
      </c>
      <c r="U129" s="23"/>
      <c r="V129" s="26" t="n">
        <f aca="false">N(S129)+N(T129)-N(U129)</f>
        <v>0</v>
      </c>
      <c r="W129" s="37" t="n">
        <f aca="false">'Nov 2026'!Z129</f>
        <v>0</v>
      </c>
      <c r="X129" s="37" t="n">
        <f aca="false">IF(B129="",0,N(Students!J118))</f>
        <v>0</v>
      </c>
      <c r="Y129" s="23"/>
      <c r="Z129" s="26" t="n">
        <f aca="false">N(W129)+N(X129)-N(Y129)</f>
        <v>0</v>
      </c>
      <c r="AA129" s="37" t="n">
        <f aca="false">N(E129)+N(I129)+N(M129)+N(Q129)+N(U129)+N(Y129)</f>
        <v>0</v>
      </c>
      <c r="AB129" s="26" t="n">
        <f aca="false">F129+J129+N129+R129+V129+Z129</f>
        <v>0</v>
      </c>
      <c r="AC129" s="83" t="str">
        <f aca="false">IF(B129="","",IF(AB129&lt;=0,"Clear",IF(AA129&gt;0,"Partial","Due")))</f>
        <v/>
      </c>
    </row>
    <row r="130" customFormat="false" ht="15" hidden="false" customHeight="false" outlineLevel="0" collapsed="false">
      <c r="A130" s="21" t="n">
        <v>115</v>
      </c>
      <c r="B130" s="46" t="str">
        <f aca="false">IF(Students!B119="","",Students!B119)</f>
        <v/>
      </c>
      <c r="C130" s="33" t="n">
        <f aca="false">'Nov 2026'!F130</f>
        <v>0</v>
      </c>
      <c r="D130" s="33" t="n">
        <f aca="false">IF(B130="",0,N(Students!E119))</f>
        <v>0</v>
      </c>
      <c r="E130" s="23"/>
      <c r="F130" s="24" t="n">
        <f aca="false">N(C130)+N(D130)-N(E130)</f>
        <v>0</v>
      </c>
      <c r="G130" s="33" t="n">
        <f aca="false">'Nov 2026'!J130</f>
        <v>0</v>
      </c>
      <c r="H130" s="33" t="n">
        <f aca="false">IF(B130="",0,N(Students!F119))</f>
        <v>0</v>
      </c>
      <c r="I130" s="23"/>
      <c r="J130" s="24" t="n">
        <f aca="false">N(G130)+N(H130)-N(I130)</f>
        <v>0</v>
      </c>
      <c r="K130" s="33" t="n">
        <f aca="false">'Nov 2026'!N130</f>
        <v>0</v>
      </c>
      <c r="L130" s="33" t="n">
        <f aca="false">IF(B130="",0,N(Students!G119))</f>
        <v>0</v>
      </c>
      <c r="M130" s="23"/>
      <c r="N130" s="24" t="n">
        <f aca="false">N(K130)+N(L130)-N(M130)</f>
        <v>0</v>
      </c>
      <c r="O130" s="33" t="n">
        <f aca="false">'Nov 2026'!R130</f>
        <v>0</v>
      </c>
      <c r="P130" s="33" t="n">
        <f aca="false">IF(B130="",0,N(Students!H119))</f>
        <v>0</v>
      </c>
      <c r="Q130" s="23"/>
      <c r="R130" s="24" t="n">
        <f aca="false">N(O130)+N(P130)-N(Q130)</f>
        <v>0</v>
      </c>
      <c r="S130" s="33" t="n">
        <f aca="false">'Nov 2026'!V130</f>
        <v>0</v>
      </c>
      <c r="T130" s="33" t="n">
        <f aca="false">IF(B130="",0,N(Students!I119))</f>
        <v>0</v>
      </c>
      <c r="U130" s="23"/>
      <c r="V130" s="24" t="n">
        <f aca="false">N(S130)+N(T130)-N(U130)</f>
        <v>0</v>
      </c>
      <c r="W130" s="33" t="n">
        <f aca="false">'Nov 2026'!Z130</f>
        <v>0</v>
      </c>
      <c r="X130" s="33" t="n">
        <f aca="false">IF(B130="",0,N(Students!J119))</f>
        <v>0</v>
      </c>
      <c r="Y130" s="23"/>
      <c r="Z130" s="24" t="n">
        <f aca="false">N(W130)+N(X130)-N(Y130)</f>
        <v>0</v>
      </c>
      <c r="AA130" s="33" t="n">
        <f aca="false">N(E130)+N(I130)+N(M130)+N(Q130)+N(U130)+N(Y130)</f>
        <v>0</v>
      </c>
      <c r="AB130" s="24" t="n">
        <f aca="false">F130+J130+N130+R130+V130+Z130</f>
        <v>0</v>
      </c>
      <c r="AC130" s="81" t="str">
        <f aca="false">IF(B130="","",IF(AB130&lt;=0,"Clear",IF(AA130&gt;0,"Partial","Due")))</f>
        <v/>
      </c>
    </row>
    <row r="131" customFormat="false" ht="15" hidden="false" customHeight="false" outlineLevel="0" collapsed="false">
      <c r="A131" s="25" t="n">
        <v>116</v>
      </c>
      <c r="B131" s="82" t="str">
        <f aca="false">IF(Students!B120="","",Students!B120)</f>
        <v/>
      </c>
      <c r="C131" s="37" t="n">
        <f aca="false">'Nov 2026'!F131</f>
        <v>0</v>
      </c>
      <c r="D131" s="37" t="n">
        <f aca="false">IF(B131="",0,N(Students!E120))</f>
        <v>0</v>
      </c>
      <c r="E131" s="23"/>
      <c r="F131" s="26" t="n">
        <f aca="false">N(C131)+N(D131)-N(E131)</f>
        <v>0</v>
      </c>
      <c r="G131" s="37" t="n">
        <f aca="false">'Nov 2026'!J131</f>
        <v>0</v>
      </c>
      <c r="H131" s="37" t="n">
        <f aca="false">IF(B131="",0,N(Students!F120))</f>
        <v>0</v>
      </c>
      <c r="I131" s="23"/>
      <c r="J131" s="26" t="n">
        <f aca="false">N(G131)+N(H131)-N(I131)</f>
        <v>0</v>
      </c>
      <c r="K131" s="37" t="n">
        <f aca="false">'Nov 2026'!N131</f>
        <v>0</v>
      </c>
      <c r="L131" s="37" t="n">
        <f aca="false">IF(B131="",0,N(Students!G120))</f>
        <v>0</v>
      </c>
      <c r="M131" s="23"/>
      <c r="N131" s="26" t="n">
        <f aca="false">N(K131)+N(L131)-N(M131)</f>
        <v>0</v>
      </c>
      <c r="O131" s="37" t="n">
        <f aca="false">'Nov 2026'!R131</f>
        <v>0</v>
      </c>
      <c r="P131" s="37" t="n">
        <f aca="false">IF(B131="",0,N(Students!H120))</f>
        <v>0</v>
      </c>
      <c r="Q131" s="23"/>
      <c r="R131" s="26" t="n">
        <f aca="false">N(O131)+N(P131)-N(Q131)</f>
        <v>0</v>
      </c>
      <c r="S131" s="37" t="n">
        <f aca="false">'Nov 2026'!V131</f>
        <v>0</v>
      </c>
      <c r="T131" s="37" t="n">
        <f aca="false">IF(B131="",0,N(Students!I120))</f>
        <v>0</v>
      </c>
      <c r="U131" s="23"/>
      <c r="V131" s="26" t="n">
        <f aca="false">N(S131)+N(T131)-N(U131)</f>
        <v>0</v>
      </c>
      <c r="W131" s="37" t="n">
        <f aca="false">'Nov 2026'!Z131</f>
        <v>0</v>
      </c>
      <c r="X131" s="37" t="n">
        <f aca="false">IF(B131="",0,N(Students!J120))</f>
        <v>0</v>
      </c>
      <c r="Y131" s="23"/>
      <c r="Z131" s="26" t="n">
        <f aca="false">N(W131)+N(X131)-N(Y131)</f>
        <v>0</v>
      </c>
      <c r="AA131" s="37" t="n">
        <f aca="false">N(E131)+N(I131)+N(M131)+N(Q131)+N(U131)+N(Y131)</f>
        <v>0</v>
      </c>
      <c r="AB131" s="26" t="n">
        <f aca="false">F131+J131+N131+R131+V131+Z131</f>
        <v>0</v>
      </c>
      <c r="AC131" s="83" t="str">
        <f aca="false">IF(B131="","",IF(AB131&lt;=0,"Clear",IF(AA131&gt;0,"Partial","Due")))</f>
        <v/>
      </c>
    </row>
    <row r="132" customFormat="false" ht="15" hidden="false" customHeight="false" outlineLevel="0" collapsed="false">
      <c r="A132" s="21" t="n">
        <v>117</v>
      </c>
      <c r="B132" s="46" t="str">
        <f aca="false">IF(Students!B121="","",Students!B121)</f>
        <v/>
      </c>
      <c r="C132" s="33" t="n">
        <f aca="false">'Nov 2026'!F132</f>
        <v>0</v>
      </c>
      <c r="D132" s="33" t="n">
        <f aca="false">IF(B132="",0,N(Students!E121))</f>
        <v>0</v>
      </c>
      <c r="E132" s="23"/>
      <c r="F132" s="24" t="n">
        <f aca="false">N(C132)+N(D132)-N(E132)</f>
        <v>0</v>
      </c>
      <c r="G132" s="33" t="n">
        <f aca="false">'Nov 2026'!J132</f>
        <v>0</v>
      </c>
      <c r="H132" s="33" t="n">
        <f aca="false">IF(B132="",0,N(Students!F121))</f>
        <v>0</v>
      </c>
      <c r="I132" s="23"/>
      <c r="J132" s="24" t="n">
        <f aca="false">N(G132)+N(H132)-N(I132)</f>
        <v>0</v>
      </c>
      <c r="K132" s="33" t="n">
        <f aca="false">'Nov 2026'!N132</f>
        <v>0</v>
      </c>
      <c r="L132" s="33" t="n">
        <f aca="false">IF(B132="",0,N(Students!G121))</f>
        <v>0</v>
      </c>
      <c r="M132" s="23"/>
      <c r="N132" s="24" t="n">
        <f aca="false">N(K132)+N(L132)-N(M132)</f>
        <v>0</v>
      </c>
      <c r="O132" s="33" t="n">
        <f aca="false">'Nov 2026'!R132</f>
        <v>0</v>
      </c>
      <c r="P132" s="33" t="n">
        <f aca="false">IF(B132="",0,N(Students!H121))</f>
        <v>0</v>
      </c>
      <c r="Q132" s="23"/>
      <c r="R132" s="24" t="n">
        <f aca="false">N(O132)+N(P132)-N(Q132)</f>
        <v>0</v>
      </c>
      <c r="S132" s="33" t="n">
        <f aca="false">'Nov 2026'!V132</f>
        <v>0</v>
      </c>
      <c r="T132" s="33" t="n">
        <f aca="false">IF(B132="",0,N(Students!I121))</f>
        <v>0</v>
      </c>
      <c r="U132" s="23"/>
      <c r="V132" s="24" t="n">
        <f aca="false">N(S132)+N(T132)-N(U132)</f>
        <v>0</v>
      </c>
      <c r="W132" s="33" t="n">
        <f aca="false">'Nov 2026'!Z132</f>
        <v>0</v>
      </c>
      <c r="X132" s="33" t="n">
        <f aca="false">IF(B132="",0,N(Students!J121))</f>
        <v>0</v>
      </c>
      <c r="Y132" s="23"/>
      <c r="Z132" s="24" t="n">
        <f aca="false">N(W132)+N(X132)-N(Y132)</f>
        <v>0</v>
      </c>
      <c r="AA132" s="33" t="n">
        <f aca="false">N(E132)+N(I132)+N(M132)+N(Q132)+N(U132)+N(Y132)</f>
        <v>0</v>
      </c>
      <c r="AB132" s="24" t="n">
        <f aca="false">F132+J132+N132+R132+V132+Z132</f>
        <v>0</v>
      </c>
      <c r="AC132" s="81" t="str">
        <f aca="false">IF(B132="","",IF(AB132&lt;=0,"Clear",IF(AA132&gt;0,"Partial","Due")))</f>
        <v/>
      </c>
    </row>
    <row r="133" customFormat="false" ht="15" hidden="false" customHeight="false" outlineLevel="0" collapsed="false">
      <c r="A133" s="25" t="n">
        <v>118</v>
      </c>
      <c r="B133" s="82" t="str">
        <f aca="false">IF(Students!B122="","",Students!B122)</f>
        <v/>
      </c>
      <c r="C133" s="37" t="n">
        <f aca="false">'Nov 2026'!F133</f>
        <v>0</v>
      </c>
      <c r="D133" s="37" t="n">
        <f aca="false">IF(B133="",0,N(Students!E122))</f>
        <v>0</v>
      </c>
      <c r="E133" s="23"/>
      <c r="F133" s="26" t="n">
        <f aca="false">N(C133)+N(D133)-N(E133)</f>
        <v>0</v>
      </c>
      <c r="G133" s="37" t="n">
        <f aca="false">'Nov 2026'!J133</f>
        <v>0</v>
      </c>
      <c r="H133" s="37" t="n">
        <f aca="false">IF(B133="",0,N(Students!F122))</f>
        <v>0</v>
      </c>
      <c r="I133" s="23"/>
      <c r="J133" s="26" t="n">
        <f aca="false">N(G133)+N(H133)-N(I133)</f>
        <v>0</v>
      </c>
      <c r="K133" s="37" t="n">
        <f aca="false">'Nov 2026'!N133</f>
        <v>0</v>
      </c>
      <c r="L133" s="37" t="n">
        <f aca="false">IF(B133="",0,N(Students!G122))</f>
        <v>0</v>
      </c>
      <c r="M133" s="23"/>
      <c r="N133" s="26" t="n">
        <f aca="false">N(K133)+N(L133)-N(M133)</f>
        <v>0</v>
      </c>
      <c r="O133" s="37" t="n">
        <f aca="false">'Nov 2026'!R133</f>
        <v>0</v>
      </c>
      <c r="P133" s="37" t="n">
        <f aca="false">IF(B133="",0,N(Students!H122))</f>
        <v>0</v>
      </c>
      <c r="Q133" s="23"/>
      <c r="R133" s="26" t="n">
        <f aca="false">N(O133)+N(P133)-N(Q133)</f>
        <v>0</v>
      </c>
      <c r="S133" s="37" t="n">
        <f aca="false">'Nov 2026'!V133</f>
        <v>0</v>
      </c>
      <c r="T133" s="37" t="n">
        <f aca="false">IF(B133="",0,N(Students!I122))</f>
        <v>0</v>
      </c>
      <c r="U133" s="23"/>
      <c r="V133" s="26" t="n">
        <f aca="false">N(S133)+N(T133)-N(U133)</f>
        <v>0</v>
      </c>
      <c r="W133" s="37" t="n">
        <f aca="false">'Nov 2026'!Z133</f>
        <v>0</v>
      </c>
      <c r="X133" s="37" t="n">
        <f aca="false">IF(B133="",0,N(Students!J122))</f>
        <v>0</v>
      </c>
      <c r="Y133" s="23"/>
      <c r="Z133" s="26" t="n">
        <f aca="false">N(W133)+N(X133)-N(Y133)</f>
        <v>0</v>
      </c>
      <c r="AA133" s="37" t="n">
        <f aca="false">N(E133)+N(I133)+N(M133)+N(Q133)+N(U133)+N(Y133)</f>
        <v>0</v>
      </c>
      <c r="AB133" s="26" t="n">
        <f aca="false">F133+J133+N133+R133+V133+Z133</f>
        <v>0</v>
      </c>
      <c r="AC133" s="83" t="str">
        <f aca="false">IF(B133="","",IF(AB133&lt;=0,"Clear",IF(AA133&gt;0,"Partial","Due")))</f>
        <v/>
      </c>
    </row>
    <row r="134" customFormat="false" ht="15" hidden="false" customHeight="false" outlineLevel="0" collapsed="false">
      <c r="A134" s="21" t="n">
        <v>119</v>
      </c>
      <c r="B134" s="46" t="str">
        <f aca="false">IF(Students!B123="","",Students!B123)</f>
        <v/>
      </c>
      <c r="C134" s="33" t="n">
        <f aca="false">'Nov 2026'!F134</f>
        <v>0</v>
      </c>
      <c r="D134" s="33" t="n">
        <f aca="false">IF(B134="",0,N(Students!E123))</f>
        <v>0</v>
      </c>
      <c r="E134" s="23"/>
      <c r="F134" s="24" t="n">
        <f aca="false">N(C134)+N(D134)-N(E134)</f>
        <v>0</v>
      </c>
      <c r="G134" s="33" t="n">
        <f aca="false">'Nov 2026'!J134</f>
        <v>0</v>
      </c>
      <c r="H134" s="33" t="n">
        <f aca="false">IF(B134="",0,N(Students!F123))</f>
        <v>0</v>
      </c>
      <c r="I134" s="23"/>
      <c r="J134" s="24" t="n">
        <f aca="false">N(G134)+N(H134)-N(I134)</f>
        <v>0</v>
      </c>
      <c r="K134" s="33" t="n">
        <f aca="false">'Nov 2026'!N134</f>
        <v>0</v>
      </c>
      <c r="L134" s="33" t="n">
        <f aca="false">IF(B134="",0,N(Students!G123))</f>
        <v>0</v>
      </c>
      <c r="M134" s="23"/>
      <c r="N134" s="24" t="n">
        <f aca="false">N(K134)+N(L134)-N(M134)</f>
        <v>0</v>
      </c>
      <c r="O134" s="33" t="n">
        <f aca="false">'Nov 2026'!R134</f>
        <v>0</v>
      </c>
      <c r="P134" s="33" t="n">
        <f aca="false">IF(B134="",0,N(Students!H123))</f>
        <v>0</v>
      </c>
      <c r="Q134" s="23"/>
      <c r="R134" s="24" t="n">
        <f aca="false">N(O134)+N(P134)-N(Q134)</f>
        <v>0</v>
      </c>
      <c r="S134" s="33" t="n">
        <f aca="false">'Nov 2026'!V134</f>
        <v>0</v>
      </c>
      <c r="T134" s="33" t="n">
        <f aca="false">IF(B134="",0,N(Students!I123))</f>
        <v>0</v>
      </c>
      <c r="U134" s="23"/>
      <c r="V134" s="24" t="n">
        <f aca="false">N(S134)+N(T134)-N(U134)</f>
        <v>0</v>
      </c>
      <c r="W134" s="33" t="n">
        <f aca="false">'Nov 2026'!Z134</f>
        <v>0</v>
      </c>
      <c r="X134" s="33" t="n">
        <f aca="false">IF(B134="",0,N(Students!J123))</f>
        <v>0</v>
      </c>
      <c r="Y134" s="23"/>
      <c r="Z134" s="24" t="n">
        <f aca="false">N(W134)+N(X134)-N(Y134)</f>
        <v>0</v>
      </c>
      <c r="AA134" s="33" t="n">
        <f aca="false">N(E134)+N(I134)+N(M134)+N(Q134)+N(U134)+N(Y134)</f>
        <v>0</v>
      </c>
      <c r="AB134" s="24" t="n">
        <f aca="false">F134+J134+N134+R134+V134+Z134</f>
        <v>0</v>
      </c>
      <c r="AC134" s="81" t="str">
        <f aca="false">IF(B134="","",IF(AB134&lt;=0,"Clear",IF(AA134&gt;0,"Partial","Due")))</f>
        <v/>
      </c>
    </row>
    <row r="135" customFormat="false" ht="15" hidden="false" customHeight="false" outlineLevel="0" collapsed="false">
      <c r="A135" s="25" t="n">
        <v>120</v>
      </c>
      <c r="B135" s="82" t="str">
        <f aca="false">IF(Students!B124="","",Students!B124)</f>
        <v/>
      </c>
      <c r="C135" s="37" t="n">
        <f aca="false">'Nov 2026'!F135</f>
        <v>0</v>
      </c>
      <c r="D135" s="37" t="n">
        <f aca="false">IF(B135="",0,N(Students!E124))</f>
        <v>0</v>
      </c>
      <c r="E135" s="23"/>
      <c r="F135" s="26" t="n">
        <f aca="false">N(C135)+N(D135)-N(E135)</f>
        <v>0</v>
      </c>
      <c r="G135" s="37" t="n">
        <f aca="false">'Nov 2026'!J135</f>
        <v>0</v>
      </c>
      <c r="H135" s="37" t="n">
        <f aca="false">IF(B135="",0,N(Students!F124))</f>
        <v>0</v>
      </c>
      <c r="I135" s="23"/>
      <c r="J135" s="26" t="n">
        <f aca="false">N(G135)+N(H135)-N(I135)</f>
        <v>0</v>
      </c>
      <c r="K135" s="37" t="n">
        <f aca="false">'Nov 2026'!N135</f>
        <v>0</v>
      </c>
      <c r="L135" s="37" t="n">
        <f aca="false">IF(B135="",0,N(Students!G124))</f>
        <v>0</v>
      </c>
      <c r="M135" s="23"/>
      <c r="N135" s="26" t="n">
        <f aca="false">N(K135)+N(L135)-N(M135)</f>
        <v>0</v>
      </c>
      <c r="O135" s="37" t="n">
        <f aca="false">'Nov 2026'!R135</f>
        <v>0</v>
      </c>
      <c r="P135" s="37" t="n">
        <f aca="false">IF(B135="",0,N(Students!H124))</f>
        <v>0</v>
      </c>
      <c r="Q135" s="23"/>
      <c r="R135" s="26" t="n">
        <f aca="false">N(O135)+N(P135)-N(Q135)</f>
        <v>0</v>
      </c>
      <c r="S135" s="37" t="n">
        <f aca="false">'Nov 2026'!V135</f>
        <v>0</v>
      </c>
      <c r="T135" s="37" t="n">
        <f aca="false">IF(B135="",0,N(Students!I124))</f>
        <v>0</v>
      </c>
      <c r="U135" s="23"/>
      <c r="V135" s="26" t="n">
        <f aca="false">N(S135)+N(T135)-N(U135)</f>
        <v>0</v>
      </c>
      <c r="W135" s="37" t="n">
        <f aca="false">'Nov 2026'!Z135</f>
        <v>0</v>
      </c>
      <c r="X135" s="37" t="n">
        <f aca="false">IF(B135="",0,N(Students!J124))</f>
        <v>0</v>
      </c>
      <c r="Y135" s="23"/>
      <c r="Z135" s="26" t="n">
        <f aca="false">N(W135)+N(X135)-N(Y135)</f>
        <v>0</v>
      </c>
      <c r="AA135" s="37" t="n">
        <f aca="false">N(E135)+N(I135)+N(M135)+N(Q135)+N(U135)+N(Y135)</f>
        <v>0</v>
      </c>
      <c r="AB135" s="26" t="n">
        <f aca="false">F135+J135+N135+R135+V135+Z135</f>
        <v>0</v>
      </c>
      <c r="AC135" s="83" t="str">
        <f aca="false">IF(B135="","",IF(AB135&lt;=0,"Clear",IF(AA135&gt;0,"Partial","Due")))</f>
        <v/>
      </c>
    </row>
    <row r="136" customFormat="false" ht="15" hidden="false" customHeight="false" outlineLevel="0" collapsed="false">
      <c r="A136" s="21" t="n">
        <v>121</v>
      </c>
      <c r="B136" s="46" t="str">
        <f aca="false">IF(Students!B125="","",Students!B125)</f>
        <v/>
      </c>
      <c r="C136" s="33" t="n">
        <f aca="false">'Nov 2026'!F136</f>
        <v>0</v>
      </c>
      <c r="D136" s="33" t="n">
        <f aca="false">IF(B136="",0,N(Students!E125))</f>
        <v>0</v>
      </c>
      <c r="E136" s="23"/>
      <c r="F136" s="24" t="n">
        <f aca="false">N(C136)+N(D136)-N(E136)</f>
        <v>0</v>
      </c>
      <c r="G136" s="33" t="n">
        <f aca="false">'Nov 2026'!J136</f>
        <v>0</v>
      </c>
      <c r="H136" s="33" t="n">
        <f aca="false">IF(B136="",0,N(Students!F125))</f>
        <v>0</v>
      </c>
      <c r="I136" s="23"/>
      <c r="J136" s="24" t="n">
        <f aca="false">N(G136)+N(H136)-N(I136)</f>
        <v>0</v>
      </c>
      <c r="K136" s="33" t="n">
        <f aca="false">'Nov 2026'!N136</f>
        <v>0</v>
      </c>
      <c r="L136" s="33" t="n">
        <f aca="false">IF(B136="",0,N(Students!G125))</f>
        <v>0</v>
      </c>
      <c r="M136" s="23"/>
      <c r="N136" s="24" t="n">
        <f aca="false">N(K136)+N(L136)-N(M136)</f>
        <v>0</v>
      </c>
      <c r="O136" s="33" t="n">
        <f aca="false">'Nov 2026'!R136</f>
        <v>0</v>
      </c>
      <c r="P136" s="33" t="n">
        <f aca="false">IF(B136="",0,N(Students!H125))</f>
        <v>0</v>
      </c>
      <c r="Q136" s="23"/>
      <c r="R136" s="24" t="n">
        <f aca="false">N(O136)+N(P136)-N(Q136)</f>
        <v>0</v>
      </c>
      <c r="S136" s="33" t="n">
        <f aca="false">'Nov 2026'!V136</f>
        <v>0</v>
      </c>
      <c r="T136" s="33" t="n">
        <f aca="false">IF(B136="",0,N(Students!I125))</f>
        <v>0</v>
      </c>
      <c r="U136" s="23"/>
      <c r="V136" s="24" t="n">
        <f aca="false">N(S136)+N(T136)-N(U136)</f>
        <v>0</v>
      </c>
      <c r="W136" s="33" t="n">
        <f aca="false">'Nov 2026'!Z136</f>
        <v>0</v>
      </c>
      <c r="X136" s="33" t="n">
        <f aca="false">IF(B136="",0,N(Students!J125))</f>
        <v>0</v>
      </c>
      <c r="Y136" s="23"/>
      <c r="Z136" s="24" t="n">
        <f aca="false">N(W136)+N(X136)-N(Y136)</f>
        <v>0</v>
      </c>
      <c r="AA136" s="33" t="n">
        <f aca="false">N(E136)+N(I136)+N(M136)+N(Q136)+N(U136)+N(Y136)</f>
        <v>0</v>
      </c>
      <c r="AB136" s="24" t="n">
        <f aca="false">F136+J136+N136+R136+V136+Z136</f>
        <v>0</v>
      </c>
      <c r="AC136" s="81" t="str">
        <f aca="false">IF(B136="","",IF(AB136&lt;=0,"Clear",IF(AA136&gt;0,"Partial","Due")))</f>
        <v/>
      </c>
    </row>
    <row r="137" customFormat="false" ht="15" hidden="false" customHeight="false" outlineLevel="0" collapsed="false">
      <c r="A137" s="25" t="n">
        <v>122</v>
      </c>
      <c r="B137" s="82" t="str">
        <f aca="false">IF(Students!B126="","",Students!B126)</f>
        <v/>
      </c>
      <c r="C137" s="37" t="n">
        <f aca="false">'Nov 2026'!F137</f>
        <v>0</v>
      </c>
      <c r="D137" s="37" t="n">
        <f aca="false">IF(B137="",0,N(Students!E126))</f>
        <v>0</v>
      </c>
      <c r="E137" s="23"/>
      <c r="F137" s="26" t="n">
        <f aca="false">N(C137)+N(D137)-N(E137)</f>
        <v>0</v>
      </c>
      <c r="G137" s="37" t="n">
        <f aca="false">'Nov 2026'!J137</f>
        <v>0</v>
      </c>
      <c r="H137" s="37" t="n">
        <f aca="false">IF(B137="",0,N(Students!F126))</f>
        <v>0</v>
      </c>
      <c r="I137" s="23"/>
      <c r="J137" s="26" t="n">
        <f aca="false">N(G137)+N(H137)-N(I137)</f>
        <v>0</v>
      </c>
      <c r="K137" s="37" t="n">
        <f aca="false">'Nov 2026'!N137</f>
        <v>0</v>
      </c>
      <c r="L137" s="37" t="n">
        <f aca="false">IF(B137="",0,N(Students!G126))</f>
        <v>0</v>
      </c>
      <c r="M137" s="23"/>
      <c r="N137" s="26" t="n">
        <f aca="false">N(K137)+N(L137)-N(M137)</f>
        <v>0</v>
      </c>
      <c r="O137" s="37" t="n">
        <f aca="false">'Nov 2026'!R137</f>
        <v>0</v>
      </c>
      <c r="P137" s="37" t="n">
        <f aca="false">IF(B137="",0,N(Students!H126))</f>
        <v>0</v>
      </c>
      <c r="Q137" s="23"/>
      <c r="R137" s="26" t="n">
        <f aca="false">N(O137)+N(P137)-N(Q137)</f>
        <v>0</v>
      </c>
      <c r="S137" s="37" t="n">
        <f aca="false">'Nov 2026'!V137</f>
        <v>0</v>
      </c>
      <c r="T137" s="37" t="n">
        <f aca="false">IF(B137="",0,N(Students!I126))</f>
        <v>0</v>
      </c>
      <c r="U137" s="23"/>
      <c r="V137" s="26" t="n">
        <f aca="false">N(S137)+N(T137)-N(U137)</f>
        <v>0</v>
      </c>
      <c r="W137" s="37" t="n">
        <f aca="false">'Nov 2026'!Z137</f>
        <v>0</v>
      </c>
      <c r="X137" s="37" t="n">
        <f aca="false">IF(B137="",0,N(Students!J126))</f>
        <v>0</v>
      </c>
      <c r="Y137" s="23"/>
      <c r="Z137" s="26" t="n">
        <f aca="false">N(W137)+N(X137)-N(Y137)</f>
        <v>0</v>
      </c>
      <c r="AA137" s="37" t="n">
        <f aca="false">N(E137)+N(I137)+N(M137)+N(Q137)+N(U137)+N(Y137)</f>
        <v>0</v>
      </c>
      <c r="AB137" s="26" t="n">
        <f aca="false">F137+J137+N137+R137+V137+Z137</f>
        <v>0</v>
      </c>
      <c r="AC137" s="83" t="str">
        <f aca="false">IF(B137="","",IF(AB137&lt;=0,"Clear",IF(AA137&gt;0,"Partial","Due")))</f>
        <v/>
      </c>
    </row>
    <row r="138" customFormat="false" ht="15" hidden="false" customHeight="false" outlineLevel="0" collapsed="false">
      <c r="A138" s="21" t="n">
        <v>123</v>
      </c>
      <c r="B138" s="46" t="str">
        <f aca="false">IF(Students!B127="","",Students!B127)</f>
        <v/>
      </c>
      <c r="C138" s="33" t="n">
        <f aca="false">'Nov 2026'!F138</f>
        <v>0</v>
      </c>
      <c r="D138" s="33" t="n">
        <f aca="false">IF(B138="",0,N(Students!E127))</f>
        <v>0</v>
      </c>
      <c r="E138" s="23"/>
      <c r="F138" s="24" t="n">
        <f aca="false">N(C138)+N(D138)-N(E138)</f>
        <v>0</v>
      </c>
      <c r="G138" s="33" t="n">
        <f aca="false">'Nov 2026'!J138</f>
        <v>0</v>
      </c>
      <c r="H138" s="33" t="n">
        <f aca="false">IF(B138="",0,N(Students!F127))</f>
        <v>0</v>
      </c>
      <c r="I138" s="23"/>
      <c r="J138" s="24" t="n">
        <f aca="false">N(G138)+N(H138)-N(I138)</f>
        <v>0</v>
      </c>
      <c r="K138" s="33" t="n">
        <f aca="false">'Nov 2026'!N138</f>
        <v>0</v>
      </c>
      <c r="L138" s="33" t="n">
        <f aca="false">IF(B138="",0,N(Students!G127))</f>
        <v>0</v>
      </c>
      <c r="M138" s="23"/>
      <c r="N138" s="24" t="n">
        <f aca="false">N(K138)+N(L138)-N(M138)</f>
        <v>0</v>
      </c>
      <c r="O138" s="33" t="n">
        <f aca="false">'Nov 2026'!R138</f>
        <v>0</v>
      </c>
      <c r="P138" s="33" t="n">
        <f aca="false">IF(B138="",0,N(Students!H127))</f>
        <v>0</v>
      </c>
      <c r="Q138" s="23"/>
      <c r="R138" s="24" t="n">
        <f aca="false">N(O138)+N(P138)-N(Q138)</f>
        <v>0</v>
      </c>
      <c r="S138" s="33" t="n">
        <f aca="false">'Nov 2026'!V138</f>
        <v>0</v>
      </c>
      <c r="T138" s="33" t="n">
        <f aca="false">IF(B138="",0,N(Students!I127))</f>
        <v>0</v>
      </c>
      <c r="U138" s="23"/>
      <c r="V138" s="24" t="n">
        <f aca="false">N(S138)+N(T138)-N(U138)</f>
        <v>0</v>
      </c>
      <c r="W138" s="33" t="n">
        <f aca="false">'Nov 2026'!Z138</f>
        <v>0</v>
      </c>
      <c r="X138" s="33" t="n">
        <f aca="false">IF(B138="",0,N(Students!J127))</f>
        <v>0</v>
      </c>
      <c r="Y138" s="23"/>
      <c r="Z138" s="24" t="n">
        <f aca="false">N(W138)+N(X138)-N(Y138)</f>
        <v>0</v>
      </c>
      <c r="AA138" s="33" t="n">
        <f aca="false">N(E138)+N(I138)+N(M138)+N(Q138)+N(U138)+N(Y138)</f>
        <v>0</v>
      </c>
      <c r="AB138" s="24" t="n">
        <f aca="false">F138+J138+N138+R138+V138+Z138</f>
        <v>0</v>
      </c>
      <c r="AC138" s="81" t="str">
        <f aca="false">IF(B138="","",IF(AB138&lt;=0,"Clear",IF(AA138&gt;0,"Partial","Due")))</f>
        <v/>
      </c>
    </row>
    <row r="139" customFormat="false" ht="15" hidden="false" customHeight="false" outlineLevel="0" collapsed="false">
      <c r="A139" s="25" t="n">
        <v>124</v>
      </c>
      <c r="B139" s="82" t="str">
        <f aca="false">IF(Students!B128="","",Students!B128)</f>
        <v/>
      </c>
      <c r="C139" s="37" t="n">
        <f aca="false">'Nov 2026'!F139</f>
        <v>0</v>
      </c>
      <c r="D139" s="37" t="n">
        <f aca="false">IF(B139="",0,N(Students!E128))</f>
        <v>0</v>
      </c>
      <c r="E139" s="23"/>
      <c r="F139" s="26" t="n">
        <f aca="false">N(C139)+N(D139)-N(E139)</f>
        <v>0</v>
      </c>
      <c r="G139" s="37" t="n">
        <f aca="false">'Nov 2026'!J139</f>
        <v>0</v>
      </c>
      <c r="H139" s="37" t="n">
        <f aca="false">IF(B139="",0,N(Students!F128))</f>
        <v>0</v>
      </c>
      <c r="I139" s="23"/>
      <c r="J139" s="26" t="n">
        <f aca="false">N(G139)+N(H139)-N(I139)</f>
        <v>0</v>
      </c>
      <c r="K139" s="37" t="n">
        <f aca="false">'Nov 2026'!N139</f>
        <v>0</v>
      </c>
      <c r="L139" s="37" t="n">
        <f aca="false">IF(B139="",0,N(Students!G128))</f>
        <v>0</v>
      </c>
      <c r="M139" s="23"/>
      <c r="N139" s="26" t="n">
        <f aca="false">N(K139)+N(L139)-N(M139)</f>
        <v>0</v>
      </c>
      <c r="O139" s="37" t="n">
        <f aca="false">'Nov 2026'!R139</f>
        <v>0</v>
      </c>
      <c r="P139" s="37" t="n">
        <f aca="false">IF(B139="",0,N(Students!H128))</f>
        <v>0</v>
      </c>
      <c r="Q139" s="23"/>
      <c r="R139" s="26" t="n">
        <f aca="false">N(O139)+N(P139)-N(Q139)</f>
        <v>0</v>
      </c>
      <c r="S139" s="37" t="n">
        <f aca="false">'Nov 2026'!V139</f>
        <v>0</v>
      </c>
      <c r="T139" s="37" t="n">
        <f aca="false">IF(B139="",0,N(Students!I128))</f>
        <v>0</v>
      </c>
      <c r="U139" s="23"/>
      <c r="V139" s="26" t="n">
        <f aca="false">N(S139)+N(T139)-N(U139)</f>
        <v>0</v>
      </c>
      <c r="W139" s="37" t="n">
        <f aca="false">'Nov 2026'!Z139</f>
        <v>0</v>
      </c>
      <c r="X139" s="37" t="n">
        <f aca="false">IF(B139="",0,N(Students!J128))</f>
        <v>0</v>
      </c>
      <c r="Y139" s="23"/>
      <c r="Z139" s="26" t="n">
        <f aca="false">N(W139)+N(X139)-N(Y139)</f>
        <v>0</v>
      </c>
      <c r="AA139" s="37" t="n">
        <f aca="false">N(E139)+N(I139)+N(M139)+N(Q139)+N(U139)+N(Y139)</f>
        <v>0</v>
      </c>
      <c r="AB139" s="26" t="n">
        <f aca="false">F139+J139+N139+R139+V139+Z139</f>
        <v>0</v>
      </c>
      <c r="AC139" s="83" t="str">
        <f aca="false">IF(B139="","",IF(AB139&lt;=0,"Clear",IF(AA139&gt;0,"Partial","Due")))</f>
        <v/>
      </c>
    </row>
    <row r="140" customFormat="false" ht="15" hidden="false" customHeight="false" outlineLevel="0" collapsed="false">
      <c r="A140" s="21" t="n">
        <v>125</v>
      </c>
      <c r="B140" s="46" t="str">
        <f aca="false">IF(Students!B129="","",Students!B129)</f>
        <v/>
      </c>
      <c r="C140" s="33" t="n">
        <f aca="false">'Nov 2026'!F140</f>
        <v>0</v>
      </c>
      <c r="D140" s="33" t="n">
        <f aca="false">IF(B140="",0,N(Students!E129))</f>
        <v>0</v>
      </c>
      <c r="E140" s="23"/>
      <c r="F140" s="24" t="n">
        <f aca="false">N(C140)+N(D140)-N(E140)</f>
        <v>0</v>
      </c>
      <c r="G140" s="33" t="n">
        <f aca="false">'Nov 2026'!J140</f>
        <v>0</v>
      </c>
      <c r="H140" s="33" t="n">
        <f aca="false">IF(B140="",0,N(Students!F129))</f>
        <v>0</v>
      </c>
      <c r="I140" s="23"/>
      <c r="J140" s="24" t="n">
        <f aca="false">N(G140)+N(H140)-N(I140)</f>
        <v>0</v>
      </c>
      <c r="K140" s="33" t="n">
        <f aca="false">'Nov 2026'!N140</f>
        <v>0</v>
      </c>
      <c r="L140" s="33" t="n">
        <f aca="false">IF(B140="",0,N(Students!G129))</f>
        <v>0</v>
      </c>
      <c r="M140" s="23"/>
      <c r="N140" s="24" t="n">
        <f aca="false">N(K140)+N(L140)-N(M140)</f>
        <v>0</v>
      </c>
      <c r="O140" s="33" t="n">
        <f aca="false">'Nov 2026'!R140</f>
        <v>0</v>
      </c>
      <c r="P140" s="33" t="n">
        <f aca="false">IF(B140="",0,N(Students!H129))</f>
        <v>0</v>
      </c>
      <c r="Q140" s="23"/>
      <c r="R140" s="24" t="n">
        <f aca="false">N(O140)+N(P140)-N(Q140)</f>
        <v>0</v>
      </c>
      <c r="S140" s="33" t="n">
        <f aca="false">'Nov 2026'!V140</f>
        <v>0</v>
      </c>
      <c r="T140" s="33" t="n">
        <f aca="false">IF(B140="",0,N(Students!I129))</f>
        <v>0</v>
      </c>
      <c r="U140" s="23"/>
      <c r="V140" s="24" t="n">
        <f aca="false">N(S140)+N(T140)-N(U140)</f>
        <v>0</v>
      </c>
      <c r="W140" s="33" t="n">
        <f aca="false">'Nov 2026'!Z140</f>
        <v>0</v>
      </c>
      <c r="X140" s="33" t="n">
        <f aca="false">IF(B140="",0,N(Students!J129))</f>
        <v>0</v>
      </c>
      <c r="Y140" s="23"/>
      <c r="Z140" s="24" t="n">
        <f aca="false">N(W140)+N(X140)-N(Y140)</f>
        <v>0</v>
      </c>
      <c r="AA140" s="33" t="n">
        <f aca="false">N(E140)+N(I140)+N(M140)+N(Q140)+N(U140)+N(Y140)</f>
        <v>0</v>
      </c>
      <c r="AB140" s="24" t="n">
        <f aca="false">F140+J140+N140+R140+V140+Z140</f>
        <v>0</v>
      </c>
      <c r="AC140" s="81" t="str">
        <f aca="false">IF(B140="","",IF(AB140&lt;=0,"Clear",IF(AA140&gt;0,"Partial","Due")))</f>
        <v/>
      </c>
    </row>
    <row r="141" customFormat="false" ht="15" hidden="false" customHeight="false" outlineLevel="0" collapsed="false">
      <c r="A141" s="25" t="n">
        <v>126</v>
      </c>
      <c r="B141" s="82" t="str">
        <f aca="false">IF(Students!B130="","",Students!B130)</f>
        <v/>
      </c>
      <c r="C141" s="37" t="n">
        <f aca="false">'Nov 2026'!F141</f>
        <v>0</v>
      </c>
      <c r="D141" s="37" t="n">
        <f aca="false">IF(B141="",0,N(Students!E130))</f>
        <v>0</v>
      </c>
      <c r="E141" s="23"/>
      <c r="F141" s="26" t="n">
        <f aca="false">N(C141)+N(D141)-N(E141)</f>
        <v>0</v>
      </c>
      <c r="G141" s="37" t="n">
        <f aca="false">'Nov 2026'!J141</f>
        <v>0</v>
      </c>
      <c r="H141" s="37" t="n">
        <f aca="false">IF(B141="",0,N(Students!F130))</f>
        <v>0</v>
      </c>
      <c r="I141" s="23"/>
      <c r="J141" s="26" t="n">
        <f aca="false">N(G141)+N(H141)-N(I141)</f>
        <v>0</v>
      </c>
      <c r="K141" s="37" t="n">
        <f aca="false">'Nov 2026'!N141</f>
        <v>0</v>
      </c>
      <c r="L141" s="37" t="n">
        <f aca="false">IF(B141="",0,N(Students!G130))</f>
        <v>0</v>
      </c>
      <c r="M141" s="23"/>
      <c r="N141" s="26" t="n">
        <f aca="false">N(K141)+N(L141)-N(M141)</f>
        <v>0</v>
      </c>
      <c r="O141" s="37" t="n">
        <f aca="false">'Nov 2026'!R141</f>
        <v>0</v>
      </c>
      <c r="P141" s="37" t="n">
        <f aca="false">IF(B141="",0,N(Students!H130))</f>
        <v>0</v>
      </c>
      <c r="Q141" s="23"/>
      <c r="R141" s="26" t="n">
        <f aca="false">N(O141)+N(P141)-N(Q141)</f>
        <v>0</v>
      </c>
      <c r="S141" s="37" t="n">
        <f aca="false">'Nov 2026'!V141</f>
        <v>0</v>
      </c>
      <c r="T141" s="37" t="n">
        <f aca="false">IF(B141="",0,N(Students!I130))</f>
        <v>0</v>
      </c>
      <c r="U141" s="23"/>
      <c r="V141" s="26" t="n">
        <f aca="false">N(S141)+N(T141)-N(U141)</f>
        <v>0</v>
      </c>
      <c r="W141" s="37" t="n">
        <f aca="false">'Nov 2026'!Z141</f>
        <v>0</v>
      </c>
      <c r="X141" s="37" t="n">
        <f aca="false">IF(B141="",0,N(Students!J130))</f>
        <v>0</v>
      </c>
      <c r="Y141" s="23"/>
      <c r="Z141" s="26" t="n">
        <f aca="false">N(W141)+N(X141)-N(Y141)</f>
        <v>0</v>
      </c>
      <c r="AA141" s="37" t="n">
        <f aca="false">N(E141)+N(I141)+N(M141)+N(Q141)+N(U141)+N(Y141)</f>
        <v>0</v>
      </c>
      <c r="AB141" s="26" t="n">
        <f aca="false">F141+J141+N141+R141+V141+Z141</f>
        <v>0</v>
      </c>
      <c r="AC141" s="83" t="str">
        <f aca="false">IF(B141="","",IF(AB141&lt;=0,"Clear",IF(AA141&gt;0,"Partial","Due")))</f>
        <v/>
      </c>
    </row>
    <row r="142" customFormat="false" ht="15" hidden="false" customHeight="false" outlineLevel="0" collapsed="false">
      <c r="A142" s="21" t="n">
        <v>127</v>
      </c>
      <c r="B142" s="46" t="str">
        <f aca="false">IF(Students!B131="","",Students!B131)</f>
        <v/>
      </c>
      <c r="C142" s="33" t="n">
        <f aca="false">'Nov 2026'!F142</f>
        <v>0</v>
      </c>
      <c r="D142" s="33" t="n">
        <f aca="false">IF(B142="",0,N(Students!E131))</f>
        <v>0</v>
      </c>
      <c r="E142" s="23"/>
      <c r="F142" s="24" t="n">
        <f aca="false">N(C142)+N(D142)-N(E142)</f>
        <v>0</v>
      </c>
      <c r="G142" s="33" t="n">
        <f aca="false">'Nov 2026'!J142</f>
        <v>0</v>
      </c>
      <c r="H142" s="33" t="n">
        <f aca="false">IF(B142="",0,N(Students!F131))</f>
        <v>0</v>
      </c>
      <c r="I142" s="23"/>
      <c r="J142" s="24" t="n">
        <f aca="false">N(G142)+N(H142)-N(I142)</f>
        <v>0</v>
      </c>
      <c r="K142" s="33" t="n">
        <f aca="false">'Nov 2026'!N142</f>
        <v>0</v>
      </c>
      <c r="L142" s="33" t="n">
        <f aca="false">IF(B142="",0,N(Students!G131))</f>
        <v>0</v>
      </c>
      <c r="M142" s="23"/>
      <c r="N142" s="24" t="n">
        <f aca="false">N(K142)+N(L142)-N(M142)</f>
        <v>0</v>
      </c>
      <c r="O142" s="33" t="n">
        <f aca="false">'Nov 2026'!R142</f>
        <v>0</v>
      </c>
      <c r="P142" s="33" t="n">
        <f aca="false">IF(B142="",0,N(Students!H131))</f>
        <v>0</v>
      </c>
      <c r="Q142" s="23"/>
      <c r="R142" s="24" t="n">
        <f aca="false">N(O142)+N(P142)-N(Q142)</f>
        <v>0</v>
      </c>
      <c r="S142" s="33" t="n">
        <f aca="false">'Nov 2026'!V142</f>
        <v>0</v>
      </c>
      <c r="T142" s="33" t="n">
        <f aca="false">IF(B142="",0,N(Students!I131))</f>
        <v>0</v>
      </c>
      <c r="U142" s="23"/>
      <c r="V142" s="24" t="n">
        <f aca="false">N(S142)+N(T142)-N(U142)</f>
        <v>0</v>
      </c>
      <c r="W142" s="33" t="n">
        <f aca="false">'Nov 2026'!Z142</f>
        <v>0</v>
      </c>
      <c r="X142" s="33" t="n">
        <f aca="false">IF(B142="",0,N(Students!J131))</f>
        <v>0</v>
      </c>
      <c r="Y142" s="23"/>
      <c r="Z142" s="24" t="n">
        <f aca="false">N(W142)+N(X142)-N(Y142)</f>
        <v>0</v>
      </c>
      <c r="AA142" s="33" t="n">
        <f aca="false">N(E142)+N(I142)+N(M142)+N(Q142)+N(U142)+N(Y142)</f>
        <v>0</v>
      </c>
      <c r="AB142" s="24" t="n">
        <f aca="false">F142+J142+N142+R142+V142+Z142</f>
        <v>0</v>
      </c>
      <c r="AC142" s="81" t="str">
        <f aca="false">IF(B142="","",IF(AB142&lt;=0,"Clear",IF(AA142&gt;0,"Partial","Due")))</f>
        <v/>
      </c>
    </row>
    <row r="143" customFormat="false" ht="15" hidden="false" customHeight="false" outlineLevel="0" collapsed="false">
      <c r="A143" s="25" t="n">
        <v>128</v>
      </c>
      <c r="B143" s="82" t="str">
        <f aca="false">IF(Students!B132="","",Students!B132)</f>
        <v/>
      </c>
      <c r="C143" s="37" t="n">
        <f aca="false">'Nov 2026'!F143</f>
        <v>0</v>
      </c>
      <c r="D143" s="37" t="n">
        <f aca="false">IF(B143="",0,N(Students!E132))</f>
        <v>0</v>
      </c>
      <c r="E143" s="23"/>
      <c r="F143" s="26" t="n">
        <f aca="false">N(C143)+N(D143)-N(E143)</f>
        <v>0</v>
      </c>
      <c r="G143" s="37" t="n">
        <f aca="false">'Nov 2026'!J143</f>
        <v>0</v>
      </c>
      <c r="H143" s="37" t="n">
        <f aca="false">IF(B143="",0,N(Students!F132))</f>
        <v>0</v>
      </c>
      <c r="I143" s="23"/>
      <c r="J143" s="26" t="n">
        <f aca="false">N(G143)+N(H143)-N(I143)</f>
        <v>0</v>
      </c>
      <c r="K143" s="37" t="n">
        <f aca="false">'Nov 2026'!N143</f>
        <v>0</v>
      </c>
      <c r="L143" s="37" t="n">
        <f aca="false">IF(B143="",0,N(Students!G132))</f>
        <v>0</v>
      </c>
      <c r="M143" s="23"/>
      <c r="N143" s="26" t="n">
        <f aca="false">N(K143)+N(L143)-N(M143)</f>
        <v>0</v>
      </c>
      <c r="O143" s="37" t="n">
        <f aca="false">'Nov 2026'!R143</f>
        <v>0</v>
      </c>
      <c r="P143" s="37" t="n">
        <f aca="false">IF(B143="",0,N(Students!H132))</f>
        <v>0</v>
      </c>
      <c r="Q143" s="23"/>
      <c r="R143" s="26" t="n">
        <f aca="false">N(O143)+N(P143)-N(Q143)</f>
        <v>0</v>
      </c>
      <c r="S143" s="37" t="n">
        <f aca="false">'Nov 2026'!V143</f>
        <v>0</v>
      </c>
      <c r="T143" s="37" t="n">
        <f aca="false">IF(B143="",0,N(Students!I132))</f>
        <v>0</v>
      </c>
      <c r="U143" s="23"/>
      <c r="V143" s="26" t="n">
        <f aca="false">N(S143)+N(T143)-N(U143)</f>
        <v>0</v>
      </c>
      <c r="W143" s="37" t="n">
        <f aca="false">'Nov 2026'!Z143</f>
        <v>0</v>
      </c>
      <c r="X143" s="37" t="n">
        <f aca="false">IF(B143="",0,N(Students!J132))</f>
        <v>0</v>
      </c>
      <c r="Y143" s="23"/>
      <c r="Z143" s="26" t="n">
        <f aca="false">N(W143)+N(X143)-N(Y143)</f>
        <v>0</v>
      </c>
      <c r="AA143" s="37" t="n">
        <f aca="false">N(E143)+N(I143)+N(M143)+N(Q143)+N(U143)+N(Y143)</f>
        <v>0</v>
      </c>
      <c r="AB143" s="26" t="n">
        <f aca="false">F143+J143+N143+R143+V143+Z143</f>
        <v>0</v>
      </c>
      <c r="AC143" s="83" t="str">
        <f aca="false">IF(B143="","",IF(AB143&lt;=0,"Clear",IF(AA143&gt;0,"Partial","Due")))</f>
        <v/>
      </c>
    </row>
    <row r="144" customFormat="false" ht="15" hidden="false" customHeight="false" outlineLevel="0" collapsed="false">
      <c r="A144" s="21" t="n">
        <v>129</v>
      </c>
      <c r="B144" s="46" t="str">
        <f aca="false">IF(Students!B133="","",Students!B133)</f>
        <v/>
      </c>
      <c r="C144" s="33" t="n">
        <f aca="false">'Nov 2026'!F144</f>
        <v>0</v>
      </c>
      <c r="D144" s="33" t="n">
        <f aca="false">IF(B144="",0,N(Students!E133))</f>
        <v>0</v>
      </c>
      <c r="E144" s="23"/>
      <c r="F144" s="24" t="n">
        <f aca="false">N(C144)+N(D144)-N(E144)</f>
        <v>0</v>
      </c>
      <c r="G144" s="33" t="n">
        <f aca="false">'Nov 2026'!J144</f>
        <v>0</v>
      </c>
      <c r="H144" s="33" t="n">
        <f aca="false">IF(B144="",0,N(Students!F133))</f>
        <v>0</v>
      </c>
      <c r="I144" s="23"/>
      <c r="J144" s="24" t="n">
        <f aca="false">N(G144)+N(H144)-N(I144)</f>
        <v>0</v>
      </c>
      <c r="K144" s="33" t="n">
        <f aca="false">'Nov 2026'!N144</f>
        <v>0</v>
      </c>
      <c r="L144" s="33" t="n">
        <f aca="false">IF(B144="",0,N(Students!G133))</f>
        <v>0</v>
      </c>
      <c r="M144" s="23"/>
      <c r="N144" s="24" t="n">
        <f aca="false">N(K144)+N(L144)-N(M144)</f>
        <v>0</v>
      </c>
      <c r="O144" s="33" t="n">
        <f aca="false">'Nov 2026'!R144</f>
        <v>0</v>
      </c>
      <c r="P144" s="33" t="n">
        <f aca="false">IF(B144="",0,N(Students!H133))</f>
        <v>0</v>
      </c>
      <c r="Q144" s="23"/>
      <c r="R144" s="24" t="n">
        <f aca="false">N(O144)+N(P144)-N(Q144)</f>
        <v>0</v>
      </c>
      <c r="S144" s="33" t="n">
        <f aca="false">'Nov 2026'!V144</f>
        <v>0</v>
      </c>
      <c r="T144" s="33" t="n">
        <f aca="false">IF(B144="",0,N(Students!I133))</f>
        <v>0</v>
      </c>
      <c r="U144" s="23"/>
      <c r="V144" s="24" t="n">
        <f aca="false">N(S144)+N(T144)-N(U144)</f>
        <v>0</v>
      </c>
      <c r="W144" s="33" t="n">
        <f aca="false">'Nov 2026'!Z144</f>
        <v>0</v>
      </c>
      <c r="X144" s="33" t="n">
        <f aca="false">IF(B144="",0,N(Students!J133))</f>
        <v>0</v>
      </c>
      <c r="Y144" s="23"/>
      <c r="Z144" s="24" t="n">
        <f aca="false">N(W144)+N(X144)-N(Y144)</f>
        <v>0</v>
      </c>
      <c r="AA144" s="33" t="n">
        <f aca="false">N(E144)+N(I144)+N(M144)+N(Q144)+N(U144)+N(Y144)</f>
        <v>0</v>
      </c>
      <c r="AB144" s="24" t="n">
        <f aca="false">F144+J144+N144+R144+V144+Z144</f>
        <v>0</v>
      </c>
      <c r="AC144" s="81" t="str">
        <f aca="false">IF(B144="","",IF(AB144&lt;=0,"Clear",IF(AA144&gt;0,"Partial","Due")))</f>
        <v/>
      </c>
    </row>
    <row r="145" customFormat="false" ht="15" hidden="false" customHeight="false" outlineLevel="0" collapsed="false">
      <c r="A145" s="25" t="n">
        <v>130</v>
      </c>
      <c r="B145" s="82" t="str">
        <f aca="false">IF(Students!B134="","",Students!B134)</f>
        <v/>
      </c>
      <c r="C145" s="37" t="n">
        <f aca="false">'Nov 2026'!F145</f>
        <v>0</v>
      </c>
      <c r="D145" s="37" t="n">
        <f aca="false">IF(B145="",0,N(Students!E134))</f>
        <v>0</v>
      </c>
      <c r="E145" s="23"/>
      <c r="F145" s="26" t="n">
        <f aca="false">N(C145)+N(D145)-N(E145)</f>
        <v>0</v>
      </c>
      <c r="G145" s="37" t="n">
        <f aca="false">'Nov 2026'!J145</f>
        <v>0</v>
      </c>
      <c r="H145" s="37" t="n">
        <f aca="false">IF(B145="",0,N(Students!F134))</f>
        <v>0</v>
      </c>
      <c r="I145" s="23"/>
      <c r="J145" s="26" t="n">
        <f aca="false">N(G145)+N(H145)-N(I145)</f>
        <v>0</v>
      </c>
      <c r="K145" s="37" t="n">
        <f aca="false">'Nov 2026'!N145</f>
        <v>0</v>
      </c>
      <c r="L145" s="37" t="n">
        <f aca="false">IF(B145="",0,N(Students!G134))</f>
        <v>0</v>
      </c>
      <c r="M145" s="23"/>
      <c r="N145" s="26" t="n">
        <f aca="false">N(K145)+N(L145)-N(M145)</f>
        <v>0</v>
      </c>
      <c r="O145" s="37" t="n">
        <f aca="false">'Nov 2026'!R145</f>
        <v>0</v>
      </c>
      <c r="P145" s="37" t="n">
        <f aca="false">IF(B145="",0,N(Students!H134))</f>
        <v>0</v>
      </c>
      <c r="Q145" s="23"/>
      <c r="R145" s="26" t="n">
        <f aca="false">N(O145)+N(P145)-N(Q145)</f>
        <v>0</v>
      </c>
      <c r="S145" s="37" t="n">
        <f aca="false">'Nov 2026'!V145</f>
        <v>0</v>
      </c>
      <c r="T145" s="37" t="n">
        <f aca="false">IF(B145="",0,N(Students!I134))</f>
        <v>0</v>
      </c>
      <c r="U145" s="23"/>
      <c r="V145" s="26" t="n">
        <f aca="false">N(S145)+N(T145)-N(U145)</f>
        <v>0</v>
      </c>
      <c r="W145" s="37" t="n">
        <f aca="false">'Nov 2026'!Z145</f>
        <v>0</v>
      </c>
      <c r="X145" s="37" t="n">
        <f aca="false">IF(B145="",0,N(Students!J134))</f>
        <v>0</v>
      </c>
      <c r="Y145" s="23"/>
      <c r="Z145" s="26" t="n">
        <f aca="false">N(W145)+N(X145)-N(Y145)</f>
        <v>0</v>
      </c>
      <c r="AA145" s="37" t="n">
        <f aca="false">N(E145)+N(I145)+N(M145)+N(Q145)+N(U145)+N(Y145)</f>
        <v>0</v>
      </c>
      <c r="AB145" s="26" t="n">
        <f aca="false">F145+J145+N145+R145+V145+Z145</f>
        <v>0</v>
      </c>
      <c r="AC145" s="83" t="str">
        <f aca="false">IF(B145="","",IF(AB145&lt;=0,"Clear",IF(AA145&gt;0,"Partial","Due")))</f>
        <v/>
      </c>
    </row>
    <row r="146" customFormat="false" ht="15" hidden="false" customHeight="false" outlineLevel="0" collapsed="false">
      <c r="A146" s="21" t="n">
        <v>131</v>
      </c>
      <c r="B146" s="46" t="str">
        <f aca="false">IF(Students!B135="","",Students!B135)</f>
        <v/>
      </c>
      <c r="C146" s="33" t="n">
        <f aca="false">'Nov 2026'!F146</f>
        <v>0</v>
      </c>
      <c r="D146" s="33" t="n">
        <f aca="false">IF(B146="",0,N(Students!E135))</f>
        <v>0</v>
      </c>
      <c r="E146" s="23"/>
      <c r="F146" s="24" t="n">
        <f aca="false">N(C146)+N(D146)-N(E146)</f>
        <v>0</v>
      </c>
      <c r="G146" s="33" t="n">
        <f aca="false">'Nov 2026'!J146</f>
        <v>0</v>
      </c>
      <c r="H146" s="33" t="n">
        <f aca="false">IF(B146="",0,N(Students!F135))</f>
        <v>0</v>
      </c>
      <c r="I146" s="23"/>
      <c r="J146" s="24" t="n">
        <f aca="false">N(G146)+N(H146)-N(I146)</f>
        <v>0</v>
      </c>
      <c r="K146" s="33" t="n">
        <f aca="false">'Nov 2026'!N146</f>
        <v>0</v>
      </c>
      <c r="L146" s="33" t="n">
        <f aca="false">IF(B146="",0,N(Students!G135))</f>
        <v>0</v>
      </c>
      <c r="M146" s="23"/>
      <c r="N146" s="24" t="n">
        <f aca="false">N(K146)+N(L146)-N(M146)</f>
        <v>0</v>
      </c>
      <c r="O146" s="33" t="n">
        <f aca="false">'Nov 2026'!R146</f>
        <v>0</v>
      </c>
      <c r="P146" s="33" t="n">
        <f aca="false">IF(B146="",0,N(Students!H135))</f>
        <v>0</v>
      </c>
      <c r="Q146" s="23"/>
      <c r="R146" s="24" t="n">
        <f aca="false">N(O146)+N(P146)-N(Q146)</f>
        <v>0</v>
      </c>
      <c r="S146" s="33" t="n">
        <f aca="false">'Nov 2026'!V146</f>
        <v>0</v>
      </c>
      <c r="T146" s="33" t="n">
        <f aca="false">IF(B146="",0,N(Students!I135))</f>
        <v>0</v>
      </c>
      <c r="U146" s="23"/>
      <c r="V146" s="24" t="n">
        <f aca="false">N(S146)+N(T146)-N(U146)</f>
        <v>0</v>
      </c>
      <c r="W146" s="33" t="n">
        <f aca="false">'Nov 2026'!Z146</f>
        <v>0</v>
      </c>
      <c r="X146" s="33" t="n">
        <f aca="false">IF(B146="",0,N(Students!J135))</f>
        <v>0</v>
      </c>
      <c r="Y146" s="23"/>
      <c r="Z146" s="24" t="n">
        <f aca="false">N(W146)+N(X146)-N(Y146)</f>
        <v>0</v>
      </c>
      <c r="AA146" s="33" t="n">
        <f aca="false">N(E146)+N(I146)+N(M146)+N(Q146)+N(U146)+N(Y146)</f>
        <v>0</v>
      </c>
      <c r="AB146" s="24" t="n">
        <f aca="false">F146+J146+N146+R146+V146+Z146</f>
        <v>0</v>
      </c>
      <c r="AC146" s="81" t="str">
        <f aca="false">IF(B146="","",IF(AB146&lt;=0,"Clear",IF(AA146&gt;0,"Partial","Due")))</f>
        <v/>
      </c>
    </row>
    <row r="147" customFormat="false" ht="15" hidden="false" customHeight="false" outlineLevel="0" collapsed="false">
      <c r="A147" s="25" t="n">
        <v>132</v>
      </c>
      <c r="B147" s="82" t="str">
        <f aca="false">IF(Students!B136="","",Students!B136)</f>
        <v/>
      </c>
      <c r="C147" s="37" t="n">
        <f aca="false">'Nov 2026'!F147</f>
        <v>0</v>
      </c>
      <c r="D147" s="37" t="n">
        <f aca="false">IF(B147="",0,N(Students!E136))</f>
        <v>0</v>
      </c>
      <c r="E147" s="23"/>
      <c r="F147" s="26" t="n">
        <f aca="false">N(C147)+N(D147)-N(E147)</f>
        <v>0</v>
      </c>
      <c r="G147" s="37" t="n">
        <f aca="false">'Nov 2026'!J147</f>
        <v>0</v>
      </c>
      <c r="H147" s="37" t="n">
        <f aca="false">IF(B147="",0,N(Students!F136))</f>
        <v>0</v>
      </c>
      <c r="I147" s="23"/>
      <c r="J147" s="26" t="n">
        <f aca="false">N(G147)+N(H147)-N(I147)</f>
        <v>0</v>
      </c>
      <c r="K147" s="37" t="n">
        <f aca="false">'Nov 2026'!N147</f>
        <v>0</v>
      </c>
      <c r="L147" s="37" t="n">
        <f aca="false">IF(B147="",0,N(Students!G136))</f>
        <v>0</v>
      </c>
      <c r="M147" s="23"/>
      <c r="N147" s="26" t="n">
        <f aca="false">N(K147)+N(L147)-N(M147)</f>
        <v>0</v>
      </c>
      <c r="O147" s="37" t="n">
        <f aca="false">'Nov 2026'!R147</f>
        <v>0</v>
      </c>
      <c r="P147" s="37" t="n">
        <f aca="false">IF(B147="",0,N(Students!H136))</f>
        <v>0</v>
      </c>
      <c r="Q147" s="23"/>
      <c r="R147" s="26" t="n">
        <f aca="false">N(O147)+N(P147)-N(Q147)</f>
        <v>0</v>
      </c>
      <c r="S147" s="37" t="n">
        <f aca="false">'Nov 2026'!V147</f>
        <v>0</v>
      </c>
      <c r="T147" s="37" t="n">
        <f aca="false">IF(B147="",0,N(Students!I136))</f>
        <v>0</v>
      </c>
      <c r="U147" s="23"/>
      <c r="V147" s="26" t="n">
        <f aca="false">N(S147)+N(T147)-N(U147)</f>
        <v>0</v>
      </c>
      <c r="W147" s="37" t="n">
        <f aca="false">'Nov 2026'!Z147</f>
        <v>0</v>
      </c>
      <c r="X147" s="37" t="n">
        <f aca="false">IF(B147="",0,N(Students!J136))</f>
        <v>0</v>
      </c>
      <c r="Y147" s="23"/>
      <c r="Z147" s="26" t="n">
        <f aca="false">N(W147)+N(X147)-N(Y147)</f>
        <v>0</v>
      </c>
      <c r="AA147" s="37" t="n">
        <f aca="false">N(E147)+N(I147)+N(M147)+N(Q147)+N(U147)+N(Y147)</f>
        <v>0</v>
      </c>
      <c r="AB147" s="26" t="n">
        <f aca="false">F147+J147+N147+R147+V147+Z147</f>
        <v>0</v>
      </c>
      <c r="AC147" s="83" t="str">
        <f aca="false">IF(B147="","",IF(AB147&lt;=0,"Clear",IF(AA147&gt;0,"Partial","Due")))</f>
        <v/>
      </c>
    </row>
    <row r="148" customFormat="false" ht="15" hidden="false" customHeight="false" outlineLevel="0" collapsed="false">
      <c r="A148" s="21" t="n">
        <v>133</v>
      </c>
      <c r="B148" s="46" t="str">
        <f aca="false">IF(Students!B137="","",Students!B137)</f>
        <v/>
      </c>
      <c r="C148" s="33" t="n">
        <f aca="false">'Nov 2026'!F148</f>
        <v>0</v>
      </c>
      <c r="D148" s="33" t="n">
        <f aca="false">IF(B148="",0,N(Students!E137))</f>
        <v>0</v>
      </c>
      <c r="E148" s="23"/>
      <c r="F148" s="24" t="n">
        <f aca="false">N(C148)+N(D148)-N(E148)</f>
        <v>0</v>
      </c>
      <c r="G148" s="33" t="n">
        <f aca="false">'Nov 2026'!J148</f>
        <v>0</v>
      </c>
      <c r="H148" s="33" t="n">
        <f aca="false">IF(B148="",0,N(Students!F137))</f>
        <v>0</v>
      </c>
      <c r="I148" s="23"/>
      <c r="J148" s="24" t="n">
        <f aca="false">N(G148)+N(H148)-N(I148)</f>
        <v>0</v>
      </c>
      <c r="K148" s="33" t="n">
        <f aca="false">'Nov 2026'!N148</f>
        <v>0</v>
      </c>
      <c r="L148" s="33" t="n">
        <f aca="false">IF(B148="",0,N(Students!G137))</f>
        <v>0</v>
      </c>
      <c r="M148" s="23"/>
      <c r="N148" s="24" t="n">
        <f aca="false">N(K148)+N(L148)-N(M148)</f>
        <v>0</v>
      </c>
      <c r="O148" s="33" t="n">
        <f aca="false">'Nov 2026'!R148</f>
        <v>0</v>
      </c>
      <c r="P148" s="33" t="n">
        <f aca="false">IF(B148="",0,N(Students!H137))</f>
        <v>0</v>
      </c>
      <c r="Q148" s="23"/>
      <c r="R148" s="24" t="n">
        <f aca="false">N(O148)+N(P148)-N(Q148)</f>
        <v>0</v>
      </c>
      <c r="S148" s="33" t="n">
        <f aca="false">'Nov 2026'!V148</f>
        <v>0</v>
      </c>
      <c r="T148" s="33" t="n">
        <f aca="false">IF(B148="",0,N(Students!I137))</f>
        <v>0</v>
      </c>
      <c r="U148" s="23"/>
      <c r="V148" s="24" t="n">
        <f aca="false">N(S148)+N(T148)-N(U148)</f>
        <v>0</v>
      </c>
      <c r="W148" s="33" t="n">
        <f aca="false">'Nov 2026'!Z148</f>
        <v>0</v>
      </c>
      <c r="X148" s="33" t="n">
        <f aca="false">IF(B148="",0,N(Students!J137))</f>
        <v>0</v>
      </c>
      <c r="Y148" s="23"/>
      <c r="Z148" s="24" t="n">
        <f aca="false">N(W148)+N(X148)-N(Y148)</f>
        <v>0</v>
      </c>
      <c r="AA148" s="33" t="n">
        <f aca="false">N(E148)+N(I148)+N(M148)+N(Q148)+N(U148)+N(Y148)</f>
        <v>0</v>
      </c>
      <c r="AB148" s="24" t="n">
        <f aca="false">F148+J148+N148+R148+V148+Z148</f>
        <v>0</v>
      </c>
      <c r="AC148" s="81" t="str">
        <f aca="false">IF(B148="","",IF(AB148&lt;=0,"Clear",IF(AA148&gt;0,"Partial","Due")))</f>
        <v/>
      </c>
    </row>
    <row r="149" customFormat="false" ht="15" hidden="false" customHeight="false" outlineLevel="0" collapsed="false">
      <c r="A149" s="25" t="n">
        <v>134</v>
      </c>
      <c r="B149" s="82" t="str">
        <f aca="false">IF(Students!B138="","",Students!B138)</f>
        <v/>
      </c>
      <c r="C149" s="37" t="n">
        <f aca="false">'Nov 2026'!F149</f>
        <v>0</v>
      </c>
      <c r="D149" s="37" t="n">
        <f aca="false">IF(B149="",0,N(Students!E138))</f>
        <v>0</v>
      </c>
      <c r="E149" s="23"/>
      <c r="F149" s="26" t="n">
        <f aca="false">N(C149)+N(D149)-N(E149)</f>
        <v>0</v>
      </c>
      <c r="G149" s="37" t="n">
        <f aca="false">'Nov 2026'!J149</f>
        <v>0</v>
      </c>
      <c r="H149" s="37" t="n">
        <f aca="false">IF(B149="",0,N(Students!F138))</f>
        <v>0</v>
      </c>
      <c r="I149" s="23"/>
      <c r="J149" s="26" t="n">
        <f aca="false">N(G149)+N(H149)-N(I149)</f>
        <v>0</v>
      </c>
      <c r="K149" s="37" t="n">
        <f aca="false">'Nov 2026'!N149</f>
        <v>0</v>
      </c>
      <c r="L149" s="37" t="n">
        <f aca="false">IF(B149="",0,N(Students!G138))</f>
        <v>0</v>
      </c>
      <c r="M149" s="23"/>
      <c r="N149" s="26" t="n">
        <f aca="false">N(K149)+N(L149)-N(M149)</f>
        <v>0</v>
      </c>
      <c r="O149" s="37" t="n">
        <f aca="false">'Nov 2026'!R149</f>
        <v>0</v>
      </c>
      <c r="P149" s="37" t="n">
        <f aca="false">IF(B149="",0,N(Students!H138))</f>
        <v>0</v>
      </c>
      <c r="Q149" s="23"/>
      <c r="R149" s="26" t="n">
        <f aca="false">N(O149)+N(P149)-N(Q149)</f>
        <v>0</v>
      </c>
      <c r="S149" s="37" t="n">
        <f aca="false">'Nov 2026'!V149</f>
        <v>0</v>
      </c>
      <c r="T149" s="37" t="n">
        <f aca="false">IF(B149="",0,N(Students!I138))</f>
        <v>0</v>
      </c>
      <c r="U149" s="23"/>
      <c r="V149" s="26" t="n">
        <f aca="false">N(S149)+N(T149)-N(U149)</f>
        <v>0</v>
      </c>
      <c r="W149" s="37" t="n">
        <f aca="false">'Nov 2026'!Z149</f>
        <v>0</v>
      </c>
      <c r="X149" s="37" t="n">
        <f aca="false">IF(B149="",0,N(Students!J138))</f>
        <v>0</v>
      </c>
      <c r="Y149" s="23"/>
      <c r="Z149" s="26" t="n">
        <f aca="false">N(W149)+N(X149)-N(Y149)</f>
        <v>0</v>
      </c>
      <c r="AA149" s="37" t="n">
        <f aca="false">N(E149)+N(I149)+N(M149)+N(Q149)+N(U149)+N(Y149)</f>
        <v>0</v>
      </c>
      <c r="AB149" s="26" t="n">
        <f aca="false">F149+J149+N149+R149+V149+Z149</f>
        <v>0</v>
      </c>
      <c r="AC149" s="83" t="str">
        <f aca="false">IF(B149="","",IF(AB149&lt;=0,"Clear",IF(AA149&gt;0,"Partial","Due")))</f>
        <v/>
      </c>
    </row>
    <row r="150" customFormat="false" ht="15" hidden="false" customHeight="false" outlineLevel="0" collapsed="false">
      <c r="A150" s="21" t="n">
        <v>135</v>
      </c>
      <c r="B150" s="46" t="str">
        <f aca="false">IF(Students!B139="","",Students!B139)</f>
        <v/>
      </c>
      <c r="C150" s="33" t="n">
        <f aca="false">'Nov 2026'!F150</f>
        <v>0</v>
      </c>
      <c r="D150" s="33" t="n">
        <f aca="false">IF(B150="",0,N(Students!E139))</f>
        <v>0</v>
      </c>
      <c r="E150" s="23"/>
      <c r="F150" s="24" t="n">
        <f aca="false">N(C150)+N(D150)-N(E150)</f>
        <v>0</v>
      </c>
      <c r="G150" s="33" t="n">
        <f aca="false">'Nov 2026'!J150</f>
        <v>0</v>
      </c>
      <c r="H150" s="33" t="n">
        <f aca="false">IF(B150="",0,N(Students!F139))</f>
        <v>0</v>
      </c>
      <c r="I150" s="23"/>
      <c r="J150" s="24" t="n">
        <f aca="false">N(G150)+N(H150)-N(I150)</f>
        <v>0</v>
      </c>
      <c r="K150" s="33" t="n">
        <f aca="false">'Nov 2026'!N150</f>
        <v>0</v>
      </c>
      <c r="L150" s="33" t="n">
        <f aca="false">IF(B150="",0,N(Students!G139))</f>
        <v>0</v>
      </c>
      <c r="M150" s="23"/>
      <c r="N150" s="24" t="n">
        <f aca="false">N(K150)+N(L150)-N(M150)</f>
        <v>0</v>
      </c>
      <c r="O150" s="33" t="n">
        <f aca="false">'Nov 2026'!R150</f>
        <v>0</v>
      </c>
      <c r="P150" s="33" t="n">
        <f aca="false">IF(B150="",0,N(Students!H139))</f>
        <v>0</v>
      </c>
      <c r="Q150" s="23"/>
      <c r="R150" s="24" t="n">
        <f aca="false">N(O150)+N(P150)-N(Q150)</f>
        <v>0</v>
      </c>
      <c r="S150" s="33" t="n">
        <f aca="false">'Nov 2026'!V150</f>
        <v>0</v>
      </c>
      <c r="T150" s="33" t="n">
        <f aca="false">IF(B150="",0,N(Students!I139))</f>
        <v>0</v>
      </c>
      <c r="U150" s="23"/>
      <c r="V150" s="24" t="n">
        <f aca="false">N(S150)+N(T150)-N(U150)</f>
        <v>0</v>
      </c>
      <c r="W150" s="33" t="n">
        <f aca="false">'Nov 2026'!Z150</f>
        <v>0</v>
      </c>
      <c r="X150" s="33" t="n">
        <f aca="false">IF(B150="",0,N(Students!J139))</f>
        <v>0</v>
      </c>
      <c r="Y150" s="23"/>
      <c r="Z150" s="24" t="n">
        <f aca="false">N(W150)+N(X150)-N(Y150)</f>
        <v>0</v>
      </c>
      <c r="AA150" s="33" t="n">
        <f aca="false">N(E150)+N(I150)+N(M150)+N(Q150)+N(U150)+N(Y150)</f>
        <v>0</v>
      </c>
      <c r="AB150" s="24" t="n">
        <f aca="false">F150+J150+N150+R150+V150+Z150</f>
        <v>0</v>
      </c>
      <c r="AC150" s="81" t="str">
        <f aca="false">IF(B150="","",IF(AB150&lt;=0,"Clear",IF(AA150&gt;0,"Partial","Due")))</f>
        <v/>
      </c>
    </row>
    <row r="151" customFormat="false" ht="15" hidden="false" customHeight="false" outlineLevel="0" collapsed="false">
      <c r="A151" s="25" t="n">
        <v>136</v>
      </c>
      <c r="B151" s="82" t="str">
        <f aca="false">IF(Students!B140="","",Students!B140)</f>
        <v/>
      </c>
      <c r="C151" s="37" t="n">
        <f aca="false">'Nov 2026'!F151</f>
        <v>0</v>
      </c>
      <c r="D151" s="37" t="n">
        <f aca="false">IF(B151="",0,N(Students!E140))</f>
        <v>0</v>
      </c>
      <c r="E151" s="23"/>
      <c r="F151" s="26" t="n">
        <f aca="false">N(C151)+N(D151)-N(E151)</f>
        <v>0</v>
      </c>
      <c r="G151" s="37" t="n">
        <f aca="false">'Nov 2026'!J151</f>
        <v>0</v>
      </c>
      <c r="H151" s="37" t="n">
        <f aca="false">IF(B151="",0,N(Students!F140))</f>
        <v>0</v>
      </c>
      <c r="I151" s="23"/>
      <c r="J151" s="26" t="n">
        <f aca="false">N(G151)+N(H151)-N(I151)</f>
        <v>0</v>
      </c>
      <c r="K151" s="37" t="n">
        <f aca="false">'Nov 2026'!N151</f>
        <v>0</v>
      </c>
      <c r="L151" s="37" t="n">
        <f aca="false">IF(B151="",0,N(Students!G140))</f>
        <v>0</v>
      </c>
      <c r="M151" s="23"/>
      <c r="N151" s="26" t="n">
        <f aca="false">N(K151)+N(L151)-N(M151)</f>
        <v>0</v>
      </c>
      <c r="O151" s="37" t="n">
        <f aca="false">'Nov 2026'!R151</f>
        <v>0</v>
      </c>
      <c r="P151" s="37" t="n">
        <f aca="false">IF(B151="",0,N(Students!H140))</f>
        <v>0</v>
      </c>
      <c r="Q151" s="23"/>
      <c r="R151" s="26" t="n">
        <f aca="false">N(O151)+N(P151)-N(Q151)</f>
        <v>0</v>
      </c>
      <c r="S151" s="37" t="n">
        <f aca="false">'Nov 2026'!V151</f>
        <v>0</v>
      </c>
      <c r="T151" s="37" t="n">
        <f aca="false">IF(B151="",0,N(Students!I140))</f>
        <v>0</v>
      </c>
      <c r="U151" s="23"/>
      <c r="V151" s="26" t="n">
        <f aca="false">N(S151)+N(T151)-N(U151)</f>
        <v>0</v>
      </c>
      <c r="W151" s="37" t="n">
        <f aca="false">'Nov 2026'!Z151</f>
        <v>0</v>
      </c>
      <c r="X151" s="37" t="n">
        <f aca="false">IF(B151="",0,N(Students!J140))</f>
        <v>0</v>
      </c>
      <c r="Y151" s="23"/>
      <c r="Z151" s="26" t="n">
        <f aca="false">N(W151)+N(X151)-N(Y151)</f>
        <v>0</v>
      </c>
      <c r="AA151" s="37" t="n">
        <f aca="false">N(E151)+N(I151)+N(M151)+N(Q151)+N(U151)+N(Y151)</f>
        <v>0</v>
      </c>
      <c r="AB151" s="26" t="n">
        <f aca="false">F151+J151+N151+R151+V151+Z151</f>
        <v>0</v>
      </c>
      <c r="AC151" s="83" t="str">
        <f aca="false">IF(B151="","",IF(AB151&lt;=0,"Clear",IF(AA151&gt;0,"Partial","Due")))</f>
        <v/>
      </c>
    </row>
    <row r="152" customFormat="false" ht="15" hidden="false" customHeight="false" outlineLevel="0" collapsed="false">
      <c r="A152" s="21" t="n">
        <v>137</v>
      </c>
      <c r="B152" s="46" t="str">
        <f aca="false">IF(Students!B141="","",Students!B141)</f>
        <v/>
      </c>
      <c r="C152" s="33" t="n">
        <f aca="false">'Nov 2026'!F152</f>
        <v>0</v>
      </c>
      <c r="D152" s="33" t="n">
        <f aca="false">IF(B152="",0,N(Students!E141))</f>
        <v>0</v>
      </c>
      <c r="E152" s="23"/>
      <c r="F152" s="24" t="n">
        <f aca="false">N(C152)+N(D152)-N(E152)</f>
        <v>0</v>
      </c>
      <c r="G152" s="33" t="n">
        <f aca="false">'Nov 2026'!J152</f>
        <v>0</v>
      </c>
      <c r="H152" s="33" t="n">
        <f aca="false">IF(B152="",0,N(Students!F141))</f>
        <v>0</v>
      </c>
      <c r="I152" s="23"/>
      <c r="J152" s="24" t="n">
        <f aca="false">N(G152)+N(H152)-N(I152)</f>
        <v>0</v>
      </c>
      <c r="K152" s="33" t="n">
        <f aca="false">'Nov 2026'!N152</f>
        <v>0</v>
      </c>
      <c r="L152" s="33" t="n">
        <f aca="false">IF(B152="",0,N(Students!G141))</f>
        <v>0</v>
      </c>
      <c r="M152" s="23"/>
      <c r="N152" s="24" t="n">
        <f aca="false">N(K152)+N(L152)-N(M152)</f>
        <v>0</v>
      </c>
      <c r="O152" s="33" t="n">
        <f aca="false">'Nov 2026'!R152</f>
        <v>0</v>
      </c>
      <c r="P152" s="33" t="n">
        <f aca="false">IF(B152="",0,N(Students!H141))</f>
        <v>0</v>
      </c>
      <c r="Q152" s="23"/>
      <c r="R152" s="24" t="n">
        <f aca="false">N(O152)+N(P152)-N(Q152)</f>
        <v>0</v>
      </c>
      <c r="S152" s="33" t="n">
        <f aca="false">'Nov 2026'!V152</f>
        <v>0</v>
      </c>
      <c r="T152" s="33" t="n">
        <f aca="false">IF(B152="",0,N(Students!I141))</f>
        <v>0</v>
      </c>
      <c r="U152" s="23"/>
      <c r="V152" s="24" t="n">
        <f aca="false">N(S152)+N(T152)-N(U152)</f>
        <v>0</v>
      </c>
      <c r="W152" s="33" t="n">
        <f aca="false">'Nov 2026'!Z152</f>
        <v>0</v>
      </c>
      <c r="X152" s="33" t="n">
        <f aca="false">IF(B152="",0,N(Students!J141))</f>
        <v>0</v>
      </c>
      <c r="Y152" s="23"/>
      <c r="Z152" s="24" t="n">
        <f aca="false">N(W152)+N(X152)-N(Y152)</f>
        <v>0</v>
      </c>
      <c r="AA152" s="33" t="n">
        <f aca="false">N(E152)+N(I152)+N(M152)+N(Q152)+N(U152)+N(Y152)</f>
        <v>0</v>
      </c>
      <c r="AB152" s="24" t="n">
        <f aca="false">F152+J152+N152+R152+V152+Z152</f>
        <v>0</v>
      </c>
      <c r="AC152" s="81" t="str">
        <f aca="false">IF(B152="","",IF(AB152&lt;=0,"Clear",IF(AA152&gt;0,"Partial","Due")))</f>
        <v/>
      </c>
    </row>
    <row r="153" customFormat="false" ht="15" hidden="false" customHeight="false" outlineLevel="0" collapsed="false">
      <c r="A153" s="25" t="n">
        <v>138</v>
      </c>
      <c r="B153" s="82" t="str">
        <f aca="false">IF(Students!B142="","",Students!B142)</f>
        <v/>
      </c>
      <c r="C153" s="37" t="n">
        <f aca="false">'Nov 2026'!F153</f>
        <v>0</v>
      </c>
      <c r="D153" s="37" t="n">
        <f aca="false">IF(B153="",0,N(Students!E142))</f>
        <v>0</v>
      </c>
      <c r="E153" s="23"/>
      <c r="F153" s="26" t="n">
        <f aca="false">N(C153)+N(D153)-N(E153)</f>
        <v>0</v>
      </c>
      <c r="G153" s="37" t="n">
        <f aca="false">'Nov 2026'!J153</f>
        <v>0</v>
      </c>
      <c r="H153" s="37" t="n">
        <f aca="false">IF(B153="",0,N(Students!F142))</f>
        <v>0</v>
      </c>
      <c r="I153" s="23"/>
      <c r="J153" s="26" t="n">
        <f aca="false">N(G153)+N(H153)-N(I153)</f>
        <v>0</v>
      </c>
      <c r="K153" s="37" t="n">
        <f aca="false">'Nov 2026'!N153</f>
        <v>0</v>
      </c>
      <c r="L153" s="37" t="n">
        <f aca="false">IF(B153="",0,N(Students!G142))</f>
        <v>0</v>
      </c>
      <c r="M153" s="23"/>
      <c r="N153" s="26" t="n">
        <f aca="false">N(K153)+N(L153)-N(M153)</f>
        <v>0</v>
      </c>
      <c r="O153" s="37" t="n">
        <f aca="false">'Nov 2026'!R153</f>
        <v>0</v>
      </c>
      <c r="P153" s="37" t="n">
        <f aca="false">IF(B153="",0,N(Students!H142))</f>
        <v>0</v>
      </c>
      <c r="Q153" s="23"/>
      <c r="R153" s="26" t="n">
        <f aca="false">N(O153)+N(P153)-N(Q153)</f>
        <v>0</v>
      </c>
      <c r="S153" s="37" t="n">
        <f aca="false">'Nov 2026'!V153</f>
        <v>0</v>
      </c>
      <c r="T153" s="37" t="n">
        <f aca="false">IF(B153="",0,N(Students!I142))</f>
        <v>0</v>
      </c>
      <c r="U153" s="23"/>
      <c r="V153" s="26" t="n">
        <f aca="false">N(S153)+N(T153)-N(U153)</f>
        <v>0</v>
      </c>
      <c r="W153" s="37" t="n">
        <f aca="false">'Nov 2026'!Z153</f>
        <v>0</v>
      </c>
      <c r="X153" s="37" t="n">
        <f aca="false">IF(B153="",0,N(Students!J142))</f>
        <v>0</v>
      </c>
      <c r="Y153" s="23"/>
      <c r="Z153" s="26" t="n">
        <f aca="false">N(W153)+N(X153)-N(Y153)</f>
        <v>0</v>
      </c>
      <c r="AA153" s="37" t="n">
        <f aca="false">N(E153)+N(I153)+N(M153)+N(Q153)+N(U153)+N(Y153)</f>
        <v>0</v>
      </c>
      <c r="AB153" s="26" t="n">
        <f aca="false">F153+J153+N153+R153+V153+Z153</f>
        <v>0</v>
      </c>
      <c r="AC153" s="83" t="str">
        <f aca="false">IF(B153="","",IF(AB153&lt;=0,"Clear",IF(AA153&gt;0,"Partial","Due")))</f>
        <v/>
      </c>
    </row>
    <row r="154" customFormat="false" ht="15" hidden="false" customHeight="false" outlineLevel="0" collapsed="false">
      <c r="A154" s="21" t="n">
        <v>139</v>
      </c>
      <c r="B154" s="46" t="str">
        <f aca="false">IF(Students!B143="","",Students!B143)</f>
        <v/>
      </c>
      <c r="C154" s="33" t="n">
        <f aca="false">'Nov 2026'!F154</f>
        <v>0</v>
      </c>
      <c r="D154" s="33" t="n">
        <f aca="false">IF(B154="",0,N(Students!E143))</f>
        <v>0</v>
      </c>
      <c r="E154" s="23"/>
      <c r="F154" s="24" t="n">
        <f aca="false">N(C154)+N(D154)-N(E154)</f>
        <v>0</v>
      </c>
      <c r="G154" s="33" t="n">
        <f aca="false">'Nov 2026'!J154</f>
        <v>0</v>
      </c>
      <c r="H154" s="33" t="n">
        <f aca="false">IF(B154="",0,N(Students!F143))</f>
        <v>0</v>
      </c>
      <c r="I154" s="23"/>
      <c r="J154" s="24" t="n">
        <f aca="false">N(G154)+N(H154)-N(I154)</f>
        <v>0</v>
      </c>
      <c r="K154" s="33" t="n">
        <f aca="false">'Nov 2026'!N154</f>
        <v>0</v>
      </c>
      <c r="L154" s="33" t="n">
        <f aca="false">IF(B154="",0,N(Students!G143))</f>
        <v>0</v>
      </c>
      <c r="M154" s="23"/>
      <c r="N154" s="24" t="n">
        <f aca="false">N(K154)+N(L154)-N(M154)</f>
        <v>0</v>
      </c>
      <c r="O154" s="33" t="n">
        <f aca="false">'Nov 2026'!R154</f>
        <v>0</v>
      </c>
      <c r="P154" s="33" t="n">
        <f aca="false">IF(B154="",0,N(Students!H143))</f>
        <v>0</v>
      </c>
      <c r="Q154" s="23"/>
      <c r="R154" s="24" t="n">
        <f aca="false">N(O154)+N(P154)-N(Q154)</f>
        <v>0</v>
      </c>
      <c r="S154" s="33" t="n">
        <f aca="false">'Nov 2026'!V154</f>
        <v>0</v>
      </c>
      <c r="T154" s="33" t="n">
        <f aca="false">IF(B154="",0,N(Students!I143))</f>
        <v>0</v>
      </c>
      <c r="U154" s="23"/>
      <c r="V154" s="24" t="n">
        <f aca="false">N(S154)+N(T154)-N(U154)</f>
        <v>0</v>
      </c>
      <c r="W154" s="33" t="n">
        <f aca="false">'Nov 2026'!Z154</f>
        <v>0</v>
      </c>
      <c r="X154" s="33" t="n">
        <f aca="false">IF(B154="",0,N(Students!J143))</f>
        <v>0</v>
      </c>
      <c r="Y154" s="23"/>
      <c r="Z154" s="24" t="n">
        <f aca="false">N(W154)+N(X154)-N(Y154)</f>
        <v>0</v>
      </c>
      <c r="AA154" s="33" t="n">
        <f aca="false">N(E154)+N(I154)+N(M154)+N(Q154)+N(U154)+N(Y154)</f>
        <v>0</v>
      </c>
      <c r="AB154" s="24" t="n">
        <f aca="false">F154+J154+N154+R154+V154+Z154</f>
        <v>0</v>
      </c>
      <c r="AC154" s="81" t="str">
        <f aca="false">IF(B154="","",IF(AB154&lt;=0,"Clear",IF(AA154&gt;0,"Partial","Due")))</f>
        <v/>
      </c>
    </row>
    <row r="155" customFormat="false" ht="15" hidden="false" customHeight="false" outlineLevel="0" collapsed="false">
      <c r="A155" s="25" t="n">
        <v>140</v>
      </c>
      <c r="B155" s="82" t="str">
        <f aca="false">IF(Students!B144="","",Students!B144)</f>
        <v/>
      </c>
      <c r="C155" s="37" t="n">
        <f aca="false">'Nov 2026'!F155</f>
        <v>0</v>
      </c>
      <c r="D155" s="37" t="n">
        <f aca="false">IF(B155="",0,N(Students!E144))</f>
        <v>0</v>
      </c>
      <c r="E155" s="23"/>
      <c r="F155" s="26" t="n">
        <f aca="false">N(C155)+N(D155)-N(E155)</f>
        <v>0</v>
      </c>
      <c r="G155" s="37" t="n">
        <f aca="false">'Nov 2026'!J155</f>
        <v>0</v>
      </c>
      <c r="H155" s="37" t="n">
        <f aca="false">IF(B155="",0,N(Students!F144))</f>
        <v>0</v>
      </c>
      <c r="I155" s="23"/>
      <c r="J155" s="26" t="n">
        <f aca="false">N(G155)+N(H155)-N(I155)</f>
        <v>0</v>
      </c>
      <c r="K155" s="37" t="n">
        <f aca="false">'Nov 2026'!N155</f>
        <v>0</v>
      </c>
      <c r="L155" s="37" t="n">
        <f aca="false">IF(B155="",0,N(Students!G144))</f>
        <v>0</v>
      </c>
      <c r="M155" s="23"/>
      <c r="N155" s="26" t="n">
        <f aca="false">N(K155)+N(L155)-N(M155)</f>
        <v>0</v>
      </c>
      <c r="O155" s="37" t="n">
        <f aca="false">'Nov 2026'!R155</f>
        <v>0</v>
      </c>
      <c r="P155" s="37" t="n">
        <f aca="false">IF(B155="",0,N(Students!H144))</f>
        <v>0</v>
      </c>
      <c r="Q155" s="23"/>
      <c r="R155" s="26" t="n">
        <f aca="false">N(O155)+N(P155)-N(Q155)</f>
        <v>0</v>
      </c>
      <c r="S155" s="37" t="n">
        <f aca="false">'Nov 2026'!V155</f>
        <v>0</v>
      </c>
      <c r="T155" s="37" t="n">
        <f aca="false">IF(B155="",0,N(Students!I144))</f>
        <v>0</v>
      </c>
      <c r="U155" s="23"/>
      <c r="V155" s="26" t="n">
        <f aca="false">N(S155)+N(T155)-N(U155)</f>
        <v>0</v>
      </c>
      <c r="W155" s="37" t="n">
        <f aca="false">'Nov 2026'!Z155</f>
        <v>0</v>
      </c>
      <c r="X155" s="37" t="n">
        <f aca="false">IF(B155="",0,N(Students!J144))</f>
        <v>0</v>
      </c>
      <c r="Y155" s="23"/>
      <c r="Z155" s="26" t="n">
        <f aca="false">N(W155)+N(X155)-N(Y155)</f>
        <v>0</v>
      </c>
      <c r="AA155" s="37" t="n">
        <f aca="false">N(E155)+N(I155)+N(M155)+N(Q155)+N(U155)+N(Y155)</f>
        <v>0</v>
      </c>
      <c r="AB155" s="26" t="n">
        <f aca="false">F155+J155+N155+R155+V155+Z155</f>
        <v>0</v>
      </c>
      <c r="AC155" s="83" t="str">
        <f aca="false">IF(B155="","",IF(AB155&lt;=0,"Clear",IF(AA155&gt;0,"Partial","Due")))</f>
        <v/>
      </c>
    </row>
    <row r="156" customFormat="false" ht="15" hidden="false" customHeight="false" outlineLevel="0" collapsed="false">
      <c r="A156" s="21" t="n">
        <v>141</v>
      </c>
      <c r="B156" s="46" t="str">
        <f aca="false">IF(Students!B145="","",Students!B145)</f>
        <v/>
      </c>
      <c r="C156" s="33" t="n">
        <f aca="false">'Nov 2026'!F156</f>
        <v>0</v>
      </c>
      <c r="D156" s="33" t="n">
        <f aca="false">IF(B156="",0,N(Students!E145))</f>
        <v>0</v>
      </c>
      <c r="E156" s="23"/>
      <c r="F156" s="24" t="n">
        <f aca="false">N(C156)+N(D156)-N(E156)</f>
        <v>0</v>
      </c>
      <c r="G156" s="33" t="n">
        <f aca="false">'Nov 2026'!J156</f>
        <v>0</v>
      </c>
      <c r="H156" s="33" t="n">
        <f aca="false">IF(B156="",0,N(Students!F145))</f>
        <v>0</v>
      </c>
      <c r="I156" s="23"/>
      <c r="J156" s="24" t="n">
        <f aca="false">N(G156)+N(H156)-N(I156)</f>
        <v>0</v>
      </c>
      <c r="K156" s="33" t="n">
        <f aca="false">'Nov 2026'!N156</f>
        <v>0</v>
      </c>
      <c r="L156" s="33" t="n">
        <f aca="false">IF(B156="",0,N(Students!G145))</f>
        <v>0</v>
      </c>
      <c r="M156" s="23"/>
      <c r="N156" s="24" t="n">
        <f aca="false">N(K156)+N(L156)-N(M156)</f>
        <v>0</v>
      </c>
      <c r="O156" s="33" t="n">
        <f aca="false">'Nov 2026'!R156</f>
        <v>0</v>
      </c>
      <c r="P156" s="33" t="n">
        <f aca="false">IF(B156="",0,N(Students!H145))</f>
        <v>0</v>
      </c>
      <c r="Q156" s="23"/>
      <c r="R156" s="24" t="n">
        <f aca="false">N(O156)+N(P156)-N(Q156)</f>
        <v>0</v>
      </c>
      <c r="S156" s="33" t="n">
        <f aca="false">'Nov 2026'!V156</f>
        <v>0</v>
      </c>
      <c r="T156" s="33" t="n">
        <f aca="false">IF(B156="",0,N(Students!I145))</f>
        <v>0</v>
      </c>
      <c r="U156" s="23"/>
      <c r="V156" s="24" t="n">
        <f aca="false">N(S156)+N(T156)-N(U156)</f>
        <v>0</v>
      </c>
      <c r="W156" s="33" t="n">
        <f aca="false">'Nov 2026'!Z156</f>
        <v>0</v>
      </c>
      <c r="X156" s="33" t="n">
        <f aca="false">IF(B156="",0,N(Students!J145))</f>
        <v>0</v>
      </c>
      <c r="Y156" s="23"/>
      <c r="Z156" s="24" t="n">
        <f aca="false">N(W156)+N(X156)-N(Y156)</f>
        <v>0</v>
      </c>
      <c r="AA156" s="33" t="n">
        <f aca="false">N(E156)+N(I156)+N(M156)+N(Q156)+N(U156)+N(Y156)</f>
        <v>0</v>
      </c>
      <c r="AB156" s="24" t="n">
        <f aca="false">F156+J156+N156+R156+V156+Z156</f>
        <v>0</v>
      </c>
      <c r="AC156" s="81" t="str">
        <f aca="false">IF(B156="","",IF(AB156&lt;=0,"Clear",IF(AA156&gt;0,"Partial","Due")))</f>
        <v/>
      </c>
    </row>
    <row r="157" customFormat="false" ht="15" hidden="false" customHeight="false" outlineLevel="0" collapsed="false">
      <c r="A157" s="25" t="n">
        <v>142</v>
      </c>
      <c r="B157" s="82" t="str">
        <f aca="false">IF(Students!B146="","",Students!B146)</f>
        <v/>
      </c>
      <c r="C157" s="37" t="n">
        <f aca="false">'Nov 2026'!F157</f>
        <v>0</v>
      </c>
      <c r="D157" s="37" t="n">
        <f aca="false">IF(B157="",0,N(Students!E146))</f>
        <v>0</v>
      </c>
      <c r="E157" s="23"/>
      <c r="F157" s="26" t="n">
        <f aca="false">N(C157)+N(D157)-N(E157)</f>
        <v>0</v>
      </c>
      <c r="G157" s="37" t="n">
        <f aca="false">'Nov 2026'!J157</f>
        <v>0</v>
      </c>
      <c r="H157" s="37" t="n">
        <f aca="false">IF(B157="",0,N(Students!F146))</f>
        <v>0</v>
      </c>
      <c r="I157" s="23"/>
      <c r="J157" s="26" t="n">
        <f aca="false">N(G157)+N(H157)-N(I157)</f>
        <v>0</v>
      </c>
      <c r="K157" s="37" t="n">
        <f aca="false">'Nov 2026'!N157</f>
        <v>0</v>
      </c>
      <c r="L157" s="37" t="n">
        <f aca="false">IF(B157="",0,N(Students!G146))</f>
        <v>0</v>
      </c>
      <c r="M157" s="23"/>
      <c r="N157" s="26" t="n">
        <f aca="false">N(K157)+N(L157)-N(M157)</f>
        <v>0</v>
      </c>
      <c r="O157" s="37" t="n">
        <f aca="false">'Nov 2026'!R157</f>
        <v>0</v>
      </c>
      <c r="P157" s="37" t="n">
        <f aca="false">IF(B157="",0,N(Students!H146))</f>
        <v>0</v>
      </c>
      <c r="Q157" s="23"/>
      <c r="R157" s="26" t="n">
        <f aca="false">N(O157)+N(P157)-N(Q157)</f>
        <v>0</v>
      </c>
      <c r="S157" s="37" t="n">
        <f aca="false">'Nov 2026'!V157</f>
        <v>0</v>
      </c>
      <c r="T157" s="37" t="n">
        <f aca="false">IF(B157="",0,N(Students!I146))</f>
        <v>0</v>
      </c>
      <c r="U157" s="23"/>
      <c r="V157" s="26" t="n">
        <f aca="false">N(S157)+N(T157)-N(U157)</f>
        <v>0</v>
      </c>
      <c r="W157" s="37" t="n">
        <f aca="false">'Nov 2026'!Z157</f>
        <v>0</v>
      </c>
      <c r="X157" s="37" t="n">
        <f aca="false">IF(B157="",0,N(Students!J146))</f>
        <v>0</v>
      </c>
      <c r="Y157" s="23"/>
      <c r="Z157" s="26" t="n">
        <f aca="false">N(W157)+N(X157)-N(Y157)</f>
        <v>0</v>
      </c>
      <c r="AA157" s="37" t="n">
        <f aca="false">N(E157)+N(I157)+N(M157)+N(Q157)+N(U157)+N(Y157)</f>
        <v>0</v>
      </c>
      <c r="AB157" s="26" t="n">
        <f aca="false">F157+J157+N157+R157+V157+Z157</f>
        <v>0</v>
      </c>
      <c r="AC157" s="83" t="str">
        <f aca="false">IF(B157="","",IF(AB157&lt;=0,"Clear",IF(AA157&gt;0,"Partial","Due")))</f>
        <v/>
      </c>
    </row>
    <row r="158" customFormat="false" ht="15" hidden="false" customHeight="false" outlineLevel="0" collapsed="false">
      <c r="A158" s="21" t="n">
        <v>143</v>
      </c>
      <c r="B158" s="46" t="str">
        <f aca="false">IF(Students!B147="","",Students!B147)</f>
        <v/>
      </c>
      <c r="C158" s="33" t="n">
        <f aca="false">'Nov 2026'!F158</f>
        <v>0</v>
      </c>
      <c r="D158" s="33" t="n">
        <f aca="false">IF(B158="",0,N(Students!E147))</f>
        <v>0</v>
      </c>
      <c r="E158" s="23"/>
      <c r="F158" s="24" t="n">
        <f aca="false">N(C158)+N(D158)-N(E158)</f>
        <v>0</v>
      </c>
      <c r="G158" s="33" t="n">
        <f aca="false">'Nov 2026'!J158</f>
        <v>0</v>
      </c>
      <c r="H158" s="33" t="n">
        <f aca="false">IF(B158="",0,N(Students!F147))</f>
        <v>0</v>
      </c>
      <c r="I158" s="23"/>
      <c r="J158" s="24" t="n">
        <f aca="false">N(G158)+N(H158)-N(I158)</f>
        <v>0</v>
      </c>
      <c r="K158" s="33" t="n">
        <f aca="false">'Nov 2026'!N158</f>
        <v>0</v>
      </c>
      <c r="L158" s="33" t="n">
        <f aca="false">IF(B158="",0,N(Students!G147))</f>
        <v>0</v>
      </c>
      <c r="M158" s="23"/>
      <c r="N158" s="24" t="n">
        <f aca="false">N(K158)+N(L158)-N(M158)</f>
        <v>0</v>
      </c>
      <c r="O158" s="33" t="n">
        <f aca="false">'Nov 2026'!R158</f>
        <v>0</v>
      </c>
      <c r="P158" s="33" t="n">
        <f aca="false">IF(B158="",0,N(Students!H147))</f>
        <v>0</v>
      </c>
      <c r="Q158" s="23"/>
      <c r="R158" s="24" t="n">
        <f aca="false">N(O158)+N(P158)-N(Q158)</f>
        <v>0</v>
      </c>
      <c r="S158" s="33" t="n">
        <f aca="false">'Nov 2026'!V158</f>
        <v>0</v>
      </c>
      <c r="T158" s="33" t="n">
        <f aca="false">IF(B158="",0,N(Students!I147))</f>
        <v>0</v>
      </c>
      <c r="U158" s="23"/>
      <c r="V158" s="24" t="n">
        <f aca="false">N(S158)+N(T158)-N(U158)</f>
        <v>0</v>
      </c>
      <c r="W158" s="33" t="n">
        <f aca="false">'Nov 2026'!Z158</f>
        <v>0</v>
      </c>
      <c r="X158" s="33" t="n">
        <f aca="false">IF(B158="",0,N(Students!J147))</f>
        <v>0</v>
      </c>
      <c r="Y158" s="23"/>
      <c r="Z158" s="24" t="n">
        <f aca="false">N(W158)+N(X158)-N(Y158)</f>
        <v>0</v>
      </c>
      <c r="AA158" s="33" t="n">
        <f aca="false">N(E158)+N(I158)+N(M158)+N(Q158)+N(U158)+N(Y158)</f>
        <v>0</v>
      </c>
      <c r="AB158" s="24" t="n">
        <f aca="false">F158+J158+N158+R158+V158+Z158</f>
        <v>0</v>
      </c>
      <c r="AC158" s="81" t="str">
        <f aca="false">IF(B158="","",IF(AB158&lt;=0,"Clear",IF(AA158&gt;0,"Partial","Due")))</f>
        <v/>
      </c>
    </row>
    <row r="159" customFormat="false" ht="15" hidden="false" customHeight="false" outlineLevel="0" collapsed="false">
      <c r="A159" s="25" t="n">
        <v>144</v>
      </c>
      <c r="B159" s="82" t="str">
        <f aca="false">IF(Students!B148="","",Students!B148)</f>
        <v/>
      </c>
      <c r="C159" s="37" t="n">
        <f aca="false">'Nov 2026'!F159</f>
        <v>0</v>
      </c>
      <c r="D159" s="37" t="n">
        <f aca="false">IF(B159="",0,N(Students!E148))</f>
        <v>0</v>
      </c>
      <c r="E159" s="23"/>
      <c r="F159" s="26" t="n">
        <f aca="false">N(C159)+N(D159)-N(E159)</f>
        <v>0</v>
      </c>
      <c r="G159" s="37" t="n">
        <f aca="false">'Nov 2026'!J159</f>
        <v>0</v>
      </c>
      <c r="H159" s="37" t="n">
        <f aca="false">IF(B159="",0,N(Students!F148))</f>
        <v>0</v>
      </c>
      <c r="I159" s="23"/>
      <c r="J159" s="26" t="n">
        <f aca="false">N(G159)+N(H159)-N(I159)</f>
        <v>0</v>
      </c>
      <c r="K159" s="37" t="n">
        <f aca="false">'Nov 2026'!N159</f>
        <v>0</v>
      </c>
      <c r="L159" s="37" t="n">
        <f aca="false">IF(B159="",0,N(Students!G148))</f>
        <v>0</v>
      </c>
      <c r="M159" s="23"/>
      <c r="N159" s="26" t="n">
        <f aca="false">N(K159)+N(L159)-N(M159)</f>
        <v>0</v>
      </c>
      <c r="O159" s="37" t="n">
        <f aca="false">'Nov 2026'!R159</f>
        <v>0</v>
      </c>
      <c r="P159" s="37" t="n">
        <f aca="false">IF(B159="",0,N(Students!H148))</f>
        <v>0</v>
      </c>
      <c r="Q159" s="23"/>
      <c r="R159" s="26" t="n">
        <f aca="false">N(O159)+N(P159)-N(Q159)</f>
        <v>0</v>
      </c>
      <c r="S159" s="37" t="n">
        <f aca="false">'Nov 2026'!V159</f>
        <v>0</v>
      </c>
      <c r="T159" s="37" t="n">
        <f aca="false">IF(B159="",0,N(Students!I148))</f>
        <v>0</v>
      </c>
      <c r="U159" s="23"/>
      <c r="V159" s="26" t="n">
        <f aca="false">N(S159)+N(T159)-N(U159)</f>
        <v>0</v>
      </c>
      <c r="W159" s="37" t="n">
        <f aca="false">'Nov 2026'!Z159</f>
        <v>0</v>
      </c>
      <c r="X159" s="37" t="n">
        <f aca="false">IF(B159="",0,N(Students!J148))</f>
        <v>0</v>
      </c>
      <c r="Y159" s="23"/>
      <c r="Z159" s="26" t="n">
        <f aca="false">N(W159)+N(X159)-N(Y159)</f>
        <v>0</v>
      </c>
      <c r="AA159" s="37" t="n">
        <f aca="false">N(E159)+N(I159)+N(M159)+N(Q159)+N(U159)+N(Y159)</f>
        <v>0</v>
      </c>
      <c r="AB159" s="26" t="n">
        <f aca="false">F159+J159+N159+R159+V159+Z159</f>
        <v>0</v>
      </c>
      <c r="AC159" s="83" t="str">
        <f aca="false">IF(B159="","",IF(AB159&lt;=0,"Clear",IF(AA159&gt;0,"Partial","Due")))</f>
        <v/>
      </c>
    </row>
    <row r="160" customFormat="false" ht="15" hidden="false" customHeight="false" outlineLevel="0" collapsed="false">
      <c r="A160" s="21" t="n">
        <v>145</v>
      </c>
      <c r="B160" s="46" t="str">
        <f aca="false">IF(Students!B149="","",Students!B149)</f>
        <v/>
      </c>
      <c r="C160" s="33" t="n">
        <f aca="false">'Nov 2026'!F160</f>
        <v>0</v>
      </c>
      <c r="D160" s="33" t="n">
        <f aca="false">IF(B160="",0,N(Students!E149))</f>
        <v>0</v>
      </c>
      <c r="E160" s="23"/>
      <c r="F160" s="24" t="n">
        <f aca="false">N(C160)+N(D160)-N(E160)</f>
        <v>0</v>
      </c>
      <c r="G160" s="33" t="n">
        <f aca="false">'Nov 2026'!J160</f>
        <v>0</v>
      </c>
      <c r="H160" s="33" t="n">
        <f aca="false">IF(B160="",0,N(Students!F149))</f>
        <v>0</v>
      </c>
      <c r="I160" s="23"/>
      <c r="J160" s="24" t="n">
        <f aca="false">N(G160)+N(H160)-N(I160)</f>
        <v>0</v>
      </c>
      <c r="K160" s="33" t="n">
        <f aca="false">'Nov 2026'!N160</f>
        <v>0</v>
      </c>
      <c r="L160" s="33" t="n">
        <f aca="false">IF(B160="",0,N(Students!G149))</f>
        <v>0</v>
      </c>
      <c r="M160" s="23"/>
      <c r="N160" s="24" t="n">
        <f aca="false">N(K160)+N(L160)-N(M160)</f>
        <v>0</v>
      </c>
      <c r="O160" s="33" t="n">
        <f aca="false">'Nov 2026'!R160</f>
        <v>0</v>
      </c>
      <c r="P160" s="33" t="n">
        <f aca="false">IF(B160="",0,N(Students!H149))</f>
        <v>0</v>
      </c>
      <c r="Q160" s="23"/>
      <c r="R160" s="24" t="n">
        <f aca="false">N(O160)+N(P160)-N(Q160)</f>
        <v>0</v>
      </c>
      <c r="S160" s="33" t="n">
        <f aca="false">'Nov 2026'!V160</f>
        <v>0</v>
      </c>
      <c r="T160" s="33" t="n">
        <f aca="false">IF(B160="",0,N(Students!I149))</f>
        <v>0</v>
      </c>
      <c r="U160" s="23"/>
      <c r="V160" s="24" t="n">
        <f aca="false">N(S160)+N(T160)-N(U160)</f>
        <v>0</v>
      </c>
      <c r="W160" s="33" t="n">
        <f aca="false">'Nov 2026'!Z160</f>
        <v>0</v>
      </c>
      <c r="X160" s="33" t="n">
        <f aca="false">IF(B160="",0,N(Students!J149))</f>
        <v>0</v>
      </c>
      <c r="Y160" s="23"/>
      <c r="Z160" s="24" t="n">
        <f aca="false">N(W160)+N(X160)-N(Y160)</f>
        <v>0</v>
      </c>
      <c r="AA160" s="33" t="n">
        <f aca="false">N(E160)+N(I160)+N(M160)+N(Q160)+N(U160)+N(Y160)</f>
        <v>0</v>
      </c>
      <c r="AB160" s="24" t="n">
        <f aca="false">F160+J160+N160+R160+V160+Z160</f>
        <v>0</v>
      </c>
      <c r="AC160" s="81" t="str">
        <f aca="false">IF(B160="","",IF(AB160&lt;=0,"Clear",IF(AA160&gt;0,"Partial","Due")))</f>
        <v/>
      </c>
    </row>
    <row r="161" customFormat="false" ht="15" hidden="false" customHeight="false" outlineLevel="0" collapsed="false">
      <c r="A161" s="25" t="n">
        <v>146</v>
      </c>
      <c r="B161" s="82" t="str">
        <f aca="false">IF(Students!B150="","",Students!B150)</f>
        <v/>
      </c>
      <c r="C161" s="37" t="n">
        <f aca="false">'Nov 2026'!F161</f>
        <v>0</v>
      </c>
      <c r="D161" s="37" t="n">
        <f aca="false">IF(B161="",0,N(Students!E150))</f>
        <v>0</v>
      </c>
      <c r="E161" s="23"/>
      <c r="F161" s="26" t="n">
        <f aca="false">N(C161)+N(D161)-N(E161)</f>
        <v>0</v>
      </c>
      <c r="G161" s="37" t="n">
        <f aca="false">'Nov 2026'!J161</f>
        <v>0</v>
      </c>
      <c r="H161" s="37" t="n">
        <f aca="false">IF(B161="",0,N(Students!F150))</f>
        <v>0</v>
      </c>
      <c r="I161" s="23"/>
      <c r="J161" s="26" t="n">
        <f aca="false">N(G161)+N(H161)-N(I161)</f>
        <v>0</v>
      </c>
      <c r="K161" s="37" t="n">
        <f aca="false">'Nov 2026'!N161</f>
        <v>0</v>
      </c>
      <c r="L161" s="37" t="n">
        <f aca="false">IF(B161="",0,N(Students!G150))</f>
        <v>0</v>
      </c>
      <c r="M161" s="23"/>
      <c r="N161" s="26" t="n">
        <f aca="false">N(K161)+N(L161)-N(M161)</f>
        <v>0</v>
      </c>
      <c r="O161" s="37" t="n">
        <f aca="false">'Nov 2026'!R161</f>
        <v>0</v>
      </c>
      <c r="P161" s="37" t="n">
        <f aca="false">IF(B161="",0,N(Students!H150))</f>
        <v>0</v>
      </c>
      <c r="Q161" s="23"/>
      <c r="R161" s="26" t="n">
        <f aca="false">N(O161)+N(P161)-N(Q161)</f>
        <v>0</v>
      </c>
      <c r="S161" s="37" t="n">
        <f aca="false">'Nov 2026'!V161</f>
        <v>0</v>
      </c>
      <c r="T161" s="37" t="n">
        <f aca="false">IF(B161="",0,N(Students!I150))</f>
        <v>0</v>
      </c>
      <c r="U161" s="23"/>
      <c r="V161" s="26" t="n">
        <f aca="false">N(S161)+N(T161)-N(U161)</f>
        <v>0</v>
      </c>
      <c r="W161" s="37" t="n">
        <f aca="false">'Nov 2026'!Z161</f>
        <v>0</v>
      </c>
      <c r="X161" s="37" t="n">
        <f aca="false">IF(B161="",0,N(Students!J150))</f>
        <v>0</v>
      </c>
      <c r="Y161" s="23"/>
      <c r="Z161" s="26" t="n">
        <f aca="false">N(W161)+N(X161)-N(Y161)</f>
        <v>0</v>
      </c>
      <c r="AA161" s="37" t="n">
        <f aca="false">N(E161)+N(I161)+N(M161)+N(Q161)+N(U161)+N(Y161)</f>
        <v>0</v>
      </c>
      <c r="AB161" s="26" t="n">
        <f aca="false">F161+J161+N161+R161+V161+Z161</f>
        <v>0</v>
      </c>
      <c r="AC161" s="83" t="str">
        <f aca="false">IF(B161="","",IF(AB161&lt;=0,"Clear",IF(AA161&gt;0,"Partial","Due")))</f>
        <v/>
      </c>
    </row>
    <row r="162" customFormat="false" ht="15" hidden="false" customHeight="false" outlineLevel="0" collapsed="false">
      <c r="A162" s="21" t="n">
        <v>147</v>
      </c>
      <c r="B162" s="46" t="str">
        <f aca="false">IF(Students!B151="","",Students!B151)</f>
        <v/>
      </c>
      <c r="C162" s="33" t="n">
        <f aca="false">'Nov 2026'!F162</f>
        <v>0</v>
      </c>
      <c r="D162" s="33" t="n">
        <f aca="false">IF(B162="",0,N(Students!E151))</f>
        <v>0</v>
      </c>
      <c r="E162" s="23"/>
      <c r="F162" s="24" t="n">
        <f aca="false">N(C162)+N(D162)-N(E162)</f>
        <v>0</v>
      </c>
      <c r="G162" s="33" t="n">
        <f aca="false">'Nov 2026'!J162</f>
        <v>0</v>
      </c>
      <c r="H162" s="33" t="n">
        <f aca="false">IF(B162="",0,N(Students!F151))</f>
        <v>0</v>
      </c>
      <c r="I162" s="23"/>
      <c r="J162" s="24" t="n">
        <f aca="false">N(G162)+N(H162)-N(I162)</f>
        <v>0</v>
      </c>
      <c r="K162" s="33" t="n">
        <f aca="false">'Nov 2026'!N162</f>
        <v>0</v>
      </c>
      <c r="L162" s="33" t="n">
        <f aca="false">IF(B162="",0,N(Students!G151))</f>
        <v>0</v>
      </c>
      <c r="M162" s="23"/>
      <c r="N162" s="24" t="n">
        <f aca="false">N(K162)+N(L162)-N(M162)</f>
        <v>0</v>
      </c>
      <c r="O162" s="33" t="n">
        <f aca="false">'Nov 2026'!R162</f>
        <v>0</v>
      </c>
      <c r="P162" s="33" t="n">
        <f aca="false">IF(B162="",0,N(Students!H151))</f>
        <v>0</v>
      </c>
      <c r="Q162" s="23"/>
      <c r="R162" s="24" t="n">
        <f aca="false">N(O162)+N(P162)-N(Q162)</f>
        <v>0</v>
      </c>
      <c r="S162" s="33" t="n">
        <f aca="false">'Nov 2026'!V162</f>
        <v>0</v>
      </c>
      <c r="T162" s="33" t="n">
        <f aca="false">IF(B162="",0,N(Students!I151))</f>
        <v>0</v>
      </c>
      <c r="U162" s="23"/>
      <c r="V162" s="24" t="n">
        <f aca="false">N(S162)+N(T162)-N(U162)</f>
        <v>0</v>
      </c>
      <c r="W162" s="33" t="n">
        <f aca="false">'Nov 2026'!Z162</f>
        <v>0</v>
      </c>
      <c r="X162" s="33" t="n">
        <f aca="false">IF(B162="",0,N(Students!J151))</f>
        <v>0</v>
      </c>
      <c r="Y162" s="23"/>
      <c r="Z162" s="24" t="n">
        <f aca="false">N(W162)+N(X162)-N(Y162)</f>
        <v>0</v>
      </c>
      <c r="AA162" s="33" t="n">
        <f aca="false">N(E162)+N(I162)+N(M162)+N(Q162)+N(U162)+N(Y162)</f>
        <v>0</v>
      </c>
      <c r="AB162" s="24" t="n">
        <f aca="false">F162+J162+N162+R162+V162+Z162</f>
        <v>0</v>
      </c>
      <c r="AC162" s="81" t="str">
        <f aca="false">IF(B162="","",IF(AB162&lt;=0,"Clear",IF(AA162&gt;0,"Partial","Due")))</f>
        <v/>
      </c>
    </row>
    <row r="163" customFormat="false" ht="15" hidden="false" customHeight="false" outlineLevel="0" collapsed="false">
      <c r="A163" s="25" t="n">
        <v>148</v>
      </c>
      <c r="B163" s="82" t="str">
        <f aca="false">IF(Students!B152="","",Students!B152)</f>
        <v/>
      </c>
      <c r="C163" s="37" t="n">
        <f aca="false">'Nov 2026'!F163</f>
        <v>0</v>
      </c>
      <c r="D163" s="37" t="n">
        <f aca="false">IF(B163="",0,N(Students!E152))</f>
        <v>0</v>
      </c>
      <c r="E163" s="23"/>
      <c r="F163" s="26" t="n">
        <f aca="false">N(C163)+N(D163)-N(E163)</f>
        <v>0</v>
      </c>
      <c r="G163" s="37" t="n">
        <f aca="false">'Nov 2026'!J163</f>
        <v>0</v>
      </c>
      <c r="H163" s="37" t="n">
        <f aca="false">IF(B163="",0,N(Students!F152))</f>
        <v>0</v>
      </c>
      <c r="I163" s="23"/>
      <c r="J163" s="26" t="n">
        <f aca="false">N(G163)+N(H163)-N(I163)</f>
        <v>0</v>
      </c>
      <c r="K163" s="37" t="n">
        <f aca="false">'Nov 2026'!N163</f>
        <v>0</v>
      </c>
      <c r="L163" s="37" t="n">
        <f aca="false">IF(B163="",0,N(Students!G152))</f>
        <v>0</v>
      </c>
      <c r="M163" s="23"/>
      <c r="N163" s="26" t="n">
        <f aca="false">N(K163)+N(L163)-N(M163)</f>
        <v>0</v>
      </c>
      <c r="O163" s="37" t="n">
        <f aca="false">'Nov 2026'!R163</f>
        <v>0</v>
      </c>
      <c r="P163" s="37" t="n">
        <f aca="false">IF(B163="",0,N(Students!H152))</f>
        <v>0</v>
      </c>
      <c r="Q163" s="23"/>
      <c r="R163" s="26" t="n">
        <f aca="false">N(O163)+N(P163)-N(Q163)</f>
        <v>0</v>
      </c>
      <c r="S163" s="37" t="n">
        <f aca="false">'Nov 2026'!V163</f>
        <v>0</v>
      </c>
      <c r="T163" s="37" t="n">
        <f aca="false">IF(B163="",0,N(Students!I152))</f>
        <v>0</v>
      </c>
      <c r="U163" s="23"/>
      <c r="V163" s="26" t="n">
        <f aca="false">N(S163)+N(T163)-N(U163)</f>
        <v>0</v>
      </c>
      <c r="W163" s="37" t="n">
        <f aca="false">'Nov 2026'!Z163</f>
        <v>0</v>
      </c>
      <c r="X163" s="37" t="n">
        <f aca="false">IF(B163="",0,N(Students!J152))</f>
        <v>0</v>
      </c>
      <c r="Y163" s="23"/>
      <c r="Z163" s="26" t="n">
        <f aca="false">N(W163)+N(X163)-N(Y163)</f>
        <v>0</v>
      </c>
      <c r="AA163" s="37" t="n">
        <f aca="false">N(E163)+N(I163)+N(M163)+N(Q163)+N(U163)+N(Y163)</f>
        <v>0</v>
      </c>
      <c r="AB163" s="26" t="n">
        <f aca="false">F163+J163+N163+R163+V163+Z163</f>
        <v>0</v>
      </c>
      <c r="AC163" s="83" t="str">
        <f aca="false">IF(B163="","",IF(AB163&lt;=0,"Clear",IF(AA163&gt;0,"Partial","Due")))</f>
        <v/>
      </c>
    </row>
    <row r="164" customFormat="false" ht="15" hidden="false" customHeight="false" outlineLevel="0" collapsed="false">
      <c r="A164" s="21" t="n">
        <v>149</v>
      </c>
      <c r="B164" s="46" t="str">
        <f aca="false">IF(Students!B153="","",Students!B153)</f>
        <v/>
      </c>
      <c r="C164" s="33" t="n">
        <f aca="false">'Nov 2026'!F164</f>
        <v>0</v>
      </c>
      <c r="D164" s="33" t="n">
        <f aca="false">IF(B164="",0,N(Students!E153))</f>
        <v>0</v>
      </c>
      <c r="E164" s="23"/>
      <c r="F164" s="24" t="n">
        <f aca="false">N(C164)+N(D164)-N(E164)</f>
        <v>0</v>
      </c>
      <c r="G164" s="33" t="n">
        <f aca="false">'Nov 2026'!J164</f>
        <v>0</v>
      </c>
      <c r="H164" s="33" t="n">
        <f aca="false">IF(B164="",0,N(Students!F153))</f>
        <v>0</v>
      </c>
      <c r="I164" s="23"/>
      <c r="J164" s="24" t="n">
        <f aca="false">N(G164)+N(H164)-N(I164)</f>
        <v>0</v>
      </c>
      <c r="K164" s="33" t="n">
        <f aca="false">'Nov 2026'!N164</f>
        <v>0</v>
      </c>
      <c r="L164" s="33" t="n">
        <f aca="false">IF(B164="",0,N(Students!G153))</f>
        <v>0</v>
      </c>
      <c r="M164" s="23"/>
      <c r="N164" s="24" t="n">
        <f aca="false">N(K164)+N(L164)-N(M164)</f>
        <v>0</v>
      </c>
      <c r="O164" s="33" t="n">
        <f aca="false">'Nov 2026'!R164</f>
        <v>0</v>
      </c>
      <c r="P164" s="33" t="n">
        <f aca="false">IF(B164="",0,N(Students!H153))</f>
        <v>0</v>
      </c>
      <c r="Q164" s="23"/>
      <c r="R164" s="24" t="n">
        <f aca="false">N(O164)+N(P164)-N(Q164)</f>
        <v>0</v>
      </c>
      <c r="S164" s="33" t="n">
        <f aca="false">'Nov 2026'!V164</f>
        <v>0</v>
      </c>
      <c r="T164" s="33" t="n">
        <f aca="false">IF(B164="",0,N(Students!I153))</f>
        <v>0</v>
      </c>
      <c r="U164" s="23"/>
      <c r="V164" s="24" t="n">
        <f aca="false">N(S164)+N(T164)-N(U164)</f>
        <v>0</v>
      </c>
      <c r="W164" s="33" t="n">
        <f aca="false">'Nov 2026'!Z164</f>
        <v>0</v>
      </c>
      <c r="X164" s="33" t="n">
        <f aca="false">IF(B164="",0,N(Students!J153))</f>
        <v>0</v>
      </c>
      <c r="Y164" s="23"/>
      <c r="Z164" s="24" t="n">
        <f aca="false">N(W164)+N(X164)-N(Y164)</f>
        <v>0</v>
      </c>
      <c r="AA164" s="33" t="n">
        <f aca="false">N(E164)+N(I164)+N(M164)+N(Q164)+N(U164)+N(Y164)</f>
        <v>0</v>
      </c>
      <c r="AB164" s="24" t="n">
        <f aca="false">F164+J164+N164+R164+V164+Z164</f>
        <v>0</v>
      </c>
      <c r="AC164" s="81" t="str">
        <f aca="false">IF(B164="","",IF(AB164&lt;=0,"Clear",IF(AA164&gt;0,"Partial","Due")))</f>
        <v/>
      </c>
    </row>
    <row r="165" customFormat="false" ht="15" hidden="false" customHeight="false" outlineLevel="0" collapsed="false">
      <c r="A165" s="25" t="n">
        <v>150</v>
      </c>
      <c r="B165" s="82" t="str">
        <f aca="false">IF(Students!B154="","",Students!B154)</f>
        <v/>
      </c>
      <c r="C165" s="37" t="n">
        <f aca="false">'Nov 2026'!F165</f>
        <v>0</v>
      </c>
      <c r="D165" s="37" t="n">
        <f aca="false">IF(B165="",0,N(Students!E154))</f>
        <v>0</v>
      </c>
      <c r="E165" s="23"/>
      <c r="F165" s="26" t="n">
        <f aca="false">N(C165)+N(D165)-N(E165)</f>
        <v>0</v>
      </c>
      <c r="G165" s="37" t="n">
        <f aca="false">'Nov 2026'!J165</f>
        <v>0</v>
      </c>
      <c r="H165" s="37" t="n">
        <f aca="false">IF(B165="",0,N(Students!F154))</f>
        <v>0</v>
      </c>
      <c r="I165" s="23"/>
      <c r="J165" s="26" t="n">
        <f aca="false">N(G165)+N(H165)-N(I165)</f>
        <v>0</v>
      </c>
      <c r="K165" s="37" t="n">
        <f aca="false">'Nov 2026'!N165</f>
        <v>0</v>
      </c>
      <c r="L165" s="37" t="n">
        <f aca="false">IF(B165="",0,N(Students!G154))</f>
        <v>0</v>
      </c>
      <c r="M165" s="23"/>
      <c r="N165" s="26" t="n">
        <f aca="false">N(K165)+N(L165)-N(M165)</f>
        <v>0</v>
      </c>
      <c r="O165" s="37" t="n">
        <f aca="false">'Nov 2026'!R165</f>
        <v>0</v>
      </c>
      <c r="P165" s="37" t="n">
        <f aca="false">IF(B165="",0,N(Students!H154))</f>
        <v>0</v>
      </c>
      <c r="Q165" s="23"/>
      <c r="R165" s="26" t="n">
        <f aca="false">N(O165)+N(P165)-N(Q165)</f>
        <v>0</v>
      </c>
      <c r="S165" s="37" t="n">
        <f aca="false">'Nov 2026'!V165</f>
        <v>0</v>
      </c>
      <c r="T165" s="37" t="n">
        <f aca="false">IF(B165="",0,N(Students!I154))</f>
        <v>0</v>
      </c>
      <c r="U165" s="23"/>
      <c r="V165" s="26" t="n">
        <f aca="false">N(S165)+N(T165)-N(U165)</f>
        <v>0</v>
      </c>
      <c r="W165" s="37" t="n">
        <f aca="false">'Nov 2026'!Z165</f>
        <v>0</v>
      </c>
      <c r="X165" s="37" t="n">
        <f aca="false">IF(B165="",0,N(Students!J154))</f>
        <v>0</v>
      </c>
      <c r="Y165" s="23"/>
      <c r="Z165" s="26" t="n">
        <f aca="false">N(W165)+N(X165)-N(Y165)</f>
        <v>0</v>
      </c>
      <c r="AA165" s="37" t="n">
        <f aca="false">N(E165)+N(I165)+N(M165)+N(Q165)+N(U165)+N(Y165)</f>
        <v>0</v>
      </c>
      <c r="AB165" s="26" t="n">
        <f aca="false">F165+J165+N165+R165+V165+Z165</f>
        <v>0</v>
      </c>
      <c r="AC165" s="83" t="str">
        <f aca="false">IF(B165="","",IF(AB165&lt;=0,"Clear",IF(AA165&gt;0,"Partial","Due")))</f>
        <v/>
      </c>
    </row>
    <row r="166" customFormat="false" ht="15" hidden="false" customHeight="true" outlineLevel="0" collapsed="false">
      <c r="A166" s="4" t="s">
        <v>79</v>
      </c>
      <c r="B166" s="4"/>
      <c r="C166" s="41" t="n">
        <f aca="false">SUM(C16:C165)</f>
        <v>0</v>
      </c>
      <c r="D166" s="41" t="n">
        <f aca="false">SUM(D16:D165)</f>
        <v>0</v>
      </c>
      <c r="E166" s="41" t="n">
        <f aca="false">SUM(E16:E165)</f>
        <v>0</v>
      </c>
      <c r="F166" s="41" t="n">
        <f aca="false">SUM(F16:F165)</f>
        <v>0</v>
      </c>
      <c r="G166" s="41" t="n">
        <f aca="false">SUM(G16:G165)</f>
        <v>2000</v>
      </c>
      <c r="H166" s="41" t="n">
        <f aca="false">SUM(H16:H165)</f>
        <v>2000</v>
      </c>
      <c r="I166" s="41" t="n">
        <f aca="false">SUM(I16:I165)</f>
        <v>0</v>
      </c>
      <c r="J166" s="41" t="n">
        <f aca="false">SUM(J16:J165)</f>
        <v>4000</v>
      </c>
      <c r="K166" s="41" t="n">
        <f aca="false">SUM(K16:K165)</f>
        <v>0</v>
      </c>
      <c r="L166" s="41" t="n">
        <f aca="false">SUM(L16:L165)</f>
        <v>0</v>
      </c>
      <c r="M166" s="41" t="n">
        <f aca="false">SUM(M16:M165)</f>
        <v>0</v>
      </c>
      <c r="N166" s="41" t="n">
        <f aca="false">SUM(N16:N165)</f>
        <v>0</v>
      </c>
      <c r="O166" s="41" t="n">
        <f aca="false">SUM(O16:O165)</f>
        <v>2000</v>
      </c>
      <c r="P166" s="41" t="n">
        <f aca="false">SUM(P16:P165)</f>
        <v>1500</v>
      </c>
      <c r="Q166" s="41" t="n">
        <f aca="false">SUM(Q16:Q165)</f>
        <v>0</v>
      </c>
      <c r="R166" s="41" t="n">
        <f aca="false">SUM(R16:R165)</f>
        <v>3500</v>
      </c>
      <c r="S166" s="41" t="n">
        <f aca="false">SUM(S16:S165)</f>
        <v>0</v>
      </c>
      <c r="T166" s="41" t="n">
        <f aca="false">SUM(T16:T165)</f>
        <v>0</v>
      </c>
      <c r="U166" s="41" t="n">
        <f aca="false">SUM(U16:U165)</f>
        <v>0</v>
      </c>
      <c r="V166" s="41" t="n">
        <f aca="false">SUM(V16:V165)</f>
        <v>0</v>
      </c>
      <c r="W166" s="41" t="n">
        <f aca="false">SUM(W16:W165)</f>
        <v>0</v>
      </c>
      <c r="X166" s="41" t="n">
        <f aca="false">SUM(X16:X165)</f>
        <v>0</v>
      </c>
      <c r="Y166" s="41" t="n">
        <f aca="false">SUM(Y16:Y165)</f>
        <v>0</v>
      </c>
      <c r="Z166" s="41" t="n">
        <f aca="false">SUM(Z16:Z165)</f>
        <v>0</v>
      </c>
      <c r="AA166" s="41" t="n">
        <f aca="false">SUM(AA16:AA165)</f>
        <v>0</v>
      </c>
      <c r="AB166" s="41" t="n">
        <f aca="false">SUM(AB16:AB165)</f>
        <v>7500</v>
      </c>
      <c r="AC166" s="43"/>
    </row>
  </sheetData>
  <mergeCells count="34">
    <mergeCell ref="A1:AC1"/>
    <mergeCell ref="A2:AC2"/>
    <mergeCell ref="B4:I4"/>
    <mergeCell ref="K4:N4"/>
    <mergeCell ref="C5:D5"/>
    <mergeCell ref="K5:M5"/>
    <mergeCell ref="P5:R5"/>
    <mergeCell ref="T5:V5"/>
    <mergeCell ref="X5:Z5"/>
    <mergeCell ref="C6:D6"/>
    <mergeCell ref="K6:M6"/>
    <mergeCell ref="P6:R7"/>
    <mergeCell ref="T6:V7"/>
    <mergeCell ref="X6:Z7"/>
    <mergeCell ref="C7:D7"/>
    <mergeCell ref="K7:M7"/>
    <mergeCell ref="C8:D8"/>
    <mergeCell ref="K8:M8"/>
    <mergeCell ref="C9:D9"/>
    <mergeCell ref="P9:Z9"/>
    <mergeCell ref="C10:D10"/>
    <mergeCell ref="K10:M10"/>
    <mergeCell ref="C11:D11"/>
    <mergeCell ref="K11:N11"/>
    <mergeCell ref="C12:D12"/>
    <mergeCell ref="A14:B14"/>
    <mergeCell ref="C14:F14"/>
    <mergeCell ref="G14:J14"/>
    <mergeCell ref="K14:N14"/>
    <mergeCell ref="O14:R14"/>
    <mergeCell ref="S14:V14"/>
    <mergeCell ref="W14:Z14"/>
    <mergeCell ref="AA14:AC14"/>
    <mergeCell ref="A166:B166"/>
  </mergeCells>
  <conditionalFormatting sqref="AC16:AC165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F16:F165 J16:J165 N16:N165 R16:R165 V16:V165 Z16:Z165 AB16:AB165">
    <cfRule type="cellIs" priority="5" operator="greaterThan" aboveAverage="0" equalAverage="0" bottom="0" percent="0" rank="0" text="" dxfId="0">
      <formula>0</formula>
    </cfRule>
  </conditionalFormatting>
  <conditionalFormatting sqref="N10"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AC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29" min="5" style="0" width="11.5"/>
  </cols>
  <sheetData>
    <row r="1" customFormat="false" ht="31.5" hidden="false" customHeight="true" outlineLevel="0" collapsed="false">
      <c r="A1" s="54" t="str">
        <f aca="false">UPPER(Setup!B3)</f>
        <v>FUTURE TALENT ACADEMY JAMSHORO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customFormat="false" ht="21.75" hidden="false" customHeight="true" outlineLevel="0" collapsed="false">
      <c r="A2" s="55" t="s">
        <v>105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customFormat="false" ht="15" hidden="false" customHeight="true" outlineLevel="0" collapsed="false">
      <c r="B4" s="4" t="s">
        <v>82</v>
      </c>
      <c r="C4" s="4"/>
      <c r="D4" s="4"/>
      <c r="E4" s="4"/>
      <c r="F4" s="4"/>
      <c r="G4" s="4"/>
      <c r="H4" s="4"/>
      <c r="I4" s="4"/>
      <c r="K4" s="28" t="s">
        <v>83</v>
      </c>
      <c r="L4" s="28"/>
      <c r="M4" s="28"/>
      <c r="N4" s="28"/>
    </row>
    <row r="5" customFormat="false" ht="22.35" hidden="false" customHeight="true" outlineLevel="0" collapsed="false">
      <c r="B5" s="56" t="s">
        <v>76</v>
      </c>
      <c r="C5" s="56" t="s">
        <v>77</v>
      </c>
      <c r="D5" s="56"/>
      <c r="E5" s="56" t="s">
        <v>84</v>
      </c>
      <c r="F5" s="56" t="s">
        <v>85</v>
      </c>
      <c r="G5" s="56" t="s">
        <v>5</v>
      </c>
      <c r="H5" s="56" t="s">
        <v>6</v>
      </c>
      <c r="I5" s="56" t="s">
        <v>86</v>
      </c>
      <c r="K5" s="57" t="s">
        <v>87</v>
      </c>
      <c r="L5" s="57"/>
      <c r="M5" s="57"/>
      <c r="N5" s="58" t="n">
        <f aca="false">H12</f>
        <v>0</v>
      </c>
      <c r="P5" s="59" t="s">
        <v>88</v>
      </c>
      <c r="Q5" s="59"/>
      <c r="R5" s="59"/>
      <c r="T5" s="60" t="s">
        <v>89</v>
      </c>
      <c r="U5" s="60"/>
      <c r="V5" s="60"/>
      <c r="X5" s="61" t="s">
        <v>90</v>
      </c>
      <c r="Y5" s="61"/>
      <c r="Z5" s="61"/>
    </row>
    <row r="6" customFormat="false" ht="15" hidden="false" customHeight="true" outlineLevel="0" collapsed="false">
      <c r="B6" s="62" t="str">
        <f aca="false">Setup!A6</f>
        <v>English</v>
      </c>
      <c r="C6" s="63" t="str">
        <f aca="false">Setup!B6</f>
        <v>Sir Sajjad Ali Birhmani</v>
      </c>
      <c r="D6" s="63"/>
      <c r="E6" s="64" t="n">
        <f aca="false">D166</f>
        <v>0</v>
      </c>
      <c r="F6" s="58" t="n">
        <f aca="false">E166</f>
        <v>0</v>
      </c>
      <c r="G6" s="65" t="n">
        <f aca="false">F6*Setup!C6</f>
        <v>0</v>
      </c>
      <c r="H6" s="66" t="n">
        <f aca="false">F6-G6</f>
        <v>0</v>
      </c>
      <c r="I6" s="67" t="n">
        <f aca="false">F166</f>
        <v>0</v>
      </c>
      <c r="K6" s="57" t="s">
        <v>91</v>
      </c>
      <c r="L6" s="57"/>
      <c r="M6" s="57"/>
      <c r="N6" s="65" t="n">
        <f aca="false">SUMIFS(Administration!$G$5:$G$304,Administration!$C$5:$C$304,"Jan 2027",Administration!$D$5:$D$304,"Other Income")</f>
        <v>0</v>
      </c>
      <c r="P6" s="68" t="n">
        <f aca="false">F12</f>
        <v>0</v>
      </c>
      <c r="Q6" s="68"/>
      <c r="R6" s="68"/>
      <c r="T6" s="69" t="n">
        <f aca="false">G12</f>
        <v>0</v>
      </c>
      <c r="U6" s="69"/>
      <c r="V6" s="69"/>
      <c r="X6" s="70" t="n">
        <f aca="false">I12</f>
        <v>11000</v>
      </c>
      <c r="Y6" s="70"/>
      <c r="Z6" s="70"/>
    </row>
    <row r="7" customFormat="false" ht="15" hidden="false" customHeight="true" outlineLevel="0" collapsed="false">
      <c r="B7" s="71" t="str">
        <f aca="false">Setup!A7</f>
        <v>Computer</v>
      </c>
      <c r="C7" s="63" t="str">
        <f aca="false">Setup!B7</f>
        <v>Sir Nazeer Ahmed Jamali</v>
      </c>
      <c r="D7" s="63"/>
      <c r="E7" s="64" t="n">
        <f aca="false">H166</f>
        <v>2000</v>
      </c>
      <c r="F7" s="58" t="n">
        <f aca="false">I166</f>
        <v>0</v>
      </c>
      <c r="G7" s="65" t="n">
        <f aca="false">F7*Setup!C7</f>
        <v>0</v>
      </c>
      <c r="H7" s="66" t="n">
        <f aca="false">F7-G7</f>
        <v>0</v>
      </c>
      <c r="I7" s="67" t="n">
        <f aca="false">J166</f>
        <v>6000</v>
      </c>
      <c r="K7" s="57" t="s">
        <v>92</v>
      </c>
      <c r="L7" s="57"/>
      <c r="M7" s="57"/>
      <c r="N7" s="72" t="n">
        <f aca="false">SUMIFS(Administration!$G$5:$G$304,Administration!$C$5:$C$304,"Jan 2027",Administration!$D$5:$D$304,"Expense")</f>
        <v>0</v>
      </c>
      <c r="P7" s="68"/>
      <c r="Q7" s="68"/>
      <c r="R7" s="68"/>
      <c r="T7" s="69"/>
      <c r="U7" s="69"/>
      <c r="V7" s="69"/>
      <c r="X7" s="70"/>
      <c r="Y7" s="70"/>
      <c r="Z7" s="70"/>
    </row>
    <row r="8" customFormat="false" ht="15" hidden="false" customHeight="true" outlineLevel="0" collapsed="false">
      <c r="B8" s="73" t="str">
        <f aca="false">Setup!A8</f>
        <v>Biology</v>
      </c>
      <c r="C8" s="63" t="str">
        <f aca="false">Setup!B8</f>
        <v>Sir Azhar Ali Chandio</v>
      </c>
      <c r="D8" s="63"/>
      <c r="E8" s="64" t="n">
        <f aca="false">L166</f>
        <v>0</v>
      </c>
      <c r="F8" s="58" t="n">
        <f aca="false">M166</f>
        <v>0</v>
      </c>
      <c r="G8" s="65" t="n">
        <f aca="false">F8*Setup!C8</f>
        <v>0</v>
      </c>
      <c r="H8" s="66" t="n">
        <f aca="false">F8-G8</f>
        <v>0</v>
      </c>
      <c r="I8" s="67" t="n">
        <f aca="false">N166</f>
        <v>0</v>
      </c>
      <c r="K8" s="57" t="s">
        <v>93</v>
      </c>
      <c r="L8" s="57"/>
      <c r="M8" s="57"/>
      <c r="N8" s="72" t="n">
        <f aca="false">SUMIFS(Administration!$G$5:$G$304,Administration!$C$5:$C$304,"Jan 2027",Administration!$D$5:$D$304,"Investment")</f>
        <v>0</v>
      </c>
    </row>
    <row r="9" customFormat="false" ht="15" hidden="false" customHeight="false" outlineLevel="0" collapsed="false">
      <c r="B9" s="74" t="str">
        <f aca="false">Setup!A9</f>
        <v>Math</v>
      </c>
      <c r="C9" s="63" t="str">
        <f aca="false">Setup!B9</f>
        <v>Sir M. Faheem</v>
      </c>
      <c r="D9" s="63"/>
      <c r="E9" s="64" t="n">
        <f aca="false">P166</f>
        <v>1500</v>
      </c>
      <c r="F9" s="58" t="n">
        <f aca="false">Q166</f>
        <v>0</v>
      </c>
      <c r="G9" s="65" t="n">
        <f aca="false">F9*Setup!C9</f>
        <v>0</v>
      </c>
      <c r="H9" s="66" t="n">
        <f aca="false">F9-G9</f>
        <v>0</v>
      </c>
      <c r="I9" s="67" t="n">
        <f aca="false">R166</f>
        <v>5000</v>
      </c>
      <c r="P9" s="75" t="str">
        <f aca="false">COUNTIF(AC16:AC165,"Clear")&amp;" students fully paid   •   "&amp;(COUNTIF(AC16:AC165,"Due")+COUNTIF(AC16:AC165,"Partial"))&amp;" students with dues"</f>
        <v>0 students fully paid   •   1 students with dues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15" hidden="false" customHeight="true" outlineLevel="0" collapsed="false">
      <c r="B10" s="76" t="str">
        <f aca="false">Setup!A10</f>
        <v>Kids Coaching (Class 1)</v>
      </c>
      <c r="C10" s="63" t="str">
        <f aca="false">Setup!B10</f>
        <v>Miss Farzana</v>
      </c>
      <c r="D10" s="63"/>
      <c r="E10" s="64" t="n">
        <f aca="false">T166</f>
        <v>0</v>
      </c>
      <c r="F10" s="58" t="n">
        <f aca="false">U166</f>
        <v>0</v>
      </c>
      <c r="G10" s="65" t="n">
        <f aca="false">F10*Setup!C10</f>
        <v>0</v>
      </c>
      <c r="H10" s="66" t="n">
        <f aca="false">F10-G10</f>
        <v>0</v>
      </c>
      <c r="I10" s="67" t="n">
        <f aca="false">V166</f>
        <v>0</v>
      </c>
      <c r="K10" s="77" t="s">
        <v>59</v>
      </c>
      <c r="L10" s="77"/>
      <c r="M10" s="77"/>
      <c r="N10" s="78" t="n">
        <f aca="false">N5+N6-N7-N8</f>
        <v>0</v>
      </c>
    </row>
    <row r="11" customFormat="false" ht="15" hidden="false" customHeight="true" outlineLevel="0" collapsed="false">
      <c r="B11" s="79" t="str">
        <f aca="false">Setup!A11</f>
        <v>Kids Coaching (Class 2)</v>
      </c>
      <c r="C11" s="63" t="str">
        <f aca="false">Setup!B11</f>
        <v>Miss Fozia</v>
      </c>
      <c r="D11" s="63"/>
      <c r="E11" s="64" t="n">
        <f aca="false">X166</f>
        <v>0</v>
      </c>
      <c r="F11" s="58" t="n">
        <f aca="false">Y166</f>
        <v>0</v>
      </c>
      <c r="G11" s="65" t="n">
        <f aca="false">F11*Setup!C11</f>
        <v>0</v>
      </c>
      <c r="H11" s="66" t="n">
        <f aca="false">F11-G11</f>
        <v>0</v>
      </c>
      <c r="I11" s="67" t="n">
        <f aca="false">Z166</f>
        <v>0</v>
      </c>
      <c r="K11" s="53" t="s">
        <v>94</v>
      </c>
      <c r="L11" s="53"/>
      <c r="M11" s="53"/>
      <c r="N11" s="53"/>
    </row>
    <row r="12" customFormat="false" ht="15" hidden="false" customHeight="false" outlineLevel="0" collapsed="false">
      <c r="B12" s="40" t="s">
        <v>79</v>
      </c>
      <c r="C12" s="43"/>
      <c r="D12" s="43"/>
      <c r="E12" s="41" t="n">
        <f aca="false">SUM(E6:E11)</f>
        <v>3500</v>
      </c>
      <c r="F12" s="41" t="n">
        <f aca="false">SUM(F6:F11)</f>
        <v>0</v>
      </c>
      <c r="G12" s="41" t="n">
        <f aca="false">SUM(G6:G11)</f>
        <v>0</v>
      </c>
      <c r="H12" s="41" t="n">
        <f aca="false">SUM(H6:H11)</f>
        <v>0</v>
      </c>
      <c r="I12" s="41" t="n">
        <f aca="false">SUM(I6:I11)</f>
        <v>11000</v>
      </c>
    </row>
    <row r="14" customFormat="false" ht="25.5" hidden="false" customHeight="true" outlineLevel="0" collapsed="false">
      <c r="A14" s="4" t="s">
        <v>28</v>
      </c>
      <c r="B14" s="4"/>
      <c r="C14" s="14" t="str">
        <f aca="false">Setup!A6&amp;" — "&amp;Setup!B6</f>
        <v>English — Sir Sajjad Ali Birhmani</v>
      </c>
      <c r="D14" s="14"/>
      <c r="E14" s="14"/>
      <c r="F14" s="14"/>
      <c r="G14" s="15" t="str">
        <f aca="false">Setup!A7&amp;" — "&amp;Setup!B7</f>
        <v>Computer — Sir Nazeer Ahmed Jamali</v>
      </c>
      <c r="H14" s="15"/>
      <c r="I14" s="15"/>
      <c r="J14" s="15"/>
      <c r="K14" s="16" t="str">
        <f aca="false">Setup!A8&amp;" — "&amp;Setup!B8</f>
        <v>Biology — Sir Azhar Ali Chandio</v>
      </c>
      <c r="L14" s="16"/>
      <c r="M14" s="16"/>
      <c r="N14" s="16"/>
      <c r="O14" s="17" t="str">
        <f aca="false">Setup!A9&amp;" — "&amp;Setup!B9</f>
        <v>Math — Sir M. Faheem</v>
      </c>
      <c r="P14" s="17"/>
      <c r="Q14" s="17"/>
      <c r="R14" s="17"/>
      <c r="S14" s="18" t="str">
        <f aca="false">Setup!A10&amp;" — "&amp;Setup!B10</f>
        <v>Kids Coaching (Class 1) — Miss Farzana</v>
      </c>
      <c r="T14" s="18"/>
      <c r="U14" s="18"/>
      <c r="V14" s="18"/>
      <c r="W14" s="19" t="str">
        <f aca="false">Setup!A11&amp;" — "&amp;Setup!B11</f>
        <v>Kids Coaching (Class 2) — Miss Fozia</v>
      </c>
      <c r="X14" s="19"/>
      <c r="Y14" s="19"/>
      <c r="Z14" s="19"/>
      <c r="AA14" s="80" t="s">
        <v>95</v>
      </c>
      <c r="AB14" s="80"/>
      <c r="AC14" s="80"/>
    </row>
    <row r="15" customFormat="false" ht="30" hidden="false" customHeight="true" outlineLevel="0" collapsed="false">
      <c r="A15" s="13" t="s">
        <v>30</v>
      </c>
      <c r="B15" s="13" t="s">
        <v>31</v>
      </c>
      <c r="C15" s="14" t="s">
        <v>96</v>
      </c>
      <c r="D15" s="14" t="s">
        <v>97</v>
      </c>
      <c r="E15" s="14" t="s">
        <v>98</v>
      </c>
      <c r="F15" s="14" t="s">
        <v>99</v>
      </c>
      <c r="G15" s="15" t="s">
        <v>96</v>
      </c>
      <c r="H15" s="15" t="s">
        <v>97</v>
      </c>
      <c r="I15" s="15" t="s">
        <v>98</v>
      </c>
      <c r="J15" s="15" t="s">
        <v>99</v>
      </c>
      <c r="K15" s="16" t="s">
        <v>96</v>
      </c>
      <c r="L15" s="16" t="s">
        <v>97</v>
      </c>
      <c r="M15" s="16" t="s">
        <v>98</v>
      </c>
      <c r="N15" s="16" t="s">
        <v>99</v>
      </c>
      <c r="O15" s="17" t="s">
        <v>96</v>
      </c>
      <c r="P15" s="17" t="s">
        <v>97</v>
      </c>
      <c r="Q15" s="17" t="s">
        <v>98</v>
      </c>
      <c r="R15" s="17" t="s">
        <v>99</v>
      </c>
      <c r="S15" s="18" t="s">
        <v>96</v>
      </c>
      <c r="T15" s="18" t="s">
        <v>97</v>
      </c>
      <c r="U15" s="18" t="s">
        <v>98</v>
      </c>
      <c r="V15" s="18" t="s">
        <v>99</v>
      </c>
      <c r="W15" s="19" t="s">
        <v>96</v>
      </c>
      <c r="X15" s="19" t="s">
        <v>97</v>
      </c>
      <c r="Y15" s="19" t="s">
        <v>98</v>
      </c>
      <c r="Z15" s="19" t="s">
        <v>99</v>
      </c>
      <c r="AA15" s="20" t="s">
        <v>100</v>
      </c>
      <c r="AB15" s="20" t="s">
        <v>101</v>
      </c>
      <c r="AC15" s="20" t="s">
        <v>102</v>
      </c>
    </row>
    <row r="16" customFormat="false" ht="15" hidden="false" customHeight="false" outlineLevel="0" collapsed="false">
      <c r="A16" s="21" t="n">
        <v>1</v>
      </c>
      <c r="B16" s="46" t="str">
        <f aca="false">IF(Students!B5="","",Students!B5)</f>
        <v>Ali (example)</v>
      </c>
      <c r="C16" s="33" t="n">
        <f aca="false">'Dec 2026'!F16</f>
        <v>0</v>
      </c>
      <c r="D16" s="33" t="n">
        <f aca="false">IF(B16="",0,N(Students!E5))</f>
        <v>0</v>
      </c>
      <c r="E16" s="23"/>
      <c r="F16" s="24" t="n">
        <f aca="false">N(C16)+N(D16)-N(E16)</f>
        <v>0</v>
      </c>
      <c r="G16" s="33" t="n">
        <f aca="false">'Dec 2026'!J16</f>
        <v>4000</v>
      </c>
      <c r="H16" s="33" t="n">
        <f aca="false">IF(B16="",0,N(Students!F5))</f>
        <v>2000</v>
      </c>
      <c r="I16" s="23"/>
      <c r="J16" s="24" t="n">
        <f aca="false">N(G16)+N(H16)-N(I16)</f>
        <v>6000</v>
      </c>
      <c r="K16" s="33" t="n">
        <f aca="false">'Dec 2026'!N16</f>
        <v>0</v>
      </c>
      <c r="L16" s="33" t="n">
        <f aca="false">IF(B16="",0,N(Students!G5))</f>
        <v>0</v>
      </c>
      <c r="M16" s="23"/>
      <c r="N16" s="24" t="n">
        <f aca="false">N(K16)+N(L16)-N(M16)</f>
        <v>0</v>
      </c>
      <c r="O16" s="33" t="n">
        <f aca="false">'Dec 2026'!R16</f>
        <v>3500</v>
      </c>
      <c r="P16" s="33" t="n">
        <f aca="false">IF(B16="",0,N(Students!H5))</f>
        <v>1500</v>
      </c>
      <c r="Q16" s="23"/>
      <c r="R16" s="24" t="n">
        <f aca="false">N(O16)+N(P16)-N(Q16)</f>
        <v>5000</v>
      </c>
      <c r="S16" s="33" t="n">
        <f aca="false">'Dec 2026'!V16</f>
        <v>0</v>
      </c>
      <c r="T16" s="33" t="n">
        <f aca="false">IF(B16="",0,N(Students!I5))</f>
        <v>0</v>
      </c>
      <c r="U16" s="23"/>
      <c r="V16" s="24" t="n">
        <f aca="false">N(S16)+N(T16)-N(U16)</f>
        <v>0</v>
      </c>
      <c r="W16" s="33" t="n">
        <f aca="false">'Dec 2026'!Z16</f>
        <v>0</v>
      </c>
      <c r="X16" s="33" t="n">
        <f aca="false">IF(B16="",0,N(Students!J5))</f>
        <v>0</v>
      </c>
      <c r="Y16" s="23"/>
      <c r="Z16" s="24" t="n">
        <f aca="false">N(W16)+N(X16)-N(Y16)</f>
        <v>0</v>
      </c>
      <c r="AA16" s="33" t="n">
        <f aca="false">N(E16)+N(I16)+N(M16)+N(Q16)+N(U16)+N(Y16)</f>
        <v>0</v>
      </c>
      <c r="AB16" s="24" t="n">
        <f aca="false">F16+J16+N16+R16+V16+Z16</f>
        <v>11000</v>
      </c>
      <c r="AC16" s="81" t="str">
        <f aca="false">IF(B16="","",IF(AB16&lt;=0,"Clear",IF(AA16&gt;0,"Partial","Due")))</f>
        <v>Due</v>
      </c>
    </row>
    <row r="17" customFormat="false" ht="15" hidden="false" customHeight="false" outlineLevel="0" collapsed="false">
      <c r="A17" s="25" t="n">
        <v>2</v>
      </c>
      <c r="B17" s="82" t="str">
        <f aca="false">IF(Students!B6="","",Students!B6)</f>
        <v/>
      </c>
      <c r="C17" s="37" t="n">
        <f aca="false">'Dec 2026'!F17</f>
        <v>0</v>
      </c>
      <c r="D17" s="37" t="n">
        <f aca="false">IF(B17="",0,N(Students!E6))</f>
        <v>0</v>
      </c>
      <c r="E17" s="23"/>
      <c r="F17" s="26" t="n">
        <f aca="false">N(C17)+N(D17)-N(E17)</f>
        <v>0</v>
      </c>
      <c r="G17" s="37" t="n">
        <f aca="false">'Dec 2026'!J17</f>
        <v>0</v>
      </c>
      <c r="H17" s="37" t="n">
        <f aca="false">IF(B17="",0,N(Students!F6))</f>
        <v>0</v>
      </c>
      <c r="I17" s="23"/>
      <c r="J17" s="26" t="n">
        <f aca="false">N(G17)+N(H17)-N(I17)</f>
        <v>0</v>
      </c>
      <c r="K17" s="37" t="n">
        <f aca="false">'Dec 2026'!N17</f>
        <v>0</v>
      </c>
      <c r="L17" s="37" t="n">
        <f aca="false">IF(B17="",0,N(Students!G6))</f>
        <v>0</v>
      </c>
      <c r="M17" s="23"/>
      <c r="N17" s="26" t="n">
        <f aca="false">N(K17)+N(L17)-N(M17)</f>
        <v>0</v>
      </c>
      <c r="O17" s="37" t="n">
        <f aca="false">'Dec 2026'!R17</f>
        <v>0</v>
      </c>
      <c r="P17" s="37" t="n">
        <f aca="false">IF(B17="",0,N(Students!H6))</f>
        <v>0</v>
      </c>
      <c r="Q17" s="23"/>
      <c r="R17" s="26" t="n">
        <f aca="false">N(O17)+N(P17)-N(Q17)</f>
        <v>0</v>
      </c>
      <c r="S17" s="37" t="n">
        <f aca="false">'Dec 2026'!V17</f>
        <v>0</v>
      </c>
      <c r="T17" s="37" t="n">
        <f aca="false">IF(B17="",0,N(Students!I6))</f>
        <v>0</v>
      </c>
      <c r="U17" s="23"/>
      <c r="V17" s="26" t="n">
        <f aca="false">N(S17)+N(T17)-N(U17)</f>
        <v>0</v>
      </c>
      <c r="W17" s="37" t="n">
        <f aca="false">'Dec 2026'!Z17</f>
        <v>0</v>
      </c>
      <c r="X17" s="37" t="n">
        <f aca="false">IF(B17="",0,N(Students!J6))</f>
        <v>0</v>
      </c>
      <c r="Y17" s="23"/>
      <c r="Z17" s="26" t="n">
        <f aca="false">N(W17)+N(X17)-N(Y17)</f>
        <v>0</v>
      </c>
      <c r="AA17" s="37" t="n">
        <f aca="false">N(E17)+N(I17)+N(M17)+N(Q17)+N(U17)+N(Y17)</f>
        <v>0</v>
      </c>
      <c r="AB17" s="26" t="n">
        <f aca="false">F17+J17+N17+R17+V17+Z17</f>
        <v>0</v>
      </c>
      <c r="AC17" s="83" t="str">
        <f aca="false">IF(B17="","",IF(AB17&lt;=0,"Clear",IF(AA17&gt;0,"Partial","Due")))</f>
        <v/>
      </c>
    </row>
    <row r="18" customFormat="false" ht="15" hidden="false" customHeight="false" outlineLevel="0" collapsed="false">
      <c r="A18" s="21" t="n">
        <v>3</v>
      </c>
      <c r="B18" s="46" t="str">
        <f aca="false">IF(Students!B7="","",Students!B7)</f>
        <v/>
      </c>
      <c r="C18" s="33" t="n">
        <f aca="false">'Dec 2026'!F18</f>
        <v>0</v>
      </c>
      <c r="D18" s="33" t="n">
        <f aca="false">IF(B18="",0,N(Students!E7))</f>
        <v>0</v>
      </c>
      <c r="E18" s="23"/>
      <c r="F18" s="24" t="n">
        <f aca="false">N(C18)+N(D18)-N(E18)</f>
        <v>0</v>
      </c>
      <c r="G18" s="33" t="n">
        <f aca="false">'Dec 2026'!J18</f>
        <v>0</v>
      </c>
      <c r="H18" s="33" t="n">
        <f aca="false">IF(B18="",0,N(Students!F7))</f>
        <v>0</v>
      </c>
      <c r="I18" s="23"/>
      <c r="J18" s="24" t="n">
        <f aca="false">N(G18)+N(H18)-N(I18)</f>
        <v>0</v>
      </c>
      <c r="K18" s="33" t="n">
        <f aca="false">'Dec 2026'!N18</f>
        <v>0</v>
      </c>
      <c r="L18" s="33" t="n">
        <f aca="false">IF(B18="",0,N(Students!G7))</f>
        <v>0</v>
      </c>
      <c r="M18" s="23"/>
      <c r="N18" s="24" t="n">
        <f aca="false">N(K18)+N(L18)-N(M18)</f>
        <v>0</v>
      </c>
      <c r="O18" s="33" t="n">
        <f aca="false">'Dec 2026'!R18</f>
        <v>0</v>
      </c>
      <c r="P18" s="33" t="n">
        <f aca="false">IF(B18="",0,N(Students!H7))</f>
        <v>0</v>
      </c>
      <c r="Q18" s="23"/>
      <c r="R18" s="24" t="n">
        <f aca="false">N(O18)+N(P18)-N(Q18)</f>
        <v>0</v>
      </c>
      <c r="S18" s="33" t="n">
        <f aca="false">'Dec 2026'!V18</f>
        <v>0</v>
      </c>
      <c r="T18" s="33" t="n">
        <f aca="false">IF(B18="",0,N(Students!I7))</f>
        <v>0</v>
      </c>
      <c r="U18" s="23"/>
      <c r="V18" s="24" t="n">
        <f aca="false">N(S18)+N(T18)-N(U18)</f>
        <v>0</v>
      </c>
      <c r="W18" s="33" t="n">
        <f aca="false">'Dec 2026'!Z18</f>
        <v>0</v>
      </c>
      <c r="X18" s="33" t="n">
        <f aca="false">IF(B18="",0,N(Students!J7))</f>
        <v>0</v>
      </c>
      <c r="Y18" s="23"/>
      <c r="Z18" s="24" t="n">
        <f aca="false">N(W18)+N(X18)-N(Y18)</f>
        <v>0</v>
      </c>
      <c r="AA18" s="33" t="n">
        <f aca="false">N(E18)+N(I18)+N(M18)+N(Q18)+N(U18)+N(Y18)</f>
        <v>0</v>
      </c>
      <c r="AB18" s="24" t="n">
        <f aca="false">F18+J18+N18+R18+V18+Z18</f>
        <v>0</v>
      </c>
      <c r="AC18" s="81" t="str">
        <f aca="false">IF(B18="","",IF(AB18&lt;=0,"Clear",IF(AA18&gt;0,"Partial","Due")))</f>
        <v/>
      </c>
    </row>
    <row r="19" customFormat="false" ht="15" hidden="false" customHeight="false" outlineLevel="0" collapsed="false">
      <c r="A19" s="25" t="n">
        <v>4</v>
      </c>
      <c r="B19" s="82" t="str">
        <f aca="false">IF(Students!B8="","",Students!B8)</f>
        <v/>
      </c>
      <c r="C19" s="37" t="n">
        <f aca="false">'Dec 2026'!F19</f>
        <v>0</v>
      </c>
      <c r="D19" s="37" t="n">
        <f aca="false">IF(B19="",0,N(Students!E8))</f>
        <v>0</v>
      </c>
      <c r="E19" s="23"/>
      <c r="F19" s="26" t="n">
        <f aca="false">N(C19)+N(D19)-N(E19)</f>
        <v>0</v>
      </c>
      <c r="G19" s="37" t="n">
        <f aca="false">'Dec 2026'!J19</f>
        <v>0</v>
      </c>
      <c r="H19" s="37" t="n">
        <f aca="false">IF(B19="",0,N(Students!F8))</f>
        <v>0</v>
      </c>
      <c r="I19" s="23"/>
      <c r="J19" s="26" t="n">
        <f aca="false">N(G19)+N(H19)-N(I19)</f>
        <v>0</v>
      </c>
      <c r="K19" s="37" t="n">
        <f aca="false">'Dec 2026'!N19</f>
        <v>0</v>
      </c>
      <c r="L19" s="37" t="n">
        <f aca="false">IF(B19="",0,N(Students!G8))</f>
        <v>0</v>
      </c>
      <c r="M19" s="23"/>
      <c r="N19" s="26" t="n">
        <f aca="false">N(K19)+N(L19)-N(M19)</f>
        <v>0</v>
      </c>
      <c r="O19" s="37" t="n">
        <f aca="false">'Dec 2026'!R19</f>
        <v>0</v>
      </c>
      <c r="P19" s="37" t="n">
        <f aca="false">IF(B19="",0,N(Students!H8))</f>
        <v>0</v>
      </c>
      <c r="Q19" s="23"/>
      <c r="R19" s="26" t="n">
        <f aca="false">N(O19)+N(P19)-N(Q19)</f>
        <v>0</v>
      </c>
      <c r="S19" s="37" t="n">
        <f aca="false">'Dec 2026'!V19</f>
        <v>0</v>
      </c>
      <c r="T19" s="37" t="n">
        <f aca="false">IF(B19="",0,N(Students!I8))</f>
        <v>0</v>
      </c>
      <c r="U19" s="23"/>
      <c r="V19" s="26" t="n">
        <f aca="false">N(S19)+N(T19)-N(U19)</f>
        <v>0</v>
      </c>
      <c r="W19" s="37" t="n">
        <f aca="false">'Dec 2026'!Z19</f>
        <v>0</v>
      </c>
      <c r="X19" s="37" t="n">
        <f aca="false">IF(B19="",0,N(Students!J8))</f>
        <v>0</v>
      </c>
      <c r="Y19" s="23"/>
      <c r="Z19" s="26" t="n">
        <f aca="false">N(W19)+N(X19)-N(Y19)</f>
        <v>0</v>
      </c>
      <c r="AA19" s="37" t="n">
        <f aca="false">N(E19)+N(I19)+N(M19)+N(Q19)+N(U19)+N(Y19)</f>
        <v>0</v>
      </c>
      <c r="AB19" s="26" t="n">
        <f aca="false">F19+J19+N19+R19+V19+Z19</f>
        <v>0</v>
      </c>
      <c r="AC19" s="83" t="str">
        <f aca="false">IF(B19="","",IF(AB19&lt;=0,"Clear",IF(AA19&gt;0,"Partial","Due")))</f>
        <v/>
      </c>
    </row>
    <row r="20" customFormat="false" ht="15" hidden="false" customHeight="false" outlineLevel="0" collapsed="false">
      <c r="A20" s="21" t="n">
        <v>5</v>
      </c>
      <c r="B20" s="46" t="str">
        <f aca="false">IF(Students!B9="","",Students!B9)</f>
        <v/>
      </c>
      <c r="C20" s="33" t="n">
        <f aca="false">'Dec 2026'!F20</f>
        <v>0</v>
      </c>
      <c r="D20" s="33" t="n">
        <f aca="false">IF(B20="",0,N(Students!E9))</f>
        <v>0</v>
      </c>
      <c r="E20" s="23"/>
      <c r="F20" s="24" t="n">
        <f aca="false">N(C20)+N(D20)-N(E20)</f>
        <v>0</v>
      </c>
      <c r="G20" s="33" t="n">
        <f aca="false">'Dec 2026'!J20</f>
        <v>0</v>
      </c>
      <c r="H20" s="33" t="n">
        <f aca="false">IF(B20="",0,N(Students!F9))</f>
        <v>0</v>
      </c>
      <c r="I20" s="23"/>
      <c r="J20" s="24" t="n">
        <f aca="false">N(G20)+N(H20)-N(I20)</f>
        <v>0</v>
      </c>
      <c r="K20" s="33" t="n">
        <f aca="false">'Dec 2026'!N20</f>
        <v>0</v>
      </c>
      <c r="L20" s="33" t="n">
        <f aca="false">IF(B20="",0,N(Students!G9))</f>
        <v>0</v>
      </c>
      <c r="M20" s="23"/>
      <c r="N20" s="24" t="n">
        <f aca="false">N(K20)+N(L20)-N(M20)</f>
        <v>0</v>
      </c>
      <c r="O20" s="33" t="n">
        <f aca="false">'Dec 2026'!R20</f>
        <v>0</v>
      </c>
      <c r="P20" s="33" t="n">
        <f aca="false">IF(B20="",0,N(Students!H9))</f>
        <v>0</v>
      </c>
      <c r="Q20" s="23"/>
      <c r="R20" s="24" t="n">
        <f aca="false">N(O20)+N(P20)-N(Q20)</f>
        <v>0</v>
      </c>
      <c r="S20" s="33" t="n">
        <f aca="false">'Dec 2026'!V20</f>
        <v>0</v>
      </c>
      <c r="T20" s="33" t="n">
        <f aca="false">IF(B20="",0,N(Students!I9))</f>
        <v>0</v>
      </c>
      <c r="U20" s="23"/>
      <c r="V20" s="24" t="n">
        <f aca="false">N(S20)+N(T20)-N(U20)</f>
        <v>0</v>
      </c>
      <c r="W20" s="33" t="n">
        <f aca="false">'Dec 2026'!Z20</f>
        <v>0</v>
      </c>
      <c r="X20" s="33" t="n">
        <f aca="false">IF(B20="",0,N(Students!J9))</f>
        <v>0</v>
      </c>
      <c r="Y20" s="23"/>
      <c r="Z20" s="24" t="n">
        <f aca="false">N(W20)+N(X20)-N(Y20)</f>
        <v>0</v>
      </c>
      <c r="AA20" s="33" t="n">
        <f aca="false">N(E20)+N(I20)+N(M20)+N(Q20)+N(U20)+N(Y20)</f>
        <v>0</v>
      </c>
      <c r="AB20" s="24" t="n">
        <f aca="false">F20+J20+N20+R20+V20+Z20</f>
        <v>0</v>
      </c>
      <c r="AC20" s="81" t="str">
        <f aca="false">IF(B20="","",IF(AB20&lt;=0,"Clear",IF(AA20&gt;0,"Partial","Due")))</f>
        <v/>
      </c>
    </row>
    <row r="21" customFormat="false" ht="15" hidden="false" customHeight="false" outlineLevel="0" collapsed="false">
      <c r="A21" s="25" t="n">
        <v>6</v>
      </c>
      <c r="B21" s="82" t="str">
        <f aca="false">IF(Students!B10="","",Students!B10)</f>
        <v/>
      </c>
      <c r="C21" s="37" t="n">
        <f aca="false">'Dec 2026'!F21</f>
        <v>0</v>
      </c>
      <c r="D21" s="37" t="n">
        <f aca="false">IF(B21="",0,N(Students!E10))</f>
        <v>0</v>
      </c>
      <c r="E21" s="23"/>
      <c r="F21" s="26" t="n">
        <f aca="false">N(C21)+N(D21)-N(E21)</f>
        <v>0</v>
      </c>
      <c r="G21" s="37" t="n">
        <f aca="false">'Dec 2026'!J21</f>
        <v>0</v>
      </c>
      <c r="H21" s="37" t="n">
        <f aca="false">IF(B21="",0,N(Students!F10))</f>
        <v>0</v>
      </c>
      <c r="I21" s="23"/>
      <c r="J21" s="26" t="n">
        <f aca="false">N(G21)+N(H21)-N(I21)</f>
        <v>0</v>
      </c>
      <c r="K21" s="37" t="n">
        <f aca="false">'Dec 2026'!N21</f>
        <v>0</v>
      </c>
      <c r="L21" s="37" t="n">
        <f aca="false">IF(B21="",0,N(Students!G10))</f>
        <v>0</v>
      </c>
      <c r="M21" s="23"/>
      <c r="N21" s="26" t="n">
        <f aca="false">N(K21)+N(L21)-N(M21)</f>
        <v>0</v>
      </c>
      <c r="O21" s="37" t="n">
        <f aca="false">'Dec 2026'!R21</f>
        <v>0</v>
      </c>
      <c r="P21" s="37" t="n">
        <f aca="false">IF(B21="",0,N(Students!H10))</f>
        <v>0</v>
      </c>
      <c r="Q21" s="23"/>
      <c r="R21" s="26" t="n">
        <f aca="false">N(O21)+N(P21)-N(Q21)</f>
        <v>0</v>
      </c>
      <c r="S21" s="37" t="n">
        <f aca="false">'Dec 2026'!V21</f>
        <v>0</v>
      </c>
      <c r="T21" s="37" t="n">
        <f aca="false">IF(B21="",0,N(Students!I10))</f>
        <v>0</v>
      </c>
      <c r="U21" s="23"/>
      <c r="V21" s="26" t="n">
        <f aca="false">N(S21)+N(T21)-N(U21)</f>
        <v>0</v>
      </c>
      <c r="W21" s="37" t="n">
        <f aca="false">'Dec 2026'!Z21</f>
        <v>0</v>
      </c>
      <c r="X21" s="37" t="n">
        <f aca="false">IF(B21="",0,N(Students!J10))</f>
        <v>0</v>
      </c>
      <c r="Y21" s="23"/>
      <c r="Z21" s="26" t="n">
        <f aca="false">N(W21)+N(X21)-N(Y21)</f>
        <v>0</v>
      </c>
      <c r="AA21" s="37" t="n">
        <f aca="false">N(E21)+N(I21)+N(M21)+N(Q21)+N(U21)+N(Y21)</f>
        <v>0</v>
      </c>
      <c r="AB21" s="26" t="n">
        <f aca="false">F21+J21+N21+R21+V21+Z21</f>
        <v>0</v>
      </c>
      <c r="AC21" s="83" t="str">
        <f aca="false">IF(B21="","",IF(AB21&lt;=0,"Clear",IF(AA21&gt;0,"Partial","Due")))</f>
        <v/>
      </c>
    </row>
    <row r="22" customFormat="false" ht="15" hidden="false" customHeight="false" outlineLevel="0" collapsed="false">
      <c r="A22" s="21" t="n">
        <v>7</v>
      </c>
      <c r="B22" s="46" t="str">
        <f aca="false">IF(Students!B11="","",Students!B11)</f>
        <v/>
      </c>
      <c r="C22" s="33" t="n">
        <f aca="false">'Dec 2026'!F22</f>
        <v>0</v>
      </c>
      <c r="D22" s="33" t="n">
        <f aca="false">IF(B22="",0,N(Students!E11))</f>
        <v>0</v>
      </c>
      <c r="E22" s="23"/>
      <c r="F22" s="24" t="n">
        <f aca="false">N(C22)+N(D22)-N(E22)</f>
        <v>0</v>
      </c>
      <c r="G22" s="33" t="n">
        <f aca="false">'Dec 2026'!J22</f>
        <v>0</v>
      </c>
      <c r="H22" s="33" t="n">
        <f aca="false">IF(B22="",0,N(Students!F11))</f>
        <v>0</v>
      </c>
      <c r="I22" s="23"/>
      <c r="J22" s="24" t="n">
        <f aca="false">N(G22)+N(H22)-N(I22)</f>
        <v>0</v>
      </c>
      <c r="K22" s="33" t="n">
        <f aca="false">'Dec 2026'!N22</f>
        <v>0</v>
      </c>
      <c r="L22" s="33" t="n">
        <f aca="false">IF(B22="",0,N(Students!G11))</f>
        <v>0</v>
      </c>
      <c r="M22" s="23"/>
      <c r="N22" s="24" t="n">
        <f aca="false">N(K22)+N(L22)-N(M22)</f>
        <v>0</v>
      </c>
      <c r="O22" s="33" t="n">
        <f aca="false">'Dec 2026'!R22</f>
        <v>0</v>
      </c>
      <c r="P22" s="33" t="n">
        <f aca="false">IF(B22="",0,N(Students!H11))</f>
        <v>0</v>
      </c>
      <c r="Q22" s="23"/>
      <c r="R22" s="24" t="n">
        <f aca="false">N(O22)+N(P22)-N(Q22)</f>
        <v>0</v>
      </c>
      <c r="S22" s="33" t="n">
        <f aca="false">'Dec 2026'!V22</f>
        <v>0</v>
      </c>
      <c r="T22" s="33" t="n">
        <f aca="false">IF(B22="",0,N(Students!I11))</f>
        <v>0</v>
      </c>
      <c r="U22" s="23"/>
      <c r="V22" s="24" t="n">
        <f aca="false">N(S22)+N(T22)-N(U22)</f>
        <v>0</v>
      </c>
      <c r="W22" s="33" t="n">
        <f aca="false">'Dec 2026'!Z22</f>
        <v>0</v>
      </c>
      <c r="X22" s="33" t="n">
        <f aca="false">IF(B22="",0,N(Students!J11))</f>
        <v>0</v>
      </c>
      <c r="Y22" s="23"/>
      <c r="Z22" s="24" t="n">
        <f aca="false">N(W22)+N(X22)-N(Y22)</f>
        <v>0</v>
      </c>
      <c r="AA22" s="33" t="n">
        <f aca="false">N(E22)+N(I22)+N(M22)+N(Q22)+N(U22)+N(Y22)</f>
        <v>0</v>
      </c>
      <c r="AB22" s="24" t="n">
        <f aca="false">F22+J22+N22+R22+V22+Z22</f>
        <v>0</v>
      </c>
      <c r="AC22" s="81" t="str">
        <f aca="false">IF(B22="","",IF(AB22&lt;=0,"Clear",IF(AA22&gt;0,"Partial","Due")))</f>
        <v/>
      </c>
    </row>
    <row r="23" customFormat="false" ht="15" hidden="false" customHeight="false" outlineLevel="0" collapsed="false">
      <c r="A23" s="25" t="n">
        <v>8</v>
      </c>
      <c r="B23" s="82" t="str">
        <f aca="false">IF(Students!B12="","",Students!B12)</f>
        <v/>
      </c>
      <c r="C23" s="37" t="n">
        <f aca="false">'Dec 2026'!F23</f>
        <v>0</v>
      </c>
      <c r="D23" s="37" t="n">
        <f aca="false">IF(B23="",0,N(Students!E12))</f>
        <v>0</v>
      </c>
      <c r="E23" s="23"/>
      <c r="F23" s="26" t="n">
        <f aca="false">N(C23)+N(D23)-N(E23)</f>
        <v>0</v>
      </c>
      <c r="G23" s="37" t="n">
        <f aca="false">'Dec 2026'!J23</f>
        <v>0</v>
      </c>
      <c r="H23" s="37" t="n">
        <f aca="false">IF(B23="",0,N(Students!F12))</f>
        <v>0</v>
      </c>
      <c r="I23" s="23"/>
      <c r="J23" s="26" t="n">
        <f aca="false">N(G23)+N(H23)-N(I23)</f>
        <v>0</v>
      </c>
      <c r="K23" s="37" t="n">
        <f aca="false">'Dec 2026'!N23</f>
        <v>0</v>
      </c>
      <c r="L23" s="37" t="n">
        <f aca="false">IF(B23="",0,N(Students!G12))</f>
        <v>0</v>
      </c>
      <c r="M23" s="23"/>
      <c r="N23" s="26" t="n">
        <f aca="false">N(K23)+N(L23)-N(M23)</f>
        <v>0</v>
      </c>
      <c r="O23" s="37" t="n">
        <f aca="false">'Dec 2026'!R23</f>
        <v>0</v>
      </c>
      <c r="P23" s="37" t="n">
        <f aca="false">IF(B23="",0,N(Students!H12))</f>
        <v>0</v>
      </c>
      <c r="Q23" s="23"/>
      <c r="R23" s="26" t="n">
        <f aca="false">N(O23)+N(P23)-N(Q23)</f>
        <v>0</v>
      </c>
      <c r="S23" s="37" t="n">
        <f aca="false">'Dec 2026'!V23</f>
        <v>0</v>
      </c>
      <c r="T23" s="37" t="n">
        <f aca="false">IF(B23="",0,N(Students!I12))</f>
        <v>0</v>
      </c>
      <c r="U23" s="23"/>
      <c r="V23" s="26" t="n">
        <f aca="false">N(S23)+N(T23)-N(U23)</f>
        <v>0</v>
      </c>
      <c r="W23" s="37" t="n">
        <f aca="false">'Dec 2026'!Z23</f>
        <v>0</v>
      </c>
      <c r="X23" s="37" t="n">
        <f aca="false">IF(B23="",0,N(Students!J12))</f>
        <v>0</v>
      </c>
      <c r="Y23" s="23"/>
      <c r="Z23" s="26" t="n">
        <f aca="false">N(W23)+N(X23)-N(Y23)</f>
        <v>0</v>
      </c>
      <c r="AA23" s="37" t="n">
        <f aca="false">N(E23)+N(I23)+N(M23)+N(Q23)+N(U23)+N(Y23)</f>
        <v>0</v>
      </c>
      <c r="AB23" s="26" t="n">
        <f aca="false">F23+J23+N23+R23+V23+Z23</f>
        <v>0</v>
      </c>
      <c r="AC23" s="83" t="str">
        <f aca="false">IF(B23="","",IF(AB23&lt;=0,"Clear",IF(AA23&gt;0,"Partial","Due")))</f>
        <v/>
      </c>
    </row>
    <row r="24" customFormat="false" ht="15" hidden="false" customHeight="false" outlineLevel="0" collapsed="false">
      <c r="A24" s="21" t="n">
        <v>9</v>
      </c>
      <c r="B24" s="46" t="str">
        <f aca="false">IF(Students!B13="","",Students!B13)</f>
        <v/>
      </c>
      <c r="C24" s="33" t="n">
        <f aca="false">'Dec 2026'!F24</f>
        <v>0</v>
      </c>
      <c r="D24" s="33" t="n">
        <f aca="false">IF(B24="",0,N(Students!E13))</f>
        <v>0</v>
      </c>
      <c r="E24" s="23"/>
      <c r="F24" s="24" t="n">
        <f aca="false">N(C24)+N(D24)-N(E24)</f>
        <v>0</v>
      </c>
      <c r="G24" s="33" t="n">
        <f aca="false">'Dec 2026'!J24</f>
        <v>0</v>
      </c>
      <c r="H24" s="33" t="n">
        <f aca="false">IF(B24="",0,N(Students!F13))</f>
        <v>0</v>
      </c>
      <c r="I24" s="23"/>
      <c r="J24" s="24" t="n">
        <f aca="false">N(G24)+N(H24)-N(I24)</f>
        <v>0</v>
      </c>
      <c r="K24" s="33" t="n">
        <f aca="false">'Dec 2026'!N24</f>
        <v>0</v>
      </c>
      <c r="L24" s="33" t="n">
        <f aca="false">IF(B24="",0,N(Students!G13))</f>
        <v>0</v>
      </c>
      <c r="M24" s="23"/>
      <c r="N24" s="24" t="n">
        <f aca="false">N(K24)+N(L24)-N(M24)</f>
        <v>0</v>
      </c>
      <c r="O24" s="33" t="n">
        <f aca="false">'Dec 2026'!R24</f>
        <v>0</v>
      </c>
      <c r="P24" s="33" t="n">
        <f aca="false">IF(B24="",0,N(Students!H13))</f>
        <v>0</v>
      </c>
      <c r="Q24" s="23"/>
      <c r="R24" s="24" t="n">
        <f aca="false">N(O24)+N(P24)-N(Q24)</f>
        <v>0</v>
      </c>
      <c r="S24" s="33" t="n">
        <f aca="false">'Dec 2026'!V24</f>
        <v>0</v>
      </c>
      <c r="T24" s="33" t="n">
        <f aca="false">IF(B24="",0,N(Students!I13))</f>
        <v>0</v>
      </c>
      <c r="U24" s="23"/>
      <c r="V24" s="24" t="n">
        <f aca="false">N(S24)+N(T24)-N(U24)</f>
        <v>0</v>
      </c>
      <c r="W24" s="33" t="n">
        <f aca="false">'Dec 2026'!Z24</f>
        <v>0</v>
      </c>
      <c r="X24" s="33" t="n">
        <f aca="false">IF(B24="",0,N(Students!J13))</f>
        <v>0</v>
      </c>
      <c r="Y24" s="23"/>
      <c r="Z24" s="24" t="n">
        <f aca="false">N(W24)+N(X24)-N(Y24)</f>
        <v>0</v>
      </c>
      <c r="AA24" s="33" t="n">
        <f aca="false">N(E24)+N(I24)+N(M24)+N(Q24)+N(U24)+N(Y24)</f>
        <v>0</v>
      </c>
      <c r="AB24" s="24" t="n">
        <f aca="false">F24+J24+N24+R24+V24+Z24</f>
        <v>0</v>
      </c>
      <c r="AC24" s="81" t="str">
        <f aca="false">IF(B24="","",IF(AB24&lt;=0,"Clear",IF(AA24&gt;0,"Partial","Due")))</f>
        <v/>
      </c>
    </row>
    <row r="25" customFormat="false" ht="15" hidden="false" customHeight="false" outlineLevel="0" collapsed="false">
      <c r="A25" s="25" t="n">
        <v>10</v>
      </c>
      <c r="B25" s="82" t="str">
        <f aca="false">IF(Students!B14="","",Students!B14)</f>
        <v/>
      </c>
      <c r="C25" s="37" t="n">
        <f aca="false">'Dec 2026'!F25</f>
        <v>0</v>
      </c>
      <c r="D25" s="37" t="n">
        <f aca="false">IF(B25="",0,N(Students!E14))</f>
        <v>0</v>
      </c>
      <c r="E25" s="23"/>
      <c r="F25" s="26" t="n">
        <f aca="false">N(C25)+N(D25)-N(E25)</f>
        <v>0</v>
      </c>
      <c r="G25" s="37" t="n">
        <f aca="false">'Dec 2026'!J25</f>
        <v>0</v>
      </c>
      <c r="H25" s="37" t="n">
        <f aca="false">IF(B25="",0,N(Students!F14))</f>
        <v>0</v>
      </c>
      <c r="I25" s="23"/>
      <c r="J25" s="26" t="n">
        <f aca="false">N(G25)+N(H25)-N(I25)</f>
        <v>0</v>
      </c>
      <c r="K25" s="37" t="n">
        <f aca="false">'Dec 2026'!N25</f>
        <v>0</v>
      </c>
      <c r="L25" s="37" t="n">
        <f aca="false">IF(B25="",0,N(Students!G14))</f>
        <v>0</v>
      </c>
      <c r="M25" s="23"/>
      <c r="N25" s="26" t="n">
        <f aca="false">N(K25)+N(L25)-N(M25)</f>
        <v>0</v>
      </c>
      <c r="O25" s="37" t="n">
        <f aca="false">'Dec 2026'!R25</f>
        <v>0</v>
      </c>
      <c r="P25" s="37" t="n">
        <f aca="false">IF(B25="",0,N(Students!H14))</f>
        <v>0</v>
      </c>
      <c r="Q25" s="23"/>
      <c r="R25" s="26" t="n">
        <f aca="false">N(O25)+N(P25)-N(Q25)</f>
        <v>0</v>
      </c>
      <c r="S25" s="37" t="n">
        <f aca="false">'Dec 2026'!V25</f>
        <v>0</v>
      </c>
      <c r="T25" s="37" t="n">
        <f aca="false">IF(B25="",0,N(Students!I14))</f>
        <v>0</v>
      </c>
      <c r="U25" s="23"/>
      <c r="V25" s="26" t="n">
        <f aca="false">N(S25)+N(T25)-N(U25)</f>
        <v>0</v>
      </c>
      <c r="W25" s="37" t="n">
        <f aca="false">'Dec 2026'!Z25</f>
        <v>0</v>
      </c>
      <c r="X25" s="37" t="n">
        <f aca="false">IF(B25="",0,N(Students!J14))</f>
        <v>0</v>
      </c>
      <c r="Y25" s="23"/>
      <c r="Z25" s="26" t="n">
        <f aca="false">N(W25)+N(X25)-N(Y25)</f>
        <v>0</v>
      </c>
      <c r="AA25" s="37" t="n">
        <f aca="false">N(E25)+N(I25)+N(M25)+N(Q25)+N(U25)+N(Y25)</f>
        <v>0</v>
      </c>
      <c r="AB25" s="26" t="n">
        <f aca="false">F25+J25+N25+R25+V25+Z25</f>
        <v>0</v>
      </c>
      <c r="AC25" s="83" t="str">
        <f aca="false">IF(B25="","",IF(AB25&lt;=0,"Clear",IF(AA25&gt;0,"Partial","Due")))</f>
        <v/>
      </c>
    </row>
    <row r="26" customFormat="false" ht="15" hidden="false" customHeight="false" outlineLevel="0" collapsed="false">
      <c r="A26" s="21" t="n">
        <v>11</v>
      </c>
      <c r="B26" s="46" t="str">
        <f aca="false">IF(Students!B15="","",Students!B15)</f>
        <v/>
      </c>
      <c r="C26" s="33" t="n">
        <f aca="false">'Dec 2026'!F26</f>
        <v>0</v>
      </c>
      <c r="D26" s="33" t="n">
        <f aca="false">IF(B26="",0,N(Students!E15))</f>
        <v>0</v>
      </c>
      <c r="E26" s="23"/>
      <c r="F26" s="24" t="n">
        <f aca="false">N(C26)+N(D26)-N(E26)</f>
        <v>0</v>
      </c>
      <c r="G26" s="33" t="n">
        <f aca="false">'Dec 2026'!J26</f>
        <v>0</v>
      </c>
      <c r="H26" s="33" t="n">
        <f aca="false">IF(B26="",0,N(Students!F15))</f>
        <v>0</v>
      </c>
      <c r="I26" s="23"/>
      <c r="J26" s="24" t="n">
        <f aca="false">N(G26)+N(H26)-N(I26)</f>
        <v>0</v>
      </c>
      <c r="K26" s="33" t="n">
        <f aca="false">'Dec 2026'!N26</f>
        <v>0</v>
      </c>
      <c r="L26" s="33" t="n">
        <f aca="false">IF(B26="",0,N(Students!G15))</f>
        <v>0</v>
      </c>
      <c r="M26" s="23"/>
      <c r="N26" s="24" t="n">
        <f aca="false">N(K26)+N(L26)-N(M26)</f>
        <v>0</v>
      </c>
      <c r="O26" s="33" t="n">
        <f aca="false">'Dec 2026'!R26</f>
        <v>0</v>
      </c>
      <c r="P26" s="33" t="n">
        <f aca="false">IF(B26="",0,N(Students!H15))</f>
        <v>0</v>
      </c>
      <c r="Q26" s="23"/>
      <c r="R26" s="24" t="n">
        <f aca="false">N(O26)+N(P26)-N(Q26)</f>
        <v>0</v>
      </c>
      <c r="S26" s="33" t="n">
        <f aca="false">'Dec 2026'!V26</f>
        <v>0</v>
      </c>
      <c r="T26" s="33" t="n">
        <f aca="false">IF(B26="",0,N(Students!I15))</f>
        <v>0</v>
      </c>
      <c r="U26" s="23"/>
      <c r="V26" s="24" t="n">
        <f aca="false">N(S26)+N(T26)-N(U26)</f>
        <v>0</v>
      </c>
      <c r="W26" s="33" t="n">
        <f aca="false">'Dec 2026'!Z26</f>
        <v>0</v>
      </c>
      <c r="X26" s="33" t="n">
        <f aca="false">IF(B26="",0,N(Students!J15))</f>
        <v>0</v>
      </c>
      <c r="Y26" s="23"/>
      <c r="Z26" s="24" t="n">
        <f aca="false">N(W26)+N(X26)-N(Y26)</f>
        <v>0</v>
      </c>
      <c r="AA26" s="33" t="n">
        <f aca="false">N(E26)+N(I26)+N(M26)+N(Q26)+N(U26)+N(Y26)</f>
        <v>0</v>
      </c>
      <c r="AB26" s="24" t="n">
        <f aca="false">F26+J26+N26+R26+V26+Z26</f>
        <v>0</v>
      </c>
      <c r="AC26" s="81" t="str">
        <f aca="false">IF(B26="","",IF(AB26&lt;=0,"Clear",IF(AA26&gt;0,"Partial","Due")))</f>
        <v/>
      </c>
    </row>
    <row r="27" customFormat="false" ht="15" hidden="false" customHeight="false" outlineLevel="0" collapsed="false">
      <c r="A27" s="25" t="n">
        <v>12</v>
      </c>
      <c r="B27" s="82" t="str">
        <f aca="false">IF(Students!B16="","",Students!B16)</f>
        <v/>
      </c>
      <c r="C27" s="37" t="n">
        <f aca="false">'Dec 2026'!F27</f>
        <v>0</v>
      </c>
      <c r="D27" s="37" t="n">
        <f aca="false">IF(B27="",0,N(Students!E16))</f>
        <v>0</v>
      </c>
      <c r="E27" s="23"/>
      <c r="F27" s="26" t="n">
        <f aca="false">N(C27)+N(D27)-N(E27)</f>
        <v>0</v>
      </c>
      <c r="G27" s="37" t="n">
        <f aca="false">'Dec 2026'!J27</f>
        <v>0</v>
      </c>
      <c r="H27" s="37" t="n">
        <f aca="false">IF(B27="",0,N(Students!F16))</f>
        <v>0</v>
      </c>
      <c r="I27" s="23"/>
      <c r="J27" s="26" t="n">
        <f aca="false">N(G27)+N(H27)-N(I27)</f>
        <v>0</v>
      </c>
      <c r="K27" s="37" t="n">
        <f aca="false">'Dec 2026'!N27</f>
        <v>0</v>
      </c>
      <c r="L27" s="37" t="n">
        <f aca="false">IF(B27="",0,N(Students!G16))</f>
        <v>0</v>
      </c>
      <c r="M27" s="23"/>
      <c r="N27" s="26" t="n">
        <f aca="false">N(K27)+N(L27)-N(M27)</f>
        <v>0</v>
      </c>
      <c r="O27" s="37" t="n">
        <f aca="false">'Dec 2026'!R27</f>
        <v>0</v>
      </c>
      <c r="P27" s="37" t="n">
        <f aca="false">IF(B27="",0,N(Students!H16))</f>
        <v>0</v>
      </c>
      <c r="Q27" s="23"/>
      <c r="R27" s="26" t="n">
        <f aca="false">N(O27)+N(P27)-N(Q27)</f>
        <v>0</v>
      </c>
      <c r="S27" s="37" t="n">
        <f aca="false">'Dec 2026'!V27</f>
        <v>0</v>
      </c>
      <c r="T27" s="37" t="n">
        <f aca="false">IF(B27="",0,N(Students!I16))</f>
        <v>0</v>
      </c>
      <c r="U27" s="23"/>
      <c r="V27" s="26" t="n">
        <f aca="false">N(S27)+N(T27)-N(U27)</f>
        <v>0</v>
      </c>
      <c r="W27" s="37" t="n">
        <f aca="false">'Dec 2026'!Z27</f>
        <v>0</v>
      </c>
      <c r="X27" s="37" t="n">
        <f aca="false">IF(B27="",0,N(Students!J16))</f>
        <v>0</v>
      </c>
      <c r="Y27" s="23"/>
      <c r="Z27" s="26" t="n">
        <f aca="false">N(W27)+N(X27)-N(Y27)</f>
        <v>0</v>
      </c>
      <c r="AA27" s="37" t="n">
        <f aca="false">N(E27)+N(I27)+N(M27)+N(Q27)+N(U27)+N(Y27)</f>
        <v>0</v>
      </c>
      <c r="AB27" s="26" t="n">
        <f aca="false">F27+J27+N27+R27+V27+Z27</f>
        <v>0</v>
      </c>
      <c r="AC27" s="83" t="str">
        <f aca="false">IF(B27="","",IF(AB27&lt;=0,"Clear",IF(AA27&gt;0,"Partial","Due")))</f>
        <v/>
      </c>
    </row>
    <row r="28" customFormat="false" ht="15" hidden="false" customHeight="false" outlineLevel="0" collapsed="false">
      <c r="A28" s="21" t="n">
        <v>13</v>
      </c>
      <c r="B28" s="46" t="str">
        <f aca="false">IF(Students!B17="","",Students!B17)</f>
        <v/>
      </c>
      <c r="C28" s="33" t="n">
        <f aca="false">'Dec 2026'!F28</f>
        <v>0</v>
      </c>
      <c r="D28" s="33" t="n">
        <f aca="false">IF(B28="",0,N(Students!E17))</f>
        <v>0</v>
      </c>
      <c r="E28" s="23"/>
      <c r="F28" s="24" t="n">
        <f aca="false">N(C28)+N(D28)-N(E28)</f>
        <v>0</v>
      </c>
      <c r="G28" s="33" t="n">
        <f aca="false">'Dec 2026'!J28</f>
        <v>0</v>
      </c>
      <c r="H28" s="33" t="n">
        <f aca="false">IF(B28="",0,N(Students!F17))</f>
        <v>0</v>
      </c>
      <c r="I28" s="23"/>
      <c r="J28" s="24" t="n">
        <f aca="false">N(G28)+N(H28)-N(I28)</f>
        <v>0</v>
      </c>
      <c r="K28" s="33" t="n">
        <f aca="false">'Dec 2026'!N28</f>
        <v>0</v>
      </c>
      <c r="L28" s="33" t="n">
        <f aca="false">IF(B28="",0,N(Students!G17))</f>
        <v>0</v>
      </c>
      <c r="M28" s="23"/>
      <c r="N28" s="24" t="n">
        <f aca="false">N(K28)+N(L28)-N(M28)</f>
        <v>0</v>
      </c>
      <c r="O28" s="33" t="n">
        <f aca="false">'Dec 2026'!R28</f>
        <v>0</v>
      </c>
      <c r="P28" s="33" t="n">
        <f aca="false">IF(B28="",0,N(Students!H17))</f>
        <v>0</v>
      </c>
      <c r="Q28" s="23"/>
      <c r="R28" s="24" t="n">
        <f aca="false">N(O28)+N(P28)-N(Q28)</f>
        <v>0</v>
      </c>
      <c r="S28" s="33" t="n">
        <f aca="false">'Dec 2026'!V28</f>
        <v>0</v>
      </c>
      <c r="T28" s="33" t="n">
        <f aca="false">IF(B28="",0,N(Students!I17))</f>
        <v>0</v>
      </c>
      <c r="U28" s="23"/>
      <c r="V28" s="24" t="n">
        <f aca="false">N(S28)+N(T28)-N(U28)</f>
        <v>0</v>
      </c>
      <c r="W28" s="33" t="n">
        <f aca="false">'Dec 2026'!Z28</f>
        <v>0</v>
      </c>
      <c r="X28" s="33" t="n">
        <f aca="false">IF(B28="",0,N(Students!J17))</f>
        <v>0</v>
      </c>
      <c r="Y28" s="23"/>
      <c r="Z28" s="24" t="n">
        <f aca="false">N(W28)+N(X28)-N(Y28)</f>
        <v>0</v>
      </c>
      <c r="AA28" s="33" t="n">
        <f aca="false">N(E28)+N(I28)+N(M28)+N(Q28)+N(U28)+N(Y28)</f>
        <v>0</v>
      </c>
      <c r="AB28" s="24" t="n">
        <f aca="false">F28+J28+N28+R28+V28+Z28</f>
        <v>0</v>
      </c>
      <c r="AC28" s="81" t="str">
        <f aca="false">IF(B28="","",IF(AB28&lt;=0,"Clear",IF(AA28&gt;0,"Partial","Due")))</f>
        <v/>
      </c>
    </row>
    <row r="29" customFormat="false" ht="15" hidden="false" customHeight="false" outlineLevel="0" collapsed="false">
      <c r="A29" s="25" t="n">
        <v>14</v>
      </c>
      <c r="B29" s="82" t="str">
        <f aca="false">IF(Students!B18="","",Students!B18)</f>
        <v/>
      </c>
      <c r="C29" s="37" t="n">
        <f aca="false">'Dec 2026'!F29</f>
        <v>0</v>
      </c>
      <c r="D29" s="37" t="n">
        <f aca="false">IF(B29="",0,N(Students!E18))</f>
        <v>0</v>
      </c>
      <c r="E29" s="23"/>
      <c r="F29" s="26" t="n">
        <f aca="false">N(C29)+N(D29)-N(E29)</f>
        <v>0</v>
      </c>
      <c r="G29" s="37" t="n">
        <f aca="false">'Dec 2026'!J29</f>
        <v>0</v>
      </c>
      <c r="H29" s="37" t="n">
        <f aca="false">IF(B29="",0,N(Students!F18))</f>
        <v>0</v>
      </c>
      <c r="I29" s="23"/>
      <c r="J29" s="26" t="n">
        <f aca="false">N(G29)+N(H29)-N(I29)</f>
        <v>0</v>
      </c>
      <c r="K29" s="37" t="n">
        <f aca="false">'Dec 2026'!N29</f>
        <v>0</v>
      </c>
      <c r="L29" s="37" t="n">
        <f aca="false">IF(B29="",0,N(Students!G18))</f>
        <v>0</v>
      </c>
      <c r="M29" s="23"/>
      <c r="N29" s="26" t="n">
        <f aca="false">N(K29)+N(L29)-N(M29)</f>
        <v>0</v>
      </c>
      <c r="O29" s="37" t="n">
        <f aca="false">'Dec 2026'!R29</f>
        <v>0</v>
      </c>
      <c r="P29" s="37" t="n">
        <f aca="false">IF(B29="",0,N(Students!H18))</f>
        <v>0</v>
      </c>
      <c r="Q29" s="23"/>
      <c r="R29" s="26" t="n">
        <f aca="false">N(O29)+N(P29)-N(Q29)</f>
        <v>0</v>
      </c>
      <c r="S29" s="37" t="n">
        <f aca="false">'Dec 2026'!V29</f>
        <v>0</v>
      </c>
      <c r="T29" s="37" t="n">
        <f aca="false">IF(B29="",0,N(Students!I18))</f>
        <v>0</v>
      </c>
      <c r="U29" s="23"/>
      <c r="V29" s="26" t="n">
        <f aca="false">N(S29)+N(T29)-N(U29)</f>
        <v>0</v>
      </c>
      <c r="W29" s="37" t="n">
        <f aca="false">'Dec 2026'!Z29</f>
        <v>0</v>
      </c>
      <c r="X29" s="37" t="n">
        <f aca="false">IF(B29="",0,N(Students!J18))</f>
        <v>0</v>
      </c>
      <c r="Y29" s="23"/>
      <c r="Z29" s="26" t="n">
        <f aca="false">N(W29)+N(X29)-N(Y29)</f>
        <v>0</v>
      </c>
      <c r="AA29" s="37" t="n">
        <f aca="false">N(E29)+N(I29)+N(M29)+N(Q29)+N(U29)+N(Y29)</f>
        <v>0</v>
      </c>
      <c r="AB29" s="26" t="n">
        <f aca="false">F29+J29+N29+R29+V29+Z29</f>
        <v>0</v>
      </c>
      <c r="AC29" s="83" t="str">
        <f aca="false">IF(B29="","",IF(AB29&lt;=0,"Clear",IF(AA29&gt;0,"Partial","Due")))</f>
        <v/>
      </c>
    </row>
    <row r="30" customFormat="false" ht="15" hidden="false" customHeight="false" outlineLevel="0" collapsed="false">
      <c r="A30" s="21" t="n">
        <v>15</v>
      </c>
      <c r="B30" s="46" t="str">
        <f aca="false">IF(Students!B19="","",Students!B19)</f>
        <v/>
      </c>
      <c r="C30" s="33" t="n">
        <f aca="false">'Dec 2026'!F30</f>
        <v>0</v>
      </c>
      <c r="D30" s="33" t="n">
        <f aca="false">IF(B30="",0,N(Students!E19))</f>
        <v>0</v>
      </c>
      <c r="E30" s="23"/>
      <c r="F30" s="24" t="n">
        <f aca="false">N(C30)+N(D30)-N(E30)</f>
        <v>0</v>
      </c>
      <c r="G30" s="33" t="n">
        <f aca="false">'Dec 2026'!J30</f>
        <v>0</v>
      </c>
      <c r="H30" s="33" t="n">
        <f aca="false">IF(B30="",0,N(Students!F19))</f>
        <v>0</v>
      </c>
      <c r="I30" s="23"/>
      <c r="J30" s="24" t="n">
        <f aca="false">N(G30)+N(H30)-N(I30)</f>
        <v>0</v>
      </c>
      <c r="K30" s="33" t="n">
        <f aca="false">'Dec 2026'!N30</f>
        <v>0</v>
      </c>
      <c r="L30" s="33" t="n">
        <f aca="false">IF(B30="",0,N(Students!G19))</f>
        <v>0</v>
      </c>
      <c r="M30" s="23"/>
      <c r="N30" s="24" t="n">
        <f aca="false">N(K30)+N(L30)-N(M30)</f>
        <v>0</v>
      </c>
      <c r="O30" s="33" t="n">
        <f aca="false">'Dec 2026'!R30</f>
        <v>0</v>
      </c>
      <c r="P30" s="33" t="n">
        <f aca="false">IF(B30="",0,N(Students!H19))</f>
        <v>0</v>
      </c>
      <c r="Q30" s="23"/>
      <c r="R30" s="24" t="n">
        <f aca="false">N(O30)+N(P30)-N(Q30)</f>
        <v>0</v>
      </c>
      <c r="S30" s="33" t="n">
        <f aca="false">'Dec 2026'!V30</f>
        <v>0</v>
      </c>
      <c r="T30" s="33" t="n">
        <f aca="false">IF(B30="",0,N(Students!I19))</f>
        <v>0</v>
      </c>
      <c r="U30" s="23"/>
      <c r="V30" s="24" t="n">
        <f aca="false">N(S30)+N(T30)-N(U30)</f>
        <v>0</v>
      </c>
      <c r="W30" s="33" t="n">
        <f aca="false">'Dec 2026'!Z30</f>
        <v>0</v>
      </c>
      <c r="X30" s="33" t="n">
        <f aca="false">IF(B30="",0,N(Students!J19))</f>
        <v>0</v>
      </c>
      <c r="Y30" s="23"/>
      <c r="Z30" s="24" t="n">
        <f aca="false">N(W30)+N(X30)-N(Y30)</f>
        <v>0</v>
      </c>
      <c r="AA30" s="33" t="n">
        <f aca="false">N(E30)+N(I30)+N(M30)+N(Q30)+N(U30)+N(Y30)</f>
        <v>0</v>
      </c>
      <c r="AB30" s="24" t="n">
        <f aca="false">F30+J30+N30+R30+V30+Z30</f>
        <v>0</v>
      </c>
      <c r="AC30" s="81" t="str">
        <f aca="false">IF(B30="","",IF(AB30&lt;=0,"Clear",IF(AA30&gt;0,"Partial","Due")))</f>
        <v/>
      </c>
    </row>
    <row r="31" customFormat="false" ht="15" hidden="false" customHeight="false" outlineLevel="0" collapsed="false">
      <c r="A31" s="25" t="n">
        <v>16</v>
      </c>
      <c r="B31" s="82" t="str">
        <f aca="false">IF(Students!B20="","",Students!B20)</f>
        <v/>
      </c>
      <c r="C31" s="37" t="n">
        <f aca="false">'Dec 2026'!F31</f>
        <v>0</v>
      </c>
      <c r="D31" s="37" t="n">
        <f aca="false">IF(B31="",0,N(Students!E20))</f>
        <v>0</v>
      </c>
      <c r="E31" s="23"/>
      <c r="F31" s="26" t="n">
        <f aca="false">N(C31)+N(D31)-N(E31)</f>
        <v>0</v>
      </c>
      <c r="G31" s="37" t="n">
        <f aca="false">'Dec 2026'!J31</f>
        <v>0</v>
      </c>
      <c r="H31" s="37" t="n">
        <f aca="false">IF(B31="",0,N(Students!F20))</f>
        <v>0</v>
      </c>
      <c r="I31" s="23"/>
      <c r="J31" s="26" t="n">
        <f aca="false">N(G31)+N(H31)-N(I31)</f>
        <v>0</v>
      </c>
      <c r="K31" s="37" t="n">
        <f aca="false">'Dec 2026'!N31</f>
        <v>0</v>
      </c>
      <c r="L31" s="37" t="n">
        <f aca="false">IF(B31="",0,N(Students!G20))</f>
        <v>0</v>
      </c>
      <c r="M31" s="23"/>
      <c r="N31" s="26" t="n">
        <f aca="false">N(K31)+N(L31)-N(M31)</f>
        <v>0</v>
      </c>
      <c r="O31" s="37" t="n">
        <f aca="false">'Dec 2026'!R31</f>
        <v>0</v>
      </c>
      <c r="P31" s="37" t="n">
        <f aca="false">IF(B31="",0,N(Students!H20))</f>
        <v>0</v>
      </c>
      <c r="Q31" s="23"/>
      <c r="R31" s="26" t="n">
        <f aca="false">N(O31)+N(P31)-N(Q31)</f>
        <v>0</v>
      </c>
      <c r="S31" s="37" t="n">
        <f aca="false">'Dec 2026'!V31</f>
        <v>0</v>
      </c>
      <c r="T31" s="37" t="n">
        <f aca="false">IF(B31="",0,N(Students!I20))</f>
        <v>0</v>
      </c>
      <c r="U31" s="23"/>
      <c r="V31" s="26" t="n">
        <f aca="false">N(S31)+N(T31)-N(U31)</f>
        <v>0</v>
      </c>
      <c r="W31" s="37" t="n">
        <f aca="false">'Dec 2026'!Z31</f>
        <v>0</v>
      </c>
      <c r="X31" s="37" t="n">
        <f aca="false">IF(B31="",0,N(Students!J20))</f>
        <v>0</v>
      </c>
      <c r="Y31" s="23"/>
      <c r="Z31" s="26" t="n">
        <f aca="false">N(W31)+N(X31)-N(Y31)</f>
        <v>0</v>
      </c>
      <c r="AA31" s="37" t="n">
        <f aca="false">N(E31)+N(I31)+N(M31)+N(Q31)+N(U31)+N(Y31)</f>
        <v>0</v>
      </c>
      <c r="AB31" s="26" t="n">
        <f aca="false">F31+J31+N31+R31+V31+Z31</f>
        <v>0</v>
      </c>
      <c r="AC31" s="83" t="str">
        <f aca="false">IF(B31="","",IF(AB31&lt;=0,"Clear",IF(AA31&gt;0,"Partial","Due")))</f>
        <v/>
      </c>
    </row>
    <row r="32" customFormat="false" ht="15" hidden="false" customHeight="false" outlineLevel="0" collapsed="false">
      <c r="A32" s="21" t="n">
        <v>17</v>
      </c>
      <c r="B32" s="46" t="str">
        <f aca="false">IF(Students!B21="","",Students!B21)</f>
        <v/>
      </c>
      <c r="C32" s="33" t="n">
        <f aca="false">'Dec 2026'!F32</f>
        <v>0</v>
      </c>
      <c r="D32" s="33" t="n">
        <f aca="false">IF(B32="",0,N(Students!E21))</f>
        <v>0</v>
      </c>
      <c r="E32" s="23"/>
      <c r="F32" s="24" t="n">
        <f aca="false">N(C32)+N(D32)-N(E32)</f>
        <v>0</v>
      </c>
      <c r="G32" s="33" t="n">
        <f aca="false">'Dec 2026'!J32</f>
        <v>0</v>
      </c>
      <c r="H32" s="33" t="n">
        <f aca="false">IF(B32="",0,N(Students!F21))</f>
        <v>0</v>
      </c>
      <c r="I32" s="23"/>
      <c r="J32" s="24" t="n">
        <f aca="false">N(G32)+N(H32)-N(I32)</f>
        <v>0</v>
      </c>
      <c r="K32" s="33" t="n">
        <f aca="false">'Dec 2026'!N32</f>
        <v>0</v>
      </c>
      <c r="L32" s="33" t="n">
        <f aca="false">IF(B32="",0,N(Students!G21))</f>
        <v>0</v>
      </c>
      <c r="M32" s="23"/>
      <c r="N32" s="24" t="n">
        <f aca="false">N(K32)+N(L32)-N(M32)</f>
        <v>0</v>
      </c>
      <c r="O32" s="33" t="n">
        <f aca="false">'Dec 2026'!R32</f>
        <v>0</v>
      </c>
      <c r="P32" s="33" t="n">
        <f aca="false">IF(B32="",0,N(Students!H21))</f>
        <v>0</v>
      </c>
      <c r="Q32" s="23"/>
      <c r="R32" s="24" t="n">
        <f aca="false">N(O32)+N(P32)-N(Q32)</f>
        <v>0</v>
      </c>
      <c r="S32" s="33" t="n">
        <f aca="false">'Dec 2026'!V32</f>
        <v>0</v>
      </c>
      <c r="T32" s="33" t="n">
        <f aca="false">IF(B32="",0,N(Students!I21))</f>
        <v>0</v>
      </c>
      <c r="U32" s="23"/>
      <c r="V32" s="24" t="n">
        <f aca="false">N(S32)+N(T32)-N(U32)</f>
        <v>0</v>
      </c>
      <c r="W32" s="33" t="n">
        <f aca="false">'Dec 2026'!Z32</f>
        <v>0</v>
      </c>
      <c r="X32" s="33" t="n">
        <f aca="false">IF(B32="",0,N(Students!J21))</f>
        <v>0</v>
      </c>
      <c r="Y32" s="23"/>
      <c r="Z32" s="24" t="n">
        <f aca="false">N(W32)+N(X32)-N(Y32)</f>
        <v>0</v>
      </c>
      <c r="AA32" s="33" t="n">
        <f aca="false">N(E32)+N(I32)+N(M32)+N(Q32)+N(U32)+N(Y32)</f>
        <v>0</v>
      </c>
      <c r="AB32" s="24" t="n">
        <f aca="false">F32+J32+N32+R32+V32+Z32</f>
        <v>0</v>
      </c>
      <c r="AC32" s="81" t="str">
        <f aca="false">IF(B32="","",IF(AB32&lt;=0,"Clear",IF(AA32&gt;0,"Partial","Due")))</f>
        <v/>
      </c>
    </row>
    <row r="33" customFormat="false" ht="15" hidden="false" customHeight="false" outlineLevel="0" collapsed="false">
      <c r="A33" s="25" t="n">
        <v>18</v>
      </c>
      <c r="B33" s="82" t="str">
        <f aca="false">IF(Students!B22="","",Students!B22)</f>
        <v/>
      </c>
      <c r="C33" s="37" t="n">
        <f aca="false">'Dec 2026'!F33</f>
        <v>0</v>
      </c>
      <c r="D33" s="37" t="n">
        <f aca="false">IF(B33="",0,N(Students!E22))</f>
        <v>0</v>
      </c>
      <c r="E33" s="23"/>
      <c r="F33" s="26" t="n">
        <f aca="false">N(C33)+N(D33)-N(E33)</f>
        <v>0</v>
      </c>
      <c r="G33" s="37" t="n">
        <f aca="false">'Dec 2026'!J33</f>
        <v>0</v>
      </c>
      <c r="H33" s="37" t="n">
        <f aca="false">IF(B33="",0,N(Students!F22))</f>
        <v>0</v>
      </c>
      <c r="I33" s="23"/>
      <c r="J33" s="26" t="n">
        <f aca="false">N(G33)+N(H33)-N(I33)</f>
        <v>0</v>
      </c>
      <c r="K33" s="37" t="n">
        <f aca="false">'Dec 2026'!N33</f>
        <v>0</v>
      </c>
      <c r="L33" s="37" t="n">
        <f aca="false">IF(B33="",0,N(Students!G22))</f>
        <v>0</v>
      </c>
      <c r="M33" s="23"/>
      <c r="N33" s="26" t="n">
        <f aca="false">N(K33)+N(L33)-N(M33)</f>
        <v>0</v>
      </c>
      <c r="O33" s="37" t="n">
        <f aca="false">'Dec 2026'!R33</f>
        <v>0</v>
      </c>
      <c r="P33" s="37" t="n">
        <f aca="false">IF(B33="",0,N(Students!H22))</f>
        <v>0</v>
      </c>
      <c r="Q33" s="23"/>
      <c r="R33" s="26" t="n">
        <f aca="false">N(O33)+N(P33)-N(Q33)</f>
        <v>0</v>
      </c>
      <c r="S33" s="37" t="n">
        <f aca="false">'Dec 2026'!V33</f>
        <v>0</v>
      </c>
      <c r="T33" s="37" t="n">
        <f aca="false">IF(B33="",0,N(Students!I22))</f>
        <v>0</v>
      </c>
      <c r="U33" s="23"/>
      <c r="V33" s="26" t="n">
        <f aca="false">N(S33)+N(T33)-N(U33)</f>
        <v>0</v>
      </c>
      <c r="W33" s="37" t="n">
        <f aca="false">'Dec 2026'!Z33</f>
        <v>0</v>
      </c>
      <c r="X33" s="37" t="n">
        <f aca="false">IF(B33="",0,N(Students!J22))</f>
        <v>0</v>
      </c>
      <c r="Y33" s="23"/>
      <c r="Z33" s="26" t="n">
        <f aca="false">N(W33)+N(X33)-N(Y33)</f>
        <v>0</v>
      </c>
      <c r="AA33" s="37" t="n">
        <f aca="false">N(E33)+N(I33)+N(M33)+N(Q33)+N(U33)+N(Y33)</f>
        <v>0</v>
      </c>
      <c r="AB33" s="26" t="n">
        <f aca="false">F33+J33+N33+R33+V33+Z33</f>
        <v>0</v>
      </c>
      <c r="AC33" s="83" t="str">
        <f aca="false">IF(B33="","",IF(AB33&lt;=0,"Clear",IF(AA33&gt;0,"Partial","Due")))</f>
        <v/>
      </c>
    </row>
    <row r="34" customFormat="false" ht="15" hidden="false" customHeight="false" outlineLevel="0" collapsed="false">
      <c r="A34" s="21" t="n">
        <v>19</v>
      </c>
      <c r="B34" s="46" t="str">
        <f aca="false">IF(Students!B23="","",Students!B23)</f>
        <v/>
      </c>
      <c r="C34" s="33" t="n">
        <f aca="false">'Dec 2026'!F34</f>
        <v>0</v>
      </c>
      <c r="D34" s="33" t="n">
        <f aca="false">IF(B34="",0,N(Students!E23))</f>
        <v>0</v>
      </c>
      <c r="E34" s="23"/>
      <c r="F34" s="24" t="n">
        <f aca="false">N(C34)+N(D34)-N(E34)</f>
        <v>0</v>
      </c>
      <c r="G34" s="33" t="n">
        <f aca="false">'Dec 2026'!J34</f>
        <v>0</v>
      </c>
      <c r="H34" s="33" t="n">
        <f aca="false">IF(B34="",0,N(Students!F23))</f>
        <v>0</v>
      </c>
      <c r="I34" s="23"/>
      <c r="J34" s="24" t="n">
        <f aca="false">N(G34)+N(H34)-N(I34)</f>
        <v>0</v>
      </c>
      <c r="K34" s="33" t="n">
        <f aca="false">'Dec 2026'!N34</f>
        <v>0</v>
      </c>
      <c r="L34" s="33" t="n">
        <f aca="false">IF(B34="",0,N(Students!G23))</f>
        <v>0</v>
      </c>
      <c r="M34" s="23"/>
      <c r="N34" s="24" t="n">
        <f aca="false">N(K34)+N(L34)-N(M34)</f>
        <v>0</v>
      </c>
      <c r="O34" s="33" t="n">
        <f aca="false">'Dec 2026'!R34</f>
        <v>0</v>
      </c>
      <c r="P34" s="33" t="n">
        <f aca="false">IF(B34="",0,N(Students!H23))</f>
        <v>0</v>
      </c>
      <c r="Q34" s="23"/>
      <c r="R34" s="24" t="n">
        <f aca="false">N(O34)+N(P34)-N(Q34)</f>
        <v>0</v>
      </c>
      <c r="S34" s="33" t="n">
        <f aca="false">'Dec 2026'!V34</f>
        <v>0</v>
      </c>
      <c r="T34" s="33" t="n">
        <f aca="false">IF(B34="",0,N(Students!I23))</f>
        <v>0</v>
      </c>
      <c r="U34" s="23"/>
      <c r="V34" s="24" t="n">
        <f aca="false">N(S34)+N(T34)-N(U34)</f>
        <v>0</v>
      </c>
      <c r="W34" s="33" t="n">
        <f aca="false">'Dec 2026'!Z34</f>
        <v>0</v>
      </c>
      <c r="X34" s="33" t="n">
        <f aca="false">IF(B34="",0,N(Students!J23))</f>
        <v>0</v>
      </c>
      <c r="Y34" s="23"/>
      <c r="Z34" s="24" t="n">
        <f aca="false">N(W34)+N(X34)-N(Y34)</f>
        <v>0</v>
      </c>
      <c r="AA34" s="33" t="n">
        <f aca="false">N(E34)+N(I34)+N(M34)+N(Q34)+N(U34)+N(Y34)</f>
        <v>0</v>
      </c>
      <c r="AB34" s="24" t="n">
        <f aca="false">F34+J34+N34+R34+V34+Z34</f>
        <v>0</v>
      </c>
      <c r="AC34" s="81" t="str">
        <f aca="false">IF(B34="","",IF(AB34&lt;=0,"Clear",IF(AA34&gt;0,"Partial","Due")))</f>
        <v/>
      </c>
    </row>
    <row r="35" customFormat="false" ht="15" hidden="false" customHeight="false" outlineLevel="0" collapsed="false">
      <c r="A35" s="25" t="n">
        <v>20</v>
      </c>
      <c r="B35" s="82" t="str">
        <f aca="false">IF(Students!B24="","",Students!B24)</f>
        <v/>
      </c>
      <c r="C35" s="37" t="n">
        <f aca="false">'Dec 2026'!F35</f>
        <v>0</v>
      </c>
      <c r="D35" s="37" t="n">
        <f aca="false">IF(B35="",0,N(Students!E24))</f>
        <v>0</v>
      </c>
      <c r="E35" s="23"/>
      <c r="F35" s="26" t="n">
        <f aca="false">N(C35)+N(D35)-N(E35)</f>
        <v>0</v>
      </c>
      <c r="G35" s="37" t="n">
        <f aca="false">'Dec 2026'!J35</f>
        <v>0</v>
      </c>
      <c r="H35" s="37" t="n">
        <f aca="false">IF(B35="",0,N(Students!F24))</f>
        <v>0</v>
      </c>
      <c r="I35" s="23"/>
      <c r="J35" s="26" t="n">
        <f aca="false">N(G35)+N(H35)-N(I35)</f>
        <v>0</v>
      </c>
      <c r="K35" s="37" t="n">
        <f aca="false">'Dec 2026'!N35</f>
        <v>0</v>
      </c>
      <c r="L35" s="37" t="n">
        <f aca="false">IF(B35="",0,N(Students!G24))</f>
        <v>0</v>
      </c>
      <c r="M35" s="23"/>
      <c r="N35" s="26" t="n">
        <f aca="false">N(K35)+N(L35)-N(M35)</f>
        <v>0</v>
      </c>
      <c r="O35" s="37" t="n">
        <f aca="false">'Dec 2026'!R35</f>
        <v>0</v>
      </c>
      <c r="P35" s="37" t="n">
        <f aca="false">IF(B35="",0,N(Students!H24))</f>
        <v>0</v>
      </c>
      <c r="Q35" s="23"/>
      <c r="R35" s="26" t="n">
        <f aca="false">N(O35)+N(P35)-N(Q35)</f>
        <v>0</v>
      </c>
      <c r="S35" s="37" t="n">
        <f aca="false">'Dec 2026'!V35</f>
        <v>0</v>
      </c>
      <c r="T35" s="37" t="n">
        <f aca="false">IF(B35="",0,N(Students!I24))</f>
        <v>0</v>
      </c>
      <c r="U35" s="23"/>
      <c r="V35" s="26" t="n">
        <f aca="false">N(S35)+N(T35)-N(U35)</f>
        <v>0</v>
      </c>
      <c r="W35" s="37" t="n">
        <f aca="false">'Dec 2026'!Z35</f>
        <v>0</v>
      </c>
      <c r="X35" s="37" t="n">
        <f aca="false">IF(B35="",0,N(Students!J24))</f>
        <v>0</v>
      </c>
      <c r="Y35" s="23"/>
      <c r="Z35" s="26" t="n">
        <f aca="false">N(W35)+N(X35)-N(Y35)</f>
        <v>0</v>
      </c>
      <c r="AA35" s="37" t="n">
        <f aca="false">N(E35)+N(I35)+N(M35)+N(Q35)+N(U35)+N(Y35)</f>
        <v>0</v>
      </c>
      <c r="AB35" s="26" t="n">
        <f aca="false">F35+J35+N35+R35+V35+Z35</f>
        <v>0</v>
      </c>
      <c r="AC35" s="83" t="str">
        <f aca="false">IF(B35="","",IF(AB35&lt;=0,"Clear",IF(AA35&gt;0,"Partial","Due")))</f>
        <v/>
      </c>
    </row>
    <row r="36" customFormat="false" ht="15" hidden="false" customHeight="false" outlineLevel="0" collapsed="false">
      <c r="A36" s="21" t="n">
        <v>21</v>
      </c>
      <c r="B36" s="46" t="str">
        <f aca="false">IF(Students!B25="","",Students!B25)</f>
        <v/>
      </c>
      <c r="C36" s="33" t="n">
        <f aca="false">'Dec 2026'!F36</f>
        <v>0</v>
      </c>
      <c r="D36" s="33" t="n">
        <f aca="false">IF(B36="",0,N(Students!E25))</f>
        <v>0</v>
      </c>
      <c r="E36" s="23"/>
      <c r="F36" s="24" t="n">
        <f aca="false">N(C36)+N(D36)-N(E36)</f>
        <v>0</v>
      </c>
      <c r="G36" s="33" t="n">
        <f aca="false">'Dec 2026'!J36</f>
        <v>0</v>
      </c>
      <c r="H36" s="33" t="n">
        <f aca="false">IF(B36="",0,N(Students!F25))</f>
        <v>0</v>
      </c>
      <c r="I36" s="23"/>
      <c r="J36" s="24" t="n">
        <f aca="false">N(G36)+N(H36)-N(I36)</f>
        <v>0</v>
      </c>
      <c r="K36" s="33" t="n">
        <f aca="false">'Dec 2026'!N36</f>
        <v>0</v>
      </c>
      <c r="L36" s="33" t="n">
        <f aca="false">IF(B36="",0,N(Students!G25))</f>
        <v>0</v>
      </c>
      <c r="M36" s="23"/>
      <c r="N36" s="24" t="n">
        <f aca="false">N(K36)+N(L36)-N(M36)</f>
        <v>0</v>
      </c>
      <c r="O36" s="33" t="n">
        <f aca="false">'Dec 2026'!R36</f>
        <v>0</v>
      </c>
      <c r="P36" s="33" t="n">
        <f aca="false">IF(B36="",0,N(Students!H25))</f>
        <v>0</v>
      </c>
      <c r="Q36" s="23"/>
      <c r="R36" s="24" t="n">
        <f aca="false">N(O36)+N(P36)-N(Q36)</f>
        <v>0</v>
      </c>
      <c r="S36" s="33" t="n">
        <f aca="false">'Dec 2026'!V36</f>
        <v>0</v>
      </c>
      <c r="T36" s="33" t="n">
        <f aca="false">IF(B36="",0,N(Students!I25))</f>
        <v>0</v>
      </c>
      <c r="U36" s="23"/>
      <c r="V36" s="24" t="n">
        <f aca="false">N(S36)+N(T36)-N(U36)</f>
        <v>0</v>
      </c>
      <c r="W36" s="33" t="n">
        <f aca="false">'Dec 2026'!Z36</f>
        <v>0</v>
      </c>
      <c r="X36" s="33" t="n">
        <f aca="false">IF(B36="",0,N(Students!J25))</f>
        <v>0</v>
      </c>
      <c r="Y36" s="23"/>
      <c r="Z36" s="24" t="n">
        <f aca="false">N(W36)+N(X36)-N(Y36)</f>
        <v>0</v>
      </c>
      <c r="AA36" s="33" t="n">
        <f aca="false">N(E36)+N(I36)+N(M36)+N(Q36)+N(U36)+N(Y36)</f>
        <v>0</v>
      </c>
      <c r="AB36" s="24" t="n">
        <f aca="false">F36+J36+N36+R36+V36+Z36</f>
        <v>0</v>
      </c>
      <c r="AC36" s="81" t="str">
        <f aca="false">IF(B36="","",IF(AB36&lt;=0,"Clear",IF(AA36&gt;0,"Partial","Due")))</f>
        <v/>
      </c>
    </row>
    <row r="37" customFormat="false" ht="15" hidden="false" customHeight="false" outlineLevel="0" collapsed="false">
      <c r="A37" s="25" t="n">
        <v>22</v>
      </c>
      <c r="B37" s="82" t="str">
        <f aca="false">IF(Students!B26="","",Students!B26)</f>
        <v/>
      </c>
      <c r="C37" s="37" t="n">
        <f aca="false">'Dec 2026'!F37</f>
        <v>0</v>
      </c>
      <c r="D37" s="37" t="n">
        <f aca="false">IF(B37="",0,N(Students!E26))</f>
        <v>0</v>
      </c>
      <c r="E37" s="23"/>
      <c r="F37" s="26" t="n">
        <f aca="false">N(C37)+N(D37)-N(E37)</f>
        <v>0</v>
      </c>
      <c r="G37" s="37" t="n">
        <f aca="false">'Dec 2026'!J37</f>
        <v>0</v>
      </c>
      <c r="H37" s="37" t="n">
        <f aca="false">IF(B37="",0,N(Students!F26))</f>
        <v>0</v>
      </c>
      <c r="I37" s="23"/>
      <c r="J37" s="26" t="n">
        <f aca="false">N(G37)+N(H37)-N(I37)</f>
        <v>0</v>
      </c>
      <c r="K37" s="37" t="n">
        <f aca="false">'Dec 2026'!N37</f>
        <v>0</v>
      </c>
      <c r="L37" s="37" t="n">
        <f aca="false">IF(B37="",0,N(Students!G26))</f>
        <v>0</v>
      </c>
      <c r="M37" s="23"/>
      <c r="N37" s="26" t="n">
        <f aca="false">N(K37)+N(L37)-N(M37)</f>
        <v>0</v>
      </c>
      <c r="O37" s="37" t="n">
        <f aca="false">'Dec 2026'!R37</f>
        <v>0</v>
      </c>
      <c r="P37" s="37" t="n">
        <f aca="false">IF(B37="",0,N(Students!H26))</f>
        <v>0</v>
      </c>
      <c r="Q37" s="23"/>
      <c r="R37" s="26" t="n">
        <f aca="false">N(O37)+N(P37)-N(Q37)</f>
        <v>0</v>
      </c>
      <c r="S37" s="37" t="n">
        <f aca="false">'Dec 2026'!V37</f>
        <v>0</v>
      </c>
      <c r="T37" s="37" t="n">
        <f aca="false">IF(B37="",0,N(Students!I26))</f>
        <v>0</v>
      </c>
      <c r="U37" s="23"/>
      <c r="V37" s="26" t="n">
        <f aca="false">N(S37)+N(T37)-N(U37)</f>
        <v>0</v>
      </c>
      <c r="W37" s="37" t="n">
        <f aca="false">'Dec 2026'!Z37</f>
        <v>0</v>
      </c>
      <c r="X37" s="37" t="n">
        <f aca="false">IF(B37="",0,N(Students!J26))</f>
        <v>0</v>
      </c>
      <c r="Y37" s="23"/>
      <c r="Z37" s="26" t="n">
        <f aca="false">N(W37)+N(X37)-N(Y37)</f>
        <v>0</v>
      </c>
      <c r="AA37" s="37" t="n">
        <f aca="false">N(E37)+N(I37)+N(M37)+N(Q37)+N(U37)+N(Y37)</f>
        <v>0</v>
      </c>
      <c r="AB37" s="26" t="n">
        <f aca="false">F37+J37+N37+R37+V37+Z37</f>
        <v>0</v>
      </c>
      <c r="AC37" s="83" t="str">
        <f aca="false">IF(B37="","",IF(AB37&lt;=0,"Clear",IF(AA37&gt;0,"Partial","Due")))</f>
        <v/>
      </c>
    </row>
    <row r="38" customFormat="false" ht="15" hidden="false" customHeight="false" outlineLevel="0" collapsed="false">
      <c r="A38" s="21" t="n">
        <v>23</v>
      </c>
      <c r="B38" s="46" t="str">
        <f aca="false">IF(Students!B27="","",Students!B27)</f>
        <v/>
      </c>
      <c r="C38" s="33" t="n">
        <f aca="false">'Dec 2026'!F38</f>
        <v>0</v>
      </c>
      <c r="D38" s="33" t="n">
        <f aca="false">IF(B38="",0,N(Students!E27))</f>
        <v>0</v>
      </c>
      <c r="E38" s="23"/>
      <c r="F38" s="24" t="n">
        <f aca="false">N(C38)+N(D38)-N(E38)</f>
        <v>0</v>
      </c>
      <c r="G38" s="33" t="n">
        <f aca="false">'Dec 2026'!J38</f>
        <v>0</v>
      </c>
      <c r="H38" s="33" t="n">
        <f aca="false">IF(B38="",0,N(Students!F27))</f>
        <v>0</v>
      </c>
      <c r="I38" s="23"/>
      <c r="J38" s="24" t="n">
        <f aca="false">N(G38)+N(H38)-N(I38)</f>
        <v>0</v>
      </c>
      <c r="K38" s="33" t="n">
        <f aca="false">'Dec 2026'!N38</f>
        <v>0</v>
      </c>
      <c r="L38" s="33" t="n">
        <f aca="false">IF(B38="",0,N(Students!G27))</f>
        <v>0</v>
      </c>
      <c r="M38" s="23"/>
      <c r="N38" s="24" t="n">
        <f aca="false">N(K38)+N(L38)-N(M38)</f>
        <v>0</v>
      </c>
      <c r="O38" s="33" t="n">
        <f aca="false">'Dec 2026'!R38</f>
        <v>0</v>
      </c>
      <c r="P38" s="33" t="n">
        <f aca="false">IF(B38="",0,N(Students!H27))</f>
        <v>0</v>
      </c>
      <c r="Q38" s="23"/>
      <c r="R38" s="24" t="n">
        <f aca="false">N(O38)+N(P38)-N(Q38)</f>
        <v>0</v>
      </c>
      <c r="S38" s="33" t="n">
        <f aca="false">'Dec 2026'!V38</f>
        <v>0</v>
      </c>
      <c r="T38" s="33" t="n">
        <f aca="false">IF(B38="",0,N(Students!I27))</f>
        <v>0</v>
      </c>
      <c r="U38" s="23"/>
      <c r="V38" s="24" t="n">
        <f aca="false">N(S38)+N(T38)-N(U38)</f>
        <v>0</v>
      </c>
      <c r="W38" s="33" t="n">
        <f aca="false">'Dec 2026'!Z38</f>
        <v>0</v>
      </c>
      <c r="X38" s="33" t="n">
        <f aca="false">IF(B38="",0,N(Students!J27))</f>
        <v>0</v>
      </c>
      <c r="Y38" s="23"/>
      <c r="Z38" s="24" t="n">
        <f aca="false">N(W38)+N(X38)-N(Y38)</f>
        <v>0</v>
      </c>
      <c r="AA38" s="33" t="n">
        <f aca="false">N(E38)+N(I38)+N(M38)+N(Q38)+N(U38)+N(Y38)</f>
        <v>0</v>
      </c>
      <c r="AB38" s="24" t="n">
        <f aca="false">F38+J38+N38+R38+V38+Z38</f>
        <v>0</v>
      </c>
      <c r="AC38" s="81" t="str">
        <f aca="false">IF(B38="","",IF(AB38&lt;=0,"Clear",IF(AA38&gt;0,"Partial","Due")))</f>
        <v/>
      </c>
    </row>
    <row r="39" customFormat="false" ht="15" hidden="false" customHeight="false" outlineLevel="0" collapsed="false">
      <c r="A39" s="25" t="n">
        <v>24</v>
      </c>
      <c r="B39" s="82" t="str">
        <f aca="false">IF(Students!B28="","",Students!B28)</f>
        <v/>
      </c>
      <c r="C39" s="37" t="n">
        <f aca="false">'Dec 2026'!F39</f>
        <v>0</v>
      </c>
      <c r="D39" s="37" t="n">
        <f aca="false">IF(B39="",0,N(Students!E28))</f>
        <v>0</v>
      </c>
      <c r="E39" s="23"/>
      <c r="F39" s="26" t="n">
        <f aca="false">N(C39)+N(D39)-N(E39)</f>
        <v>0</v>
      </c>
      <c r="G39" s="37" t="n">
        <f aca="false">'Dec 2026'!J39</f>
        <v>0</v>
      </c>
      <c r="H39" s="37" t="n">
        <f aca="false">IF(B39="",0,N(Students!F28))</f>
        <v>0</v>
      </c>
      <c r="I39" s="23"/>
      <c r="J39" s="26" t="n">
        <f aca="false">N(G39)+N(H39)-N(I39)</f>
        <v>0</v>
      </c>
      <c r="K39" s="37" t="n">
        <f aca="false">'Dec 2026'!N39</f>
        <v>0</v>
      </c>
      <c r="L39" s="37" t="n">
        <f aca="false">IF(B39="",0,N(Students!G28))</f>
        <v>0</v>
      </c>
      <c r="M39" s="23"/>
      <c r="N39" s="26" t="n">
        <f aca="false">N(K39)+N(L39)-N(M39)</f>
        <v>0</v>
      </c>
      <c r="O39" s="37" t="n">
        <f aca="false">'Dec 2026'!R39</f>
        <v>0</v>
      </c>
      <c r="P39" s="37" t="n">
        <f aca="false">IF(B39="",0,N(Students!H28))</f>
        <v>0</v>
      </c>
      <c r="Q39" s="23"/>
      <c r="R39" s="26" t="n">
        <f aca="false">N(O39)+N(P39)-N(Q39)</f>
        <v>0</v>
      </c>
      <c r="S39" s="37" t="n">
        <f aca="false">'Dec 2026'!V39</f>
        <v>0</v>
      </c>
      <c r="T39" s="37" t="n">
        <f aca="false">IF(B39="",0,N(Students!I28))</f>
        <v>0</v>
      </c>
      <c r="U39" s="23"/>
      <c r="V39" s="26" t="n">
        <f aca="false">N(S39)+N(T39)-N(U39)</f>
        <v>0</v>
      </c>
      <c r="W39" s="37" t="n">
        <f aca="false">'Dec 2026'!Z39</f>
        <v>0</v>
      </c>
      <c r="X39" s="37" t="n">
        <f aca="false">IF(B39="",0,N(Students!J28))</f>
        <v>0</v>
      </c>
      <c r="Y39" s="23"/>
      <c r="Z39" s="26" t="n">
        <f aca="false">N(W39)+N(X39)-N(Y39)</f>
        <v>0</v>
      </c>
      <c r="AA39" s="37" t="n">
        <f aca="false">N(E39)+N(I39)+N(M39)+N(Q39)+N(U39)+N(Y39)</f>
        <v>0</v>
      </c>
      <c r="AB39" s="26" t="n">
        <f aca="false">F39+J39+N39+R39+V39+Z39</f>
        <v>0</v>
      </c>
      <c r="AC39" s="83" t="str">
        <f aca="false">IF(B39="","",IF(AB39&lt;=0,"Clear",IF(AA39&gt;0,"Partial","Due")))</f>
        <v/>
      </c>
    </row>
    <row r="40" customFormat="false" ht="15" hidden="false" customHeight="false" outlineLevel="0" collapsed="false">
      <c r="A40" s="21" t="n">
        <v>25</v>
      </c>
      <c r="B40" s="46" t="str">
        <f aca="false">IF(Students!B29="","",Students!B29)</f>
        <v/>
      </c>
      <c r="C40" s="33" t="n">
        <f aca="false">'Dec 2026'!F40</f>
        <v>0</v>
      </c>
      <c r="D40" s="33" t="n">
        <f aca="false">IF(B40="",0,N(Students!E29))</f>
        <v>0</v>
      </c>
      <c r="E40" s="23"/>
      <c r="F40" s="24" t="n">
        <f aca="false">N(C40)+N(D40)-N(E40)</f>
        <v>0</v>
      </c>
      <c r="G40" s="33" t="n">
        <f aca="false">'Dec 2026'!J40</f>
        <v>0</v>
      </c>
      <c r="H40" s="33" t="n">
        <f aca="false">IF(B40="",0,N(Students!F29))</f>
        <v>0</v>
      </c>
      <c r="I40" s="23"/>
      <c r="J40" s="24" t="n">
        <f aca="false">N(G40)+N(H40)-N(I40)</f>
        <v>0</v>
      </c>
      <c r="K40" s="33" t="n">
        <f aca="false">'Dec 2026'!N40</f>
        <v>0</v>
      </c>
      <c r="L40" s="33" t="n">
        <f aca="false">IF(B40="",0,N(Students!G29))</f>
        <v>0</v>
      </c>
      <c r="M40" s="23"/>
      <c r="N40" s="24" t="n">
        <f aca="false">N(K40)+N(L40)-N(M40)</f>
        <v>0</v>
      </c>
      <c r="O40" s="33" t="n">
        <f aca="false">'Dec 2026'!R40</f>
        <v>0</v>
      </c>
      <c r="P40" s="33" t="n">
        <f aca="false">IF(B40="",0,N(Students!H29))</f>
        <v>0</v>
      </c>
      <c r="Q40" s="23"/>
      <c r="R40" s="24" t="n">
        <f aca="false">N(O40)+N(P40)-N(Q40)</f>
        <v>0</v>
      </c>
      <c r="S40" s="33" t="n">
        <f aca="false">'Dec 2026'!V40</f>
        <v>0</v>
      </c>
      <c r="T40" s="33" t="n">
        <f aca="false">IF(B40="",0,N(Students!I29))</f>
        <v>0</v>
      </c>
      <c r="U40" s="23"/>
      <c r="V40" s="24" t="n">
        <f aca="false">N(S40)+N(T40)-N(U40)</f>
        <v>0</v>
      </c>
      <c r="W40" s="33" t="n">
        <f aca="false">'Dec 2026'!Z40</f>
        <v>0</v>
      </c>
      <c r="X40" s="33" t="n">
        <f aca="false">IF(B40="",0,N(Students!J29))</f>
        <v>0</v>
      </c>
      <c r="Y40" s="23"/>
      <c r="Z40" s="24" t="n">
        <f aca="false">N(W40)+N(X40)-N(Y40)</f>
        <v>0</v>
      </c>
      <c r="AA40" s="33" t="n">
        <f aca="false">N(E40)+N(I40)+N(M40)+N(Q40)+N(U40)+N(Y40)</f>
        <v>0</v>
      </c>
      <c r="AB40" s="24" t="n">
        <f aca="false">F40+J40+N40+R40+V40+Z40</f>
        <v>0</v>
      </c>
      <c r="AC40" s="81" t="str">
        <f aca="false">IF(B40="","",IF(AB40&lt;=0,"Clear",IF(AA40&gt;0,"Partial","Due")))</f>
        <v/>
      </c>
    </row>
    <row r="41" customFormat="false" ht="15" hidden="false" customHeight="false" outlineLevel="0" collapsed="false">
      <c r="A41" s="25" t="n">
        <v>26</v>
      </c>
      <c r="B41" s="82" t="str">
        <f aca="false">IF(Students!B30="","",Students!B30)</f>
        <v/>
      </c>
      <c r="C41" s="37" t="n">
        <f aca="false">'Dec 2026'!F41</f>
        <v>0</v>
      </c>
      <c r="D41" s="37" t="n">
        <f aca="false">IF(B41="",0,N(Students!E30))</f>
        <v>0</v>
      </c>
      <c r="E41" s="23"/>
      <c r="F41" s="26" t="n">
        <f aca="false">N(C41)+N(D41)-N(E41)</f>
        <v>0</v>
      </c>
      <c r="G41" s="37" t="n">
        <f aca="false">'Dec 2026'!J41</f>
        <v>0</v>
      </c>
      <c r="H41" s="37" t="n">
        <f aca="false">IF(B41="",0,N(Students!F30))</f>
        <v>0</v>
      </c>
      <c r="I41" s="23"/>
      <c r="J41" s="26" t="n">
        <f aca="false">N(G41)+N(H41)-N(I41)</f>
        <v>0</v>
      </c>
      <c r="K41" s="37" t="n">
        <f aca="false">'Dec 2026'!N41</f>
        <v>0</v>
      </c>
      <c r="L41" s="37" t="n">
        <f aca="false">IF(B41="",0,N(Students!G30))</f>
        <v>0</v>
      </c>
      <c r="M41" s="23"/>
      <c r="N41" s="26" t="n">
        <f aca="false">N(K41)+N(L41)-N(M41)</f>
        <v>0</v>
      </c>
      <c r="O41" s="37" t="n">
        <f aca="false">'Dec 2026'!R41</f>
        <v>0</v>
      </c>
      <c r="P41" s="37" t="n">
        <f aca="false">IF(B41="",0,N(Students!H30))</f>
        <v>0</v>
      </c>
      <c r="Q41" s="23"/>
      <c r="R41" s="26" t="n">
        <f aca="false">N(O41)+N(P41)-N(Q41)</f>
        <v>0</v>
      </c>
      <c r="S41" s="37" t="n">
        <f aca="false">'Dec 2026'!V41</f>
        <v>0</v>
      </c>
      <c r="T41" s="37" t="n">
        <f aca="false">IF(B41="",0,N(Students!I30))</f>
        <v>0</v>
      </c>
      <c r="U41" s="23"/>
      <c r="V41" s="26" t="n">
        <f aca="false">N(S41)+N(T41)-N(U41)</f>
        <v>0</v>
      </c>
      <c r="W41" s="37" t="n">
        <f aca="false">'Dec 2026'!Z41</f>
        <v>0</v>
      </c>
      <c r="X41" s="37" t="n">
        <f aca="false">IF(B41="",0,N(Students!J30))</f>
        <v>0</v>
      </c>
      <c r="Y41" s="23"/>
      <c r="Z41" s="26" t="n">
        <f aca="false">N(W41)+N(X41)-N(Y41)</f>
        <v>0</v>
      </c>
      <c r="AA41" s="37" t="n">
        <f aca="false">N(E41)+N(I41)+N(M41)+N(Q41)+N(U41)+N(Y41)</f>
        <v>0</v>
      </c>
      <c r="AB41" s="26" t="n">
        <f aca="false">F41+J41+N41+R41+V41+Z41</f>
        <v>0</v>
      </c>
      <c r="AC41" s="83" t="str">
        <f aca="false">IF(B41="","",IF(AB41&lt;=0,"Clear",IF(AA41&gt;0,"Partial","Due")))</f>
        <v/>
      </c>
    </row>
    <row r="42" customFormat="false" ht="15" hidden="false" customHeight="false" outlineLevel="0" collapsed="false">
      <c r="A42" s="21" t="n">
        <v>27</v>
      </c>
      <c r="B42" s="46" t="str">
        <f aca="false">IF(Students!B31="","",Students!B31)</f>
        <v/>
      </c>
      <c r="C42" s="33" t="n">
        <f aca="false">'Dec 2026'!F42</f>
        <v>0</v>
      </c>
      <c r="D42" s="33" t="n">
        <f aca="false">IF(B42="",0,N(Students!E31))</f>
        <v>0</v>
      </c>
      <c r="E42" s="23"/>
      <c r="F42" s="24" t="n">
        <f aca="false">N(C42)+N(D42)-N(E42)</f>
        <v>0</v>
      </c>
      <c r="G42" s="33" t="n">
        <f aca="false">'Dec 2026'!J42</f>
        <v>0</v>
      </c>
      <c r="H42" s="33" t="n">
        <f aca="false">IF(B42="",0,N(Students!F31))</f>
        <v>0</v>
      </c>
      <c r="I42" s="23"/>
      <c r="J42" s="24" t="n">
        <f aca="false">N(G42)+N(H42)-N(I42)</f>
        <v>0</v>
      </c>
      <c r="K42" s="33" t="n">
        <f aca="false">'Dec 2026'!N42</f>
        <v>0</v>
      </c>
      <c r="L42" s="33" t="n">
        <f aca="false">IF(B42="",0,N(Students!G31))</f>
        <v>0</v>
      </c>
      <c r="M42" s="23"/>
      <c r="N42" s="24" t="n">
        <f aca="false">N(K42)+N(L42)-N(M42)</f>
        <v>0</v>
      </c>
      <c r="O42" s="33" t="n">
        <f aca="false">'Dec 2026'!R42</f>
        <v>0</v>
      </c>
      <c r="P42" s="33" t="n">
        <f aca="false">IF(B42="",0,N(Students!H31))</f>
        <v>0</v>
      </c>
      <c r="Q42" s="23"/>
      <c r="R42" s="24" t="n">
        <f aca="false">N(O42)+N(P42)-N(Q42)</f>
        <v>0</v>
      </c>
      <c r="S42" s="33" t="n">
        <f aca="false">'Dec 2026'!V42</f>
        <v>0</v>
      </c>
      <c r="T42" s="33" t="n">
        <f aca="false">IF(B42="",0,N(Students!I31))</f>
        <v>0</v>
      </c>
      <c r="U42" s="23"/>
      <c r="V42" s="24" t="n">
        <f aca="false">N(S42)+N(T42)-N(U42)</f>
        <v>0</v>
      </c>
      <c r="W42" s="33" t="n">
        <f aca="false">'Dec 2026'!Z42</f>
        <v>0</v>
      </c>
      <c r="X42" s="33" t="n">
        <f aca="false">IF(B42="",0,N(Students!J31))</f>
        <v>0</v>
      </c>
      <c r="Y42" s="23"/>
      <c r="Z42" s="24" t="n">
        <f aca="false">N(W42)+N(X42)-N(Y42)</f>
        <v>0</v>
      </c>
      <c r="AA42" s="33" t="n">
        <f aca="false">N(E42)+N(I42)+N(M42)+N(Q42)+N(U42)+N(Y42)</f>
        <v>0</v>
      </c>
      <c r="AB42" s="24" t="n">
        <f aca="false">F42+J42+N42+R42+V42+Z42</f>
        <v>0</v>
      </c>
      <c r="AC42" s="81" t="str">
        <f aca="false">IF(B42="","",IF(AB42&lt;=0,"Clear",IF(AA42&gt;0,"Partial","Due")))</f>
        <v/>
      </c>
    </row>
    <row r="43" customFormat="false" ht="15" hidden="false" customHeight="false" outlineLevel="0" collapsed="false">
      <c r="A43" s="25" t="n">
        <v>28</v>
      </c>
      <c r="B43" s="82" t="str">
        <f aca="false">IF(Students!B32="","",Students!B32)</f>
        <v/>
      </c>
      <c r="C43" s="37" t="n">
        <f aca="false">'Dec 2026'!F43</f>
        <v>0</v>
      </c>
      <c r="D43" s="37" t="n">
        <f aca="false">IF(B43="",0,N(Students!E32))</f>
        <v>0</v>
      </c>
      <c r="E43" s="23"/>
      <c r="F43" s="26" t="n">
        <f aca="false">N(C43)+N(D43)-N(E43)</f>
        <v>0</v>
      </c>
      <c r="G43" s="37" t="n">
        <f aca="false">'Dec 2026'!J43</f>
        <v>0</v>
      </c>
      <c r="H43" s="37" t="n">
        <f aca="false">IF(B43="",0,N(Students!F32))</f>
        <v>0</v>
      </c>
      <c r="I43" s="23"/>
      <c r="J43" s="26" t="n">
        <f aca="false">N(G43)+N(H43)-N(I43)</f>
        <v>0</v>
      </c>
      <c r="K43" s="37" t="n">
        <f aca="false">'Dec 2026'!N43</f>
        <v>0</v>
      </c>
      <c r="L43" s="37" t="n">
        <f aca="false">IF(B43="",0,N(Students!G32))</f>
        <v>0</v>
      </c>
      <c r="M43" s="23"/>
      <c r="N43" s="26" t="n">
        <f aca="false">N(K43)+N(L43)-N(M43)</f>
        <v>0</v>
      </c>
      <c r="O43" s="37" t="n">
        <f aca="false">'Dec 2026'!R43</f>
        <v>0</v>
      </c>
      <c r="P43" s="37" t="n">
        <f aca="false">IF(B43="",0,N(Students!H32))</f>
        <v>0</v>
      </c>
      <c r="Q43" s="23"/>
      <c r="R43" s="26" t="n">
        <f aca="false">N(O43)+N(P43)-N(Q43)</f>
        <v>0</v>
      </c>
      <c r="S43" s="37" t="n">
        <f aca="false">'Dec 2026'!V43</f>
        <v>0</v>
      </c>
      <c r="T43" s="37" t="n">
        <f aca="false">IF(B43="",0,N(Students!I32))</f>
        <v>0</v>
      </c>
      <c r="U43" s="23"/>
      <c r="V43" s="26" t="n">
        <f aca="false">N(S43)+N(T43)-N(U43)</f>
        <v>0</v>
      </c>
      <c r="W43" s="37" t="n">
        <f aca="false">'Dec 2026'!Z43</f>
        <v>0</v>
      </c>
      <c r="X43" s="37" t="n">
        <f aca="false">IF(B43="",0,N(Students!J32))</f>
        <v>0</v>
      </c>
      <c r="Y43" s="23"/>
      <c r="Z43" s="26" t="n">
        <f aca="false">N(W43)+N(X43)-N(Y43)</f>
        <v>0</v>
      </c>
      <c r="AA43" s="37" t="n">
        <f aca="false">N(E43)+N(I43)+N(M43)+N(Q43)+N(U43)+N(Y43)</f>
        <v>0</v>
      </c>
      <c r="AB43" s="26" t="n">
        <f aca="false">F43+J43+N43+R43+V43+Z43</f>
        <v>0</v>
      </c>
      <c r="AC43" s="83" t="str">
        <f aca="false">IF(B43="","",IF(AB43&lt;=0,"Clear",IF(AA43&gt;0,"Partial","Due")))</f>
        <v/>
      </c>
    </row>
    <row r="44" customFormat="false" ht="15" hidden="false" customHeight="false" outlineLevel="0" collapsed="false">
      <c r="A44" s="21" t="n">
        <v>29</v>
      </c>
      <c r="B44" s="46" t="str">
        <f aca="false">IF(Students!B33="","",Students!B33)</f>
        <v/>
      </c>
      <c r="C44" s="33" t="n">
        <f aca="false">'Dec 2026'!F44</f>
        <v>0</v>
      </c>
      <c r="D44" s="33" t="n">
        <f aca="false">IF(B44="",0,N(Students!E33))</f>
        <v>0</v>
      </c>
      <c r="E44" s="23"/>
      <c r="F44" s="24" t="n">
        <f aca="false">N(C44)+N(D44)-N(E44)</f>
        <v>0</v>
      </c>
      <c r="G44" s="33" t="n">
        <f aca="false">'Dec 2026'!J44</f>
        <v>0</v>
      </c>
      <c r="H44" s="33" t="n">
        <f aca="false">IF(B44="",0,N(Students!F33))</f>
        <v>0</v>
      </c>
      <c r="I44" s="23"/>
      <c r="J44" s="24" t="n">
        <f aca="false">N(G44)+N(H44)-N(I44)</f>
        <v>0</v>
      </c>
      <c r="K44" s="33" t="n">
        <f aca="false">'Dec 2026'!N44</f>
        <v>0</v>
      </c>
      <c r="L44" s="33" t="n">
        <f aca="false">IF(B44="",0,N(Students!G33))</f>
        <v>0</v>
      </c>
      <c r="M44" s="23"/>
      <c r="N44" s="24" t="n">
        <f aca="false">N(K44)+N(L44)-N(M44)</f>
        <v>0</v>
      </c>
      <c r="O44" s="33" t="n">
        <f aca="false">'Dec 2026'!R44</f>
        <v>0</v>
      </c>
      <c r="P44" s="33" t="n">
        <f aca="false">IF(B44="",0,N(Students!H33))</f>
        <v>0</v>
      </c>
      <c r="Q44" s="23"/>
      <c r="R44" s="24" t="n">
        <f aca="false">N(O44)+N(P44)-N(Q44)</f>
        <v>0</v>
      </c>
      <c r="S44" s="33" t="n">
        <f aca="false">'Dec 2026'!V44</f>
        <v>0</v>
      </c>
      <c r="T44" s="33" t="n">
        <f aca="false">IF(B44="",0,N(Students!I33))</f>
        <v>0</v>
      </c>
      <c r="U44" s="23"/>
      <c r="V44" s="24" t="n">
        <f aca="false">N(S44)+N(T44)-N(U44)</f>
        <v>0</v>
      </c>
      <c r="W44" s="33" t="n">
        <f aca="false">'Dec 2026'!Z44</f>
        <v>0</v>
      </c>
      <c r="X44" s="33" t="n">
        <f aca="false">IF(B44="",0,N(Students!J33))</f>
        <v>0</v>
      </c>
      <c r="Y44" s="23"/>
      <c r="Z44" s="24" t="n">
        <f aca="false">N(W44)+N(X44)-N(Y44)</f>
        <v>0</v>
      </c>
      <c r="AA44" s="33" t="n">
        <f aca="false">N(E44)+N(I44)+N(M44)+N(Q44)+N(U44)+N(Y44)</f>
        <v>0</v>
      </c>
      <c r="AB44" s="24" t="n">
        <f aca="false">F44+J44+N44+R44+V44+Z44</f>
        <v>0</v>
      </c>
      <c r="AC44" s="81" t="str">
        <f aca="false">IF(B44="","",IF(AB44&lt;=0,"Clear",IF(AA44&gt;0,"Partial","Due")))</f>
        <v/>
      </c>
    </row>
    <row r="45" customFormat="false" ht="15" hidden="false" customHeight="false" outlineLevel="0" collapsed="false">
      <c r="A45" s="25" t="n">
        <v>30</v>
      </c>
      <c r="B45" s="82" t="str">
        <f aca="false">IF(Students!B34="","",Students!B34)</f>
        <v/>
      </c>
      <c r="C45" s="37" t="n">
        <f aca="false">'Dec 2026'!F45</f>
        <v>0</v>
      </c>
      <c r="D45" s="37" t="n">
        <f aca="false">IF(B45="",0,N(Students!E34))</f>
        <v>0</v>
      </c>
      <c r="E45" s="23"/>
      <c r="F45" s="26" t="n">
        <f aca="false">N(C45)+N(D45)-N(E45)</f>
        <v>0</v>
      </c>
      <c r="G45" s="37" t="n">
        <f aca="false">'Dec 2026'!J45</f>
        <v>0</v>
      </c>
      <c r="H45" s="37" t="n">
        <f aca="false">IF(B45="",0,N(Students!F34))</f>
        <v>0</v>
      </c>
      <c r="I45" s="23"/>
      <c r="J45" s="26" t="n">
        <f aca="false">N(G45)+N(H45)-N(I45)</f>
        <v>0</v>
      </c>
      <c r="K45" s="37" t="n">
        <f aca="false">'Dec 2026'!N45</f>
        <v>0</v>
      </c>
      <c r="L45" s="37" t="n">
        <f aca="false">IF(B45="",0,N(Students!G34))</f>
        <v>0</v>
      </c>
      <c r="M45" s="23"/>
      <c r="N45" s="26" t="n">
        <f aca="false">N(K45)+N(L45)-N(M45)</f>
        <v>0</v>
      </c>
      <c r="O45" s="37" t="n">
        <f aca="false">'Dec 2026'!R45</f>
        <v>0</v>
      </c>
      <c r="P45" s="37" t="n">
        <f aca="false">IF(B45="",0,N(Students!H34))</f>
        <v>0</v>
      </c>
      <c r="Q45" s="23"/>
      <c r="R45" s="26" t="n">
        <f aca="false">N(O45)+N(P45)-N(Q45)</f>
        <v>0</v>
      </c>
      <c r="S45" s="37" t="n">
        <f aca="false">'Dec 2026'!V45</f>
        <v>0</v>
      </c>
      <c r="T45" s="37" t="n">
        <f aca="false">IF(B45="",0,N(Students!I34))</f>
        <v>0</v>
      </c>
      <c r="U45" s="23"/>
      <c r="V45" s="26" t="n">
        <f aca="false">N(S45)+N(T45)-N(U45)</f>
        <v>0</v>
      </c>
      <c r="W45" s="37" t="n">
        <f aca="false">'Dec 2026'!Z45</f>
        <v>0</v>
      </c>
      <c r="X45" s="37" t="n">
        <f aca="false">IF(B45="",0,N(Students!J34))</f>
        <v>0</v>
      </c>
      <c r="Y45" s="23"/>
      <c r="Z45" s="26" t="n">
        <f aca="false">N(W45)+N(X45)-N(Y45)</f>
        <v>0</v>
      </c>
      <c r="AA45" s="37" t="n">
        <f aca="false">N(E45)+N(I45)+N(M45)+N(Q45)+N(U45)+N(Y45)</f>
        <v>0</v>
      </c>
      <c r="AB45" s="26" t="n">
        <f aca="false">F45+J45+N45+R45+V45+Z45</f>
        <v>0</v>
      </c>
      <c r="AC45" s="83" t="str">
        <f aca="false">IF(B45="","",IF(AB45&lt;=0,"Clear",IF(AA45&gt;0,"Partial","Due")))</f>
        <v/>
      </c>
    </row>
    <row r="46" customFormat="false" ht="15" hidden="false" customHeight="false" outlineLevel="0" collapsed="false">
      <c r="A46" s="21" t="n">
        <v>31</v>
      </c>
      <c r="B46" s="46" t="str">
        <f aca="false">IF(Students!B35="","",Students!B35)</f>
        <v/>
      </c>
      <c r="C46" s="33" t="n">
        <f aca="false">'Dec 2026'!F46</f>
        <v>0</v>
      </c>
      <c r="D46" s="33" t="n">
        <f aca="false">IF(B46="",0,N(Students!E35))</f>
        <v>0</v>
      </c>
      <c r="E46" s="23"/>
      <c r="F46" s="24" t="n">
        <f aca="false">N(C46)+N(D46)-N(E46)</f>
        <v>0</v>
      </c>
      <c r="G46" s="33" t="n">
        <f aca="false">'Dec 2026'!J46</f>
        <v>0</v>
      </c>
      <c r="H46" s="33" t="n">
        <f aca="false">IF(B46="",0,N(Students!F35))</f>
        <v>0</v>
      </c>
      <c r="I46" s="23"/>
      <c r="J46" s="24" t="n">
        <f aca="false">N(G46)+N(H46)-N(I46)</f>
        <v>0</v>
      </c>
      <c r="K46" s="33" t="n">
        <f aca="false">'Dec 2026'!N46</f>
        <v>0</v>
      </c>
      <c r="L46" s="33" t="n">
        <f aca="false">IF(B46="",0,N(Students!G35))</f>
        <v>0</v>
      </c>
      <c r="M46" s="23"/>
      <c r="N46" s="24" t="n">
        <f aca="false">N(K46)+N(L46)-N(M46)</f>
        <v>0</v>
      </c>
      <c r="O46" s="33" t="n">
        <f aca="false">'Dec 2026'!R46</f>
        <v>0</v>
      </c>
      <c r="P46" s="33" t="n">
        <f aca="false">IF(B46="",0,N(Students!H35))</f>
        <v>0</v>
      </c>
      <c r="Q46" s="23"/>
      <c r="R46" s="24" t="n">
        <f aca="false">N(O46)+N(P46)-N(Q46)</f>
        <v>0</v>
      </c>
      <c r="S46" s="33" t="n">
        <f aca="false">'Dec 2026'!V46</f>
        <v>0</v>
      </c>
      <c r="T46" s="33" t="n">
        <f aca="false">IF(B46="",0,N(Students!I35))</f>
        <v>0</v>
      </c>
      <c r="U46" s="23"/>
      <c r="V46" s="24" t="n">
        <f aca="false">N(S46)+N(T46)-N(U46)</f>
        <v>0</v>
      </c>
      <c r="W46" s="33" t="n">
        <f aca="false">'Dec 2026'!Z46</f>
        <v>0</v>
      </c>
      <c r="X46" s="33" t="n">
        <f aca="false">IF(B46="",0,N(Students!J35))</f>
        <v>0</v>
      </c>
      <c r="Y46" s="23"/>
      <c r="Z46" s="24" t="n">
        <f aca="false">N(W46)+N(X46)-N(Y46)</f>
        <v>0</v>
      </c>
      <c r="AA46" s="33" t="n">
        <f aca="false">N(E46)+N(I46)+N(M46)+N(Q46)+N(U46)+N(Y46)</f>
        <v>0</v>
      </c>
      <c r="AB46" s="24" t="n">
        <f aca="false">F46+J46+N46+R46+V46+Z46</f>
        <v>0</v>
      </c>
      <c r="AC46" s="81" t="str">
        <f aca="false">IF(B46="","",IF(AB46&lt;=0,"Clear",IF(AA46&gt;0,"Partial","Due")))</f>
        <v/>
      </c>
    </row>
    <row r="47" customFormat="false" ht="15" hidden="false" customHeight="false" outlineLevel="0" collapsed="false">
      <c r="A47" s="25" t="n">
        <v>32</v>
      </c>
      <c r="B47" s="82" t="str">
        <f aca="false">IF(Students!B36="","",Students!B36)</f>
        <v/>
      </c>
      <c r="C47" s="37" t="n">
        <f aca="false">'Dec 2026'!F47</f>
        <v>0</v>
      </c>
      <c r="D47" s="37" t="n">
        <f aca="false">IF(B47="",0,N(Students!E36))</f>
        <v>0</v>
      </c>
      <c r="E47" s="23"/>
      <c r="F47" s="26" t="n">
        <f aca="false">N(C47)+N(D47)-N(E47)</f>
        <v>0</v>
      </c>
      <c r="G47" s="37" t="n">
        <f aca="false">'Dec 2026'!J47</f>
        <v>0</v>
      </c>
      <c r="H47" s="37" t="n">
        <f aca="false">IF(B47="",0,N(Students!F36))</f>
        <v>0</v>
      </c>
      <c r="I47" s="23"/>
      <c r="J47" s="26" t="n">
        <f aca="false">N(G47)+N(H47)-N(I47)</f>
        <v>0</v>
      </c>
      <c r="K47" s="37" t="n">
        <f aca="false">'Dec 2026'!N47</f>
        <v>0</v>
      </c>
      <c r="L47" s="37" t="n">
        <f aca="false">IF(B47="",0,N(Students!G36))</f>
        <v>0</v>
      </c>
      <c r="M47" s="23"/>
      <c r="N47" s="26" t="n">
        <f aca="false">N(K47)+N(L47)-N(M47)</f>
        <v>0</v>
      </c>
      <c r="O47" s="37" t="n">
        <f aca="false">'Dec 2026'!R47</f>
        <v>0</v>
      </c>
      <c r="P47" s="37" t="n">
        <f aca="false">IF(B47="",0,N(Students!H36))</f>
        <v>0</v>
      </c>
      <c r="Q47" s="23"/>
      <c r="R47" s="26" t="n">
        <f aca="false">N(O47)+N(P47)-N(Q47)</f>
        <v>0</v>
      </c>
      <c r="S47" s="37" t="n">
        <f aca="false">'Dec 2026'!V47</f>
        <v>0</v>
      </c>
      <c r="T47" s="37" t="n">
        <f aca="false">IF(B47="",0,N(Students!I36))</f>
        <v>0</v>
      </c>
      <c r="U47" s="23"/>
      <c r="V47" s="26" t="n">
        <f aca="false">N(S47)+N(T47)-N(U47)</f>
        <v>0</v>
      </c>
      <c r="W47" s="37" t="n">
        <f aca="false">'Dec 2026'!Z47</f>
        <v>0</v>
      </c>
      <c r="X47" s="37" t="n">
        <f aca="false">IF(B47="",0,N(Students!J36))</f>
        <v>0</v>
      </c>
      <c r="Y47" s="23"/>
      <c r="Z47" s="26" t="n">
        <f aca="false">N(W47)+N(X47)-N(Y47)</f>
        <v>0</v>
      </c>
      <c r="AA47" s="37" t="n">
        <f aca="false">N(E47)+N(I47)+N(M47)+N(Q47)+N(U47)+N(Y47)</f>
        <v>0</v>
      </c>
      <c r="AB47" s="26" t="n">
        <f aca="false">F47+J47+N47+R47+V47+Z47</f>
        <v>0</v>
      </c>
      <c r="AC47" s="83" t="str">
        <f aca="false">IF(B47="","",IF(AB47&lt;=0,"Clear",IF(AA47&gt;0,"Partial","Due")))</f>
        <v/>
      </c>
    </row>
    <row r="48" customFormat="false" ht="15" hidden="false" customHeight="false" outlineLevel="0" collapsed="false">
      <c r="A48" s="21" t="n">
        <v>33</v>
      </c>
      <c r="B48" s="46" t="str">
        <f aca="false">IF(Students!B37="","",Students!B37)</f>
        <v/>
      </c>
      <c r="C48" s="33" t="n">
        <f aca="false">'Dec 2026'!F48</f>
        <v>0</v>
      </c>
      <c r="D48" s="33" t="n">
        <f aca="false">IF(B48="",0,N(Students!E37))</f>
        <v>0</v>
      </c>
      <c r="E48" s="23"/>
      <c r="F48" s="24" t="n">
        <f aca="false">N(C48)+N(D48)-N(E48)</f>
        <v>0</v>
      </c>
      <c r="G48" s="33" t="n">
        <f aca="false">'Dec 2026'!J48</f>
        <v>0</v>
      </c>
      <c r="H48" s="33" t="n">
        <f aca="false">IF(B48="",0,N(Students!F37))</f>
        <v>0</v>
      </c>
      <c r="I48" s="23"/>
      <c r="J48" s="24" t="n">
        <f aca="false">N(G48)+N(H48)-N(I48)</f>
        <v>0</v>
      </c>
      <c r="K48" s="33" t="n">
        <f aca="false">'Dec 2026'!N48</f>
        <v>0</v>
      </c>
      <c r="L48" s="33" t="n">
        <f aca="false">IF(B48="",0,N(Students!G37))</f>
        <v>0</v>
      </c>
      <c r="M48" s="23"/>
      <c r="N48" s="24" t="n">
        <f aca="false">N(K48)+N(L48)-N(M48)</f>
        <v>0</v>
      </c>
      <c r="O48" s="33" t="n">
        <f aca="false">'Dec 2026'!R48</f>
        <v>0</v>
      </c>
      <c r="P48" s="33" t="n">
        <f aca="false">IF(B48="",0,N(Students!H37))</f>
        <v>0</v>
      </c>
      <c r="Q48" s="23"/>
      <c r="R48" s="24" t="n">
        <f aca="false">N(O48)+N(P48)-N(Q48)</f>
        <v>0</v>
      </c>
      <c r="S48" s="33" t="n">
        <f aca="false">'Dec 2026'!V48</f>
        <v>0</v>
      </c>
      <c r="T48" s="33" t="n">
        <f aca="false">IF(B48="",0,N(Students!I37))</f>
        <v>0</v>
      </c>
      <c r="U48" s="23"/>
      <c r="V48" s="24" t="n">
        <f aca="false">N(S48)+N(T48)-N(U48)</f>
        <v>0</v>
      </c>
      <c r="W48" s="33" t="n">
        <f aca="false">'Dec 2026'!Z48</f>
        <v>0</v>
      </c>
      <c r="X48" s="33" t="n">
        <f aca="false">IF(B48="",0,N(Students!J37))</f>
        <v>0</v>
      </c>
      <c r="Y48" s="23"/>
      <c r="Z48" s="24" t="n">
        <f aca="false">N(W48)+N(X48)-N(Y48)</f>
        <v>0</v>
      </c>
      <c r="AA48" s="33" t="n">
        <f aca="false">N(E48)+N(I48)+N(M48)+N(Q48)+N(U48)+N(Y48)</f>
        <v>0</v>
      </c>
      <c r="AB48" s="24" t="n">
        <f aca="false">F48+J48+N48+R48+V48+Z48</f>
        <v>0</v>
      </c>
      <c r="AC48" s="81" t="str">
        <f aca="false">IF(B48="","",IF(AB48&lt;=0,"Clear",IF(AA48&gt;0,"Partial","Due")))</f>
        <v/>
      </c>
    </row>
    <row r="49" customFormat="false" ht="15" hidden="false" customHeight="false" outlineLevel="0" collapsed="false">
      <c r="A49" s="25" t="n">
        <v>34</v>
      </c>
      <c r="B49" s="82" t="str">
        <f aca="false">IF(Students!B38="","",Students!B38)</f>
        <v/>
      </c>
      <c r="C49" s="37" t="n">
        <f aca="false">'Dec 2026'!F49</f>
        <v>0</v>
      </c>
      <c r="D49" s="37" t="n">
        <f aca="false">IF(B49="",0,N(Students!E38))</f>
        <v>0</v>
      </c>
      <c r="E49" s="23"/>
      <c r="F49" s="26" t="n">
        <f aca="false">N(C49)+N(D49)-N(E49)</f>
        <v>0</v>
      </c>
      <c r="G49" s="37" t="n">
        <f aca="false">'Dec 2026'!J49</f>
        <v>0</v>
      </c>
      <c r="H49" s="37" t="n">
        <f aca="false">IF(B49="",0,N(Students!F38))</f>
        <v>0</v>
      </c>
      <c r="I49" s="23"/>
      <c r="J49" s="26" t="n">
        <f aca="false">N(G49)+N(H49)-N(I49)</f>
        <v>0</v>
      </c>
      <c r="K49" s="37" t="n">
        <f aca="false">'Dec 2026'!N49</f>
        <v>0</v>
      </c>
      <c r="L49" s="37" t="n">
        <f aca="false">IF(B49="",0,N(Students!G38))</f>
        <v>0</v>
      </c>
      <c r="M49" s="23"/>
      <c r="N49" s="26" t="n">
        <f aca="false">N(K49)+N(L49)-N(M49)</f>
        <v>0</v>
      </c>
      <c r="O49" s="37" t="n">
        <f aca="false">'Dec 2026'!R49</f>
        <v>0</v>
      </c>
      <c r="P49" s="37" t="n">
        <f aca="false">IF(B49="",0,N(Students!H38))</f>
        <v>0</v>
      </c>
      <c r="Q49" s="23"/>
      <c r="R49" s="26" t="n">
        <f aca="false">N(O49)+N(P49)-N(Q49)</f>
        <v>0</v>
      </c>
      <c r="S49" s="37" t="n">
        <f aca="false">'Dec 2026'!V49</f>
        <v>0</v>
      </c>
      <c r="T49" s="37" t="n">
        <f aca="false">IF(B49="",0,N(Students!I38))</f>
        <v>0</v>
      </c>
      <c r="U49" s="23"/>
      <c r="V49" s="26" t="n">
        <f aca="false">N(S49)+N(T49)-N(U49)</f>
        <v>0</v>
      </c>
      <c r="W49" s="37" t="n">
        <f aca="false">'Dec 2026'!Z49</f>
        <v>0</v>
      </c>
      <c r="X49" s="37" t="n">
        <f aca="false">IF(B49="",0,N(Students!J38))</f>
        <v>0</v>
      </c>
      <c r="Y49" s="23"/>
      <c r="Z49" s="26" t="n">
        <f aca="false">N(W49)+N(X49)-N(Y49)</f>
        <v>0</v>
      </c>
      <c r="AA49" s="37" t="n">
        <f aca="false">N(E49)+N(I49)+N(M49)+N(Q49)+N(U49)+N(Y49)</f>
        <v>0</v>
      </c>
      <c r="AB49" s="26" t="n">
        <f aca="false">F49+J49+N49+R49+V49+Z49</f>
        <v>0</v>
      </c>
      <c r="AC49" s="83" t="str">
        <f aca="false">IF(B49="","",IF(AB49&lt;=0,"Clear",IF(AA49&gt;0,"Partial","Due")))</f>
        <v/>
      </c>
    </row>
    <row r="50" customFormat="false" ht="15" hidden="false" customHeight="false" outlineLevel="0" collapsed="false">
      <c r="A50" s="21" t="n">
        <v>35</v>
      </c>
      <c r="B50" s="46" t="str">
        <f aca="false">IF(Students!B39="","",Students!B39)</f>
        <v/>
      </c>
      <c r="C50" s="33" t="n">
        <f aca="false">'Dec 2026'!F50</f>
        <v>0</v>
      </c>
      <c r="D50" s="33" t="n">
        <f aca="false">IF(B50="",0,N(Students!E39))</f>
        <v>0</v>
      </c>
      <c r="E50" s="23"/>
      <c r="F50" s="24" t="n">
        <f aca="false">N(C50)+N(D50)-N(E50)</f>
        <v>0</v>
      </c>
      <c r="G50" s="33" t="n">
        <f aca="false">'Dec 2026'!J50</f>
        <v>0</v>
      </c>
      <c r="H50" s="33" t="n">
        <f aca="false">IF(B50="",0,N(Students!F39))</f>
        <v>0</v>
      </c>
      <c r="I50" s="23"/>
      <c r="J50" s="24" t="n">
        <f aca="false">N(G50)+N(H50)-N(I50)</f>
        <v>0</v>
      </c>
      <c r="K50" s="33" t="n">
        <f aca="false">'Dec 2026'!N50</f>
        <v>0</v>
      </c>
      <c r="L50" s="33" t="n">
        <f aca="false">IF(B50="",0,N(Students!G39))</f>
        <v>0</v>
      </c>
      <c r="M50" s="23"/>
      <c r="N50" s="24" t="n">
        <f aca="false">N(K50)+N(L50)-N(M50)</f>
        <v>0</v>
      </c>
      <c r="O50" s="33" t="n">
        <f aca="false">'Dec 2026'!R50</f>
        <v>0</v>
      </c>
      <c r="P50" s="33" t="n">
        <f aca="false">IF(B50="",0,N(Students!H39))</f>
        <v>0</v>
      </c>
      <c r="Q50" s="23"/>
      <c r="R50" s="24" t="n">
        <f aca="false">N(O50)+N(P50)-N(Q50)</f>
        <v>0</v>
      </c>
      <c r="S50" s="33" t="n">
        <f aca="false">'Dec 2026'!V50</f>
        <v>0</v>
      </c>
      <c r="T50" s="33" t="n">
        <f aca="false">IF(B50="",0,N(Students!I39))</f>
        <v>0</v>
      </c>
      <c r="U50" s="23"/>
      <c r="V50" s="24" t="n">
        <f aca="false">N(S50)+N(T50)-N(U50)</f>
        <v>0</v>
      </c>
      <c r="W50" s="33" t="n">
        <f aca="false">'Dec 2026'!Z50</f>
        <v>0</v>
      </c>
      <c r="X50" s="33" t="n">
        <f aca="false">IF(B50="",0,N(Students!J39))</f>
        <v>0</v>
      </c>
      <c r="Y50" s="23"/>
      <c r="Z50" s="24" t="n">
        <f aca="false">N(W50)+N(X50)-N(Y50)</f>
        <v>0</v>
      </c>
      <c r="AA50" s="33" t="n">
        <f aca="false">N(E50)+N(I50)+N(M50)+N(Q50)+N(U50)+N(Y50)</f>
        <v>0</v>
      </c>
      <c r="AB50" s="24" t="n">
        <f aca="false">F50+J50+N50+R50+V50+Z50</f>
        <v>0</v>
      </c>
      <c r="AC50" s="81" t="str">
        <f aca="false">IF(B50="","",IF(AB50&lt;=0,"Clear",IF(AA50&gt;0,"Partial","Due")))</f>
        <v/>
      </c>
    </row>
    <row r="51" customFormat="false" ht="15" hidden="false" customHeight="false" outlineLevel="0" collapsed="false">
      <c r="A51" s="25" t="n">
        <v>36</v>
      </c>
      <c r="B51" s="82" t="str">
        <f aca="false">IF(Students!B40="","",Students!B40)</f>
        <v/>
      </c>
      <c r="C51" s="37" t="n">
        <f aca="false">'Dec 2026'!F51</f>
        <v>0</v>
      </c>
      <c r="D51" s="37" t="n">
        <f aca="false">IF(B51="",0,N(Students!E40))</f>
        <v>0</v>
      </c>
      <c r="E51" s="23"/>
      <c r="F51" s="26" t="n">
        <f aca="false">N(C51)+N(D51)-N(E51)</f>
        <v>0</v>
      </c>
      <c r="G51" s="37" t="n">
        <f aca="false">'Dec 2026'!J51</f>
        <v>0</v>
      </c>
      <c r="H51" s="37" t="n">
        <f aca="false">IF(B51="",0,N(Students!F40))</f>
        <v>0</v>
      </c>
      <c r="I51" s="23"/>
      <c r="J51" s="26" t="n">
        <f aca="false">N(G51)+N(H51)-N(I51)</f>
        <v>0</v>
      </c>
      <c r="K51" s="37" t="n">
        <f aca="false">'Dec 2026'!N51</f>
        <v>0</v>
      </c>
      <c r="L51" s="37" t="n">
        <f aca="false">IF(B51="",0,N(Students!G40))</f>
        <v>0</v>
      </c>
      <c r="M51" s="23"/>
      <c r="N51" s="26" t="n">
        <f aca="false">N(K51)+N(L51)-N(M51)</f>
        <v>0</v>
      </c>
      <c r="O51" s="37" t="n">
        <f aca="false">'Dec 2026'!R51</f>
        <v>0</v>
      </c>
      <c r="P51" s="37" t="n">
        <f aca="false">IF(B51="",0,N(Students!H40))</f>
        <v>0</v>
      </c>
      <c r="Q51" s="23"/>
      <c r="R51" s="26" t="n">
        <f aca="false">N(O51)+N(P51)-N(Q51)</f>
        <v>0</v>
      </c>
      <c r="S51" s="37" t="n">
        <f aca="false">'Dec 2026'!V51</f>
        <v>0</v>
      </c>
      <c r="T51" s="37" t="n">
        <f aca="false">IF(B51="",0,N(Students!I40))</f>
        <v>0</v>
      </c>
      <c r="U51" s="23"/>
      <c r="V51" s="26" t="n">
        <f aca="false">N(S51)+N(T51)-N(U51)</f>
        <v>0</v>
      </c>
      <c r="W51" s="37" t="n">
        <f aca="false">'Dec 2026'!Z51</f>
        <v>0</v>
      </c>
      <c r="X51" s="37" t="n">
        <f aca="false">IF(B51="",0,N(Students!J40))</f>
        <v>0</v>
      </c>
      <c r="Y51" s="23"/>
      <c r="Z51" s="26" t="n">
        <f aca="false">N(W51)+N(X51)-N(Y51)</f>
        <v>0</v>
      </c>
      <c r="AA51" s="37" t="n">
        <f aca="false">N(E51)+N(I51)+N(M51)+N(Q51)+N(U51)+N(Y51)</f>
        <v>0</v>
      </c>
      <c r="AB51" s="26" t="n">
        <f aca="false">F51+J51+N51+R51+V51+Z51</f>
        <v>0</v>
      </c>
      <c r="AC51" s="83" t="str">
        <f aca="false">IF(B51="","",IF(AB51&lt;=0,"Clear",IF(AA51&gt;0,"Partial","Due")))</f>
        <v/>
      </c>
    </row>
    <row r="52" customFormat="false" ht="15" hidden="false" customHeight="false" outlineLevel="0" collapsed="false">
      <c r="A52" s="21" t="n">
        <v>37</v>
      </c>
      <c r="B52" s="46" t="str">
        <f aca="false">IF(Students!B41="","",Students!B41)</f>
        <v/>
      </c>
      <c r="C52" s="33" t="n">
        <f aca="false">'Dec 2026'!F52</f>
        <v>0</v>
      </c>
      <c r="D52" s="33" t="n">
        <f aca="false">IF(B52="",0,N(Students!E41))</f>
        <v>0</v>
      </c>
      <c r="E52" s="23"/>
      <c r="F52" s="24" t="n">
        <f aca="false">N(C52)+N(D52)-N(E52)</f>
        <v>0</v>
      </c>
      <c r="G52" s="33" t="n">
        <f aca="false">'Dec 2026'!J52</f>
        <v>0</v>
      </c>
      <c r="H52" s="33" t="n">
        <f aca="false">IF(B52="",0,N(Students!F41))</f>
        <v>0</v>
      </c>
      <c r="I52" s="23"/>
      <c r="J52" s="24" t="n">
        <f aca="false">N(G52)+N(H52)-N(I52)</f>
        <v>0</v>
      </c>
      <c r="K52" s="33" t="n">
        <f aca="false">'Dec 2026'!N52</f>
        <v>0</v>
      </c>
      <c r="L52" s="33" t="n">
        <f aca="false">IF(B52="",0,N(Students!G41))</f>
        <v>0</v>
      </c>
      <c r="M52" s="23"/>
      <c r="N52" s="24" t="n">
        <f aca="false">N(K52)+N(L52)-N(M52)</f>
        <v>0</v>
      </c>
      <c r="O52" s="33" t="n">
        <f aca="false">'Dec 2026'!R52</f>
        <v>0</v>
      </c>
      <c r="P52" s="33" t="n">
        <f aca="false">IF(B52="",0,N(Students!H41))</f>
        <v>0</v>
      </c>
      <c r="Q52" s="23"/>
      <c r="R52" s="24" t="n">
        <f aca="false">N(O52)+N(P52)-N(Q52)</f>
        <v>0</v>
      </c>
      <c r="S52" s="33" t="n">
        <f aca="false">'Dec 2026'!V52</f>
        <v>0</v>
      </c>
      <c r="T52" s="33" t="n">
        <f aca="false">IF(B52="",0,N(Students!I41))</f>
        <v>0</v>
      </c>
      <c r="U52" s="23"/>
      <c r="V52" s="24" t="n">
        <f aca="false">N(S52)+N(T52)-N(U52)</f>
        <v>0</v>
      </c>
      <c r="W52" s="33" t="n">
        <f aca="false">'Dec 2026'!Z52</f>
        <v>0</v>
      </c>
      <c r="X52" s="33" t="n">
        <f aca="false">IF(B52="",0,N(Students!J41))</f>
        <v>0</v>
      </c>
      <c r="Y52" s="23"/>
      <c r="Z52" s="24" t="n">
        <f aca="false">N(W52)+N(X52)-N(Y52)</f>
        <v>0</v>
      </c>
      <c r="AA52" s="33" t="n">
        <f aca="false">N(E52)+N(I52)+N(M52)+N(Q52)+N(U52)+N(Y52)</f>
        <v>0</v>
      </c>
      <c r="AB52" s="24" t="n">
        <f aca="false">F52+J52+N52+R52+V52+Z52</f>
        <v>0</v>
      </c>
      <c r="AC52" s="81" t="str">
        <f aca="false">IF(B52="","",IF(AB52&lt;=0,"Clear",IF(AA52&gt;0,"Partial","Due")))</f>
        <v/>
      </c>
    </row>
    <row r="53" customFormat="false" ht="15" hidden="false" customHeight="false" outlineLevel="0" collapsed="false">
      <c r="A53" s="25" t="n">
        <v>38</v>
      </c>
      <c r="B53" s="82" t="str">
        <f aca="false">IF(Students!B42="","",Students!B42)</f>
        <v/>
      </c>
      <c r="C53" s="37" t="n">
        <f aca="false">'Dec 2026'!F53</f>
        <v>0</v>
      </c>
      <c r="D53" s="37" t="n">
        <f aca="false">IF(B53="",0,N(Students!E42))</f>
        <v>0</v>
      </c>
      <c r="E53" s="23"/>
      <c r="F53" s="26" t="n">
        <f aca="false">N(C53)+N(D53)-N(E53)</f>
        <v>0</v>
      </c>
      <c r="G53" s="37" t="n">
        <f aca="false">'Dec 2026'!J53</f>
        <v>0</v>
      </c>
      <c r="H53" s="37" t="n">
        <f aca="false">IF(B53="",0,N(Students!F42))</f>
        <v>0</v>
      </c>
      <c r="I53" s="23"/>
      <c r="J53" s="26" t="n">
        <f aca="false">N(G53)+N(H53)-N(I53)</f>
        <v>0</v>
      </c>
      <c r="K53" s="37" t="n">
        <f aca="false">'Dec 2026'!N53</f>
        <v>0</v>
      </c>
      <c r="L53" s="37" t="n">
        <f aca="false">IF(B53="",0,N(Students!G42))</f>
        <v>0</v>
      </c>
      <c r="M53" s="23"/>
      <c r="N53" s="26" t="n">
        <f aca="false">N(K53)+N(L53)-N(M53)</f>
        <v>0</v>
      </c>
      <c r="O53" s="37" t="n">
        <f aca="false">'Dec 2026'!R53</f>
        <v>0</v>
      </c>
      <c r="P53" s="37" t="n">
        <f aca="false">IF(B53="",0,N(Students!H42))</f>
        <v>0</v>
      </c>
      <c r="Q53" s="23"/>
      <c r="R53" s="26" t="n">
        <f aca="false">N(O53)+N(P53)-N(Q53)</f>
        <v>0</v>
      </c>
      <c r="S53" s="37" t="n">
        <f aca="false">'Dec 2026'!V53</f>
        <v>0</v>
      </c>
      <c r="T53" s="37" t="n">
        <f aca="false">IF(B53="",0,N(Students!I42))</f>
        <v>0</v>
      </c>
      <c r="U53" s="23"/>
      <c r="V53" s="26" t="n">
        <f aca="false">N(S53)+N(T53)-N(U53)</f>
        <v>0</v>
      </c>
      <c r="W53" s="37" t="n">
        <f aca="false">'Dec 2026'!Z53</f>
        <v>0</v>
      </c>
      <c r="X53" s="37" t="n">
        <f aca="false">IF(B53="",0,N(Students!J42))</f>
        <v>0</v>
      </c>
      <c r="Y53" s="23"/>
      <c r="Z53" s="26" t="n">
        <f aca="false">N(W53)+N(X53)-N(Y53)</f>
        <v>0</v>
      </c>
      <c r="AA53" s="37" t="n">
        <f aca="false">N(E53)+N(I53)+N(M53)+N(Q53)+N(U53)+N(Y53)</f>
        <v>0</v>
      </c>
      <c r="AB53" s="26" t="n">
        <f aca="false">F53+J53+N53+R53+V53+Z53</f>
        <v>0</v>
      </c>
      <c r="AC53" s="83" t="str">
        <f aca="false">IF(B53="","",IF(AB53&lt;=0,"Clear",IF(AA53&gt;0,"Partial","Due")))</f>
        <v/>
      </c>
    </row>
    <row r="54" customFormat="false" ht="15" hidden="false" customHeight="false" outlineLevel="0" collapsed="false">
      <c r="A54" s="21" t="n">
        <v>39</v>
      </c>
      <c r="B54" s="46" t="str">
        <f aca="false">IF(Students!B43="","",Students!B43)</f>
        <v/>
      </c>
      <c r="C54" s="33" t="n">
        <f aca="false">'Dec 2026'!F54</f>
        <v>0</v>
      </c>
      <c r="D54" s="33" t="n">
        <f aca="false">IF(B54="",0,N(Students!E43))</f>
        <v>0</v>
      </c>
      <c r="E54" s="23"/>
      <c r="F54" s="24" t="n">
        <f aca="false">N(C54)+N(D54)-N(E54)</f>
        <v>0</v>
      </c>
      <c r="G54" s="33" t="n">
        <f aca="false">'Dec 2026'!J54</f>
        <v>0</v>
      </c>
      <c r="H54" s="33" t="n">
        <f aca="false">IF(B54="",0,N(Students!F43))</f>
        <v>0</v>
      </c>
      <c r="I54" s="23"/>
      <c r="J54" s="24" t="n">
        <f aca="false">N(G54)+N(H54)-N(I54)</f>
        <v>0</v>
      </c>
      <c r="K54" s="33" t="n">
        <f aca="false">'Dec 2026'!N54</f>
        <v>0</v>
      </c>
      <c r="L54" s="33" t="n">
        <f aca="false">IF(B54="",0,N(Students!G43))</f>
        <v>0</v>
      </c>
      <c r="M54" s="23"/>
      <c r="N54" s="24" t="n">
        <f aca="false">N(K54)+N(L54)-N(M54)</f>
        <v>0</v>
      </c>
      <c r="O54" s="33" t="n">
        <f aca="false">'Dec 2026'!R54</f>
        <v>0</v>
      </c>
      <c r="P54" s="33" t="n">
        <f aca="false">IF(B54="",0,N(Students!H43))</f>
        <v>0</v>
      </c>
      <c r="Q54" s="23"/>
      <c r="R54" s="24" t="n">
        <f aca="false">N(O54)+N(P54)-N(Q54)</f>
        <v>0</v>
      </c>
      <c r="S54" s="33" t="n">
        <f aca="false">'Dec 2026'!V54</f>
        <v>0</v>
      </c>
      <c r="T54" s="33" t="n">
        <f aca="false">IF(B54="",0,N(Students!I43))</f>
        <v>0</v>
      </c>
      <c r="U54" s="23"/>
      <c r="V54" s="24" t="n">
        <f aca="false">N(S54)+N(T54)-N(U54)</f>
        <v>0</v>
      </c>
      <c r="W54" s="33" t="n">
        <f aca="false">'Dec 2026'!Z54</f>
        <v>0</v>
      </c>
      <c r="X54" s="33" t="n">
        <f aca="false">IF(B54="",0,N(Students!J43))</f>
        <v>0</v>
      </c>
      <c r="Y54" s="23"/>
      <c r="Z54" s="24" t="n">
        <f aca="false">N(W54)+N(X54)-N(Y54)</f>
        <v>0</v>
      </c>
      <c r="AA54" s="33" t="n">
        <f aca="false">N(E54)+N(I54)+N(M54)+N(Q54)+N(U54)+N(Y54)</f>
        <v>0</v>
      </c>
      <c r="AB54" s="24" t="n">
        <f aca="false">F54+J54+N54+R54+V54+Z54</f>
        <v>0</v>
      </c>
      <c r="AC54" s="81" t="str">
        <f aca="false">IF(B54="","",IF(AB54&lt;=0,"Clear",IF(AA54&gt;0,"Partial","Due")))</f>
        <v/>
      </c>
    </row>
    <row r="55" customFormat="false" ht="15" hidden="false" customHeight="false" outlineLevel="0" collapsed="false">
      <c r="A55" s="25" t="n">
        <v>40</v>
      </c>
      <c r="B55" s="82" t="str">
        <f aca="false">IF(Students!B44="","",Students!B44)</f>
        <v/>
      </c>
      <c r="C55" s="37" t="n">
        <f aca="false">'Dec 2026'!F55</f>
        <v>0</v>
      </c>
      <c r="D55" s="37" t="n">
        <f aca="false">IF(B55="",0,N(Students!E44))</f>
        <v>0</v>
      </c>
      <c r="E55" s="23"/>
      <c r="F55" s="26" t="n">
        <f aca="false">N(C55)+N(D55)-N(E55)</f>
        <v>0</v>
      </c>
      <c r="G55" s="37" t="n">
        <f aca="false">'Dec 2026'!J55</f>
        <v>0</v>
      </c>
      <c r="H55" s="37" t="n">
        <f aca="false">IF(B55="",0,N(Students!F44))</f>
        <v>0</v>
      </c>
      <c r="I55" s="23"/>
      <c r="J55" s="26" t="n">
        <f aca="false">N(G55)+N(H55)-N(I55)</f>
        <v>0</v>
      </c>
      <c r="K55" s="37" t="n">
        <f aca="false">'Dec 2026'!N55</f>
        <v>0</v>
      </c>
      <c r="L55" s="37" t="n">
        <f aca="false">IF(B55="",0,N(Students!G44))</f>
        <v>0</v>
      </c>
      <c r="M55" s="23"/>
      <c r="N55" s="26" t="n">
        <f aca="false">N(K55)+N(L55)-N(M55)</f>
        <v>0</v>
      </c>
      <c r="O55" s="37" t="n">
        <f aca="false">'Dec 2026'!R55</f>
        <v>0</v>
      </c>
      <c r="P55" s="37" t="n">
        <f aca="false">IF(B55="",0,N(Students!H44))</f>
        <v>0</v>
      </c>
      <c r="Q55" s="23"/>
      <c r="R55" s="26" t="n">
        <f aca="false">N(O55)+N(P55)-N(Q55)</f>
        <v>0</v>
      </c>
      <c r="S55" s="37" t="n">
        <f aca="false">'Dec 2026'!V55</f>
        <v>0</v>
      </c>
      <c r="T55" s="37" t="n">
        <f aca="false">IF(B55="",0,N(Students!I44))</f>
        <v>0</v>
      </c>
      <c r="U55" s="23"/>
      <c r="V55" s="26" t="n">
        <f aca="false">N(S55)+N(T55)-N(U55)</f>
        <v>0</v>
      </c>
      <c r="W55" s="37" t="n">
        <f aca="false">'Dec 2026'!Z55</f>
        <v>0</v>
      </c>
      <c r="X55" s="37" t="n">
        <f aca="false">IF(B55="",0,N(Students!J44))</f>
        <v>0</v>
      </c>
      <c r="Y55" s="23"/>
      <c r="Z55" s="26" t="n">
        <f aca="false">N(W55)+N(X55)-N(Y55)</f>
        <v>0</v>
      </c>
      <c r="AA55" s="37" t="n">
        <f aca="false">N(E55)+N(I55)+N(M55)+N(Q55)+N(U55)+N(Y55)</f>
        <v>0</v>
      </c>
      <c r="AB55" s="26" t="n">
        <f aca="false">F55+J55+N55+R55+V55+Z55</f>
        <v>0</v>
      </c>
      <c r="AC55" s="83" t="str">
        <f aca="false">IF(B55="","",IF(AB55&lt;=0,"Clear",IF(AA55&gt;0,"Partial","Due")))</f>
        <v/>
      </c>
    </row>
    <row r="56" customFormat="false" ht="15" hidden="false" customHeight="false" outlineLevel="0" collapsed="false">
      <c r="A56" s="21" t="n">
        <v>41</v>
      </c>
      <c r="B56" s="46" t="str">
        <f aca="false">IF(Students!B45="","",Students!B45)</f>
        <v/>
      </c>
      <c r="C56" s="33" t="n">
        <f aca="false">'Dec 2026'!F56</f>
        <v>0</v>
      </c>
      <c r="D56" s="33" t="n">
        <f aca="false">IF(B56="",0,N(Students!E45))</f>
        <v>0</v>
      </c>
      <c r="E56" s="23"/>
      <c r="F56" s="24" t="n">
        <f aca="false">N(C56)+N(D56)-N(E56)</f>
        <v>0</v>
      </c>
      <c r="G56" s="33" t="n">
        <f aca="false">'Dec 2026'!J56</f>
        <v>0</v>
      </c>
      <c r="H56" s="33" t="n">
        <f aca="false">IF(B56="",0,N(Students!F45))</f>
        <v>0</v>
      </c>
      <c r="I56" s="23"/>
      <c r="J56" s="24" t="n">
        <f aca="false">N(G56)+N(H56)-N(I56)</f>
        <v>0</v>
      </c>
      <c r="K56" s="33" t="n">
        <f aca="false">'Dec 2026'!N56</f>
        <v>0</v>
      </c>
      <c r="L56" s="33" t="n">
        <f aca="false">IF(B56="",0,N(Students!G45))</f>
        <v>0</v>
      </c>
      <c r="M56" s="23"/>
      <c r="N56" s="24" t="n">
        <f aca="false">N(K56)+N(L56)-N(M56)</f>
        <v>0</v>
      </c>
      <c r="O56" s="33" t="n">
        <f aca="false">'Dec 2026'!R56</f>
        <v>0</v>
      </c>
      <c r="P56" s="33" t="n">
        <f aca="false">IF(B56="",0,N(Students!H45))</f>
        <v>0</v>
      </c>
      <c r="Q56" s="23"/>
      <c r="R56" s="24" t="n">
        <f aca="false">N(O56)+N(P56)-N(Q56)</f>
        <v>0</v>
      </c>
      <c r="S56" s="33" t="n">
        <f aca="false">'Dec 2026'!V56</f>
        <v>0</v>
      </c>
      <c r="T56" s="33" t="n">
        <f aca="false">IF(B56="",0,N(Students!I45))</f>
        <v>0</v>
      </c>
      <c r="U56" s="23"/>
      <c r="V56" s="24" t="n">
        <f aca="false">N(S56)+N(T56)-N(U56)</f>
        <v>0</v>
      </c>
      <c r="W56" s="33" t="n">
        <f aca="false">'Dec 2026'!Z56</f>
        <v>0</v>
      </c>
      <c r="X56" s="33" t="n">
        <f aca="false">IF(B56="",0,N(Students!J45))</f>
        <v>0</v>
      </c>
      <c r="Y56" s="23"/>
      <c r="Z56" s="24" t="n">
        <f aca="false">N(W56)+N(X56)-N(Y56)</f>
        <v>0</v>
      </c>
      <c r="AA56" s="33" t="n">
        <f aca="false">N(E56)+N(I56)+N(M56)+N(Q56)+N(U56)+N(Y56)</f>
        <v>0</v>
      </c>
      <c r="AB56" s="24" t="n">
        <f aca="false">F56+J56+N56+R56+V56+Z56</f>
        <v>0</v>
      </c>
      <c r="AC56" s="81" t="str">
        <f aca="false">IF(B56="","",IF(AB56&lt;=0,"Clear",IF(AA56&gt;0,"Partial","Due")))</f>
        <v/>
      </c>
    </row>
    <row r="57" customFormat="false" ht="15" hidden="false" customHeight="false" outlineLevel="0" collapsed="false">
      <c r="A57" s="25" t="n">
        <v>42</v>
      </c>
      <c r="B57" s="82" t="str">
        <f aca="false">IF(Students!B46="","",Students!B46)</f>
        <v/>
      </c>
      <c r="C57" s="37" t="n">
        <f aca="false">'Dec 2026'!F57</f>
        <v>0</v>
      </c>
      <c r="D57" s="37" t="n">
        <f aca="false">IF(B57="",0,N(Students!E46))</f>
        <v>0</v>
      </c>
      <c r="E57" s="23"/>
      <c r="F57" s="26" t="n">
        <f aca="false">N(C57)+N(D57)-N(E57)</f>
        <v>0</v>
      </c>
      <c r="G57" s="37" t="n">
        <f aca="false">'Dec 2026'!J57</f>
        <v>0</v>
      </c>
      <c r="H57" s="37" t="n">
        <f aca="false">IF(B57="",0,N(Students!F46))</f>
        <v>0</v>
      </c>
      <c r="I57" s="23"/>
      <c r="J57" s="26" t="n">
        <f aca="false">N(G57)+N(H57)-N(I57)</f>
        <v>0</v>
      </c>
      <c r="K57" s="37" t="n">
        <f aca="false">'Dec 2026'!N57</f>
        <v>0</v>
      </c>
      <c r="L57" s="37" t="n">
        <f aca="false">IF(B57="",0,N(Students!G46))</f>
        <v>0</v>
      </c>
      <c r="M57" s="23"/>
      <c r="N57" s="26" t="n">
        <f aca="false">N(K57)+N(L57)-N(M57)</f>
        <v>0</v>
      </c>
      <c r="O57" s="37" t="n">
        <f aca="false">'Dec 2026'!R57</f>
        <v>0</v>
      </c>
      <c r="P57" s="37" t="n">
        <f aca="false">IF(B57="",0,N(Students!H46))</f>
        <v>0</v>
      </c>
      <c r="Q57" s="23"/>
      <c r="R57" s="26" t="n">
        <f aca="false">N(O57)+N(P57)-N(Q57)</f>
        <v>0</v>
      </c>
      <c r="S57" s="37" t="n">
        <f aca="false">'Dec 2026'!V57</f>
        <v>0</v>
      </c>
      <c r="T57" s="37" t="n">
        <f aca="false">IF(B57="",0,N(Students!I46))</f>
        <v>0</v>
      </c>
      <c r="U57" s="23"/>
      <c r="V57" s="26" t="n">
        <f aca="false">N(S57)+N(T57)-N(U57)</f>
        <v>0</v>
      </c>
      <c r="W57" s="37" t="n">
        <f aca="false">'Dec 2026'!Z57</f>
        <v>0</v>
      </c>
      <c r="X57" s="37" t="n">
        <f aca="false">IF(B57="",0,N(Students!J46))</f>
        <v>0</v>
      </c>
      <c r="Y57" s="23"/>
      <c r="Z57" s="26" t="n">
        <f aca="false">N(W57)+N(X57)-N(Y57)</f>
        <v>0</v>
      </c>
      <c r="AA57" s="37" t="n">
        <f aca="false">N(E57)+N(I57)+N(M57)+N(Q57)+N(U57)+N(Y57)</f>
        <v>0</v>
      </c>
      <c r="AB57" s="26" t="n">
        <f aca="false">F57+J57+N57+R57+V57+Z57</f>
        <v>0</v>
      </c>
      <c r="AC57" s="83" t="str">
        <f aca="false">IF(B57="","",IF(AB57&lt;=0,"Clear",IF(AA57&gt;0,"Partial","Due")))</f>
        <v/>
      </c>
    </row>
    <row r="58" customFormat="false" ht="15" hidden="false" customHeight="false" outlineLevel="0" collapsed="false">
      <c r="A58" s="21" t="n">
        <v>43</v>
      </c>
      <c r="B58" s="46" t="str">
        <f aca="false">IF(Students!B47="","",Students!B47)</f>
        <v/>
      </c>
      <c r="C58" s="33" t="n">
        <f aca="false">'Dec 2026'!F58</f>
        <v>0</v>
      </c>
      <c r="D58" s="33" t="n">
        <f aca="false">IF(B58="",0,N(Students!E47))</f>
        <v>0</v>
      </c>
      <c r="E58" s="23"/>
      <c r="F58" s="24" t="n">
        <f aca="false">N(C58)+N(D58)-N(E58)</f>
        <v>0</v>
      </c>
      <c r="G58" s="33" t="n">
        <f aca="false">'Dec 2026'!J58</f>
        <v>0</v>
      </c>
      <c r="H58" s="33" t="n">
        <f aca="false">IF(B58="",0,N(Students!F47))</f>
        <v>0</v>
      </c>
      <c r="I58" s="23"/>
      <c r="J58" s="24" t="n">
        <f aca="false">N(G58)+N(H58)-N(I58)</f>
        <v>0</v>
      </c>
      <c r="K58" s="33" t="n">
        <f aca="false">'Dec 2026'!N58</f>
        <v>0</v>
      </c>
      <c r="L58" s="33" t="n">
        <f aca="false">IF(B58="",0,N(Students!G47))</f>
        <v>0</v>
      </c>
      <c r="M58" s="23"/>
      <c r="N58" s="24" t="n">
        <f aca="false">N(K58)+N(L58)-N(M58)</f>
        <v>0</v>
      </c>
      <c r="O58" s="33" t="n">
        <f aca="false">'Dec 2026'!R58</f>
        <v>0</v>
      </c>
      <c r="P58" s="33" t="n">
        <f aca="false">IF(B58="",0,N(Students!H47))</f>
        <v>0</v>
      </c>
      <c r="Q58" s="23"/>
      <c r="R58" s="24" t="n">
        <f aca="false">N(O58)+N(P58)-N(Q58)</f>
        <v>0</v>
      </c>
      <c r="S58" s="33" t="n">
        <f aca="false">'Dec 2026'!V58</f>
        <v>0</v>
      </c>
      <c r="T58" s="33" t="n">
        <f aca="false">IF(B58="",0,N(Students!I47))</f>
        <v>0</v>
      </c>
      <c r="U58" s="23"/>
      <c r="V58" s="24" t="n">
        <f aca="false">N(S58)+N(T58)-N(U58)</f>
        <v>0</v>
      </c>
      <c r="W58" s="33" t="n">
        <f aca="false">'Dec 2026'!Z58</f>
        <v>0</v>
      </c>
      <c r="X58" s="33" t="n">
        <f aca="false">IF(B58="",0,N(Students!J47))</f>
        <v>0</v>
      </c>
      <c r="Y58" s="23"/>
      <c r="Z58" s="24" t="n">
        <f aca="false">N(W58)+N(X58)-N(Y58)</f>
        <v>0</v>
      </c>
      <c r="AA58" s="33" t="n">
        <f aca="false">N(E58)+N(I58)+N(M58)+N(Q58)+N(U58)+N(Y58)</f>
        <v>0</v>
      </c>
      <c r="AB58" s="24" t="n">
        <f aca="false">F58+J58+N58+R58+V58+Z58</f>
        <v>0</v>
      </c>
      <c r="AC58" s="81" t="str">
        <f aca="false">IF(B58="","",IF(AB58&lt;=0,"Clear",IF(AA58&gt;0,"Partial","Due")))</f>
        <v/>
      </c>
    </row>
    <row r="59" customFormat="false" ht="15" hidden="false" customHeight="false" outlineLevel="0" collapsed="false">
      <c r="A59" s="25" t="n">
        <v>44</v>
      </c>
      <c r="B59" s="82" t="str">
        <f aca="false">IF(Students!B48="","",Students!B48)</f>
        <v/>
      </c>
      <c r="C59" s="37" t="n">
        <f aca="false">'Dec 2026'!F59</f>
        <v>0</v>
      </c>
      <c r="D59" s="37" t="n">
        <f aca="false">IF(B59="",0,N(Students!E48))</f>
        <v>0</v>
      </c>
      <c r="E59" s="23"/>
      <c r="F59" s="26" t="n">
        <f aca="false">N(C59)+N(D59)-N(E59)</f>
        <v>0</v>
      </c>
      <c r="G59" s="37" t="n">
        <f aca="false">'Dec 2026'!J59</f>
        <v>0</v>
      </c>
      <c r="H59" s="37" t="n">
        <f aca="false">IF(B59="",0,N(Students!F48))</f>
        <v>0</v>
      </c>
      <c r="I59" s="23"/>
      <c r="J59" s="26" t="n">
        <f aca="false">N(G59)+N(H59)-N(I59)</f>
        <v>0</v>
      </c>
      <c r="K59" s="37" t="n">
        <f aca="false">'Dec 2026'!N59</f>
        <v>0</v>
      </c>
      <c r="L59" s="37" t="n">
        <f aca="false">IF(B59="",0,N(Students!G48))</f>
        <v>0</v>
      </c>
      <c r="M59" s="23"/>
      <c r="N59" s="26" t="n">
        <f aca="false">N(K59)+N(L59)-N(M59)</f>
        <v>0</v>
      </c>
      <c r="O59" s="37" t="n">
        <f aca="false">'Dec 2026'!R59</f>
        <v>0</v>
      </c>
      <c r="P59" s="37" t="n">
        <f aca="false">IF(B59="",0,N(Students!H48))</f>
        <v>0</v>
      </c>
      <c r="Q59" s="23"/>
      <c r="R59" s="26" t="n">
        <f aca="false">N(O59)+N(P59)-N(Q59)</f>
        <v>0</v>
      </c>
      <c r="S59" s="37" t="n">
        <f aca="false">'Dec 2026'!V59</f>
        <v>0</v>
      </c>
      <c r="T59" s="37" t="n">
        <f aca="false">IF(B59="",0,N(Students!I48))</f>
        <v>0</v>
      </c>
      <c r="U59" s="23"/>
      <c r="V59" s="26" t="n">
        <f aca="false">N(S59)+N(T59)-N(U59)</f>
        <v>0</v>
      </c>
      <c r="W59" s="37" t="n">
        <f aca="false">'Dec 2026'!Z59</f>
        <v>0</v>
      </c>
      <c r="X59" s="37" t="n">
        <f aca="false">IF(B59="",0,N(Students!J48))</f>
        <v>0</v>
      </c>
      <c r="Y59" s="23"/>
      <c r="Z59" s="26" t="n">
        <f aca="false">N(W59)+N(X59)-N(Y59)</f>
        <v>0</v>
      </c>
      <c r="AA59" s="37" t="n">
        <f aca="false">N(E59)+N(I59)+N(M59)+N(Q59)+N(U59)+N(Y59)</f>
        <v>0</v>
      </c>
      <c r="AB59" s="26" t="n">
        <f aca="false">F59+J59+N59+R59+V59+Z59</f>
        <v>0</v>
      </c>
      <c r="AC59" s="83" t="str">
        <f aca="false">IF(B59="","",IF(AB59&lt;=0,"Clear",IF(AA59&gt;0,"Partial","Due")))</f>
        <v/>
      </c>
    </row>
    <row r="60" customFormat="false" ht="15" hidden="false" customHeight="false" outlineLevel="0" collapsed="false">
      <c r="A60" s="21" t="n">
        <v>45</v>
      </c>
      <c r="B60" s="46" t="str">
        <f aca="false">IF(Students!B49="","",Students!B49)</f>
        <v/>
      </c>
      <c r="C60" s="33" t="n">
        <f aca="false">'Dec 2026'!F60</f>
        <v>0</v>
      </c>
      <c r="D60" s="33" t="n">
        <f aca="false">IF(B60="",0,N(Students!E49))</f>
        <v>0</v>
      </c>
      <c r="E60" s="23"/>
      <c r="F60" s="24" t="n">
        <f aca="false">N(C60)+N(D60)-N(E60)</f>
        <v>0</v>
      </c>
      <c r="G60" s="33" t="n">
        <f aca="false">'Dec 2026'!J60</f>
        <v>0</v>
      </c>
      <c r="H60" s="33" t="n">
        <f aca="false">IF(B60="",0,N(Students!F49))</f>
        <v>0</v>
      </c>
      <c r="I60" s="23"/>
      <c r="J60" s="24" t="n">
        <f aca="false">N(G60)+N(H60)-N(I60)</f>
        <v>0</v>
      </c>
      <c r="K60" s="33" t="n">
        <f aca="false">'Dec 2026'!N60</f>
        <v>0</v>
      </c>
      <c r="L60" s="33" t="n">
        <f aca="false">IF(B60="",0,N(Students!G49))</f>
        <v>0</v>
      </c>
      <c r="M60" s="23"/>
      <c r="N60" s="24" t="n">
        <f aca="false">N(K60)+N(L60)-N(M60)</f>
        <v>0</v>
      </c>
      <c r="O60" s="33" t="n">
        <f aca="false">'Dec 2026'!R60</f>
        <v>0</v>
      </c>
      <c r="P60" s="33" t="n">
        <f aca="false">IF(B60="",0,N(Students!H49))</f>
        <v>0</v>
      </c>
      <c r="Q60" s="23"/>
      <c r="R60" s="24" t="n">
        <f aca="false">N(O60)+N(P60)-N(Q60)</f>
        <v>0</v>
      </c>
      <c r="S60" s="33" t="n">
        <f aca="false">'Dec 2026'!V60</f>
        <v>0</v>
      </c>
      <c r="T60" s="33" t="n">
        <f aca="false">IF(B60="",0,N(Students!I49))</f>
        <v>0</v>
      </c>
      <c r="U60" s="23"/>
      <c r="V60" s="24" t="n">
        <f aca="false">N(S60)+N(T60)-N(U60)</f>
        <v>0</v>
      </c>
      <c r="W60" s="33" t="n">
        <f aca="false">'Dec 2026'!Z60</f>
        <v>0</v>
      </c>
      <c r="X60" s="33" t="n">
        <f aca="false">IF(B60="",0,N(Students!J49))</f>
        <v>0</v>
      </c>
      <c r="Y60" s="23"/>
      <c r="Z60" s="24" t="n">
        <f aca="false">N(W60)+N(X60)-N(Y60)</f>
        <v>0</v>
      </c>
      <c r="AA60" s="33" t="n">
        <f aca="false">N(E60)+N(I60)+N(M60)+N(Q60)+N(U60)+N(Y60)</f>
        <v>0</v>
      </c>
      <c r="AB60" s="24" t="n">
        <f aca="false">F60+J60+N60+R60+V60+Z60</f>
        <v>0</v>
      </c>
      <c r="AC60" s="81" t="str">
        <f aca="false">IF(B60="","",IF(AB60&lt;=0,"Clear",IF(AA60&gt;0,"Partial","Due")))</f>
        <v/>
      </c>
    </row>
    <row r="61" customFormat="false" ht="15" hidden="false" customHeight="false" outlineLevel="0" collapsed="false">
      <c r="A61" s="25" t="n">
        <v>46</v>
      </c>
      <c r="B61" s="82" t="str">
        <f aca="false">IF(Students!B50="","",Students!B50)</f>
        <v/>
      </c>
      <c r="C61" s="37" t="n">
        <f aca="false">'Dec 2026'!F61</f>
        <v>0</v>
      </c>
      <c r="D61" s="37" t="n">
        <f aca="false">IF(B61="",0,N(Students!E50))</f>
        <v>0</v>
      </c>
      <c r="E61" s="23"/>
      <c r="F61" s="26" t="n">
        <f aca="false">N(C61)+N(D61)-N(E61)</f>
        <v>0</v>
      </c>
      <c r="G61" s="37" t="n">
        <f aca="false">'Dec 2026'!J61</f>
        <v>0</v>
      </c>
      <c r="H61" s="37" t="n">
        <f aca="false">IF(B61="",0,N(Students!F50))</f>
        <v>0</v>
      </c>
      <c r="I61" s="23"/>
      <c r="J61" s="26" t="n">
        <f aca="false">N(G61)+N(H61)-N(I61)</f>
        <v>0</v>
      </c>
      <c r="K61" s="37" t="n">
        <f aca="false">'Dec 2026'!N61</f>
        <v>0</v>
      </c>
      <c r="L61" s="37" t="n">
        <f aca="false">IF(B61="",0,N(Students!G50))</f>
        <v>0</v>
      </c>
      <c r="M61" s="23"/>
      <c r="N61" s="26" t="n">
        <f aca="false">N(K61)+N(L61)-N(M61)</f>
        <v>0</v>
      </c>
      <c r="O61" s="37" t="n">
        <f aca="false">'Dec 2026'!R61</f>
        <v>0</v>
      </c>
      <c r="P61" s="37" t="n">
        <f aca="false">IF(B61="",0,N(Students!H50))</f>
        <v>0</v>
      </c>
      <c r="Q61" s="23"/>
      <c r="R61" s="26" t="n">
        <f aca="false">N(O61)+N(P61)-N(Q61)</f>
        <v>0</v>
      </c>
      <c r="S61" s="37" t="n">
        <f aca="false">'Dec 2026'!V61</f>
        <v>0</v>
      </c>
      <c r="T61" s="37" t="n">
        <f aca="false">IF(B61="",0,N(Students!I50))</f>
        <v>0</v>
      </c>
      <c r="U61" s="23"/>
      <c r="V61" s="26" t="n">
        <f aca="false">N(S61)+N(T61)-N(U61)</f>
        <v>0</v>
      </c>
      <c r="W61" s="37" t="n">
        <f aca="false">'Dec 2026'!Z61</f>
        <v>0</v>
      </c>
      <c r="X61" s="37" t="n">
        <f aca="false">IF(B61="",0,N(Students!J50))</f>
        <v>0</v>
      </c>
      <c r="Y61" s="23"/>
      <c r="Z61" s="26" t="n">
        <f aca="false">N(W61)+N(X61)-N(Y61)</f>
        <v>0</v>
      </c>
      <c r="AA61" s="37" t="n">
        <f aca="false">N(E61)+N(I61)+N(M61)+N(Q61)+N(U61)+N(Y61)</f>
        <v>0</v>
      </c>
      <c r="AB61" s="26" t="n">
        <f aca="false">F61+J61+N61+R61+V61+Z61</f>
        <v>0</v>
      </c>
      <c r="AC61" s="83" t="str">
        <f aca="false">IF(B61="","",IF(AB61&lt;=0,"Clear",IF(AA61&gt;0,"Partial","Due")))</f>
        <v/>
      </c>
    </row>
    <row r="62" customFormat="false" ht="15" hidden="false" customHeight="false" outlineLevel="0" collapsed="false">
      <c r="A62" s="21" t="n">
        <v>47</v>
      </c>
      <c r="B62" s="46" t="str">
        <f aca="false">IF(Students!B51="","",Students!B51)</f>
        <v/>
      </c>
      <c r="C62" s="33" t="n">
        <f aca="false">'Dec 2026'!F62</f>
        <v>0</v>
      </c>
      <c r="D62" s="33" t="n">
        <f aca="false">IF(B62="",0,N(Students!E51))</f>
        <v>0</v>
      </c>
      <c r="E62" s="23"/>
      <c r="F62" s="24" t="n">
        <f aca="false">N(C62)+N(D62)-N(E62)</f>
        <v>0</v>
      </c>
      <c r="G62" s="33" t="n">
        <f aca="false">'Dec 2026'!J62</f>
        <v>0</v>
      </c>
      <c r="H62" s="33" t="n">
        <f aca="false">IF(B62="",0,N(Students!F51))</f>
        <v>0</v>
      </c>
      <c r="I62" s="23"/>
      <c r="J62" s="24" t="n">
        <f aca="false">N(G62)+N(H62)-N(I62)</f>
        <v>0</v>
      </c>
      <c r="K62" s="33" t="n">
        <f aca="false">'Dec 2026'!N62</f>
        <v>0</v>
      </c>
      <c r="L62" s="33" t="n">
        <f aca="false">IF(B62="",0,N(Students!G51))</f>
        <v>0</v>
      </c>
      <c r="M62" s="23"/>
      <c r="N62" s="24" t="n">
        <f aca="false">N(K62)+N(L62)-N(M62)</f>
        <v>0</v>
      </c>
      <c r="O62" s="33" t="n">
        <f aca="false">'Dec 2026'!R62</f>
        <v>0</v>
      </c>
      <c r="P62" s="33" t="n">
        <f aca="false">IF(B62="",0,N(Students!H51))</f>
        <v>0</v>
      </c>
      <c r="Q62" s="23"/>
      <c r="R62" s="24" t="n">
        <f aca="false">N(O62)+N(P62)-N(Q62)</f>
        <v>0</v>
      </c>
      <c r="S62" s="33" t="n">
        <f aca="false">'Dec 2026'!V62</f>
        <v>0</v>
      </c>
      <c r="T62" s="33" t="n">
        <f aca="false">IF(B62="",0,N(Students!I51))</f>
        <v>0</v>
      </c>
      <c r="U62" s="23"/>
      <c r="V62" s="24" t="n">
        <f aca="false">N(S62)+N(T62)-N(U62)</f>
        <v>0</v>
      </c>
      <c r="W62" s="33" t="n">
        <f aca="false">'Dec 2026'!Z62</f>
        <v>0</v>
      </c>
      <c r="X62" s="33" t="n">
        <f aca="false">IF(B62="",0,N(Students!J51))</f>
        <v>0</v>
      </c>
      <c r="Y62" s="23"/>
      <c r="Z62" s="24" t="n">
        <f aca="false">N(W62)+N(X62)-N(Y62)</f>
        <v>0</v>
      </c>
      <c r="AA62" s="33" t="n">
        <f aca="false">N(E62)+N(I62)+N(M62)+N(Q62)+N(U62)+N(Y62)</f>
        <v>0</v>
      </c>
      <c r="AB62" s="24" t="n">
        <f aca="false">F62+J62+N62+R62+V62+Z62</f>
        <v>0</v>
      </c>
      <c r="AC62" s="81" t="str">
        <f aca="false">IF(B62="","",IF(AB62&lt;=0,"Clear",IF(AA62&gt;0,"Partial","Due")))</f>
        <v/>
      </c>
    </row>
    <row r="63" customFormat="false" ht="15" hidden="false" customHeight="false" outlineLevel="0" collapsed="false">
      <c r="A63" s="25" t="n">
        <v>48</v>
      </c>
      <c r="B63" s="82" t="str">
        <f aca="false">IF(Students!B52="","",Students!B52)</f>
        <v/>
      </c>
      <c r="C63" s="37" t="n">
        <f aca="false">'Dec 2026'!F63</f>
        <v>0</v>
      </c>
      <c r="D63" s="37" t="n">
        <f aca="false">IF(B63="",0,N(Students!E52))</f>
        <v>0</v>
      </c>
      <c r="E63" s="23"/>
      <c r="F63" s="26" t="n">
        <f aca="false">N(C63)+N(D63)-N(E63)</f>
        <v>0</v>
      </c>
      <c r="G63" s="37" t="n">
        <f aca="false">'Dec 2026'!J63</f>
        <v>0</v>
      </c>
      <c r="H63" s="37" t="n">
        <f aca="false">IF(B63="",0,N(Students!F52))</f>
        <v>0</v>
      </c>
      <c r="I63" s="23"/>
      <c r="J63" s="26" t="n">
        <f aca="false">N(G63)+N(H63)-N(I63)</f>
        <v>0</v>
      </c>
      <c r="K63" s="37" t="n">
        <f aca="false">'Dec 2026'!N63</f>
        <v>0</v>
      </c>
      <c r="L63" s="37" t="n">
        <f aca="false">IF(B63="",0,N(Students!G52))</f>
        <v>0</v>
      </c>
      <c r="M63" s="23"/>
      <c r="N63" s="26" t="n">
        <f aca="false">N(K63)+N(L63)-N(M63)</f>
        <v>0</v>
      </c>
      <c r="O63" s="37" t="n">
        <f aca="false">'Dec 2026'!R63</f>
        <v>0</v>
      </c>
      <c r="P63" s="37" t="n">
        <f aca="false">IF(B63="",0,N(Students!H52))</f>
        <v>0</v>
      </c>
      <c r="Q63" s="23"/>
      <c r="R63" s="26" t="n">
        <f aca="false">N(O63)+N(P63)-N(Q63)</f>
        <v>0</v>
      </c>
      <c r="S63" s="37" t="n">
        <f aca="false">'Dec 2026'!V63</f>
        <v>0</v>
      </c>
      <c r="T63" s="37" t="n">
        <f aca="false">IF(B63="",0,N(Students!I52))</f>
        <v>0</v>
      </c>
      <c r="U63" s="23"/>
      <c r="V63" s="26" t="n">
        <f aca="false">N(S63)+N(T63)-N(U63)</f>
        <v>0</v>
      </c>
      <c r="W63" s="37" t="n">
        <f aca="false">'Dec 2026'!Z63</f>
        <v>0</v>
      </c>
      <c r="X63" s="37" t="n">
        <f aca="false">IF(B63="",0,N(Students!J52))</f>
        <v>0</v>
      </c>
      <c r="Y63" s="23"/>
      <c r="Z63" s="26" t="n">
        <f aca="false">N(W63)+N(X63)-N(Y63)</f>
        <v>0</v>
      </c>
      <c r="AA63" s="37" t="n">
        <f aca="false">N(E63)+N(I63)+N(M63)+N(Q63)+N(U63)+N(Y63)</f>
        <v>0</v>
      </c>
      <c r="AB63" s="26" t="n">
        <f aca="false">F63+J63+N63+R63+V63+Z63</f>
        <v>0</v>
      </c>
      <c r="AC63" s="83" t="str">
        <f aca="false">IF(B63="","",IF(AB63&lt;=0,"Clear",IF(AA63&gt;0,"Partial","Due")))</f>
        <v/>
      </c>
    </row>
    <row r="64" customFormat="false" ht="15" hidden="false" customHeight="false" outlineLevel="0" collapsed="false">
      <c r="A64" s="21" t="n">
        <v>49</v>
      </c>
      <c r="B64" s="46" t="str">
        <f aca="false">IF(Students!B53="","",Students!B53)</f>
        <v/>
      </c>
      <c r="C64" s="33" t="n">
        <f aca="false">'Dec 2026'!F64</f>
        <v>0</v>
      </c>
      <c r="D64" s="33" t="n">
        <f aca="false">IF(B64="",0,N(Students!E53))</f>
        <v>0</v>
      </c>
      <c r="E64" s="23"/>
      <c r="F64" s="24" t="n">
        <f aca="false">N(C64)+N(D64)-N(E64)</f>
        <v>0</v>
      </c>
      <c r="G64" s="33" t="n">
        <f aca="false">'Dec 2026'!J64</f>
        <v>0</v>
      </c>
      <c r="H64" s="33" t="n">
        <f aca="false">IF(B64="",0,N(Students!F53))</f>
        <v>0</v>
      </c>
      <c r="I64" s="23"/>
      <c r="J64" s="24" t="n">
        <f aca="false">N(G64)+N(H64)-N(I64)</f>
        <v>0</v>
      </c>
      <c r="K64" s="33" t="n">
        <f aca="false">'Dec 2026'!N64</f>
        <v>0</v>
      </c>
      <c r="L64" s="33" t="n">
        <f aca="false">IF(B64="",0,N(Students!G53))</f>
        <v>0</v>
      </c>
      <c r="M64" s="23"/>
      <c r="N64" s="24" t="n">
        <f aca="false">N(K64)+N(L64)-N(M64)</f>
        <v>0</v>
      </c>
      <c r="O64" s="33" t="n">
        <f aca="false">'Dec 2026'!R64</f>
        <v>0</v>
      </c>
      <c r="P64" s="33" t="n">
        <f aca="false">IF(B64="",0,N(Students!H53))</f>
        <v>0</v>
      </c>
      <c r="Q64" s="23"/>
      <c r="R64" s="24" t="n">
        <f aca="false">N(O64)+N(P64)-N(Q64)</f>
        <v>0</v>
      </c>
      <c r="S64" s="33" t="n">
        <f aca="false">'Dec 2026'!V64</f>
        <v>0</v>
      </c>
      <c r="T64" s="33" t="n">
        <f aca="false">IF(B64="",0,N(Students!I53))</f>
        <v>0</v>
      </c>
      <c r="U64" s="23"/>
      <c r="V64" s="24" t="n">
        <f aca="false">N(S64)+N(T64)-N(U64)</f>
        <v>0</v>
      </c>
      <c r="W64" s="33" t="n">
        <f aca="false">'Dec 2026'!Z64</f>
        <v>0</v>
      </c>
      <c r="X64" s="33" t="n">
        <f aca="false">IF(B64="",0,N(Students!J53))</f>
        <v>0</v>
      </c>
      <c r="Y64" s="23"/>
      <c r="Z64" s="24" t="n">
        <f aca="false">N(W64)+N(X64)-N(Y64)</f>
        <v>0</v>
      </c>
      <c r="AA64" s="33" t="n">
        <f aca="false">N(E64)+N(I64)+N(M64)+N(Q64)+N(U64)+N(Y64)</f>
        <v>0</v>
      </c>
      <c r="AB64" s="24" t="n">
        <f aca="false">F64+J64+N64+R64+V64+Z64</f>
        <v>0</v>
      </c>
      <c r="AC64" s="81" t="str">
        <f aca="false">IF(B64="","",IF(AB64&lt;=0,"Clear",IF(AA64&gt;0,"Partial","Due")))</f>
        <v/>
      </c>
    </row>
    <row r="65" customFormat="false" ht="15" hidden="false" customHeight="false" outlineLevel="0" collapsed="false">
      <c r="A65" s="25" t="n">
        <v>50</v>
      </c>
      <c r="B65" s="82" t="str">
        <f aca="false">IF(Students!B54="","",Students!B54)</f>
        <v/>
      </c>
      <c r="C65" s="37" t="n">
        <f aca="false">'Dec 2026'!F65</f>
        <v>0</v>
      </c>
      <c r="D65" s="37" t="n">
        <f aca="false">IF(B65="",0,N(Students!E54))</f>
        <v>0</v>
      </c>
      <c r="E65" s="23"/>
      <c r="F65" s="26" t="n">
        <f aca="false">N(C65)+N(D65)-N(E65)</f>
        <v>0</v>
      </c>
      <c r="G65" s="37" t="n">
        <f aca="false">'Dec 2026'!J65</f>
        <v>0</v>
      </c>
      <c r="H65" s="37" t="n">
        <f aca="false">IF(B65="",0,N(Students!F54))</f>
        <v>0</v>
      </c>
      <c r="I65" s="23"/>
      <c r="J65" s="26" t="n">
        <f aca="false">N(G65)+N(H65)-N(I65)</f>
        <v>0</v>
      </c>
      <c r="K65" s="37" t="n">
        <f aca="false">'Dec 2026'!N65</f>
        <v>0</v>
      </c>
      <c r="L65" s="37" t="n">
        <f aca="false">IF(B65="",0,N(Students!G54))</f>
        <v>0</v>
      </c>
      <c r="M65" s="23"/>
      <c r="N65" s="26" t="n">
        <f aca="false">N(K65)+N(L65)-N(M65)</f>
        <v>0</v>
      </c>
      <c r="O65" s="37" t="n">
        <f aca="false">'Dec 2026'!R65</f>
        <v>0</v>
      </c>
      <c r="P65" s="37" t="n">
        <f aca="false">IF(B65="",0,N(Students!H54))</f>
        <v>0</v>
      </c>
      <c r="Q65" s="23"/>
      <c r="R65" s="26" t="n">
        <f aca="false">N(O65)+N(P65)-N(Q65)</f>
        <v>0</v>
      </c>
      <c r="S65" s="37" t="n">
        <f aca="false">'Dec 2026'!V65</f>
        <v>0</v>
      </c>
      <c r="T65" s="37" t="n">
        <f aca="false">IF(B65="",0,N(Students!I54))</f>
        <v>0</v>
      </c>
      <c r="U65" s="23"/>
      <c r="V65" s="26" t="n">
        <f aca="false">N(S65)+N(T65)-N(U65)</f>
        <v>0</v>
      </c>
      <c r="W65" s="37" t="n">
        <f aca="false">'Dec 2026'!Z65</f>
        <v>0</v>
      </c>
      <c r="X65" s="37" t="n">
        <f aca="false">IF(B65="",0,N(Students!J54))</f>
        <v>0</v>
      </c>
      <c r="Y65" s="23"/>
      <c r="Z65" s="26" t="n">
        <f aca="false">N(W65)+N(X65)-N(Y65)</f>
        <v>0</v>
      </c>
      <c r="AA65" s="37" t="n">
        <f aca="false">N(E65)+N(I65)+N(M65)+N(Q65)+N(U65)+N(Y65)</f>
        <v>0</v>
      </c>
      <c r="AB65" s="26" t="n">
        <f aca="false">F65+J65+N65+R65+V65+Z65</f>
        <v>0</v>
      </c>
      <c r="AC65" s="83" t="str">
        <f aca="false">IF(B65="","",IF(AB65&lt;=0,"Clear",IF(AA65&gt;0,"Partial","Due")))</f>
        <v/>
      </c>
    </row>
    <row r="66" customFormat="false" ht="15" hidden="false" customHeight="false" outlineLevel="0" collapsed="false">
      <c r="A66" s="21" t="n">
        <v>51</v>
      </c>
      <c r="B66" s="46" t="str">
        <f aca="false">IF(Students!B55="","",Students!B55)</f>
        <v/>
      </c>
      <c r="C66" s="33" t="n">
        <f aca="false">'Dec 2026'!F66</f>
        <v>0</v>
      </c>
      <c r="D66" s="33" t="n">
        <f aca="false">IF(B66="",0,N(Students!E55))</f>
        <v>0</v>
      </c>
      <c r="E66" s="23"/>
      <c r="F66" s="24" t="n">
        <f aca="false">N(C66)+N(D66)-N(E66)</f>
        <v>0</v>
      </c>
      <c r="G66" s="33" t="n">
        <f aca="false">'Dec 2026'!J66</f>
        <v>0</v>
      </c>
      <c r="H66" s="33" t="n">
        <f aca="false">IF(B66="",0,N(Students!F55))</f>
        <v>0</v>
      </c>
      <c r="I66" s="23"/>
      <c r="J66" s="24" t="n">
        <f aca="false">N(G66)+N(H66)-N(I66)</f>
        <v>0</v>
      </c>
      <c r="K66" s="33" t="n">
        <f aca="false">'Dec 2026'!N66</f>
        <v>0</v>
      </c>
      <c r="L66" s="33" t="n">
        <f aca="false">IF(B66="",0,N(Students!G55))</f>
        <v>0</v>
      </c>
      <c r="M66" s="23"/>
      <c r="N66" s="24" t="n">
        <f aca="false">N(K66)+N(L66)-N(M66)</f>
        <v>0</v>
      </c>
      <c r="O66" s="33" t="n">
        <f aca="false">'Dec 2026'!R66</f>
        <v>0</v>
      </c>
      <c r="P66" s="33" t="n">
        <f aca="false">IF(B66="",0,N(Students!H55))</f>
        <v>0</v>
      </c>
      <c r="Q66" s="23"/>
      <c r="R66" s="24" t="n">
        <f aca="false">N(O66)+N(P66)-N(Q66)</f>
        <v>0</v>
      </c>
      <c r="S66" s="33" t="n">
        <f aca="false">'Dec 2026'!V66</f>
        <v>0</v>
      </c>
      <c r="T66" s="33" t="n">
        <f aca="false">IF(B66="",0,N(Students!I55))</f>
        <v>0</v>
      </c>
      <c r="U66" s="23"/>
      <c r="V66" s="24" t="n">
        <f aca="false">N(S66)+N(T66)-N(U66)</f>
        <v>0</v>
      </c>
      <c r="W66" s="33" t="n">
        <f aca="false">'Dec 2026'!Z66</f>
        <v>0</v>
      </c>
      <c r="X66" s="33" t="n">
        <f aca="false">IF(B66="",0,N(Students!J55))</f>
        <v>0</v>
      </c>
      <c r="Y66" s="23"/>
      <c r="Z66" s="24" t="n">
        <f aca="false">N(W66)+N(X66)-N(Y66)</f>
        <v>0</v>
      </c>
      <c r="AA66" s="33" t="n">
        <f aca="false">N(E66)+N(I66)+N(M66)+N(Q66)+N(U66)+N(Y66)</f>
        <v>0</v>
      </c>
      <c r="AB66" s="24" t="n">
        <f aca="false">F66+J66+N66+R66+V66+Z66</f>
        <v>0</v>
      </c>
      <c r="AC66" s="81" t="str">
        <f aca="false">IF(B66="","",IF(AB66&lt;=0,"Clear",IF(AA66&gt;0,"Partial","Due")))</f>
        <v/>
      </c>
    </row>
    <row r="67" customFormat="false" ht="15" hidden="false" customHeight="false" outlineLevel="0" collapsed="false">
      <c r="A67" s="25" t="n">
        <v>52</v>
      </c>
      <c r="B67" s="82" t="str">
        <f aca="false">IF(Students!B56="","",Students!B56)</f>
        <v/>
      </c>
      <c r="C67" s="37" t="n">
        <f aca="false">'Dec 2026'!F67</f>
        <v>0</v>
      </c>
      <c r="D67" s="37" t="n">
        <f aca="false">IF(B67="",0,N(Students!E56))</f>
        <v>0</v>
      </c>
      <c r="E67" s="23"/>
      <c r="F67" s="26" t="n">
        <f aca="false">N(C67)+N(D67)-N(E67)</f>
        <v>0</v>
      </c>
      <c r="G67" s="37" t="n">
        <f aca="false">'Dec 2026'!J67</f>
        <v>0</v>
      </c>
      <c r="H67" s="37" t="n">
        <f aca="false">IF(B67="",0,N(Students!F56))</f>
        <v>0</v>
      </c>
      <c r="I67" s="23"/>
      <c r="J67" s="26" t="n">
        <f aca="false">N(G67)+N(H67)-N(I67)</f>
        <v>0</v>
      </c>
      <c r="K67" s="37" t="n">
        <f aca="false">'Dec 2026'!N67</f>
        <v>0</v>
      </c>
      <c r="L67" s="37" t="n">
        <f aca="false">IF(B67="",0,N(Students!G56))</f>
        <v>0</v>
      </c>
      <c r="M67" s="23"/>
      <c r="N67" s="26" t="n">
        <f aca="false">N(K67)+N(L67)-N(M67)</f>
        <v>0</v>
      </c>
      <c r="O67" s="37" t="n">
        <f aca="false">'Dec 2026'!R67</f>
        <v>0</v>
      </c>
      <c r="P67" s="37" t="n">
        <f aca="false">IF(B67="",0,N(Students!H56))</f>
        <v>0</v>
      </c>
      <c r="Q67" s="23"/>
      <c r="R67" s="26" t="n">
        <f aca="false">N(O67)+N(P67)-N(Q67)</f>
        <v>0</v>
      </c>
      <c r="S67" s="37" t="n">
        <f aca="false">'Dec 2026'!V67</f>
        <v>0</v>
      </c>
      <c r="T67" s="37" t="n">
        <f aca="false">IF(B67="",0,N(Students!I56))</f>
        <v>0</v>
      </c>
      <c r="U67" s="23"/>
      <c r="V67" s="26" t="n">
        <f aca="false">N(S67)+N(T67)-N(U67)</f>
        <v>0</v>
      </c>
      <c r="W67" s="37" t="n">
        <f aca="false">'Dec 2026'!Z67</f>
        <v>0</v>
      </c>
      <c r="X67" s="37" t="n">
        <f aca="false">IF(B67="",0,N(Students!J56))</f>
        <v>0</v>
      </c>
      <c r="Y67" s="23"/>
      <c r="Z67" s="26" t="n">
        <f aca="false">N(W67)+N(X67)-N(Y67)</f>
        <v>0</v>
      </c>
      <c r="AA67" s="37" t="n">
        <f aca="false">N(E67)+N(I67)+N(M67)+N(Q67)+N(U67)+N(Y67)</f>
        <v>0</v>
      </c>
      <c r="AB67" s="26" t="n">
        <f aca="false">F67+J67+N67+R67+V67+Z67</f>
        <v>0</v>
      </c>
      <c r="AC67" s="83" t="str">
        <f aca="false">IF(B67="","",IF(AB67&lt;=0,"Clear",IF(AA67&gt;0,"Partial","Due")))</f>
        <v/>
      </c>
    </row>
    <row r="68" customFormat="false" ht="15" hidden="false" customHeight="false" outlineLevel="0" collapsed="false">
      <c r="A68" s="21" t="n">
        <v>53</v>
      </c>
      <c r="B68" s="46" t="str">
        <f aca="false">IF(Students!B57="","",Students!B57)</f>
        <v/>
      </c>
      <c r="C68" s="33" t="n">
        <f aca="false">'Dec 2026'!F68</f>
        <v>0</v>
      </c>
      <c r="D68" s="33" t="n">
        <f aca="false">IF(B68="",0,N(Students!E57))</f>
        <v>0</v>
      </c>
      <c r="E68" s="23"/>
      <c r="F68" s="24" t="n">
        <f aca="false">N(C68)+N(D68)-N(E68)</f>
        <v>0</v>
      </c>
      <c r="G68" s="33" t="n">
        <f aca="false">'Dec 2026'!J68</f>
        <v>0</v>
      </c>
      <c r="H68" s="33" t="n">
        <f aca="false">IF(B68="",0,N(Students!F57))</f>
        <v>0</v>
      </c>
      <c r="I68" s="23"/>
      <c r="J68" s="24" t="n">
        <f aca="false">N(G68)+N(H68)-N(I68)</f>
        <v>0</v>
      </c>
      <c r="K68" s="33" t="n">
        <f aca="false">'Dec 2026'!N68</f>
        <v>0</v>
      </c>
      <c r="L68" s="33" t="n">
        <f aca="false">IF(B68="",0,N(Students!G57))</f>
        <v>0</v>
      </c>
      <c r="M68" s="23"/>
      <c r="N68" s="24" t="n">
        <f aca="false">N(K68)+N(L68)-N(M68)</f>
        <v>0</v>
      </c>
      <c r="O68" s="33" t="n">
        <f aca="false">'Dec 2026'!R68</f>
        <v>0</v>
      </c>
      <c r="P68" s="33" t="n">
        <f aca="false">IF(B68="",0,N(Students!H57))</f>
        <v>0</v>
      </c>
      <c r="Q68" s="23"/>
      <c r="R68" s="24" t="n">
        <f aca="false">N(O68)+N(P68)-N(Q68)</f>
        <v>0</v>
      </c>
      <c r="S68" s="33" t="n">
        <f aca="false">'Dec 2026'!V68</f>
        <v>0</v>
      </c>
      <c r="T68" s="33" t="n">
        <f aca="false">IF(B68="",0,N(Students!I57))</f>
        <v>0</v>
      </c>
      <c r="U68" s="23"/>
      <c r="V68" s="24" t="n">
        <f aca="false">N(S68)+N(T68)-N(U68)</f>
        <v>0</v>
      </c>
      <c r="W68" s="33" t="n">
        <f aca="false">'Dec 2026'!Z68</f>
        <v>0</v>
      </c>
      <c r="X68" s="33" t="n">
        <f aca="false">IF(B68="",0,N(Students!J57))</f>
        <v>0</v>
      </c>
      <c r="Y68" s="23"/>
      <c r="Z68" s="24" t="n">
        <f aca="false">N(W68)+N(X68)-N(Y68)</f>
        <v>0</v>
      </c>
      <c r="AA68" s="33" t="n">
        <f aca="false">N(E68)+N(I68)+N(M68)+N(Q68)+N(U68)+N(Y68)</f>
        <v>0</v>
      </c>
      <c r="AB68" s="24" t="n">
        <f aca="false">F68+J68+N68+R68+V68+Z68</f>
        <v>0</v>
      </c>
      <c r="AC68" s="81" t="str">
        <f aca="false">IF(B68="","",IF(AB68&lt;=0,"Clear",IF(AA68&gt;0,"Partial","Due")))</f>
        <v/>
      </c>
    </row>
    <row r="69" customFormat="false" ht="15" hidden="false" customHeight="false" outlineLevel="0" collapsed="false">
      <c r="A69" s="25" t="n">
        <v>54</v>
      </c>
      <c r="B69" s="82" t="str">
        <f aca="false">IF(Students!B58="","",Students!B58)</f>
        <v/>
      </c>
      <c r="C69" s="37" t="n">
        <f aca="false">'Dec 2026'!F69</f>
        <v>0</v>
      </c>
      <c r="D69" s="37" t="n">
        <f aca="false">IF(B69="",0,N(Students!E58))</f>
        <v>0</v>
      </c>
      <c r="E69" s="23"/>
      <c r="F69" s="26" t="n">
        <f aca="false">N(C69)+N(D69)-N(E69)</f>
        <v>0</v>
      </c>
      <c r="G69" s="37" t="n">
        <f aca="false">'Dec 2026'!J69</f>
        <v>0</v>
      </c>
      <c r="H69" s="37" t="n">
        <f aca="false">IF(B69="",0,N(Students!F58))</f>
        <v>0</v>
      </c>
      <c r="I69" s="23"/>
      <c r="J69" s="26" t="n">
        <f aca="false">N(G69)+N(H69)-N(I69)</f>
        <v>0</v>
      </c>
      <c r="K69" s="37" t="n">
        <f aca="false">'Dec 2026'!N69</f>
        <v>0</v>
      </c>
      <c r="L69" s="37" t="n">
        <f aca="false">IF(B69="",0,N(Students!G58))</f>
        <v>0</v>
      </c>
      <c r="M69" s="23"/>
      <c r="N69" s="26" t="n">
        <f aca="false">N(K69)+N(L69)-N(M69)</f>
        <v>0</v>
      </c>
      <c r="O69" s="37" t="n">
        <f aca="false">'Dec 2026'!R69</f>
        <v>0</v>
      </c>
      <c r="P69" s="37" t="n">
        <f aca="false">IF(B69="",0,N(Students!H58))</f>
        <v>0</v>
      </c>
      <c r="Q69" s="23"/>
      <c r="R69" s="26" t="n">
        <f aca="false">N(O69)+N(P69)-N(Q69)</f>
        <v>0</v>
      </c>
      <c r="S69" s="37" t="n">
        <f aca="false">'Dec 2026'!V69</f>
        <v>0</v>
      </c>
      <c r="T69" s="37" t="n">
        <f aca="false">IF(B69="",0,N(Students!I58))</f>
        <v>0</v>
      </c>
      <c r="U69" s="23"/>
      <c r="V69" s="26" t="n">
        <f aca="false">N(S69)+N(T69)-N(U69)</f>
        <v>0</v>
      </c>
      <c r="W69" s="37" t="n">
        <f aca="false">'Dec 2026'!Z69</f>
        <v>0</v>
      </c>
      <c r="X69" s="37" t="n">
        <f aca="false">IF(B69="",0,N(Students!J58))</f>
        <v>0</v>
      </c>
      <c r="Y69" s="23"/>
      <c r="Z69" s="26" t="n">
        <f aca="false">N(W69)+N(X69)-N(Y69)</f>
        <v>0</v>
      </c>
      <c r="AA69" s="37" t="n">
        <f aca="false">N(E69)+N(I69)+N(M69)+N(Q69)+N(U69)+N(Y69)</f>
        <v>0</v>
      </c>
      <c r="AB69" s="26" t="n">
        <f aca="false">F69+J69+N69+R69+V69+Z69</f>
        <v>0</v>
      </c>
      <c r="AC69" s="83" t="str">
        <f aca="false">IF(B69="","",IF(AB69&lt;=0,"Clear",IF(AA69&gt;0,"Partial","Due")))</f>
        <v/>
      </c>
    </row>
    <row r="70" customFormat="false" ht="15" hidden="false" customHeight="false" outlineLevel="0" collapsed="false">
      <c r="A70" s="21" t="n">
        <v>55</v>
      </c>
      <c r="B70" s="46" t="str">
        <f aca="false">IF(Students!B59="","",Students!B59)</f>
        <v/>
      </c>
      <c r="C70" s="33" t="n">
        <f aca="false">'Dec 2026'!F70</f>
        <v>0</v>
      </c>
      <c r="D70" s="33" t="n">
        <f aca="false">IF(B70="",0,N(Students!E59))</f>
        <v>0</v>
      </c>
      <c r="E70" s="23"/>
      <c r="F70" s="24" t="n">
        <f aca="false">N(C70)+N(D70)-N(E70)</f>
        <v>0</v>
      </c>
      <c r="G70" s="33" t="n">
        <f aca="false">'Dec 2026'!J70</f>
        <v>0</v>
      </c>
      <c r="H70" s="33" t="n">
        <f aca="false">IF(B70="",0,N(Students!F59))</f>
        <v>0</v>
      </c>
      <c r="I70" s="23"/>
      <c r="J70" s="24" t="n">
        <f aca="false">N(G70)+N(H70)-N(I70)</f>
        <v>0</v>
      </c>
      <c r="K70" s="33" t="n">
        <f aca="false">'Dec 2026'!N70</f>
        <v>0</v>
      </c>
      <c r="L70" s="33" t="n">
        <f aca="false">IF(B70="",0,N(Students!G59))</f>
        <v>0</v>
      </c>
      <c r="M70" s="23"/>
      <c r="N70" s="24" t="n">
        <f aca="false">N(K70)+N(L70)-N(M70)</f>
        <v>0</v>
      </c>
      <c r="O70" s="33" t="n">
        <f aca="false">'Dec 2026'!R70</f>
        <v>0</v>
      </c>
      <c r="P70" s="33" t="n">
        <f aca="false">IF(B70="",0,N(Students!H59))</f>
        <v>0</v>
      </c>
      <c r="Q70" s="23"/>
      <c r="R70" s="24" t="n">
        <f aca="false">N(O70)+N(P70)-N(Q70)</f>
        <v>0</v>
      </c>
      <c r="S70" s="33" t="n">
        <f aca="false">'Dec 2026'!V70</f>
        <v>0</v>
      </c>
      <c r="T70" s="33" t="n">
        <f aca="false">IF(B70="",0,N(Students!I59))</f>
        <v>0</v>
      </c>
      <c r="U70" s="23"/>
      <c r="V70" s="24" t="n">
        <f aca="false">N(S70)+N(T70)-N(U70)</f>
        <v>0</v>
      </c>
      <c r="W70" s="33" t="n">
        <f aca="false">'Dec 2026'!Z70</f>
        <v>0</v>
      </c>
      <c r="X70" s="33" t="n">
        <f aca="false">IF(B70="",0,N(Students!J59))</f>
        <v>0</v>
      </c>
      <c r="Y70" s="23"/>
      <c r="Z70" s="24" t="n">
        <f aca="false">N(W70)+N(X70)-N(Y70)</f>
        <v>0</v>
      </c>
      <c r="AA70" s="33" t="n">
        <f aca="false">N(E70)+N(I70)+N(M70)+N(Q70)+N(U70)+N(Y70)</f>
        <v>0</v>
      </c>
      <c r="AB70" s="24" t="n">
        <f aca="false">F70+J70+N70+R70+V70+Z70</f>
        <v>0</v>
      </c>
      <c r="AC70" s="81" t="str">
        <f aca="false">IF(B70="","",IF(AB70&lt;=0,"Clear",IF(AA70&gt;0,"Partial","Due")))</f>
        <v/>
      </c>
    </row>
    <row r="71" customFormat="false" ht="15" hidden="false" customHeight="false" outlineLevel="0" collapsed="false">
      <c r="A71" s="25" t="n">
        <v>56</v>
      </c>
      <c r="B71" s="82" t="str">
        <f aca="false">IF(Students!B60="","",Students!B60)</f>
        <v/>
      </c>
      <c r="C71" s="37" t="n">
        <f aca="false">'Dec 2026'!F71</f>
        <v>0</v>
      </c>
      <c r="D71" s="37" t="n">
        <f aca="false">IF(B71="",0,N(Students!E60))</f>
        <v>0</v>
      </c>
      <c r="E71" s="23"/>
      <c r="F71" s="26" t="n">
        <f aca="false">N(C71)+N(D71)-N(E71)</f>
        <v>0</v>
      </c>
      <c r="G71" s="37" t="n">
        <f aca="false">'Dec 2026'!J71</f>
        <v>0</v>
      </c>
      <c r="H71" s="37" t="n">
        <f aca="false">IF(B71="",0,N(Students!F60))</f>
        <v>0</v>
      </c>
      <c r="I71" s="23"/>
      <c r="J71" s="26" t="n">
        <f aca="false">N(G71)+N(H71)-N(I71)</f>
        <v>0</v>
      </c>
      <c r="K71" s="37" t="n">
        <f aca="false">'Dec 2026'!N71</f>
        <v>0</v>
      </c>
      <c r="L71" s="37" t="n">
        <f aca="false">IF(B71="",0,N(Students!G60))</f>
        <v>0</v>
      </c>
      <c r="M71" s="23"/>
      <c r="N71" s="26" t="n">
        <f aca="false">N(K71)+N(L71)-N(M71)</f>
        <v>0</v>
      </c>
      <c r="O71" s="37" t="n">
        <f aca="false">'Dec 2026'!R71</f>
        <v>0</v>
      </c>
      <c r="P71" s="37" t="n">
        <f aca="false">IF(B71="",0,N(Students!H60))</f>
        <v>0</v>
      </c>
      <c r="Q71" s="23"/>
      <c r="R71" s="26" t="n">
        <f aca="false">N(O71)+N(P71)-N(Q71)</f>
        <v>0</v>
      </c>
      <c r="S71" s="37" t="n">
        <f aca="false">'Dec 2026'!V71</f>
        <v>0</v>
      </c>
      <c r="T71" s="37" t="n">
        <f aca="false">IF(B71="",0,N(Students!I60))</f>
        <v>0</v>
      </c>
      <c r="U71" s="23"/>
      <c r="V71" s="26" t="n">
        <f aca="false">N(S71)+N(T71)-N(U71)</f>
        <v>0</v>
      </c>
      <c r="W71" s="37" t="n">
        <f aca="false">'Dec 2026'!Z71</f>
        <v>0</v>
      </c>
      <c r="X71" s="37" t="n">
        <f aca="false">IF(B71="",0,N(Students!J60))</f>
        <v>0</v>
      </c>
      <c r="Y71" s="23"/>
      <c r="Z71" s="26" t="n">
        <f aca="false">N(W71)+N(X71)-N(Y71)</f>
        <v>0</v>
      </c>
      <c r="AA71" s="37" t="n">
        <f aca="false">N(E71)+N(I71)+N(M71)+N(Q71)+N(U71)+N(Y71)</f>
        <v>0</v>
      </c>
      <c r="AB71" s="26" t="n">
        <f aca="false">F71+J71+N71+R71+V71+Z71</f>
        <v>0</v>
      </c>
      <c r="AC71" s="83" t="str">
        <f aca="false">IF(B71="","",IF(AB71&lt;=0,"Clear",IF(AA71&gt;0,"Partial","Due")))</f>
        <v/>
      </c>
    </row>
    <row r="72" customFormat="false" ht="15" hidden="false" customHeight="false" outlineLevel="0" collapsed="false">
      <c r="A72" s="21" t="n">
        <v>57</v>
      </c>
      <c r="B72" s="46" t="str">
        <f aca="false">IF(Students!B61="","",Students!B61)</f>
        <v/>
      </c>
      <c r="C72" s="33" t="n">
        <f aca="false">'Dec 2026'!F72</f>
        <v>0</v>
      </c>
      <c r="D72" s="33" t="n">
        <f aca="false">IF(B72="",0,N(Students!E61))</f>
        <v>0</v>
      </c>
      <c r="E72" s="23"/>
      <c r="F72" s="24" t="n">
        <f aca="false">N(C72)+N(D72)-N(E72)</f>
        <v>0</v>
      </c>
      <c r="G72" s="33" t="n">
        <f aca="false">'Dec 2026'!J72</f>
        <v>0</v>
      </c>
      <c r="H72" s="33" t="n">
        <f aca="false">IF(B72="",0,N(Students!F61))</f>
        <v>0</v>
      </c>
      <c r="I72" s="23"/>
      <c r="J72" s="24" t="n">
        <f aca="false">N(G72)+N(H72)-N(I72)</f>
        <v>0</v>
      </c>
      <c r="K72" s="33" t="n">
        <f aca="false">'Dec 2026'!N72</f>
        <v>0</v>
      </c>
      <c r="L72" s="33" t="n">
        <f aca="false">IF(B72="",0,N(Students!G61))</f>
        <v>0</v>
      </c>
      <c r="M72" s="23"/>
      <c r="N72" s="24" t="n">
        <f aca="false">N(K72)+N(L72)-N(M72)</f>
        <v>0</v>
      </c>
      <c r="O72" s="33" t="n">
        <f aca="false">'Dec 2026'!R72</f>
        <v>0</v>
      </c>
      <c r="P72" s="33" t="n">
        <f aca="false">IF(B72="",0,N(Students!H61))</f>
        <v>0</v>
      </c>
      <c r="Q72" s="23"/>
      <c r="R72" s="24" t="n">
        <f aca="false">N(O72)+N(P72)-N(Q72)</f>
        <v>0</v>
      </c>
      <c r="S72" s="33" t="n">
        <f aca="false">'Dec 2026'!V72</f>
        <v>0</v>
      </c>
      <c r="T72" s="33" t="n">
        <f aca="false">IF(B72="",0,N(Students!I61))</f>
        <v>0</v>
      </c>
      <c r="U72" s="23"/>
      <c r="V72" s="24" t="n">
        <f aca="false">N(S72)+N(T72)-N(U72)</f>
        <v>0</v>
      </c>
      <c r="W72" s="33" t="n">
        <f aca="false">'Dec 2026'!Z72</f>
        <v>0</v>
      </c>
      <c r="X72" s="33" t="n">
        <f aca="false">IF(B72="",0,N(Students!J61))</f>
        <v>0</v>
      </c>
      <c r="Y72" s="23"/>
      <c r="Z72" s="24" t="n">
        <f aca="false">N(W72)+N(X72)-N(Y72)</f>
        <v>0</v>
      </c>
      <c r="AA72" s="33" t="n">
        <f aca="false">N(E72)+N(I72)+N(M72)+N(Q72)+N(U72)+N(Y72)</f>
        <v>0</v>
      </c>
      <c r="AB72" s="24" t="n">
        <f aca="false">F72+J72+N72+R72+V72+Z72</f>
        <v>0</v>
      </c>
      <c r="AC72" s="81" t="str">
        <f aca="false">IF(B72="","",IF(AB72&lt;=0,"Clear",IF(AA72&gt;0,"Partial","Due")))</f>
        <v/>
      </c>
    </row>
    <row r="73" customFormat="false" ht="15" hidden="false" customHeight="false" outlineLevel="0" collapsed="false">
      <c r="A73" s="25" t="n">
        <v>58</v>
      </c>
      <c r="B73" s="82" t="str">
        <f aca="false">IF(Students!B62="","",Students!B62)</f>
        <v/>
      </c>
      <c r="C73" s="37" t="n">
        <f aca="false">'Dec 2026'!F73</f>
        <v>0</v>
      </c>
      <c r="D73" s="37" t="n">
        <f aca="false">IF(B73="",0,N(Students!E62))</f>
        <v>0</v>
      </c>
      <c r="E73" s="23"/>
      <c r="F73" s="26" t="n">
        <f aca="false">N(C73)+N(D73)-N(E73)</f>
        <v>0</v>
      </c>
      <c r="G73" s="37" t="n">
        <f aca="false">'Dec 2026'!J73</f>
        <v>0</v>
      </c>
      <c r="H73" s="37" t="n">
        <f aca="false">IF(B73="",0,N(Students!F62))</f>
        <v>0</v>
      </c>
      <c r="I73" s="23"/>
      <c r="J73" s="26" t="n">
        <f aca="false">N(G73)+N(H73)-N(I73)</f>
        <v>0</v>
      </c>
      <c r="K73" s="37" t="n">
        <f aca="false">'Dec 2026'!N73</f>
        <v>0</v>
      </c>
      <c r="L73" s="37" t="n">
        <f aca="false">IF(B73="",0,N(Students!G62))</f>
        <v>0</v>
      </c>
      <c r="M73" s="23"/>
      <c r="N73" s="26" t="n">
        <f aca="false">N(K73)+N(L73)-N(M73)</f>
        <v>0</v>
      </c>
      <c r="O73" s="37" t="n">
        <f aca="false">'Dec 2026'!R73</f>
        <v>0</v>
      </c>
      <c r="P73" s="37" t="n">
        <f aca="false">IF(B73="",0,N(Students!H62))</f>
        <v>0</v>
      </c>
      <c r="Q73" s="23"/>
      <c r="R73" s="26" t="n">
        <f aca="false">N(O73)+N(P73)-N(Q73)</f>
        <v>0</v>
      </c>
      <c r="S73" s="37" t="n">
        <f aca="false">'Dec 2026'!V73</f>
        <v>0</v>
      </c>
      <c r="T73" s="37" t="n">
        <f aca="false">IF(B73="",0,N(Students!I62))</f>
        <v>0</v>
      </c>
      <c r="U73" s="23"/>
      <c r="V73" s="26" t="n">
        <f aca="false">N(S73)+N(T73)-N(U73)</f>
        <v>0</v>
      </c>
      <c r="W73" s="37" t="n">
        <f aca="false">'Dec 2026'!Z73</f>
        <v>0</v>
      </c>
      <c r="X73" s="37" t="n">
        <f aca="false">IF(B73="",0,N(Students!J62))</f>
        <v>0</v>
      </c>
      <c r="Y73" s="23"/>
      <c r="Z73" s="26" t="n">
        <f aca="false">N(W73)+N(X73)-N(Y73)</f>
        <v>0</v>
      </c>
      <c r="AA73" s="37" t="n">
        <f aca="false">N(E73)+N(I73)+N(M73)+N(Q73)+N(U73)+N(Y73)</f>
        <v>0</v>
      </c>
      <c r="AB73" s="26" t="n">
        <f aca="false">F73+J73+N73+R73+V73+Z73</f>
        <v>0</v>
      </c>
      <c r="AC73" s="83" t="str">
        <f aca="false">IF(B73="","",IF(AB73&lt;=0,"Clear",IF(AA73&gt;0,"Partial","Due")))</f>
        <v/>
      </c>
    </row>
    <row r="74" customFormat="false" ht="15" hidden="false" customHeight="false" outlineLevel="0" collapsed="false">
      <c r="A74" s="21" t="n">
        <v>59</v>
      </c>
      <c r="B74" s="46" t="str">
        <f aca="false">IF(Students!B63="","",Students!B63)</f>
        <v/>
      </c>
      <c r="C74" s="33" t="n">
        <f aca="false">'Dec 2026'!F74</f>
        <v>0</v>
      </c>
      <c r="D74" s="33" t="n">
        <f aca="false">IF(B74="",0,N(Students!E63))</f>
        <v>0</v>
      </c>
      <c r="E74" s="23"/>
      <c r="F74" s="24" t="n">
        <f aca="false">N(C74)+N(D74)-N(E74)</f>
        <v>0</v>
      </c>
      <c r="G74" s="33" t="n">
        <f aca="false">'Dec 2026'!J74</f>
        <v>0</v>
      </c>
      <c r="H74" s="33" t="n">
        <f aca="false">IF(B74="",0,N(Students!F63))</f>
        <v>0</v>
      </c>
      <c r="I74" s="23"/>
      <c r="J74" s="24" t="n">
        <f aca="false">N(G74)+N(H74)-N(I74)</f>
        <v>0</v>
      </c>
      <c r="K74" s="33" t="n">
        <f aca="false">'Dec 2026'!N74</f>
        <v>0</v>
      </c>
      <c r="L74" s="33" t="n">
        <f aca="false">IF(B74="",0,N(Students!G63))</f>
        <v>0</v>
      </c>
      <c r="M74" s="23"/>
      <c r="N74" s="24" t="n">
        <f aca="false">N(K74)+N(L74)-N(M74)</f>
        <v>0</v>
      </c>
      <c r="O74" s="33" t="n">
        <f aca="false">'Dec 2026'!R74</f>
        <v>0</v>
      </c>
      <c r="P74" s="33" t="n">
        <f aca="false">IF(B74="",0,N(Students!H63))</f>
        <v>0</v>
      </c>
      <c r="Q74" s="23"/>
      <c r="R74" s="24" t="n">
        <f aca="false">N(O74)+N(P74)-N(Q74)</f>
        <v>0</v>
      </c>
      <c r="S74" s="33" t="n">
        <f aca="false">'Dec 2026'!V74</f>
        <v>0</v>
      </c>
      <c r="T74" s="33" t="n">
        <f aca="false">IF(B74="",0,N(Students!I63))</f>
        <v>0</v>
      </c>
      <c r="U74" s="23"/>
      <c r="V74" s="24" t="n">
        <f aca="false">N(S74)+N(T74)-N(U74)</f>
        <v>0</v>
      </c>
      <c r="W74" s="33" t="n">
        <f aca="false">'Dec 2026'!Z74</f>
        <v>0</v>
      </c>
      <c r="X74" s="33" t="n">
        <f aca="false">IF(B74="",0,N(Students!J63))</f>
        <v>0</v>
      </c>
      <c r="Y74" s="23"/>
      <c r="Z74" s="24" t="n">
        <f aca="false">N(W74)+N(X74)-N(Y74)</f>
        <v>0</v>
      </c>
      <c r="AA74" s="33" t="n">
        <f aca="false">N(E74)+N(I74)+N(M74)+N(Q74)+N(U74)+N(Y74)</f>
        <v>0</v>
      </c>
      <c r="AB74" s="24" t="n">
        <f aca="false">F74+J74+N74+R74+V74+Z74</f>
        <v>0</v>
      </c>
      <c r="AC74" s="81" t="str">
        <f aca="false">IF(B74="","",IF(AB74&lt;=0,"Clear",IF(AA74&gt;0,"Partial","Due")))</f>
        <v/>
      </c>
    </row>
    <row r="75" customFormat="false" ht="15" hidden="false" customHeight="false" outlineLevel="0" collapsed="false">
      <c r="A75" s="25" t="n">
        <v>60</v>
      </c>
      <c r="B75" s="82" t="str">
        <f aca="false">IF(Students!B64="","",Students!B64)</f>
        <v/>
      </c>
      <c r="C75" s="37" t="n">
        <f aca="false">'Dec 2026'!F75</f>
        <v>0</v>
      </c>
      <c r="D75" s="37" t="n">
        <f aca="false">IF(B75="",0,N(Students!E64))</f>
        <v>0</v>
      </c>
      <c r="E75" s="23"/>
      <c r="F75" s="26" t="n">
        <f aca="false">N(C75)+N(D75)-N(E75)</f>
        <v>0</v>
      </c>
      <c r="G75" s="37" t="n">
        <f aca="false">'Dec 2026'!J75</f>
        <v>0</v>
      </c>
      <c r="H75" s="37" t="n">
        <f aca="false">IF(B75="",0,N(Students!F64))</f>
        <v>0</v>
      </c>
      <c r="I75" s="23"/>
      <c r="J75" s="26" t="n">
        <f aca="false">N(G75)+N(H75)-N(I75)</f>
        <v>0</v>
      </c>
      <c r="K75" s="37" t="n">
        <f aca="false">'Dec 2026'!N75</f>
        <v>0</v>
      </c>
      <c r="L75" s="37" t="n">
        <f aca="false">IF(B75="",0,N(Students!G64))</f>
        <v>0</v>
      </c>
      <c r="M75" s="23"/>
      <c r="N75" s="26" t="n">
        <f aca="false">N(K75)+N(L75)-N(M75)</f>
        <v>0</v>
      </c>
      <c r="O75" s="37" t="n">
        <f aca="false">'Dec 2026'!R75</f>
        <v>0</v>
      </c>
      <c r="P75" s="37" t="n">
        <f aca="false">IF(B75="",0,N(Students!H64))</f>
        <v>0</v>
      </c>
      <c r="Q75" s="23"/>
      <c r="R75" s="26" t="n">
        <f aca="false">N(O75)+N(P75)-N(Q75)</f>
        <v>0</v>
      </c>
      <c r="S75" s="37" t="n">
        <f aca="false">'Dec 2026'!V75</f>
        <v>0</v>
      </c>
      <c r="T75" s="37" t="n">
        <f aca="false">IF(B75="",0,N(Students!I64))</f>
        <v>0</v>
      </c>
      <c r="U75" s="23"/>
      <c r="V75" s="26" t="n">
        <f aca="false">N(S75)+N(T75)-N(U75)</f>
        <v>0</v>
      </c>
      <c r="W75" s="37" t="n">
        <f aca="false">'Dec 2026'!Z75</f>
        <v>0</v>
      </c>
      <c r="X75" s="37" t="n">
        <f aca="false">IF(B75="",0,N(Students!J64))</f>
        <v>0</v>
      </c>
      <c r="Y75" s="23"/>
      <c r="Z75" s="26" t="n">
        <f aca="false">N(W75)+N(X75)-N(Y75)</f>
        <v>0</v>
      </c>
      <c r="AA75" s="37" t="n">
        <f aca="false">N(E75)+N(I75)+N(M75)+N(Q75)+N(U75)+N(Y75)</f>
        <v>0</v>
      </c>
      <c r="AB75" s="26" t="n">
        <f aca="false">F75+J75+N75+R75+V75+Z75</f>
        <v>0</v>
      </c>
      <c r="AC75" s="83" t="str">
        <f aca="false">IF(B75="","",IF(AB75&lt;=0,"Clear",IF(AA75&gt;0,"Partial","Due")))</f>
        <v/>
      </c>
    </row>
    <row r="76" customFormat="false" ht="15" hidden="false" customHeight="false" outlineLevel="0" collapsed="false">
      <c r="A76" s="21" t="n">
        <v>61</v>
      </c>
      <c r="B76" s="46" t="str">
        <f aca="false">IF(Students!B65="","",Students!B65)</f>
        <v/>
      </c>
      <c r="C76" s="33" t="n">
        <f aca="false">'Dec 2026'!F76</f>
        <v>0</v>
      </c>
      <c r="D76" s="33" t="n">
        <f aca="false">IF(B76="",0,N(Students!E65))</f>
        <v>0</v>
      </c>
      <c r="E76" s="23"/>
      <c r="F76" s="24" t="n">
        <f aca="false">N(C76)+N(D76)-N(E76)</f>
        <v>0</v>
      </c>
      <c r="G76" s="33" t="n">
        <f aca="false">'Dec 2026'!J76</f>
        <v>0</v>
      </c>
      <c r="H76" s="33" t="n">
        <f aca="false">IF(B76="",0,N(Students!F65))</f>
        <v>0</v>
      </c>
      <c r="I76" s="23"/>
      <c r="J76" s="24" t="n">
        <f aca="false">N(G76)+N(H76)-N(I76)</f>
        <v>0</v>
      </c>
      <c r="K76" s="33" t="n">
        <f aca="false">'Dec 2026'!N76</f>
        <v>0</v>
      </c>
      <c r="L76" s="33" t="n">
        <f aca="false">IF(B76="",0,N(Students!G65))</f>
        <v>0</v>
      </c>
      <c r="M76" s="23"/>
      <c r="N76" s="24" t="n">
        <f aca="false">N(K76)+N(L76)-N(M76)</f>
        <v>0</v>
      </c>
      <c r="O76" s="33" t="n">
        <f aca="false">'Dec 2026'!R76</f>
        <v>0</v>
      </c>
      <c r="P76" s="33" t="n">
        <f aca="false">IF(B76="",0,N(Students!H65))</f>
        <v>0</v>
      </c>
      <c r="Q76" s="23"/>
      <c r="R76" s="24" t="n">
        <f aca="false">N(O76)+N(P76)-N(Q76)</f>
        <v>0</v>
      </c>
      <c r="S76" s="33" t="n">
        <f aca="false">'Dec 2026'!V76</f>
        <v>0</v>
      </c>
      <c r="T76" s="33" t="n">
        <f aca="false">IF(B76="",0,N(Students!I65))</f>
        <v>0</v>
      </c>
      <c r="U76" s="23"/>
      <c r="V76" s="24" t="n">
        <f aca="false">N(S76)+N(T76)-N(U76)</f>
        <v>0</v>
      </c>
      <c r="W76" s="33" t="n">
        <f aca="false">'Dec 2026'!Z76</f>
        <v>0</v>
      </c>
      <c r="X76" s="33" t="n">
        <f aca="false">IF(B76="",0,N(Students!J65))</f>
        <v>0</v>
      </c>
      <c r="Y76" s="23"/>
      <c r="Z76" s="24" t="n">
        <f aca="false">N(W76)+N(X76)-N(Y76)</f>
        <v>0</v>
      </c>
      <c r="AA76" s="33" t="n">
        <f aca="false">N(E76)+N(I76)+N(M76)+N(Q76)+N(U76)+N(Y76)</f>
        <v>0</v>
      </c>
      <c r="AB76" s="24" t="n">
        <f aca="false">F76+J76+N76+R76+V76+Z76</f>
        <v>0</v>
      </c>
      <c r="AC76" s="81" t="str">
        <f aca="false">IF(B76="","",IF(AB76&lt;=0,"Clear",IF(AA76&gt;0,"Partial","Due")))</f>
        <v/>
      </c>
    </row>
    <row r="77" customFormat="false" ht="15" hidden="false" customHeight="false" outlineLevel="0" collapsed="false">
      <c r="A77" s="25" t="n">
        <v>62</v>
      </c>
      <c r="B77" s="82" t="str">
        <f aca="false">IF(Students!B66="","",Students!B66)</f>
        <v/>
      </c>
      <c r="C77" s="37" t="n">
        <f aca="false">'Dec 2026'!F77</f>
        <v>0</v>
      </c>
      <c r="D77" s="37" t="n">
        <f aca="false">IF(B77="",0,N(Students!E66))</f>
        <v>0</v>
      </c>
      <c r="E77" s="23"/>
      <c r="F77" s="26" t="n">
        <f aca="false">N(C77)+N(D77)-N(E77)</f>
        <v>0</v>
      </c>
      <c r="G77" s="37" t="n">
        <f aca="false">'Dec 2026'!J77</f>
        <v>0</v>
      </c>
      <c r="H77" s="37" t="n">
        <f aca="false">IF(B77="",0,N(Students!F66))</f>
        <v>0</v>
      </c>
      <c r="I77" s="23"/>
      <c r="J77" s="26" t="n">
        <f aca="false">N(G77)+N(H77)-N(I77)</f>
        <v>0</v>
      </c>
      <c r="K77" s="37" t="n">
        <f aca="false">'Dec 2026'!N77</f>
        <v>0</v>
      </c>
      <c r="L77" s="37" t="n">
        <f aca="false">IF(B77="",0,N(Students!G66))</f>
        <v>0</v>
      </c>
      <c r="M77" s="23"/>
      <c r="N77" s="26" t="n">
        <f aca="false">N(K77)+N(L77)-N(M77)</f>
        <v>0</v>
      </c>
      <c r="O77" s="37" t="n">
        <f aca="false">'Dec 2026'!R77</f>
        <v>0</v>
      </c>
      <c r="P77" s="37" t="n">
        <f aca="false">IF(B77="",0,N(Students!H66))</f>
        <v>0</v>
      </c>
      <c r="Q77" s="23"/>
      <c r="R77" s="26" t="n">
        <f aca="false">N(O77)+N(P77)-N(Q77)</f>
        <v>0</v>
      </c>
      <c r="S77" s="37" t="n">
        <f aca="false">'Dec 2026'!V77</f>
        <v>0</v>
      </c>
      <c r="T77" s="37" t="n">
        <f aca="false">IF(B77="",0,N(Students!I66))</f>
        <v>0</v>
      </c>
      <c r="U77" s="23"/>
      <c r="V77" s="26" t="n">
        <f aca="false">N(S77)+N(T77)-N(U77)</f>
        <v>0</v>
      </c>
      <c r="W77" s="37" t="n">
        <f aca="false">'Dec 2026'!Z77</f>
        <v>0</v>
      </c>
      <c r="X77" s="37" t="n">
        <f aca="false">IF(B77="",0,N(Students!J66))</f>
        <v>0</v>
      </c>
      <c r="Y77" s="23"/>
      <c r="Z77" s="26" t="n">
        <f aca="false">N(W77)+N(X77)-N(Y77)</f>
        <v>0</v>
      </c>
      <c r="AA77" s="37" t="n">
        <f aca="false">N(E77)+N(I77)+N(M77)+N(Q77)+N(U77)+N(Y77)</f>
        <v>0</v>
      </c>
      <c r="AB77" s="26" t="n">
        <f aca="false">F77+J77+N77+R77+V77+Z77</f>
        <v>0</v>
      </c>
      <c r="AC77" s="83" t="str">
        <f aca="false">IF(B77="","",IF(AB77&lt;=0,"Clear",IF(AA77&gt;0,"Partial","Due")))</f>
        <v/>
      </c>
    </row>
    <row r="78" customFormat="false" ht="15" hidden="false" customHeight="false" outlineLevel="0" collapsed="false">
      <c r="A78" s="21" t="n">
        <v>63</v>
      </c>
      <c r="B78" s="46" t="str">
        <f aca="false">IF(Students!B67="","",Students!B67)</f>
        <v/>
      </c>
      <c r="C78" s="33" t="n">
        <f aca="false">'Dec 2026'!F78</f>
        <v>0</v>
      </c>
      <c r="D78" s="33" t="n">
        <f aca="false">IF(B78="",0,N(Students!E67))</f>
        <v>0</v>
      </c>
      <c r="E78" s="23"/>
      <c r="F78" s="24" t="n">
        <f aca="false">N(C78)+N(D78)-N(E78)</f>
        <v>0</v>
      </c>
      <c r="G78" s="33" t="n">
        <f aca="false">'Dec 2026'!J78</f>
        <v>0</v>
      </c>
      <c r="H78" s="33" t="n">
        <f aca="false">IF(B78="",0,N(Students!F67))</f>
        <v>0</v>
      </c>
      <c r="I78" s="23"/>
      <c r="J78" s="24" t="n">
        <f aca="false">N(G78)+N(H78)-N(I78)</f>
        <v>0</v>
      </c>
      <c r="K78" s="33" t="n">
        <f aca="false">'Dec 2026'!N78</f>
        <v>0</v>
      </c>
      <c r="L78" s="33" t="n">
        <f aca="false">IF(B78="",0,N(Students!G67))</f>
        <v>0</v>
      </c>
      <c r="M78" s="23"/>
      <c r="N78" s="24" t="n">
        <f aca="false">N(K78)+N(L78)-N(M78)</f>
        <v>0</v>
      </c>
      <c r="O78" s="33" t="n">
        <f aca="false">'Dec 2026'!R78</f>
        <v>0</v>
      </c>
      <c r="P78" s="33" t="n">
        <f aca="false">IF(B78="",0,N(Students!H67))</f>
        <v>0</v>
      </c>
      <c r="Q78" s="23"/>
      <c r="R78" s="24" t="n">
        <f aca="false">N(O78)+N(P78)-N(Q78)</f>
        <v>0</v>
      </c>
      <c r="S78" s="33" t="n">
        <f aca="false">'Dec 2026'!V78</f>
        <v>0</v>
      </c>
      <c r="T78" s="33" t="n">
        <f aca="false">IF(B78="",0,N(Students!I67))</f>
        <v>0</v>
      </c>
      <c r="U78" s="23"/>
      <c r="V78" s="24" t="n">
        <f aca="false">N(S78)+N(T78)-N(U78)</f>
        <v>0</v>
      </c>
      <c r="W78" s="33" t="n">
        <f aca="false">'Dec 2026'!Z78</f>
        <v>0</v>
      </c>
      <c r="X78" s="33" t="n">
        <f aca="false">IF(B78="",0,N(Students!J67))</f>
        <v>0</v>
      </c>
      <c r="Y78" s="23"/>
      <c r="Z78" s="24" t="n">
        <f aca="false">N(W78)+N(X78)-N(Y78)</f>
        <v>0</v>
      </c>
      <c r="AA78" s="33" t="n">
        <f aca="false">N(E78)+N(I78)+N(M78)+N(Q78)+N(U78)+N(Y78)</f>
        <v>0</v>
      </c>
      <c r="AB78" s="24" t="n">
        <f aca="false">F78+J78+N78+R78+V78+Z78</f>
        <v>0</v>
      </c>
      <c r="AC78" s="81" t="str">
        <f aca="false">IF(B78="","",IF(AB78&lt;=0,"Clear",IF(AA78&gt;0,"Partial","Due")))</f>
        <v/>
      </c>
    </row>
    <row r="79" customFormat="false" ht="15" hidden="false" customHeight="false" outlineLevel="0" collapsed="false">
      <c r="A79" s="25" t="n">
        <v>64</v>
      </c>
      <c r="B79" s="82" t="str">
        <f aca="false">IF(Students!B68="","",Students!B68)</f>
        <v/>
      </c>
      <c r="C79" s="37" t="n">
        <f aca="false">'Dec 2026'!F79</f>
        <v>0</v>
      </c>
      <c r="D79" s="37" t="n">
        <f aca="false">IF(B79="",0,N(Students!E68))</f>
        <v>0</v>
      </c>
      <c r="E79" s="23"/>
      <c r="F79" s="26" t="n">
        <f aca="false">N(C79)+N(D79)-N(E79)</f>
        <v>0</v>
      </c>
      <c r="G79" s="37" t="n">
        <f aca="false">'Dec 2026'!J79</f>
        <v>0</v>
      </c>
      <c r="H79" s="37" t="n">
        <f aca="false">IF(B79="",0,N(Students!F68))</f>
        <v>0</v>
      </c>
      <c r="I79" s="23"/>
      <c r="J79" s="26" t="n">
        <f aca="false">N(G79)+N(H79)-N(I79)</f>
        <v>0</v>
      </c>
      <c r="K79" s="37" t="n">
        <f aca="false">'Dec 2026'!N79</f>
        <v>0</v>
      </c>
      <c r="L79" s="37" t="n">
        <f aca="false">IF(B79="",0,N(Students!G68))</f>
        <v>0</v>
      </c>
      <c r="M79" s="23"/>
      <c r="N79" s="26" t="n">
        <f aca="false">N(K79)+N(L79)-N(M79)</f>
        <v>0</v>
      </c>
      <c r="O79" s="37" t="n">
        <f aca="false">'Dec 2026'!R79</f>
        <v>0</v>
      </c>
      <c r="P79" s="37" t="n">
        <f aca="false">IF(B79="",0,N(Students!H68))</f>
        <v>0</v>
      </c>
      <c r="Q79" s="23"/>
      <c r="R79" s="26" t="n">
        <f aca="false">N(O79)+N(P79)-N(Q79)</f>
        <v>0</v>
      </c>
      <c r="S79" s="37" t="n">
        <f aca="false">'Dec 2026'!V79</f>
        <v>0</v>
      </c>
      <c r="T79" s="37" t="n">
        <f aca="false">IF(B79="",0,N(Students!I68))</f>
        <v>0</v>
      </c>
      <c r="U79" s="23"/>
      <c r="V79" s="26" t="n">
        <f aca="false">N(S79)+N(T79)-N(U79)</f>
        <v>0</v>
      </c>
      <c r="W79" s="37" t="n">
        <f aca="false">'Dec 2026'!Z79</f>
        <v>0</v>
      </c>
      <c r="X79" s="37" t="n">
        <f aca="false">IF(B79="",0,N(Students!J68))</f>
        <v>0</v>
      </c>
      <c r="Y79" s="23"/>
      <c r="Z79" s="26" t="n">
        <f aca="false">N(W79)+N(X79)-N(Y79)</f>
        <v>0</v>
      </c>
      <c r="AA79" s="37" t="n">
        <f aca="false">N(E79)+N(I79)+N(M79)+N(Q79)+N(U79)+N(Y79)</f>
        <v>0</v>
      </c>
      <c r="AB79" s="26" t="n">
        <f aca="false">F79+J79+N79+R79+V79+Z79</f>
        <v>0</v>
      </c>
      <c r="AC79" s="83" t="str">
        <f aca="false">IF(B79="","",IF(AB79&lt;=0,"Clear",IF(AA79&gt;0,"Partial","Due")))</f>
        <v/>
      </c>
    </row>
    <row r="80" customFormat="false" ht="15" hidden="false" customHeight="false" outlineLevel="0" collapsed="false">
      <c r="A80" s="21" t="n">
        <v>65</v>
      </c>
      <c r="B80" s="46" t="str">
        <f aca="false">IF(Students!B69="","",Students!B69)</f>
        <v/>
      </c>
      <c r="C80" s="33" t="n">
        <f aca="false">'Dec 2026'!F80</f>
        <v>0</v>
      </c>
      <c r="D80" s="33" t="n">
        <f aca="false">IF(B80="",0,N(Students!E69))</f>
        <v>0</v>
      </c>
      <c r="E80" s="23"/>
      <c r="F80" s="24" t="n">
        <f aca="false">N(C80)+N(D80)-N(E80)</f>
        <v>0</v>
      </c>
      <c r="G80" s="33" t="n">
        <f aca="false">'Dec 2026'!J80</f>
        <v>0</v>
      </c>
      <c r="H80" s="33" t="n">
        <f aca="false">IF(B80="",0,N(Students!F69))</f>
        <v>0</v>
      </c>
      <c r="I80" s="23"/>
      <c r="J80" s="24" t="n">
        <f aca="false">N(G80)+N(H80)-N(I80)</f>
        <v>0</v>
      </c>
      <c r="K80" s="33" t="n">
        <f aca="false">'Dec 2026'!N80</f>
        <v>0</v>
      </c>
      <c r="L80" s="33" t="n">
        <f aca="false">IF(B80="",0,N(Students!G69))</f>
        <v>0</v>
      </c>
      <c r="M80" s="23"/>
      <c r="N80" s="24" t="n">
        <f aca="false">N(K80)+N(L80)-N(M80)</f>
        <v>0</v>
      </c>
      <c r="O80" s="33" t="n">
        <f aca="false">'Dec 2026'!R80</f>
        <v>0</v>
      </c>
      <c r="P80" s="33" t="n">
        <f aca="false">IF(B80="",0,N(Students!H69))</f>
        <v>0</v>
      </c>
      <c r="Q80" s="23"/>
      <c r="R80" s="24" t="n">
        <f aca="false">N(O80)+N(P80)-N(Q80)</f>
        <v>0</v>
      </c>
      <c r="S80" s="33" t="n">
        <f aca="false">'Dec 2026'!V80</f>
        <v>0</v>
      </c>
      <c r="T80" s="33" t="n">
        <f aca="false">IF(B80="",0,N(Students!I69))</f>
        <v>0</v>
      </c>
      <c r="U80" s="23"/>
      <c r="V80" s="24" t="n">
        <f aca="false">N(S80)+N(T80)-N(U80)</f>
        <v>0</v>
      </c>
      <c r="W80" s="33" t="n">
        <f aca="false">'Dec 2026'!Z80</f>
        <v>0</v>
      </c>
      <c r="X80" s="33" t="n">
        <f aca="false">IF(B80="",0,N(Students!J69))</f>
        <v>0</v>
      </c>
      <c r="Y80" s="23"/>
      <c r="Z80" s="24" t="n">
        <f aca="false">N(W80)+N(X80)-N(Y80)</f>
        <v>0</v>
      </c>
      <c r="AA80" s="33" t="n">
        <f aca="false">N(E80)+N(I80)+N(M80)+N(Q80)+N(U80)+N(Y80)</f>
        <v>0</v>
      </c>
      <c r="AB80" s="24" t="n">
        <f aca="false">F80+J80+N80+R80+V80+Z80</f>
        <v>0</v>
      </c>
      <c r="AC80" s="81" t="str">
        <f aca="false">IF(B80="","",IF(AB80&lt;=0,"Clear",IF(AA80&gt;0,"Partial","Due")))</f>
        <v/>
      </c>
    </row>
    <row r="81" customFormat="false" ht="15" hidden="false" customHeight="false" outlineLevel="0" collapsed="false">
      <c r="A81" s="25" t="n">
        <v>66</v>
      </c>
      <c r="B81" s="82" t="str">
        <f aca="false">IF(Students!B70="","",Students!B70)</f>
        <v/>
      </c>
      <c r="C81" s="37" t="n">
        <f aca="false">'Dec 2026'!F81</f>
        <v>0</v>
      </c>
      <c r="D81" s="37" t="n">
        <f aca="false">IF(B81="",0,N(Students!E70))</f>
        <v>0</v>
      </c>
      <c r="E81" s="23"/>
      <c r="F81" s="26" t="n">
        <f aca="false">N(C81)+N(D81)-N(E81)</f>
        <v>0</v>
      </c>
      <c r="G81" s="37" t="n">
        <f aca="false">'Dec 2026'!J81</f>
        <v>0</v>
      </c>
      <c r="H81" s="37" t="n">
        <f aca="false">IF(B81="",0,N(Students!F70))</f>
        <v>0</v>
      </c>
      <c r="I81" s="23"/>
      <c r="J81" s="26" t="n">
        <f aca="false">N(G81)+N(H81)-N(I81)</f>
        <v>0</v>
      </c>
      <c r="K81" s="37" t="n">
        <f aca="false">'Dec 2026'!N81</f>
        <v>0</v>
      </c>
      <c r="L81" s="37" t="n">
        <f aca="false">IF(B81="",0,N(Students!G70))</f>
        <v>0</v>
      </c>
      <c r="M81" s="23"/>
      <c r="N81" s="26" t="n">
        <f aca="false">N(K81)+N(L81)-N(M81)</f>
        <v>0</v>
      </c>
      <c r="O81" s="37" t="n">
        <f aca="false">'Dec 2026'!R81</f>
        <v>0</v>
      </c>
      <c r="P81" s="37" t="n">
        <f aca="false">IF(B81="",0,N(Students!H70))</f>
        <v>0</v>
      </c>
      <c r="Q81" s="23"/>
      <c r="R81" s="26" t="n">
        <f aca="false">N(O81)+N(P81)-N(Q81)</f>
        <v>0</v>
      </c>
      <c r="S81" s="37" t="n">
        <f aca="false">'Dec 2026'!V81</f>
        <v>0</v>
      </c>
      <c r="T81" s="37" t="n">
        <f aca="false">IF(B81="",0,N(Students!I70))</f>
        <v>0</v>
      </c>
      <c r="U81" s="23"/>
      <c r="V81" s="26" t="n">
        <f aca="false">N(S81)+N(T81)-N(U81)</f>
        <v>0</v>
      </c>
      <c r="W81" s="37" t="n">
        <f aca="false">'Dec 2026'!Z81</f>
        <v>0</v>
      </c>
      <c r="X81" s="37" t="n">
        <f aca="false">IF(B81="",0,N(Students!J70))</f>
        <v>0</v>
      </c>
      <c r="Y81" s="23"/>
      <c r="Z81" s="26" t="n">
        <f aca="false">N(W81)+N(X81)-N(Y81)</f>
        <v>0</v>
      </c>
      <c r="AA81" s="37" t="n">
        <f aca="false">N(E81)+N(I81)+N(M81)+N(Q81)+N(U81)+N(Y81)</f>
        <v>0</v>
      </c>
      <c r="AB81" s="26" t="n">
        <f aca="false">F81+J81+N81+R81+V81+Z81</f>
        <v>0</v>
      </c>
      <c r="AC81" s="83" t="str">
        <f aca="false">IF(B81="","",IF(AB81&lt;=0,"Clear",IF(AA81&gt;0,"Partial","Due")))</f>
        <v/>
      </c>
    </row>
    <row r="82" customFormat="false" ht="15" hidden="false" customHeight="false" outlineLevel="0" collapsed="false">
      <c r="A82" s="21" t="n">
        <v>67</v>
      </c>
      <c r="B82" s="46" t="str">
        <f aca="false">IF(Students!B71="","",Students!B71)</f>
        <v/>
      </c>
      <c r="C82" s="33" t="n">
        <f aca="false">'Dec 2026'!F82</f>
        <v>0</v>
      </c>
      <c r="D82" s="33" t="n">
        <f aca="false">IF(B82="",0,N(Students!E71))</f>
        <v>0</v>
      </c>
      <c r="E82" s="23"/>
      <c r="F82" s="24" t="n">
        <f aca="false">N(C82)+N(D82)-N(E82)</f>
        <v>0</v>
      </c>
      <c r="G82" s="33" t="n">
        <f aca="false">'Dec 2026'!J82</f>
        <v>0</v>
      </c>
      <c r="H82" s="33" t="n">
        <f aca="false">IF(B82="",0,N(Students!F71))</f>
        <v>0</v>
      </c>
      <c r="I82" s="23"/>
      <c r="J82" s="24" t="n">
        <f aca="false">N(G82)+N(H82)-N(I82)</f>
        <v>0</v>
      </c>
      <c r="K82" s="33" t="n">
        <f aca="false">'Dec 2026'!N82</f>
        <v>0</v>
      </c>
      <c r="L82" s="33" t="n">
        <f aca="false">IF(B82="",0,N(Students!G71))</f>
        <v>0</v>
      </c>
      <c r="M82" s="23"/>
      <c r="N82" s="24" t="n">
        <f aca="false">N(K82)+N(L82)-N(M82)</f>
        <v>0</v>
      </c>
      <c r="O82" s="33" t="n">
        <f aca="false">'Dec 2026'!R82</f>
        <v>0</v>
      </c>
      <c r="P82" s="33" t="n">
        <f aca="false">IF(B82="",0,N(Students!H71))</f>
        <v>0</v>
      </c>
      <c r="Q82" s="23"/>
      <c r="R82" s="24" t="n">
        <f aca="false">N(O82)+N(P82)-N(Q82)</f>
        <v>0</v>
      </c>
      <c r="S82" s="33" t="n">
        <f aca="false">'Dec 2026'!V82</f>
        <v>0</v>
      </c>
      <c r="T82" s="33" t="n">
        <f aca="false">IF(B82="",0,N(Students!I71))</f>
        <v>0</v>
      </c>
      <c r="U82" s="23"/>
      <c r="V82" s="24" t="n">
        <f aca="false">N(S82)+N(T82)-N(U82)</f>
        <v>0</v>
      </c>
      <c r="W82" s="33" t="n">
        <f aca="false">'Dec 2026'!Z82</f>
        <v>0</v>
      </c>
      <c r="X82" s="33" t="n">
        <f aca="false">IF(B82="",0,N(Students!J71))</f>
        <v>0</v>
      </c>
      <c r="Y82" s="23"/>
      <c r="Z82" s="24" t="n">
        <f aca="false">N(W82)+N(X82)-N(Y82)</f>
        <v>0</v>
      </c>
      <c r="AA82" s="33" t="n">
        <f aca="false">N(E82)+N(I82)+N(M82)+N(Q82)+N(U82)+N(Y82)</f>
        <v>0</v>
      </c>
      <c r="AB82" s="24" t="n">
        <f aca="false">F82+J82+N82+R82+V82+Z82</f>
        <v>0</v>
      </c>
      <c r="AC82" s="81" t="str">
        <f aca="false">IF(B82="","",IF(AB82&lt;=0,"Clear",IF(AA82&gt;0,"Partial","Due")))</f>
        <v/>
      </c>
    </row>
    <row r="83" customFormat="false" ht="15" hidden="false" customHeight="false" outlineLevel="0" collapsed="false">
      <c r="A83" s="25" t="n">
        <v>68</v>
      </c>
      <c r="B83" s="82" t="str">
        <f aca="false">IF(Students!B72="","",Students!B72)</f>
        <v/>
      </c>
      <c r="C83" s="37" t="n">
        <f aca="false">'Dec 2026'!F83</f>
        <v>0</v>
      </c>
      <c r="D83" s="37" t="n">
        <f aca="false">IF(B83="",0,N(Students!E72))</f>
        <v>0</v>
      </c>
      <c r="E83" s="23"/>
      <c r="F83" s="26" t="n">
        <f aca="false">N(C83)+N(D83)-N(E83)</f>
        <v>0</v>
      </c>
      <c r="G83" s="37" t="n">
        <f aca="false">'Dec 2026'!J83</f>
        <v>0</v>
      </c>
      <c r="H83" s="37" t="n">
        <f aca="false">IF(B83="",0,N(Students!F72))</f>
        <v>0</v>
      </c>
      <c r="I83" s="23"/>
      <c r="J83" s="26" t="n">
        <f aca="false">N(G83)+N(H83)-N(I83)</f>
        <v>0</v>
      </c>
      <c r="K83" s="37" t="n">
        <f aca="false">'Dec 2026'!N83</f>
        <v>0</v>
      </c>
      <c r="L83" s="37" t="n">
        <f aca="false">IF(B83="",0,N(Students!G72))</f>
        <v>0</v>
      </c>
      <c r="M83" s="23"/>
      <c r="N83" s="26" t="n">
        <f aca="false">N(K83)+N(L83)-N(M83)</f>
        <v>0</v>
      </c>
      <c r="O83" s="37" t="n">
        <f aca="false">'Dec 2026'!R83</f>
        <v>0</v>
      </c>
      <c r="P83" s="37" t="n">
        <f aca="false">IF(B83="",0,N(Students!H72))</f>
        <v>0</v>
      </c>
      <c r="Q83" s="23"/>
      <c r="R83" s="26" t="n">
        <f aca="false">N(O83)+N(P83)-N(Q83)</f>
        <v>0</v>
      </c>
      <c r="S83" s="37" t="n">
        <f aca="false">'Dec 2026'!V83</f>
        <v>0</v>
      </c>
      <c r="T83" s="37" t="n">
        <f aca="false">IF(B83="",0,N(Students!I72))</f>
        <v>0</v>
      </c>
      <c r="U83" s="23"/>
      <c r="V83" s="26" t="n">
        <f aca="false">N(S83)+N(T83)-N(U83)</f>
        <v>0</v>
      </c>
      <c r="W83" s="37" t="n">
        <f aca="false">'Dec 2026'!Z83</f>
        <v>0</v>
      </c>
      <c r="X83" s="37" t="n">
        <f aca="false">IF(B83="",0,N(Students!J72))</f>
        <v>0</v>
      </c>
      <c r="Y83" s="23"/>
      <c r="Z83" s="26" t="n">
        <f aca="false">N(W83)+N(X83)-N(Y83)</f>
        <v>0</v>
      </c>
      <c r="AA83" s="37" t="n">
        <f aca="false">N(E83)+N(I83)+N(M83)+N(Q83)+N(U83)+N(Y83)</f>
        <v>0</v>
      </c>
      <c r="AB83" s="26" t="n">
        <f aca="false">F83+J83+N83+R83+V83+Z83</f>
        <v>0</v>
      </c>
      <c r="AC83" s="83" t="str">
        <f aca="false">IF(B83="","",IF(AB83&lt;=0,"Clear",IF(AA83&gt;0,"Partial","Due")))</f>
        <v/>
      </c>
    </row>
    <row r="84" customFormat="false" ht="15" hidden="false" customHeight="false" outlineLevel="0" collapsed="false">
      <c r="A84" s="21" t="n">
        <v>69</v>
      </c>
      <c r="B84" s="46" t="str">
        <f aca="false">IF(Students!B73="","",Students!B73)</f>
        <v/>
      </c>
      <c r="C84" s="33" t="n">
        <f aca="false">'Dec 2026'!F84</f>
        <v>0</v>
      </c>
      <c r="D84" s="33" t="n">
        <f aca="false">IF(B84="",0,N(Students!E73))</f>
        <v>0</v>
      </c>
      <c r="E84" s="23"/>
      <c r="F84" s="24" t="n">
        <f aca="false">N(C84)+N(D84)-N(E84)</f>
        <v>0</v>
      </c>
      <c r="G84" s="33" t="n">
        <f aca="false">'Dec 2026'!J84</f>
        <v>0</v>
      </c>
      <c r="H84" s="33" t="n">
        <f aca="false">IF(B84="",0,N(Students!F73))</f>
        <v>0</v>
      </c>
      <c r="I84" s="23"/>
      <c r="J84" s="24" t="n">
        <f aca="false">N(G84)+N(H84)-N(I84)</f>
        <v>0</v>
      </c>
      <c r="K84" s="33" t="n">
        <f aca="false">'Dec 2026'!N84</f>
        <v>0</v>
      </c>
      <c r="L84" s="33" t="n">
        <f aca="false">IF(B84="",0,N(Students!G73))</f>
        <v>0</v>
      </c>
      <c r="M84" s="23"/>
      <c r="N84" s="24" t="n">
        <f aca="false">N(K84)+N(L84)-N(M84)</f>
        <v>0</v>
      </c>
      <c r="O84" s="33" t="n">
        <f aca="false">'Dec 2026'!R84</f>
        <v>0</v>
      </c>
      <c r="P84" s="33" t="n">
        <f aca="false">IF(B84="",0,N(Students!H73))</f>
        <v>0</v>
      </c>
      <c r="Q84" s="23"/>
      <c r="R84" s="24" t="n">
        <f aca="false">N(O84)+N(P84)-N(Q84)</f>
        <v>0</v>
      </c>
      <c r="S84" s="33" t="n">
        <f aca="false">'Dec 2026'!V84</f>
        <v>0</v>
      </c>
      <c r="T84" s="33" t="n">
        <f aca="false">IF(B84="",0,N(Students!I73))</f>
        <v>0</v>
      </c>
      <c r="U84" s="23"/>
      <c r="V84" s="24" t="n">
        <f aca="false">N(S84)+N(T84)-N(U84)</f>
        <v>0</v>
      </c>
      <c r="W84" s="33" t="n">
        <f aca="false">'Dec 2026'!Z84</f>
        <v>0</v>
      </c>
      <c r="X84" s="33" t="n">
        <f aca="false">IF(B84="",0,N(Students!J73))</f>
        <v>0</v>
      </c>
      <c r="Y84" s="23"/>
      <c r="Z84" s="24" t="n">
        <f aca="false">N(W84)+N(X84)-N(Y84)</f>
        <v>0</v>
      </c>
      <c r="AA84" s="33" t="n">
        <f aca="false">N(E84)+N(I84)+N(M84)+N(Q84)+N(U84)+N(Y84)</f>
        <v>0</v>
      </c>
      <c r="AB84" s="24" t="n">
        <f aca="false">F84+J84+N84+R84+V84+Z84</f>
        <v>0</v>
      </c>
      <c r="AC84" s="81" t="str">
        <f aca="false">IF(B84="","",IF(AB84&lt;=0,"Clear",IF(AA84&gt;0,"Partial","Due")))</f>
        <v/>
      </c>
    </row>
    <row r="85" customFormat="false" ht="15" hidden="false" customHeight="false" outlineLevel="0" collapsed="false">
      <c r="A85" s="25" t="n">
        <v>70</v>
      </c>
      <c r="B85" s="82" t="str">
        <f aca="false">IF(Students!B74="","",Students!B74)</f>
        <v/>
      </c>
      <c r="C85" s="37" t="n">
        <f aca="false">'Dec 2026'!F85</f>
        <v>0</v>
      </c>
      <c r="D85" s="37" t="n">
        <f aca="false">IF(B85="",0,N(Students!E74))</f>
        <v>0</v>
      </c>
      <c r="E85" s="23"/>
      <c r="F85" s="26" t="n">
        <f aca="false">N(C85)+N(D85)-N(E85)</f>
        <v>0</v>
      </c>
      <c r="G85" s="37" t="n">
        <f aca="false">'Dec 2026'!J85</f>
        <v>0</v>
      </c>
      <c r="H85" s="37" t="n">
        <f aca="false">IF(B85="",0,N(Students!F74))</f>
        <v>0</v>
      </c>
      <c r="I85" s="23"/>
      <c r="J85" s="26" t="n">
        <f aca="false">N(G85)+N(H85)-N(I85)</f>
        <v>0</v>
      </c>
      <c r="K85" s="37" t="n">
        <f aca="false">'Dec 2026'!N85</f>
        <v>0</v>
      </c>
      <c r="L85" s="37" t="n">
        <f aca="false">IF(B85="",0,N(Students!G74))</f>
        <v>0</v>
      </c>
      <c r="M85" s="23"/>
      <c r="N85" s="26" t="n">
        <f aca="false">N(K85)+N(L85)-N(M85)</f>
        <v>0</v>
      </c>
      <c r="O85" s="37" t="n">
        <f aca="false">'Dec 2026'!R85</f>
        <v>0</v>
      </c>
      <c r="P85" s="37" t="n">
        <f aca="false">IF(B85="",0,N(Students!H74))</f>
        <v>0</v>
      </c>
      <c r="Q85" s="23"/>
      <c r="R85" s="26" t="n">
        <f aca="false">N(O85)+N(P85)-N(Q85)</f>
        <v>0</v>
      </c>
      <c r="S85" s="37" t="n">
        <f aca="false">'Dec 2026'!V85</f>
        <v>0</v>
      </c>
      <c r="T85" s="37" t="n">
        <f aca="false">IF(B85="",0,N(Students!I74))</f>
        <v>0</v>
      </c>
      <c r="U85" s="23"/>
      <c r="V85" s="26" t="n">
        <f aca="false">N(S85)+N(T85)-N(U85)</f>
        <v>0</v>
      </c>
      <c r="W85" s="37" t="n">
        <f aca="false">'Dec 2026'!Z85</f>
        <v>0</v>
      </c>
      <c r="X85" s="37" t="n">
        <f aca="false">IF(B85="",0,N(Students!J74))</f>
        <v>0</v>
      </c>
      <c r="Y85" s="23"/>
      <c r="Z85" s="26" t="n">
        <f aca="false">N(W85)+N(X85)-N(Y85)</f>
        <v>0</v>
      </c>
      <c r="AA85" s="37" t="n">
        <f aca="false">N(E85)+N(I85)+N(M85)+N(Q85)+N(U85)+N(Y85)</f>
        <v>0</v>
      </c>
      <c r="AB85" s="26" t="n">
        <f aca="false">F85+J85+N85+R85+V85+Z85</f>
        <v>0</v>
      </c>
      <c r="AC85" s="83" t="str">
        <f aca="false">IF(B85="","",IF(AB85&lt;=0,"Clear",IF(AA85&gt;0,"Partial","Due")))</f>
        <v/>
      </c>
    </row>
    <row r="86" customFormat="false" ht="15" hidden="false" customHeight="false" outlineLevel="0" collapsed="false">
      <c r="A86" s="21" t="n">
        <v>71</v>
      </c>
      <c r="B86" s="46" t="str">
        <f aca="false">IF(Students!B75="","",Students!B75)</f>
        <v/>
      </c>
      <c r="C86" s="33" t="n">
        <f aca="false">'Dec 2026'!F86</f>
        <v>0</v>
      </c>
      <c r="D86" s="33" t="n">
        <f aca="false">IF(B86="",0,N(Students!E75))</f>
        <v>0</v>
      </c>
      <c r="E86" s="23"/>
      <c r="F86" s="24" t="n">
        <f aca="false">N(C86)+N(D86)-N(E86)</f>
        <v>0</v>
      </c>
      <c r="G86" s="33" t="n">
        <f aca="false">'Dec 2026'!J86</f>
        <v>0</v>
      </c>
      <c r="H86" s="33" t="n">
        <f aca="false">IF(B86="",0,N(Students!F75))</f>
        <v>0</v>
      </c>
      <c r="I86" s="23"/>
      <c r="J86" s="24" t="n">
        <f aca="false">N(G86)+N(H86)-N(I86)</f>
        <v>0</v>
      </c>
      <c r="K86" s="33" t="n">
        <f aca="false">'Dec 2026'!N86</f>
        <v>0</v>
      </c>
      <c r="L86" s="33" t="n">
        <f aca="false">IF(B86="",0,N(Students!G75))</f>
        <v>0</v>
      </c>
      <c r="M86" s="23"/>
      <c r="N86" s="24" t="n">
        <f aca="false">N(K86)+N(L86)-N(M86)</f>
        <v>0</v>
      </c>
      <c r="O86" s="33" t="n">
        <f aca="false">'Dec 2026'!R86</f>
        <v>0</v>
      </c>
      <c r="P86" s="33" t="n">
        <f aca="false">IF(B86="",0,N(Students!H75))</f>
        <v>0</v>
      </c>
      <c r="Q86" s="23"/>
      <c r="R86" s="24" t="n">
        <f aca="false">N(O86)+N(P86)-N(Q86)</f>
        <v>0</v>
      </c>
      <c r="S86" s="33" t="n">
        <f aca="false">'Dec 2026'!V86</f>
        <v>0</v>
      </c>
      <c r="T86" s="33" t="n">
        <f aca="false">IF(B86="",0,N(Students!I75))</f>
        <v>0</v>
      </c>
      <c r="U86" s="23"/>
      <c r="V86" s="24" t="n">
        <f aca="false">N(S86)+N(T86)-N(U86)</f>
        <v>0</v>
      </c>
      <c r="W86" s="33" t="n">
        <f aca="false">'Dec 2026'!Z86</f>
        <v>0</v>
      </c>
      <c r="X86" s="33" t="n">
        <f aca="false">IF(B86="",0,N(Students!J75))</f>
        <v>0</v>
      </c>
      <c r="Y86" s="23"/>
      <c r="Z86" s="24" t="n">
        <f aca="false">N(W86)+N(X86)-N(Y86)</f>
        <v>0</v>
      </c>
      <c r="AA86" s="33" t="n">
        <f aca="false">N(E86)+N(I86)+N(M86)+N(Q86)+N(U86)+N(Y86)</f>
        <v>0</v>
      </c>
      <c r="AB86" s="24" t="n">
        <f aca="false">F86+J86+N86+R86+V86+Z86</f>
        <v>0</v>
      </c>
      <c r="AC86" s="81" t="str">
        <f aca="false">IF(B86="","",IF(AB86&lt;=0,"Clear",IF(AA86&gt;0,"Partial","Due")))</f>
        <v/>
      </c>
    </row>
    <row r="87" customFormat="false" ht="15" hidden="false" customHeight="false" outlineLevel="0" collapsed="false">
      <c r="A87" s="25" t="n">
        <v>72</v>
      </c>
      <c r="B87" s="82" t="str">
        <f aca="false">IF(Students!B76="","",Students!B76)</f>
        <v/>
      </c>
      <c r="C87" s="37" t="n">
        <f aca="false">'Dec 2026'!F87</f>
        <v>0</v>
      </c>
      <c r="D87" s="37" t="n">
        <f aca="false">IF(B87="",0,N(Students!E76))</f>
        <v>0</v>
      </c>
      <c r="E87" s="23"/>
      <c r="F87" s="26" t="n">
        <f aca="false">N(C87)+N(D87)-N(E87)</f>
        <v>0</v>
      </c>
      <c r="G87" s="37" t="n">
        <f aca="false">'Dec 2026'!J87</f>
        <v>0</v>
      </c>
      <c r="H87" s="37" t="n">
        <f aca="false">IF(B87="",0,N(Students!F76))</f>
        <v>0</v>
      </c>
      <c r="I87" s="23"/>
      <c r="J87" s="26" t="n">
        <f aca="false">N(G87)+N(H87)-N(I87)</f>
        <v>0</v>
      </c>
      <c r="K87" s="37" t="n">
        <f aca="false">'Dec 2026'!N87</f>
        <v>0</v>
      </c>
      <c r="L87" s="37" t="n">
        <f aca="false">IF(B87="",0,N(Students!G76))</f>
        <v>0</v>
      </c>
      <c r="M87" s="23"/>
      <c r="N87" s="26" t="n">
        <f aca="false">N(K87)+N(L87)-N(M87)</f>
        <v>0</v>
      </c>
      <c r="O87" s="37" t="n">
        <f aca="false">'Dec 2026'!R87</f>
        <v>0</v>
      </c>
      <c r="P87" s="37" t="n">
        <f aca="false">IF(B87="",0,N(Students!H76))</f>
        <v>0</v>
      </c>
      <c r="Q87" s="23"/>
      <c r="R87" s="26" t="n">
        <f aca="false">N(O87)+N(P87)-N(Q87)</f>
        <v>0</v>
      </c>
      <c r="S87" s="37" t="n">
        <f aca="false">'Dec 2026'!V87</f>
        <v>0</v>
      </c>
      <c r="T87" s="37" t="n">
        <f aca="false">IF(B87="",0,N(Students!I76))</f>
        <v>0</v>
      </c>
      <c r="U87" s="23"/>
      <c r="V87" s="26" t="n">
        <f aca="false">N(S87)+N(T87)-N(U87)</f>
        <v>0</v>
      </c>
      <c r="W87" s="37" t="n">
        <f aca="false">'Dec 2026'!Z87</f>
        <v>0</v>
      </c>
      <c r="X87" s="37" t="n">
        <f aca="false">IF(B87="",0,N(Students!J76))</f>
        <v>0</v>
      </c>
      <c r="Y87" s="23"/>
      <c r="Z87" s="26" t="n">
        <f aca="false">N(W87)+N(X87)-N(Y87)</f>
        <v>0</v>
      </c>
      <c r="AA87" s="37" t="n">
        <f aca="false">N(E87)+N(I87)+N(M87)+N(Q87)+N(U87)+N(Y87)</f>
        <v>0</v>
      </c>
      <c r="AB87" s="26" t="n">
        <f aca="false">F87+J87+N87+R87+V87+Z87</f>
        <v>0</v>
      </c>
      <c r="AC87" s="83" t="str">
        <f aca="false">IF(B87="","",IF(AB87&lt;=0,"Clear",IF(AA87&gt;0,"Partial","Due")))</f>
        <v/>
      </c>
    </row>
    <row r="88" customFormat="false" ht="15" hidden="false" customHeight="false" outlineLevel="0" collapsed="false">
      <c r="A88" s="21" t="n">
        <v>73</v>
      </c>
      <c r="B88" s="46" t="str">
        <f aca="false">IF(Students!B77="","",Students!B77)</f>
        <v/>
      </c>
      <c r="C88" s="33" t="n">
        <f aca="false">'Dec 2026'!F88</f>
        <v>0</v>
      </c>
      <c r="D88" s="33" t="n">
        <f aca="false">IF(B88="",0,N(Students!E77))</f>
        <v>0</v>
      </c>
      <c r="E88" s="23"/>
      <c r="F88" s="24" t="n">
        <f aca="false">N(C88)+N(D88)-N(E88)</f>
        <v>0</v>
      </c>
      <c r="G88" s="33" t="n">
        <f aca="false">'Dec 2026'!J88</f>
        <v>0</v>
      </c>
      <c r="H88" s="33" t="n">
        <f aca="false">IF(B88="",0,N(Students!F77))</f>
        <v>0</v>
      </c>
      <c r="I88" s="23"/>
      <c r="J88" s="24" t="n">
        <f aca="false">N(G88)+N(H88)-N(I88)</f>
        <v>0</v>
      </c>
      <c r="K88" s="33" t="n">
        <f aca="false">'Dec 2026'!N88</f>
        <v>0</v>
      </c>
      <c r="L88" s="33" t="n">
        <f aca="false">IF(B88="",0,N(Students!G77))</f>
        <v>0</v>
      </c>
      <c r="M88" s="23"/>
      <c r="N88" s="24" t="n">
        <f aca="false">N(K88)+N(L88)-N(M88)</f>
        <v>0</v>
      </c>
      <c r="O88" s="33" t="n">
        <f aca="false">'Dec 2026'!R88</f>
        <v>0</v>
      </c>
      <c r="P88" s="33" t="n">
        <f aca="false">IF(B88="",0,N(Students!H77))</f>
        <v>0</v>
      </c>
      <c r="Q88" s="23"/>
      <c r="R88" s="24" t="n">
        <f aca="false">N(O88)+N(P88)-N(Q88)</f>
        <v>0</v>
      </c>
      <c r="S88" s="33" t="n">
        <f aca="false">'Dec 2026'!V88</f>
        <v>0</v>
      </c>
      <c r="T88" s="33" t="n">
        <f aca="false">IF(B88="",0,N(Students!I77))</f>
        <v>0</v>
      </c>
      <c r="U88" s="23"/>
      <c r="V88" s="24" t="n">
        <f aca="false">N(S88)+N(T88)-N(U88)</f>
        <v>0</v>
      </c>
      <c r="W88" s="33" t="n">
        <f aca="false">'Dec 2026'!Z88</f>
        <v>0</v>
      </c>
      <c r="X88" s="33" t="n">
        <f aca="false">IF(B88="",0,N(Students!J77))</f>
        <v>0</v>
      </c>
      <c r="Y88" s="23"/>
      <c r="Z88" s="24" t="n">
        <f aca="false">N(W88)+N(X88)-N(Y88)</f>
        <v>0</v>
      </c>
      <c r="AA88" s="33" t="n">
        <f aca="false">N(E88)+N(I88)+N(M88)+N(Q88)+N(U88)+N(Y88)</f>
        <v>0</v>
      </c>
      <c r="AB88" s="24" t="n">
        <f aca="false">F88+J88+N88+R88+V88+Z88</f>
        <v>0</v>
      </c>
      <c r="AC88" s="81" t="str">
        <f aca="false">IF(B88="","",IF(AB88&lt;=0,"Clear",IF(AA88&gt;0,"Partial","Due")))</f>
        <v/>
      </c>
    </row>
    <row r="89" customFormat="false" ht="15" hidden="false" customHeight="false" outlineLevel="0" collapsed="false">
      <c r="A89" s="25" t="n">
        <v>74</v>
      </c>
      <c r="B89" s="82" t="str">
        <f aca="false">IF(Students!B78="","",Students!B78)</f>
        <v/>
      </c>
      <c r="C89" s="37" t="n">
        <f aca="false">'Dec 2026'!F89</f>
        <v>0</v>
      </c>
      <c r="D89" s="37" t="n">
        <f aca="false">IF(B89="",0,N(Students!E78))</f>
        <v>0</v>
      </c>
      <c r="E89" s="23"/>
      <c r="F89" s="26" t="n">
        <f aca="false">N(C89)+N(D89)-N(E89)</f>
        <v>0</v>
      </c>
      <c r="G89" s="37" t="n">
        <f aca="false">'Dec 2026'!J89</f>
        <v>0</v>
      </c>
      <c r="H89" s="37" t="n">
        <f aca="false">IF(B89="",0,N(Students!F78))</f>
        <v>0</v>
      </c>
      <c r="I89" s="23"/>
      <c r="J89" s="26" t="n">
        <f aca="false">N(G89)+N(H89)-N(I89)</f>
        <v>0</v>
      </c>
      <c r="K89" s="37" t="n">
        <f aca="false">'Dec 2026'!N89</f>
        <v>0</v>
      </c>
      <c r="L89" s="37" t="n">
        <f aca="false">IF(B89="",0,N(Students!G78))</f>
        <v>0</v>
      </c>
      <c r="M89" s="23"/>
      <c r="N89" s="26" t="n">
        <f aca="false">N(K89)+N(L89)-N(M89)</f>
        <v>0</v>
      </c>
      <c r="O89" s="37" t="n">
        <f aca="false">'Dec 2026'!R89</f>
        <v>0</v>
      </c>
      <c r="P89" s="37" t="n">
        <f aca="false">IF(B89="",0,N(Students!H78))</f>
        <v>0</v>
      </c>
      <c r="Q89" s="23"/>
      <c r="R89" s="26" t="n">
        <f aca="false">N(O89)+N(P89)-N(Q89)</f>
        <v>0</v>
      </c>
      <c r="S89" s="37" t="n">
        <f aca="false">'Dec 2026'!V89</f>
        <v>0</v>
      </c>
      <c r="T89" s="37" t="n">
        <f aca="false">IF(B89="",0,N(Students!I78))</f>
        <v>0</v>
      </c>
      <c r="U89" s="23"/>
      <c r="V89" s="26" t="n">
        <f aca="false">N(S89)+N(T89)-N(U89)</f>
        <v>0</v>
      </c>
      <c r="W89" s="37" t="n">
        <f aca="false">'Dec 2026'!Z89</f>
        <v>0</v>
      </c>
      <c r="X89" s="37" t="n">
        <f aca="false">IF(B89="",0,N(Students!J78))</f>
        <v>0</v>
      </c>
      <c r="Y89" s="23"/>
      <c r="Z89" s="26" t="n">
        <f aca="false">N(W89)+N(X89)-N(Y89)</f>
        <v>0</v>
      </c>
      <c r="AA89" s="37" t="n">
        <f aca="false">N(E89)+N(I89)+N(M89)+N(Q89)+N(U89)+N(Y89)</f>
        <v>0</v>
      </c>
      <c r="AB89" s="26" t="n">
        <f aca="false">F89+J89+N89+R89+V89+Z89</f>
        <v>0</v>
      </c>
      <c r="AC89" s="83" t="str">
        <f aca="false">IF(B89="","",IF(AB89&lt;=0,"Clear",IF(AA89&gt;0,"Partial","Due")))</f>
        <v/>
      </c>
    </row>
    <row r="90" customFormat="false" ht="15" hidden="false" customHeight="false" outlineLevel="0" collapsed="false">
      <c r="A90" s="21" t="n">
        <v>75</v>
      </c>
      <c r="B90" s="46" t="str">
        <f aca="false">IF(Students!B79="","",Students!B79)</f>
        <v/>
      </c>
      <c r="C90" s="33" t="n">
        <f aca="false">'Dec 2026'!F90</f>
        <v>0</v>
      </c>
      <c r="D90" s="33" t="n">
        <f aca="false">IF(B90="",0,N(Students!E79))</f>
        <v>0</v>
      </c>
      <c r="E90" s="23"/>
      <c r="F90" s="24" t="n">
        <f aca="false">N(C90)+N(D90)-N(E90)</f>
        <v>0</v>
      </c>
      <c r="G90" s="33" t="n">
        <f aca="false">'Dec 2026'!J90</f>
        <v>0</v>
      </c>
      <c r="H90" s="33" t="n">
        <f aca="false">IF(B90="",0,N(Students!F79))</f>
        <v>0</v>
      </c>
      <c r="I90" s="23"/>
      <c r="J90" s="24" t="n">
        <f aca="false">N(G90)+N(H90)-N(I90)</f>
        <v>0</v>
      </c>
      <c r="K90" s="33" t="n">
        <f aca="false">'Dec 2026'!N90</f>
        <v>0</v>
      </c>
      <c r="L90" s="33" t="n">
        <f aca="false">IF(B90="",0,N(Students!G79))</f>
        <v>0</v>
      </c>
      <c r="M90" s="23"/>
      <c r="N90" s="24" t="n">
        <f aca="false">N(K90)+N(L90)-N(M90)</f>
        <v>0</v>
      </c>
      <c r="O90" s="33" t="n">
        <f aca="false">'Dec 2026'!R90</f>
        <v>0</v>
      </c>
      <c r="P90" s="33" t="n">
        <f aca="false">IF(B90="",0,N(Students!H79))</f>
        <v>0</v>
      </c>
      <c r="Q90" s="23"/>
      <c r="R90" s="24" t="n">
        <f aca="false">N(O90)+N(P90)-N(Q90)</f>
        <v>0</v>
      </c>
      <c r="S90" s="33" t="n">
        <f aca="false">'Dec 2026'!V90</f>
        <v>0</v>
      </c>
      <c r="T90" s="33" t="n">
        <f aca="false">IF(B90="",0,N(Students!I79))</f>
        <v>0</v>
      </c>
      <c r="U90" s="23"/>
      <c r="V90" s="24" t="n">
        <f aca="false">N(S90)+N(T90)-N(U90)</f>
        <v>0</v>
      </c>
      <c r="W90" s="33" t="n">
        <f aca="false">'Dec 2026'!Z90</f>
        <v>0</v>
      </c>
      <c r="X90" s="33" t="n">
        <f aca="false">IF(B90="",0,N(Students!J79))</f>
        <v>0</v>
      </c>
      <c r="Y90" s="23"/>
      <c r="Z90" s="24" t="n">
        <f aca="false">N(W90)+N(X90)-N(Y90)</f>
        <v>0</v>
      </c>
      <c r="AA90" s="33" t="n">
        <f aca="false">N(E90)+N(I90)+N(M90)+N(Q90)+N(U90)+N(Y90)</f>
        <v>0</v>
      </c>
      <c r="AB90" s="24" t="n">
        <f aca="false">F90+J90+N90+R90+V90+Z90</f>
        <v>0</v>
      </c>
      <c r="AC90" s="81" t="str">
        <f aca="false">IF(B90="","",IF(AB90&lt;=0,"Clear",IF(AA90&gt;0,"Partial","Due")))</f>
        <v/>
      </c>
    </row>
    <row r="91" customFormat="false" ht="15" hidden="false" customHeight="false" outlineLevel="0" collapsed="false">
      <c r="A91" s="25" t="n">
        <v>76</v>
      </c>
      <c r="B91" s="82" t="str">
        <f aca="false">IF(Students!B80="","",Students!B80)</f>
        <v/>
      </c>
      <c r="C91" s="37" t="n">
        <f aca="false">'Dec 2026'!F91</f>
        <v>0</v>
      </c>
      <c r="D91" s="37" t="n">
        <f aca="false">IF(B91="",0,N(Students!E80))</f>
        <v>0</v>
      </c>
      <c r="E91" s="23"/>
      <c r="F91" s="26" t="n">
        <f aca="false">N(C91)+N(D91)-N(E91)</f>
        <v>0</v>
      </c>
      <c r="G91" s="37" t="n">
        <f aca="false">'Dec 2026'!J91</f>
        <v>0</v>
      </c>
      <c r="H91" s="37" t="n">
        <f aca="false">IF(B91="",0,N(Students!F80))</f>
        <v>0</v>
      </c>
      <c r="I91" s="23"/>
      <c r="J91" s="26" t="n">
        <f aca="false">N(G91)+N(H91)-N(I91)</f>
        <v>0</v>
      </c>
      <c r="K91" s="37" t="n">
        <f aca="false">'Dec 2026'!N91</f>
        <v>0</v>
      </c>
      <c r="L91" s="37" t="n">
        <f aca="false">IF(B91="",0,N(Students!G80))</f>
        <v>0</v>
      </c>
      <c r="M91" s="23"/>
      <c r="N91" s="26" t="n">
        <f aca="false">N(K91)+N(L91)-N(M91)</f>
        <v>0</v>
      </c>
      <c r="O91" s="37" t="n">
        <f aca="false">'Dec 2026'!R91</f>
        <v>0</v>
      </c>
      <c r="P91" s="37" t="n">
        <f aca="false">IF(B91="",0,N(Students!H80))</f>
        <v>0</v>
      </c>
      <c r="Q91" s="23"/>
      <c r="R91" s="26" t="n">
        <f aca="false">N(O91)+N(P91)-N(Q91)</f>
        <v>0</v>
      </c>
      <c r="S91" s="37" t="n">
        <f aca="false">'Dec 2026'!V91</f>
        <v>0</v>
      </c>
      <c r="T91" s="37" t="n">
        <f aca="false">IF(B91="",0,N(Students!I80))</f>
        <v>0</v>
      </c>
      <c r="U91" s="23"/>
      <c r="V91" s="26" t="n">
        <f aca="false">N(S91)+N(T91)-N(U91)</f>
        <v>0</v>
      </c>
      <c r="W91" s="37" t="n">
        <f aca="false">'Dec 2026'!Z91</f>
        <v>0</v>
      </c>
      <c r="X91" s="37" t="n">
        <f aca="false">IF(B91="",0,N(Students!J80))</f>
        <v>0</v>
      </c>
      <c r="Y91" s="23"/>
      <c r="Z91" s="26" t="n">
        <f aca="false">N(W91)+N(X91)-N(Y91)</f>
        <v>0</v>
      </c>
      <c r="AA91" s="37" t="n">
        <f aca="false">N(E91)+N(I91)+N(M91)+N(Q91)+N(U91)+N(Y91)</f>
        <v>0</v>
      </c>
      <c r="AB91" s="26" t="n">
        <f aca="false">F91+J91+N91+R91+V91+Z91</f>
        <v>0</v>
      </c>
      <c r="AC91" s="83" t="str">
        <f aca="false">IF(B91="","",IF(AB91&lt;=0,"Clear",IF(AA91&gt;0,"Partial","Due")))</f>
        <v/>
      </c>
    </row>
    <row r="92" customFormat="false" ht="15" hidden="false" customHeight="false" outlineLevel="0" collapsed="false">
      <c r="A92" s="21" t="n">
        <v>77</v>
      </c>
      <c r="B92" s="46" t="str">
        <f aca="false">IF(Students!B81="","",Students!B81)</f>
        <v/>
      </c>
      <c r="C92" s="33" t="n">
        <f aca="false">'Dec 2026'!F92</f>
        <v>0</v>
      </c>
      <c r="D92" s="33" t="n">
        <f aca="false">IF(B92="",0,N(Students!E81))</f>
        <v>0</v>
      </c>
      <c r="E92" s="23"/>
      <c r="F92" s="24" t="n">
        <f aca="false">N(C92)+N(D92)-N(E92)</f>
        <v>0</v>
      </c>
      <c r="G92" s="33" t="n">
        <f aca="false">'Dec 2026'!J92</f>
        <v>0</v>
      </c>
      <c r="H92" s="33" t="n">
        <f aca="false">IF(B92="",0,N(Students!F81))</f>
        <v>0</v>
      </c>
      <c r="I92" s="23"/>
      <c r="J92" s="24" t="n">
        <f aca="false">N(G92)+N(H92)-N(I92)</f>
        <v>0</v>
      </c>
      <c r="K92" s="33" t="n">
        <f aca="false">'Dec 2026'!N92</f>
        <v>0</v>
      </c>
      <c r="L92" s="33" t="n">
        <f aca="false">IF(B92="",0,N(Students!G81))</f>
        <v>0</v>
      </c>
      <c r="M92" s="23"/>
      <c r="N92" s="24" t="n">
        <f aca="false">N(K92)+N(L92)-N(M92)</f>
        <v>0</v>
      </c>
      <c r="O92" s="33" t="n">
        <f aca="false">'Dec 2026'!R92</f>
        <v>0</v>
      </c>
      <c r="P92" s="33" t="n">
        <f aca="false">IF(B92="",0,N(Students!H81))</f>
        <v>0</v>
      </c>
      <c r="Q92" s="23"/>
      <c r="R92" s="24" t="n">
        <f aca="false">N(O92)+N(P92)-N(Q92)</f>
        <v>0</v>
      </c>
      <c r="S92" s="33" t="n">
        <f aca="false">'Dec 2026'!V92</f>
        <v>0</v>
      </c>
      <c r="T92" s="33" t="n">
        <f aca="false">IF(B92="",0,N(Students!I81))</f>
        <v>0</v>
      </c>
      <c r="U92" s="23"/>
      <c r="V92" s="24" t="n">
        <f aca="false">N(S92)+N(T92)-N(U92)</f>
        <v>0</v>
      </c>
      <c r="W92" s="33" t="n">
        <f aca="false">'Dec 2026'!Z92</f>
        <v>0</v>
      </c>
      <c r="X92" s="33" t="n">
        <f aca="false">IF(B92="",0,N(Students!J81))</f>
        <v>0</v>
      </c>
      <c r="Y92" s="23"/>
      <c r="Z92" s="24" t="n">
        <f aca="false">N(W92)+N(X92)-N(Y92)</f>
        <v>0</v>
      </c>
      <c r="AA92" s="33" t="n">
        <f aca="false">N(E92)+N(I92)+N(M92)+N(Q92)+N(U92)+N(Y92)</f>
        <v>0</v>
      </c>
      <c r="AB92" s="24" t="n">
        <f aca="false">F92+J92+N92+R92+V92+Z92</f>
        <v>0</v>
      </c>
      <c r="AC92" s="81" t="str">
        <f aca="false">IF(B92="","",IF(AB92&lt;=0,"Clear",IF(AA92&gt;0,"Partial","Due")))</f>
        <v/>
      </c>
    </row>
    <row r="93" customFormat="false" ht="15" hidden="false" customHeight="false" outlineLevel="0" collapsed="false">
      <c r="A93" s="25" t="n">
        <v>78</v>
      </c>
      <c r="B93" s="82" t="str">
        <f aca="false">IF(Students!B82="","",Students!B82)</f>
        <v/>
      </c>
      <c r="C93" s="37" t="n">
        <f aca="false">'Dec 2026'!F93</f>
        <v>0</v>
      </c>
      <c r="D93" s="37" t="n">
        <f aca="false">IF(B93="",0,N(Students!E82))</f>
        <v>0</v>
      </c>
      <c r="E93" s="23"/>
      <c r="F93" s="26" t="n">
        <f aca="false">N(C93)+N(D93)-N(E93)</f>
        <v>0</v>
      </c>
      <c r="G93" s="37" t="n">
        <f aca="false">'Dec 2026'!J93</f>
        <v>0</v>
      </c>
      <c r="H93" s="37" t="n">
        <f aca="false">IF(B93="",0,N(Students!F82))</f>
        <v>0</v>
      </c>
      <c r="I93" s="23"/>
      <c r="J93" s="26" t="n">
        <f aca="false">N(G93)+N(H93)-N(I93)</f>
        <v>0</v>
      </c>
      <c r="K93" s="37" t="n">
        <f aca="false">'Dec 2026'!N93</f>
        <v>0</v>
      </c>
      <c r="L93" s="37" t="n">
        <f aca="false">IF(B93="",0,N(Students!G82))</f>
        <v>0</v>
      </c>
      <c r="M93" s="23"/>
      <c r="N93" s="26" t="n">
        <f aca="false">N(K93)+N(L93)-N(M93)</f>
        <v>0</v>
      </c>
      <c r="O93" s="37" t="n">
        <f aca="false">'Dec 2026'!R93</f>
        <v>0</v>
      </c>
      <c r="P93" s="37" t="n">
        <f aca="false">IF(B93="",0,N(Students!H82))</f>
        <v>0</v>
      </c>
      <c r="Q93" s="23"/>
      <c r="R93" s="26" t="n">
        <f aca="false">N(O93)+N(P93)-N(Q93)</f>
        <v>0</v>
      </c>
      <c r="S93" s="37" t="n">
        <f aca="false">'Dec 2026'!V93</f>
        <v>0</v>
      </c>
      <c r="T93" s="37" t="n">
        <f aca="false">IF(B93="",0,N(Students!I82))</f>
        <v>0</v>
      </c>
      <c r="U93" s="23"/>
      <c r="V93" s="26" t="n">
        <f aca="false">N(S93)+N(T93)-N(U93)</f>
        <v>0</v>
      </c>
      <c r="W93" s="37" t="n">
        <f aca="false">'Dec 2026'!Z93</f>
        <v>0</v>
      </c>
      <c r="X93" s="37" t="n">
        <f aca="false">IF(B93="",0,N(Students!J82))</f>
        <v>0</v>
      </c>
      <c r="Y93" s="23"/>
      <c r="Z93" s="26" t="n">
        <f aca="false">N(W93)+N(X93)-N(Y93)</f>
        <v>0</v>
      </c>
      <c r="AA93" s="37" t="n">
        <f aca="false">N(E93)+N(I93)+N(M93)+N(Q93)+N(U93)+N(Y93)</f>
        <v>0</v>
      </c>
      <c r="AB93" s="26" t="n">
        <f aca="false">F93+J93+N93+R93+V93+Z93</f>
        <v>0</v>
      </c>
      <c r="AC93" s="83" t="str">
        <f aca="false">IF(B93="","",IF(AB93&lt;=0,"Clear",IF(AA93&gt;0,"Partial","Due")))</f>
        <v/>
      </c>
    </row>
    <row r="94" customFormat="false" ht="15" hidden="false" customHeight="false" outlineLevel="0" collapsed="false">
      <c r="A94" s="21" t="n">
        <v>79</v>
      </c>
      <c r="B94" s="46" t="str">
        <f aca="false">IF(Students!B83="","",Students!B83)</f>
        <v/>
      </c>
      <c r="C94" s="33" t="n">
        <f aca="false">'Dec 2026'!F94</f>
        <v>0</v>
      </c>
      <c r="D94" s="33" t="n">
        <f aca="false">IF(B94="",0,N(Students!E83))</f>
        <v>0</v>
      </c>
      <c r="E94" s="23"/>
      <c r="F94" s="24" t="n">
        <f aca="false">N(C94)+N(D94)-N(E94)</f>
        <v>0</v>
      </c>
      <c r="G94" s="33" t="n">
        <f aca="false">'Dec 2026'!J94</f>
        <v>0</v>
      </c>
      <c r="H94" s="33" t="n">
        <f aca="false">IF(B94="",0,N(Students!F83))</f>
        <v>0</v>
      </c>
      <c r="I94" s="23"/>
      <c r="J94" s="24" t="n">
        <f aca="false">N(G94)+N(H94)-N(I94)</f>
        <v>0</v>
      </c>
      <c r="K94" s="33" t="n">
        <f aca="false">'Dec 2026'!N94</f>
        <v>0</v>
      </c>
      <c r="L94" s="33" t="n">
        <f aca="false">IF(B94="",0,N(Students!G83))</f>
        <v>0</v>
      </c>
      <c r="M94" s="23"/>
      <c r="N94" s="24" t="n">
        <f aca="false">N(K94)+N(L94)-N(M94)</f>
        <v>0</v>
      </c>
      <c r="O94" s="33" t="n">
        <f aca="false">'Dec 2026'!R94</f>
        <v>0</v>
      </c>
      <c r="P94" s="33" t="n">
        <f aca="false">IF(B94="",0,N(Students!H83))</f>
        <v>0</v>
      </c>
      <c r="Q94" s="23"/>
      <c r="R94" s="24" t="n">
        <f aca="false">N(O94)+N(P94)-N(Q94)</f>
        <v>0</v>
      </c>
      <c r="S94" s="33" t="n">
        <f aca="false">'Dec 2026'!V94</f>
        <v>0</v>
      </c>
      <c r="T94" s="33" t="n">
        <f aca="false">IF(B94="",0,N(Students!I83))</f>
        <v>0</v>
      </c>
      <c r="U94" s="23"/>
      <c r="V94" s="24" t="n">
        <f aca="false">N(S94)+N(T94)-N(U94)</f>
        <v>0</v>
      </c>
      <c r="W94" s="33" t="n">
        <f aca="false">'Dec 2026'!Z94</f>
        <v>0</v>
      </c>
      <c r="X94" s="33" t="n">
        <f aca="false">IF(B94="",0,N(Students!J83))</f>
        <v>0</v>
      </c>
      <c r="Y94" s="23"/>
      <c r="Z94" s="24" t="n">
        <f aca="false">N(W94)+N(X94)-N(Y94)</f>
        <v>0</v>
      </c>
      <c r="AA94" s="33" t="n">
        <f aca="false">N(E94)+N(I94)+N(M94)+N(Q94)+N(U94)+N(Y94)</f>
        <v>0</v>
      </c>
      <c r="AB94" s="24" t="n">
        <f aca="false">F94+J94+N94+R94+V94+Z94</f>
        <v>0</v>
      </c>
      <c r="AC94" s="81" t="str">
        <f aca="false">IF(B94="","",IF(AB94&lt;=0,"Clear",IF(AA94&gt;0,"Partial","Due")))</f>
        <v/>
      </c>
    </row>
    <row r="95" customFormat="false" ht="15" hidden="false" customHeight="false" outlineLevel="0" collapsed="false">
      <c r="A95" s="25" t="n">
        <v>80</v>
      </c>
      <c r="B95" s="82" t="str">
        <f aca="false">IF(Students!B84="","",Students!B84)</f>
        <v/>
      </c>
      <c r="C95" s="37" t="n">
        <f aca="false">'Dec 2026'!F95</f>
        <v>0</v>
      </c>
      <c r="D95" s="37" t="n">
        <f aca="false">IF(B95="",0,N(Students!E84))</f>
        <v>0</v>
      </c>
      <c r="E95" s="23"/>
      <c r="F95" s="26" t="n">
        <f aca="false">N(C95)+N(D95)-N(E95)</f>
        <v>0</v>
      </c>
      <c r="G95" s="37" t="n">
        <f aca="false">'Dec 2026'!J95</f>
        <v>0</v>
      </c>
      <c r="H95" s="37" t="n">
        <f aca="false">IF(B95="",0,N(Students!F84))</f>
        <v>0</v>
      </c>
      <c r="I95" s="23"/>
      <c r="J95" s="26" t="n">
        <f aca="false">N(G95)+N(H95)-N(I95)</f>
        <v>0</v>
      </c>
      <c r="K95" s="37" t="n">
        <f aca="false">'Dec 2026'!N95</f>
        <v>0</v>
      </c>
      <c r="L95" s="37" t="n">
        <f aca="false">IF(B95="",0,N(Students!G84))</f>
        <v>0</v>
      </c>
      <c r="M95" s="23"/>
      <c r="N95" s="26" t="n">
        <f aca="false">N(K95)+N(L95)-N(M95)</f>
        <v>0</v>
      </c>
      <c r="O95" s="37" t="n">
        <f aca="false">'Dec 2026'!R95</f>
        <v>0</v>
      </c>
      <c r="P95" s="37" t="n">
        <f aca="false">IF(B95="",0,N(Students!H84))</f>
        <v>0</v>
      </c>
      <c r="Q95" s="23"/>
      <c r="R95" s="26" t="n">
        <f aca="false">N(O95)+N(P95)-N(Q95)</f>
        <v>0</v>
      </c>
      <c r="S95" s="37" t="n">
        <f aca="false">'Dec 2026'!V95</f>
        <v>0</v>
      </c>
      <c r="T95" s="37" t="n">
        <f aca="false">IF(B95="",0,N(Students!I84))</f>
        <v>0</v>
      </c>
      <c r="U95" s="23"/>
      <c r="V95" s="26" t="n">
        <f aca="false">N(S95)+N(T95)-N(U95)</f>
        <v>0</v>
      </c>
      <c r="W95" s="37" t="n">
        <f aca="false">'Dec 2026'!Z95</f>
        <v>0</v>
      </c>
      <c r="X95" s="37" t="n">
        <f aca="false">IF(B95="",0,N(Students!J84))</f>
        <v>0</v>
      </c>
      <c r="Y95" s="23"/>
      <c r="Z95" s="26" t="n">
        <f aca="false">N(W95)+N(X95)-N(Y95)</f>
        <v>0</v>
      </c>
      <c r="AA95" s="37" t="n">
        <f aca="false">N(E95)+N(I95)+N(M95)+N(Q95)+N(U95)+N(Y95)</f>
        <v>0</v>
      </c>
      <c r="AB95" s="26" t="n">
        <f aca="false">F95+J95+N95+R95+V95+Z95</f>
        <v>0</v>
      </c>
      <c r="AC95" s="83" t="str">
        <f aca="false">IF(B95="","",IF(AB95&lt;=0,"Clear",IF(AA95&gt;0,"Partial","Due")))</f>
        <v/>
      </c>
    </row>
    <row r="96" customFormat="false" ht="15" hidden="false" customHeight="false" outlineLevel="0" collapsed="false">
      <c r="A96" s="21" t="n">
        <v>81</v>
      </c>
      <c r="B96" s="46" t="str">
        <f aca="false">IF(Students!B85="","",Students!B85)</f>
        <v/>
      </c>
      <c r="C96" s="33" t="n">
        <f aca="false">'Dec 2026'!F96</f>
        <v>0</v>
      </c>
      <c r="D96" s="33" t="n">
        <f aca="false">IF(B96="",0,N(Students!E85))</f>
        <v>0</v>
      </c>
      <c r="E96" s="23"/>
      <c r="F96" s="24" t="n">
        <f aca="false">N(C96)+N(D96)-N(E96)</f>
        <v>0</v>
      </c>
      <c r="G96" s="33" t="n">
        <f aca="false">'Dec 2026'!J96</f>
        <v>0</v>
      </c>
      <c r="H96" s="33" t="n">
        <f aca="false">IF(B96="",0,N(Students!F85))</f>
        <v>0</v>
      </c>
      <c r="I96" s="23"/>
      <c r="J96" s="24" t="n">
        <f aca="false">N(G96)+N(H96)-N(I96)</f>
        <v>0</v>
      </c>
      <c r="K96" s="33" t="n">
        <f aca="false">'Dec 2026'!N96</f>
        <v>0</v>
      </c>
      <c r="L96" s="33" t="n">
        <f aca="false">IF(B96="",0,N(Students!G85))</f>
        <v>0</v>
      </c>
      <c r="M96" s="23"/>
      <c r="N96" s="24" t="n">
        <f aca="false">N(K96)+N(L96)-N(M96)</f>
        <v>0</v>
      </c>
      <c r="O96" s="33" t="n">
        <f aca="false">'Dec 2026'!R96</f>
        <v>0</v>
      </c>
      <c r="P96" s="33" t="n">
        <f aca="false">IF(B96="",0,N(Students!H85))</f>
        <v>0</v>
      </c>
      <c r="Q96" s="23"/>
      <c r="R96" s="24" t="n">
        <f aca="false">N(O96)+N(P96)-N(Q96)</f>
        <v>0</v>
      </c>
      <c r="S96" s="33" t="n">
        <f aca="false">'Dec 2026'!V96</f>
        <v>0</v>
      </c>
      <c r="T96" s="33" t="n">
        <f aca="false">IF(B96="",0,N(Students!I85))</f>
        <v>0</v>
      </c>
      <c r="U96" s="23"/>
      <c r="V96" s="24" t="n">
        <f aca="false">N(S96)+N(T96)-N(U96)</f>
        <v>0</v>
      </c>
      <c r="W96" s="33" t="n">
        <f aca="false">'Dec 2026'!Z96</f>
        <v>0</v>
      </c>
      <c r="X96" s="33" t="n">
        <f aca="false">IF(B96="",0,N(Students!J85))</f>
        <v>0</v>
      </c>
      <c r="Y96" s="23"/>
      <c r="Z96" s="24" t="n">
        <f aca="false">N(W96)+N(X96)-N(Y96)</f>
        <v>0</v>
      </c>
      <c r="AA96" s="33" t="n">
        <f aca="false">N(E96)+N(I96)+N(M96)+N(Q96)+N(U96)+N(Y96)</f>
        <v>0</v>
      </c>
      <c r="AB96" s="24" t="n">
        <f aca="false">F96+J96+N96+R96+V96+Z96</f>
        <v>0</v>
      </c>
      <c r="AC96" s="81" t="str">
        <f aca="false">IF(B96="","",IF(AB96&lt;=0,"Clear",IF(AA96&gt;0,"Partial","Due")))</f>
        <v/>
      </c>
    </row>
    <row r="97" customFormat="false" ht="15" hidden="false" customHeight="false" outlineLevel="0" collapsed="false">
      <c r="A97" s="25" t="n">
        <v>82</v>
      </c>
      <c r="B97" s="82" t="str">
        <f aca="false">IF(Students!B86="","",Students!B86)</f>
        <v/>
      </c>
      <c r="C97" s="37" t="n">
        <f aca="false">'Dec 2026'!F97</f>
        <v>0</v>
      </c>
      <c r="D97" s="37" t="n">
        <f aca="false">IF(B97="",0,N(Students!E86))</f>
        <v>0</v>
      </c>
      <c r="E97" s="23"/>
      <c r="F97" s="26" t="n">
        <f aca="false">N(C97)+N(D97)-N(E97)</f>
        <v>0</v>
      </c>
      <c r="G97" s="37" t="n">
        <f aca="false">'Dec 2026'!J97</f>
        <v>0</v>
      </c>
      <c r="H97" s="37" t="n">
        <f aca="false">IF(B97="",0,N(Students!F86))</f>
        <v>0</v>
      </c>
      <c r="I97" s="23"/>
      <c r="J97" s="26" t="n">
        <f aca="false">N(G97)+N(H97)-N(I97)</f>
        <v>0</v>
      </c>
      <c r="K97" s="37" t="n">
        <f aca="false">'Dec 2026'!N97</f>
        <v>0</v>
      </c>
      <c r="L97" s="37" t="n">
        <f aca="false">IF(B97="",0,N(Students!G86))</f>
        <v>0</v>
      </c>
      <c r="M97" s="23"/>
      <c r="N97" s="26" t="n">
        <f aca="false">N(K97)+N(L97)-N(M97)</f>
        <v>0</v>
      </c>
      <c r="O97" s="37" t="n">
        <f aca="false">'Dec 2026'!R97</f>
        <v>0</v>
      </c>
      <c r="P97" s="37" t="n">
        <f aca="false">IF(B97="",0,N(Students!H86))</f>
        <v>0</v>
      </c>
      <c r="Q97" s="23"/>
      <c r="R97" s="26" t="n">
        <f aca="false">N(O97)+N(P97)-N(Q97)</f>
        <v>0</v>
      </c>
      <c r="S97" s="37" t="n">
        <f aca="false">'Dec 2026'!V97</f>
        <v>0</v>
      </c>
      <c r="T97" s="37" t="n">
        <f aca="false">IF(B97="",0,N(Students!I86))</f>
        <v>0</v>
      </c>
      <c r="U97" s="23"/>
      <c r="V97" s="26" t="n">
        <f aca="false">N(S97)+N(T97)-N(U97)</f>
        <v>0</v>
      </c>
      <c r="W97" s="37" t="n">
        <f aca="false">'Dec 2026'!Z97</f>
        <v>0</v>
      </c>
      <c r="X97" s="37" t="n">
        <f aca="false">IF(B97="",0,N(Students!J86))</f>
        <v>0</v>
      </c>
      <c r="Y97" s="23"/>
      <c r="Z97" s="26" t="n">
        <f aca="false">N(W97)+N(X97)-N(Y97)</f>
        <v>0</v>
      </c>
      <c r="AA97" s="37" t="n">
        <f aca="false">N(E97)+N(I97)+N(M97)+N(Q97)+N(U97)+N(Y97)</f>
        <v>0</v>
      </c>
      <c r="AB97" s="26" t="n">
        <f aca="false">F97+J97+N97+R97+V97+Z97</f>
        <v>0</v>
      </c>
      <c r="AC97" s="83" t="str">
        <f aca="false">IF(B97="","",IF(AB97&lt;=0,"Clear",IF(AA97&gt;0,"Partial","Due")))</f>
        <v/>
      </c>
    </row>
    <row r="98" customFormat="false" ht="15" hidden="false" customHeight="false" outlineLevel="0" collapsed="false">
      <c r="A98" s="21" t="n">
        <v>83</v>
      </c>
      <c r="B98" s="46" t="str">
        <f aca="false">IF(Students!B87="","",Students!B87)</f>
        <v/>
      </c>
      <c r="C98" s="33" t="n">
        <f aca="false">'Dec 2026'!F98</f>
        <v>0</v>
      </c>
      <c r="D98" s="33" t="n">
        <f aca="false">IF(B98="",0,N(Students!E87))</f>
        <v>0</v>
      </c>
      <c r="E98" s="23"/>
      <c r="F98" s="24" t="n">
        <f aca="false">N(C98)+N(D98)-N(E98)</f>
        <v>0</v>
      </c>
      <c r="G98" s="33" t="n">
        <f aca="false">'Dec 2026'!J98</f>
        <v>0</v>
      </c>
      <c r="H98" s="33" t="n">
        <f aca="false">IF(B98="",0,N(Students!F87))</f>
        <v>0</v>
      </c>
      <c r="I98" s="23"/>
      <c r="J98" s="24" t="n">
        <f aca="false">N(G98)+N(H98)-N(I98)</f>
        <v>0</v>
      </c>
      <c r="K98" s="33" t="n">
        <f aca="false">'Dec 2026'!N98</f>
        <v>0</v>
      </c>
      <c r="L98" s="33" t="n">
        <f aca="false">IF(B98="",0,N(Students!G87))</f>
        <v>0</v>
      </c>
      <c r="M98" s="23"/>
      <c r="N98" s="24" t="n">
        <f aca="false">N(K98)+N(L98)-N(M98)</f>
        <v>0</v>
      </c>
      <c r="O98" s="33" t="n">
        <f aca="false">'Dec 2026'!R98</f>
        <v>0</v>
      </c>
      <c r="P98" s="33" t="n">
        <f aca="false">IF(B98="",0,N(Students!H87))</f>
        <v>0</v>
      </c>
      <c r="Q98" s="23"/>
      <c r="R98" s="24" t="n">
        <f aca="false">N(O98)+N(P98)-N(Q98)</f>
        <v>0</v>
      </c>
      <c r="S98" s="33" t="n">
        <f aca="false">'Dec 2026'!V98</f>
        <v>0</v>
      </c>
      <c r="T98" s="33" t="n">
        <f aca="false">IF(B98="",0,N(Students!I87))</f>
        <v>0</v>
      </c>
      <c r="U98" s="23"/>
      <c r="V98" s="24" t="n">
        <f aca="false">N(S98)+N(T98)-N(U98)</f>
        <v>0</v>
      </c>
      <c r="W98" s="33" t="n">
        <f aca="false">'Dec 2026'!Z98</f>
        <v>0</v>
      </c>
      <c r="X98" s="33" t="n">
        <f aca="false">IF(B98="",0,N(Students!J87))</f>
        <v>0</v>
      </c>
      <c r="Y98" s="23"/>
      <c r="Z98" s="24" t="n">
        <f aca="false">N(W98)+N(X98)-N(Y98)</f>
        <v>0</v>
      </c>
      <c r="AA98" s="33" t="n">
        <f aca="false">N(E98)+N(I98)+N(M98)+N(Q98)+N(U98)+N(Y98)</f>
        <v>0</v>
      </c>
      <c r="AB98" s="24" t="n">
        <f aca="false">F98+J98+N98+R98+V98+Z98</f>
        <v>0</v>
      </c>
      <c r="AC98" s="81" t="str">
        <f aca="false">IF(B98="","",IF(AB98&lt;=0,"Clear",IF(AA98&gt;0,"Partial","Due")))</f>
        <v/>
      </c>
    </row>
    <row r="99" customFormat="false" ht="15" hidden="false" customHeight="false" outlineLevel="0" collapsed="false">
      <c r="A99" s="25" t="n">
        <v>84</v>
      </c>
      <c r="B99" s="82" t="str">
        <f aca="false">IF(Students!B88="","",Students!B88)</f>
        <v/>
      </c>
      <c r="C99" s="37" t="n">
        <f aca="false">'Dec 2026'!F99</f>
        <v>0</v>
      </c>
      <c r="D99" s="37" t="n">
        <f aca="false">IF(B99="",0,N(Students!E88))</f>
        <v>0</v>
      </c>
      <c r="E99" s="23"/>
      <c r="F99" s="26" t="n">
        <f aca="false">N(C99)+N(D99)-N(E99)</f>
        <v>0</v>
      </c>
      <c r="G99" s="37" t="n">
        <f aca="false">'Dec 2026'!J99</f>
        <v>0</v>
      </c>
      <c r="H99" s="37" t="n">
        <f aca="false">IF(B99="",0,N(Students!F88))</f>
        <v>0</v>
      </c>
      <c r="I99" s="23"/>
      <c r="J99" s="26" t="n">
        <f aca="false">N(G99)+N(H99)-N(I99)</f>
        <v>0</v>
      </c>
      <c r="K99" s="37" t="n">
        <f aca="false">'Dec 2026'!N99</f>
        <v>0</v>
      </c>
      <c r="L99" s="37" t="n">
        <f aca="false">IF(B99="",0,N(Students!G88))</f>
        <v>0</v>
      </c>
      <c r="M99" s="23"/>
      <c r="N99" s="26" t="n">
        <f aca="false">N(K99)+N(L99)-N(M99)</f>
        <v>0</v>
      </c>
      <c r="O99" s="37" t="n">
        <f aca="false">'Dec 2026'!R99</f>
        <v>0</v>
      </c>
      <c r="P99" s="37" t="n">
        <f aca="false">IF(B99="",0,N(Students!H88))</f>
        <v>0</v>
      </c>
      <c r="Q99" s="23"/>
      <c r="R99" s="26" t="n">
        <f aca="false">N(O99)+N(P99)-N(Q99)</f>
        <v>0</v>
      </c>
      <c r="S99" s="37" t="n">
        <f aca="false">'Dec 2026'!V99</f>
        <v>0</v>
      </c>
      <c r="T99" s="37" t="n">
        <f aca="false">IF(B99="",0,N(Students!I88))</f>
        <v>0</v>
      </c>
      <c r="U99" s="23"/>
      <c r="V99" s="26" t="n">
        <f aca="false">N(S99)+N(T99)-N(U99)</f>
        <v>0</v>
      </c>
      <c r="W99" s="37" t="n">
        <f aca="false">'Dec 2026'!Z99</f>
        <v>0</v>
      </c>
      <c r="X99" s="37" t="n">
        <f aca="false">IF(B99="",0,N(Students!J88))</f>
        <v>0</v>
      </c>
      <c r="Y99" s="23"/>
      <c r="Z99" s="26" t="n">
        <f aca="false">N(W99)+N(X99)-N(Y99)</f>
        <v>0</v>
      </c>
      <c r="AA99" s="37" t="n">
        <f aca="false">N(E99)+N(I99)+N(M99)+N(Q99)+N(U99)+N(Y99)</f>
        <v>0</v>
      </c>
      <c r="AB99" s="26" t="n">
        <f aca="false">F99+J99+N99+R99+V99+Z99</f>
        <v>0</v>
      </c>
      <c r="AC99" s="83" t="str">
        <f aca="false">IF(B99="","",IF(AB99&lt;=0,"Clear",IF(AA99&gt;0,"Partial","Due")))</f>
        <v/>
      </c>
    </row>
    <row r="100" customFormat="false" ht="15" hidden="false" customHeight="false" outlineLevel="0" collapsed="false">
      <c r="A100" s="21" t="n">
        <v>85</v>
      </c>
      <c r="B100" s="46" t="str">
        <f aca="false">IF(Students!B89="","",Students!B89)</f>
        <v/>
      </c>
      <c r="C100" s="33" t="n">
        <f aca="false">'Dec 2026'!F100</f>
        <v>0</v>
      </c>
      <c r="D100" s="33" t="n">
        <f aca="false">IF(B100="",0,N(Students!E89))</f>
        <v>0</v>
      </c>
      <c r="E100" s="23"/>
      <c r="F100" s="24" t="n">
        <f aca="false">N(C100)+N(D100)-N(E100)</f>
        <v>0</v>
      </c>
      <c r="G100" s="33" t="n">
        <f aca="false">'Dec 2026'!J100</f>
        <v>0</v>
      </c>
      <c r="H100" s="33" t="n">
        <f aca="false">IF(B100="",0,N(Students!F89))</f>
        <v>0</v>
      </c>
      <c r="I100" s="23"/>
      <c r="J100" s="24" t="n">
        <f aca="false">N(G100)+N(H100)-N(I100)</f>
        <v>0</v>
      </c>
      <c r="K100" s="33" t="n">
        <f aca="false">'Dec 2026'!N100</f>
        <v>0</v>
      </c>
      <c r="L100" s="33" t="n">
        <f aca="false">IF(B100="",0,N(Students!G89))</f>
        <v>0</v>
      </c>
      <c r="M100" s="23"/>
      <c r="N100" s="24" t="n">
        <f aca="false">N(K100)+N(L100)-N(M100)</f>
        <v>0</v>
      </c>
      <c r="O100" s="33" t="n">
        <f aca="false">'Dec 2026'!R100</f>
        <v>0</v>
      </c>
      <c r="P100" s="33" t="n">
        <f aca="false">IF(B100="",0,N(Students!H89))</f>
        <v>0</v>
      </c>
      <c r="Q100" s="23"/>
      <c r="R100" s="24" t="n">
        <f aca="false">N(O100)+N(P100)-N(Q100)</f>
        <v>0</v>
      </c>
      <c r="S100" s="33" t="n">
        <f aca="false">'Dec 2026'!V100</f>
        <v>0</v>
      </c>
      <c r="T100" s="33" t="n">
        <f aca="false">IF(B100="",0,N(Students!I89))</f>
        <v>0</v>
      </c>
      <c r="U100" s="23"/>
      <c r="V100" s="24" t="n">
        <f aca="false">N(S100)+N(T100)-N(U100)</f>
        <v>0</v>
      </c>
      <c r="W100" s="33" t="n">
        <f aca="false">'Dec 2026'!Z100</f>
        <v>0</v>
      </c>
      <c r="X100" s="33" t="n">
        <f aca="false">IF(B100="",0,N(Students!J89))</f>
        <v>0</v>
      </c>
      <c r="Y100" s="23"/>
      <c r="Z100" s="24" t="n">
        <f aca="false">N(W100)+N(X100)-N(Y100)</f>
        <v>0</v>
      </c>
      <c r="AA100" s="33" t="n">
        <f aca="false">N(E100)+N(I100)+N(M100)+N(Q100)+N(U100)+N(Y100)</f>
        <v>0</v>
      </c>
      <c r="AB100" s="24" t="n">
        <f aca="false">F100+J100+N100+R100+V100+Z100</f>
        <v>0</v>
      </c>
      <c r="AC100" s="81" t="str">
        <f aca="false">IF(B100="","",IF(AB100&lt;=0,"Clear",IF(AA100&gt;0,"Partial","Due")))</f>
        <v/>
      </c>
    </row>
    <row r="101" customFormat="false" ht="15" hidden="false" customHeight="false" outlineLevel="0" collapsed="false">
      <c r="A101" s="25" t="n">
        <v>86</v>
      </c>
      <c r="B101" s="82" t="str">
        <f aca="false">IF(Students!B90="","",Students!B90)</f>
        <v/>
      </c>
      <c r="C101" s="37" t="n">
        <f aca="false">'Dec 2026'!F101</f>
        <v>0</v>
      </c>
      <c r="D101" s="37" t="n">
        <f aca="false">IF(B101="",0,N(Students!E90))</f>
        <v>0</v>
      </c>
      <c r="E101" s="23"/>
      <c r="F101" s="26" t="n">
        <f aca="false">N(C101)+N(D101)-N(E101)</f>
        <v>0</v>
      </c>
      <c r="G101" s="37" t="n">
        <f aca="false">'Dec 2026'!J101</f>
        <v>0</v>
      </c>
      <c r="H101" s="37" t="n">
        <f aca="false">IF(B101="",0,N(Students!F90))</f>
        <v>0</v>
      </c>
      <c r="I101" s="23"/>
      <c r="J101" s="26" t="n">
        <f aca="false">N(G101)+N(H101)-N(I101)</f>
        <v>0</v>
      </c>
      <c r="K101" s="37" t="n">
        <f aca="false">'Dec 2026'!N101</f>
        <v>0</v>
      </c>
      <c r="L101" s="37" t="n">
        <f aca="false">IF(B101="",0,N(Students!G90))</f>
        <v>0</v>
      </c>
      <c r="M101" s="23"/>
      <c r="N101" s="26" t="n">
        <f aca="false">N(K101)+N(L101)-N(M101)</f>
        <v>0</v>
      </c>
      <c r="O101" s="37" t="n">
        <f aca="false">'Dec 2026'!R101</f>
        <v>0</v>
      </c>
      <c r="P101" s="37" t="n">
        <f aca="false">IF(B101="",0,N(Students!H90))</f>
        <v>0</v>
      </c>
      <c r="Q101" s="23"/>
      <c r="R101" s="26" t="n">
        <f aca="false">N(O101)+N(P101)-N(Q101)</f>
        <v>0</v>
      </c>
      <c r="S101" s="37" t="n">
        <f aca="false">'Dec 2026'!V101</f>
        <v>0</v>
      </c>
      <c r="T101" s="37" t="n">
        <f aca="false">IF(B101="",0,N(Students!I90))</f>
        <v>0</v>
      </c>
      <c r="U101" s="23"/>
      <c r="V101" s="26" t="n">
        <f aca="false">N(S101)+N(T101)-N(U101)</f>
        <v>0</v>
      </c>
      <c r="W101" s="37" t="n">
        <f aca="false">'Dec 2026'!Z101</f>
        <v>0</v>
      </c>
      <c r="X101" s="37" t="n">
        <f aca="false">IF(B101="",0,N(Students!J90))</f>
        <v>0</v>
      </c>
      <c r="Y101" s="23"/>
      <c r="Z101" s="26" t="n">
        <f aca="false">N(W101)+N(X101)-N(Y101)</f>
        <v>0</v>
      </c>
      <c r="AA101" s="37" t="n">
        <f aca="false">N(E101)+N(I101)+N(M101)+N(Q101)+N(U101)+N(Y101)</f>
        <v>0</v>
      </c>
      <c r="AB101" s="26" t="n">
        <f aca="false">F101+J101+N101+R101+V101+Z101</f>
        <v>0</v>
      </c>
      <c r="AC101" s="83" t="str">
        <f aca="false">IF(B101="","",IF(AB101&lt;=0,"Clear",IF(AA101&gt;0,"Partial","Due")))</f>
        <v/>
      </c>
    </row>
    <row r="102" customFormat="false" ht="15" hidden="false" customHeight="false" outlineLevel="0" collapsed="false">
      <c r="A102" s="21" t="n">
        <v>87</v>
      </c>
      <c r="B102" s="46" t="str">
        <f aca="false">IF(Students!B91="","",Students!B91)</f>
        <v/>
      </c>
      <c r="C102" s="33" t="n">
        <f aca="false">'Dec 2026'!F102</f>
        <v>0</v>
      </c>
      <c r="D102" s="33" t="n">
        <f aca="false">IF(B102="",0,N(Students!E91))</f>
        <v>0</v>
      </c>
      <c r="E102" s="23"/>
      <c r="F102" s="24" t="n">
        <f aca="false">N(C102)+N(D102)-N(E102)</f>
        <v>0</v>
      </c>
      <c r="G102" s="33" t="n">
        <f aca="false">'Dec 2026'!J102</f>
        <v>0</v>
      </c>
      <c r="H102" s="33" t="n">
        <f aca="false">IF(B102="",0,N(Students!F91))</f>
        <v>0</v>
      </c>
      <c r="I102" s="23"/>
      <c r="J102" s="24" t="n">
        <f aca="false">N(G102)+N(H102)-N(I102)</f>
        <v>0</v>
      </c>
      <c r="K102" s="33" t="n">
        <f aca="false">'Dec 2026'!N102</f>
        <v>0</v>
      </c>
      <c r="L102" s="33" t="n">
        <f aca="false">IF(B102="",0,N(Students!G91))</f>
        <v>0</v>
      </c>
      <c r="M102" s="23"/>
      <c r="N102" s="24" t="n">
        <f aca="false">N(K102)+N(L102)-N(M102)</f>
        <v>0</v>
      </c>
      <c r="O102" s="33" t="n">
        <f aca="false">'Dec 2026'!R102</f>
        <v>0</v>
      </c>
      <c r="P102" s="33" t="n">
        <f aca="false">IF(B102="",0,N(Students!H91))</f>
        <v>0</v>
      </c>
      <c r="Q102" s="23"/>
      <c r="R102" s="24" t="n">
        <f aca="false">N(O102)+N(P102)-N(Q102)</f>
        <v>0</v>
      </c>
      <c r="S102" s="33" t="n">
        <f aca="false">'Dec 2026'!V102</f>
        <v>0</v>
      </c>
      <c r="T102" s="33" t="n">
        <f aca="false">IF(B102="",0,N(Students!I91))</f>
        <v>0</v>
      </c>
      <c r="U102" s="23"/>
      <c r="V102" s="24" t="n">
        <f aca="false">N(S102)+N(T102)-N(U102)</f>
        <v>0</v>
      </c>
      <c r="W102" s="33" t="n">
        <f aca="false">'Dec 2026'!Z102</f>
        <v>0</v>
      </c>
      <c r="X102" s="33" t="n">
        <f aca="false">IF(B102="",0,N(Students!J91))</f>
        <v>0</v>
      </c>
      <c r="Y102" s="23"/>
      <c r="Z102" s="24" t="n">
        <f aca="false">N(W102)+N(X102)-N(Y102)</f>
        <v>0</v>
      </c>
      <c r="AA102" s="33" t="n">
        <f aca="false">N(E102)+N(I102)+N(M102)+N(Q102)+N(U102)+N(Y102)</f>
        <v>0</v>
      </c>
      <c r="AB102" s="24" t="n">
        <f aca="false">F102+J102+N102+R102+V102+Z102</f>
        <v>0</v>
      </c>
      <c r="AC102" s="81" t="str">
        <f aca="false">IF(B102="","",IF(AB102&lt;=0,"Clear",IF(AA102&gt;0,"Partial","Due")))</f>
        <v/>
      </c>
    </row>
    <row r="103" customFormat="false" ht="15" hidden="false" customHeight="false" outlineLevel="0" collapsed="false">
      <c r="A103" s="25" t="n">
        <v>88</v>
      </c>
      <c r="B103" s="82" t="str">
        <f aca="false">IF(Students!B92="","",Students!B92)</f>
        <v/>
      </c>
      <c r="C103" s="37" t="n">
        <f aca="false">'Dec 2026'!F103</f>
        <v>0</v>
      </c>
      <c r="D103" s="37" t="n">
        <f aca="false">IF(B103="",0,N(Students!E92))</f>
        <v>0</v>
      </c>
      <c r="E103" s="23"/>
      <c r="F103" s="26" t="n">
        <f aca="false">N(C103)+N(D103)-N(E103)</f>
        <v>0</v>
      </c>
      <c r="G103" s="37" t="n">
        <f aca="false">'Dec 2026'!J103</f>
        <v>0</v>
      </c>
      <c r="H103" s="37" t="n">
        <f aca="false">IF(B103="",0,N(Students!F92))</f>
        <v>0</v>
      </c>
      <c r="I103" s="23"/>
      <c r="J103" s="26" t="n">
        <f aca="false">N(G103)+N(H103)-N(I103)</f>
        <v>0</v>
      </c>
      <c r="K103" s="37" t="n">
        <f aca="false">'Dec 2026'!N103</f>
        <v>0</v>
      </c>
      <c r="L103" s="37" t="n">
        <f aca="false">IF(B103="",0,N(Students!G92))</f>
        <v>0</v>
      </c>
      <c r="M103" s="23"/>
      <c r="N103" s="26" t="n">
        <f aca="false">N(K103)+N(L103)-N(M103)</f>
        <v>0</v>
      </c>
      <c r="O103" s="37" t="n">
        <f aca="false">'Dec 2026'!R103</f>
        <v>0</v>
      </c>
      <c r="P103" s="37" t="n">
        <f aca="false">IF(B103="",0,N(Students!H92))</f>
        <v>0</v>
      </c>
      <c r="Q103" s="23"/>
      <c r="R103" s="26" t="n">
        <f aca="false">N(O103)+N(P103)-N(Q103)</f>
        <v>0</v>
      </c>
      <c r="S103" s="37" t="n">
        <f aca="false">'Dec 2026'!V103</f>
        <v>0</v>
      </c>
      <c r="T103" s="37" t="n">
        <f aca="false">IF(B103="",0,N(Students!I92))</f>
        <v>0</v>
      </c>
      <c r="U103" s="23"/>
      <c r="V103" s="26" t="n">
        <f aca="false">N(S103)+N(T103)-N(U103)</f>
        <v>0</v>
      </c>
      <c r="W103" s="37" t="n">
        <f aca="false">'Dec 2026'!Z103</f>
        <v>0</v>
      </c>
      <c r="X103" s="37" t="n">
        <f aca="false">IF(B103="",0,N(Students!J92))</f>
        <v>0</v>
      </c>
      <c r="Y103" s="23"/>
      <c r="Z103" s="26" t="n">
        <f aca="false">N(W103)+N(X103)-N(Y103)</f>
        <v>0</v>
      </c>
      <c r="AA103" s="37" t="n">
        <f aca="false">N(E103)+N(I103)+N(M103)+N(Q103)+N(U103)+N(Y103)</f>
        <v>0</v>
      </c>
      <c r="AB103" s="26" t="n">
        <f aca="false">F103+J103+N103+R103+V103+Z103</f>
        <v>0</v>
      </c>
      <c r="AC103" s="83" t="str">
        <f aca="false">IF(B103="","",IF(AB103&lt;=0,"Clear",IF(AA103&gt;0,"Partial","Due")))</f>
        <v/>
      </c>
    </row>
    <row r="104" customFormat="false" ht="15" hidden="false" customHeight="false" outlineLevel="0" collapsed="false">
      <c r="A104" s="21" t="n">
        <v>89</v>
      </c>
      <c r="B104" s="46" t="str">
        <f aca="false">IF(Students!B93="","",Students!B93)</f>
        <v/>
      </c>
      <c r="C104" s="33" t="n">
        <f aca="false">'Dec 2026'!F104</f>
        <v>0</v>
      </c>
      <c r="D104" s="33" t="n">
        <f aca="false">IF(B104="",0,N(Students!E93))</f>
        <v>0</v>
      </c>
      <c r="E104" s="23"/>
      <c r="F104" s="24" t="n">
        <f aca="false">N(C104)+N(D104)-N(E104)</f>
        <v>0</v>
      </c>
      <c r="G104" s="33" t="n">
        <f aca="false">'Dec 2026'!J104</f>
        <v>0</v>
      </c>
      <c r="H104" s="33" t="n">
        <f aca="false">IF(B104="",0,N(Students!F93))</f>
        <v>0</v>
      </c>
      <c r="I104" s="23"/>
      <c r="J104" s="24" t="n">
        <f aca="false">N(G104)+N(H104)-N(I104)</f>
        <v>0</v>
      </c>
      <c r="K104" s="33" t="n">
        <f aca="false">'Dec 2026'!N104</f>
        <v>0</v>
      </c>
      <c r="L104" s="33" t="n">
        <f aca="false">IF(B104="",0,N(Students!G93))</f>
        <v>0</v>
      </c>
      <c r="M104" s="23"/>
      <c r="N104" s="24" t="n">
        <f aca="false">N(K104)+N(L104)-N(M104)</f>
        <v>0</v>
      </c>
      <c r="O104" s="33" t="n">
        <f aca="false">'Dec 2026'!R104</f>
        <v>0</v>
      </c>
      <c r="P104" s="33" t="n">
        <f aca="false">IF(B104="",0,N(Students!H93))</f>
        <v>0</v>
      </c>
      <c r="Q104" s="23"/>
      <c r="R104" s="24" t="n">
        <f aca="false">N(O104)+N(P104)-N(Q104)</f>
        <v>0</v>
      </c>
      <c r="S104" s="33" t="n">
        <f aca="false">'Dec 2026'!V104</f>
        <v>0</v>
      </c>
      <c r="T104" s="33" t="n">
        <f aca="false">IF(B104="",0,N(Students!I93))</f>
        <v>0</v>
      </c>
      <c r="U104" s="23"/>
      <c r="V104" s="24" t="n">
        <f aca="false">N(S104)+N(T104)-N(U104)</f>
        <v>0</v>
      </c>
      <c r="W104" s="33" t="n">
        <f aca="false">'Dec 2026'!Z104</f>
        <v>0</v>
      </c>
      <c r="X104" s="33" t="n">
        <f aca="false">IF(B104="",0,N(Students!J93))</f>
        <v>0</v>
      </c>
      <c r="Y104" s="23"/>
      <c r="Z104" s="24" t="n">
        <f aca="false">N(W104)+N(X104)-N(Y104)</f>
        <v>0</v>
      </c>
      <c r="AA104" s="33" t="n">
        <f aca="false">N(E104)+N(I104)+N(M104)+N(Q104)+N(U104)+N(Y104)</f>
        <v>0</v>
      </c>
      <c r="AB104" s="24" t="n">
        <f aca="false">F104+J104+N104+R104+V104+Z104</f>
        <v>0</v>
      </c>
      <c r="AC104" s="81" t="str">
        <f aca="false">IF(B104="","",IF(AB104&lt;=0,"Clear",IF(AA104&gt;0,"Partial","Due")))</f>
        <v/>
      </c>
    </row>
    <row r="105" customFormat="false" ht="15" hidden="false" customHeight="false" outlineLevel="0" collapsed="false">
      <c r="A105" s="25" t="n">
        <v>90</v>
      </c>
      <c r="B105" s="82" t="str">
        <f aca="false">IF(Students!B94="","",Students!B94)</f>
        <v/>
      </c>
      <c r="C105" s="37" t="n">
        <f aca="false">'Dec 2026'!F105</f>
        <v>0</v>
      </c>
      <c r="D105" s="37" t="n">
        <f aca="false">IF(B105="",0,N(Students!E94))</f>
        <v>0</v>
      </c>
      <c r="E105" s="23"/>
      <c r="F105" s="26" t="n">
        <f aca="false">N(C105)+N(D105)-N(E105)</f>
        <v>0</v>
      </c>
      <c r="G105" s="37" t="n">
        <f aca="false">'Dec 2026'!J105</f>
        <v>0</v>
      </c>
      <c r="H105" s="37" t="n">
        <f aca="false">IF(B105="",0,N(Students!F94))</f>
        <v>0</v>
      </c>
      <c r="I105" s="23"/>
      <c r="J105" s="26" t="n">
        <f aca="false">N(G105)+N(H105)-N(I105)</f>
        <v>0</v>
      </c>
      <c r="K105" s="37" t="n">
        <f aca="false">'Dec 2026'!N105</f>
        <v>0</v>
      </c>
      <c r="L105" s="37" t="n">
        <f aca="false">IF(B105="",0,N(Students!G94))</f>
        <v>0</v>
      </c>
      <c r="M105" s="23"/>
      <c r="N105" s="26" t="n">
        <f aca="false">N(K105)+N(L105)-N(M105)</f>
        <v>0</v>
      </c>
      <c r="O105" s="37" t="n">
        <f aca="false">'Dec 2026'!R105</f>
        <v>0</v>
      </c>
      <c r="P105" s="37" t="n">
        <f aca="false">IF(B105="",0,N(Students!H94))</f>
        <v>0</v>
      </c>
      <c r="Q105" s="23"/>
      <c r="R105" s="26" t="n">
        <f aca="false">N(O105)+N(P105)-N(Q105)</f>
        <v>0</v>
      </c>
      <c r="S105" s="37" t="n">
        <f aca="false">'Dec 2026'!V105</f>
        <v>0</v>
      </c>
      <c r="T105" s="37" t="n">
        <f aca="false">IF(B105="",0,N(Students!I94))</f>
        <v>0</v>
      </c>
      <c r="U105" s="23"/>
      <c r="V105" s="26" t="n">
        <f aca="false">N(S105)+N(T105)-N(U105)</f>
        <v>0</v>
      </c>
      <c r="W105" s="37" t="n">
        <f aca="false">'Dec 2026'!Z105</f>
        <v>0</v>
      </c>
      <c r="X105" s="37" t="n">
        <f aca="false">IF(B105="",0,N(Students!J94))</f>
        <v>0</v>
      </c>
      <c r="Y105" s="23"/>
      <c r="Z105" s="26" t="n">
        <f aca="false">N(W105)+N(X105)-N(Y105)</f>
        <v>0</v>
      </c>
      <c r="AA105" s="37" t="n">
        <f aca="false">N(E105)+N(I105)+N(M105)+N(Q105)+N(U105)+N(Y105)</f>
        <v>0</v>
      </c>
      <c r="AB105" s="26" t="n">
        <f aca="false">F105+J105+N105+R105+V105+Z105</f>
        <v>0</v>
      </c>
      <c r="AC105" s="83" t="str">
        <f aca="false">IF(B105="","",IF(AB105&lt;=0,"Clear",IF(AA105&gt;0,"Partial","Due")))</f>
        <v/>
      </c>
    </row>
    <row r="106" customFormat="false" ht="15" hidden="false" customHeight="false" outlineLevel="0" collapsed="false">
      <c r="A106" s="21" t="n">
        <v>91</v>
      </c>
      <c r="B106" s="46" t="str">
        <f aca="false">IF(Students!B95="","",Students!B95)</f>
        <v/>
      </c>
      <c r="C106" s="33" t="n">
        <f aca="false">'Dec 2026'!F106</f>
        <v>0</v>
      </c>
      <c r="D106" s="33" t="n">
        <f aca="false">IF(B106="",0,N(Students!E95))</f>
        <v>0</v>
      </c>
      <c r="E106" s="23"/>
      <c r="F106" s="24" t="n">
        <f aca="false">N(C106)+N(D106)-N(E106)</f>
        <v>0</v>
      </c>
      <c r="G106" s="33" t="n">
        <f aca="false">'Dec 2026'!J106</f>
        <v>0</v>
      </c>
      <c r="H106" s="33" t="n">
        <f aca="false">IF(B106="",0,N(Students!F95))</f>
        <v>0</v>
      </c>
      <c r="I106" s="23"/>
      <c r="J106" s="24" t="n">
        <f aca="false">N(G106)+N(H106)-N(I106)</f>
        <v>0</v>
      </c>
      <c r="K106" s="33" t="n">
        <f aca="false">'Dec 2026'!N106</f>
        <v>0</v>
      </c>
      <c r="L106" s="33" t="n">
        <f aca="false">IF(B106="",0,N(Students!G95))</f>
        <v>0</v>
      </c>
      <c r="M106" s="23"/>
      <c r="N106" s="24" t="n">
        <f aca="false">N(K106)+N(L106)-N(M106)</f>
        <v>0</v>
      </c>
      <c r="O106" s="33" t="n">
        <f aca="false">'Dec 2026'!R106</f>
        <v>0</v>
      </c>
      <c r="P106" s="33" t="n">
        <f aca="false">IF(B106="",0,N(Students!H95))</f>
        <v>0</v>
      </c>
      <c r="Q106" s="23"/>
      <c r="R106" s="24" t="n">
        <f aca="false">N(O106)+N(P106)-N(Q106)</f>
        <v>0</v>
      </c>
      <c r="S106" s="33" t="n">
        <f aca="false">'Dec 2026'!V106</f>
        <v>0</v>
      </c>
      <c r="T106" s="33" t="n">
        <f aca="false">IF(B106="",0,N(Students!I95))</f>
        <v>0</v>
      </c>
      <c r="U106" s="23"/>
      <c r="V106" s="24" t="n">
        <f aca="false">N(S106)+N(T106)-N(U106)</f>
        <v>0</v>
      </c>
      <c r="W106" s="33" t="n">
        <f aca="false">'Dec 2026'!Z106</f>
        <v>0</v>
      </c>
      <c r="X106" s="33" t="n">
        <f aca="false">IF(B106="",0,N(Students!J95))</f>
        <v>0</v>
      </c>
      <c r="Y106" s="23"/>
      <c r="Z106" s="24" t="n">
        <f aca="false">N(W106)+N(X106)-N(Y106)</f>
        <v>0</v>
      </c>
      <c r="AA106" s="33" t="n">
        <f aca="false">N(E106)+N(I106)+N(M106)+N(Q106)+N(U106)+N(Y106)</f>
        <v>0</v>
      </c>
      <c r="AB106" s="24" t="n">
        <f aca="false">F106+J106+N106+R106+V106+Z106</f>
        <v>0</v>
      </c>
      <c r="AC106" s="81" t="str">
        <f aca="false">IF(B106="","",IF(AB106&lt;=0,"Clear",IF(AA106&gt;0,"Partial","Due")))</f>
        <v/>
      </c>
    </row>
    <row r="107" customFormat="false" ht="15" hidden="false" customHeight="false" outlineLevel="0" collapsed="false">
      <c r="A107" s="25" t="n">
        <v>92</v>
      </c>
      <c r="B107" s="82" t="str">
        <f aca="false">IF(Students!B96="","",Students!B96)</f>
        <v/>
      </c>
      <c r="C107" s="37" t="n">
        <f aca="false">'Dec 2026'!F107</f>
        <v>0</v>
      </c>
      <c r="D107" s="37" t="n">
        <f aca="false">IF(B107="",0,N(Students!E96))</f>
        <v>0</v>
      </c>
      <c r="E107" s="23"/>
      <c r="F107" s="26" t="n">
        <f aca="false">N(C107)+N(D107)-N(E107)</f>
        <v>0</v>
      </c>
      <c r="G107" s="37" t="n">
        <f aca="false">'Dec 2026'!J107</f>
        <v>0</v>
      </c>
      <c r="H107" s="37" t="n">
        <f aca="false">IF(B107="",0,N(Students!F96))</f>
        <v>0</v>
      </c>
      <c r="I107" s="23"/>
      <c r="J107" s="26" t="n">
        <f aca="false">N(G107)+N(H107)-N(I107)</f>
        <v>0</v>
      </c>
      <c r="K107" s="37" t="n">
        <f aca="false">'Dec 2026'!N107</f>
        <v>0</v>
      </c>
      <c r="L107" s="37" t="n">
        <f aca="false">IF(B107="",0,N(Students!G96))</f>
        <v>0</v>
      </c>
      <c r="M107" s="23"/>
      <c r="N107" s="26" t="n">
        <f aca="false">N(K107)+N(L107)-N(M107)</f>
        <v>0</v>
      </c>
      <c r="O107" s="37" t="n">
        <f aca="false">'Dec 2026'!R107</f>
        <v>0</v>
      </c>
      <c r="P107" s="37" t="n">
        <f aca="false">IF(B107="",0,N(Students!H96))</f>
        <v>0</v>
      </c>
      <c r="Q107" s="23"/>
      <c r="R107" s="26" t="n">
        <f aca="false">N(O107)+N(P107)-N(Q107)</f>
        <v>0</v>
      </c>
      <c r="S107" s="37" t="n">
        <f aca="false">'Dec 2026'!V107</f>
        <v>0</v>
      </c>
      <c r="T107" s="37" t="n">
        <f aca="false">IF(B107="",0,N(Students!I96))</f>
        <v>0</v>
      </c>
      <c r="U107" s="23"/>
      <c r="V107" s="26" t="n">
        <f aca="false">N(S107)+N(T107)-N(U107)</f>
        <v>0</v>
      </c>
      <c r="W107" s="37" t="n">
        <f aca="false">'Dec 2026'!Z107</f>
        <v>0</v>
      </c>
      <c r="X107" s="37" t="n">
        <f aca="false">IF(B107="",0,N(Students!J96))</f>
        <v>0</v>
      </c>
      <c r="Y107" s="23"/>
      <c r="Z107" s="26" t="n">
        <f aca="false">N(W107)+N(X107)-N(Y107)</f>
        <v>0</v>
      </c>
      <c r="AA107" s="37" t="n">
        <f aca="false">N(E107)+N(I107)+N(M107)+N(Q107)+N(U107)+N(Y107)</f>
        <v>0</v>
      </c>
      <c r="AB107" s="26" t="n">
        <f aca="false">F107+J107+N107+R107+V107+Z107</f>
        <v>0</v>
      </c>
      <c r="AC107" s="83" t="str">
        <f aca="false">IF(B107="","",IF(AB107&lt;=0,"Clear",IF(AA107&gt;0,"Partial","Due")))</f>
        <v/>
      </c>
    </row>
    <row r="108" customFormat="false" ht="15" hidden="false" customHeight="false" outlineLevel="0" collapsed="false">
      <c r="A108" s="21" t="n">
        <v>93</v>
      </c>
      <c r="B108" s="46" t="str">
        <f aca="false">IF(Students!B97="","",Students!B97)</f>
        <v/>
      </c>
      <c r="C108" s="33" t="n">
        <f aca="false">'Dec 2026'!F108</f>
        <v>0</v>
      </c>
      <c r="D108" s="33" t="n">
        <f aca="false">IF(B108="",0,N(Students!E97))</f>
        <v>0</v>
      </c>
      <c r="E108" s="23"/>
      <c r="F108" s="24" t="n">
        <f aca="false">N(C108)+N(D108)-N(E108)</f>
        <v>0</v>
      </c>
      <c r="G108" s="33" t="n">
        <f aca="false">'Dec 2026'!J108</f>
        <v>0</v>
      </c>
      <c r="H108" s="33" t="n">
        <f aca="false">IF(B108="",0,N(Students!F97))</f>
        <v>0</v>
      </c>
      <c r="I108" s="23"/>
      <c r="J108" s="24" t="n">
        <f aca="false">N(G108)+N(H108)-N(I108)</f>
        <v>0</v>
      </c>
      <c r="K108" s="33" t="n">
        <f aca="false">'Dec 2026'!N108</f>
        <v>0</v>
      </c>
      <c r="L108" s="33" t="n">
        <f aca="false">IF(B108="",0,N(Students!G97))</f>
        <v>0</v>
      </c>
      <c r="M108" s="23"/>
      <c r="N108" s="24" t="n">
        <f aca="false">N(K108)+N(L108)-N(M108)</f>
        <v>0</v>
      </c>
      <c r="O108" s="33" t="n">
        <f aca="false">'Dec 2026'!R108</f>
        <v>0</v>
      </c>
      <c r="P108" s="33" t="n">
        <f aca="false">IF(B108="",0,N(Students!H97))</f>
        <v>0</v>
      </c>
      <c r="Q108" s="23"/>
      <c r="R108" s="24" t="n">
        <f aca="false">N(O108)+N(P108)-N(Q108)</f>
        <v>0</v>
      </c>
      <c r="S108" s="33" t="n">
        <f aca="false">'Dec 2026'!V108</f>
        <v>0</v>
      </c>
      <c r="T108" s="33" t="n">
        <f aca="false">IF(B108="",0,N(Students!I97))</f>
        <v>0</v>
      </c>
      <c r="U108" s="23"/>
      <c r="V108" s="24" t="n">
        <f aca="false">N(S108)+N(T108)-N(U108)</f>
        <v>0</v>
      </c>
      <c r="W108" s="33" t="n">
        <f aca="false">'Dec 2026'!Z108</f>
        <v>0</v>
      </c>
      <c r="X108" s="33" t="n">
        <f aca="false">IF(B108="",0,N(Students!J97))</f>
        <v>0</v>
      </c>
      <c r="Y108" s="23"/>
      <c r="Z108" s="24" t="n">
        <f aca="false">N(W108)+N(X108)-N(Y108)</f>
        <v>0</v>
      </c>
      <c r="AA108" s="33" t="n">
        <f aca="false">N(E108)+N(I108)+N(M108)+N(Q108)+N(U108)+N(Y108)</f>
        <v>0</v>
      </c>
      <c r="AB108" s="24" t="n">
        <f aca="false">F108+J108+N108+R108+V108+Z108</f>
        <v>0</v>
      </c>
      <c r="AC108" s="81" t="str">
        <f aca="false">IF(B108="","",IF(AB108&lt;=0,"Clear",IF(AA108&gt;0,"Partial","Due")))</f>
        <v/>
      </c>
    </row>
    <row r="109" customFormat="false" ht="15" hidden="false" customHeight="false" outlineLevel="0" collapsed="false">
      <c r="A109" s="25" t="n">
        <v>94</v>
      </c>
      <c r="B109" s="82" t="str">
        <f aca="false">IF(Students!B98="","",Students!B98)</f>
        <v/>
      </c>
      <c r="C109" s="37" t="n">
        <f aca="false">'Dec 2026'!F109</f>
        <v>0</v>
      </c>
      <c r="D109" s="37" t="n">
        <f aca="false">IF(B109="",0,N(Students!E98))</f>
        <v>0</v>
      </c>
      <c r="E109" s="23"/>
      <c r="F109" s="26" t="n">
        <f aca="false">N(C109)+N(D109)-N(E109)</f>
        <v>0</v>
      </c>
      <c r="G109" s="37" t="n">
        <f aca="false">'Dec 2026'!J109</f>
        <v>0</v>
      </c>
      <c r="H109" s="37" t="n">
        <f aca="false">IF(B109="",0,N(Students!F98))</f>
        <v>0</v>
      </c>
      <c r="I109" s="23"/>
      <c r="J109" s="26" t="n">
        <f aca="false">N(G109)+N(H109)-N(I109)</f>
        <v>0</v>
      </c>
      <c r="K109" s="37" t="n">
        <f aca="false">'Dec 2026'!N109</f>
        <v>0</v>
      </c>
      <c r="L109" s="37" t="n">
        <f aca="false">IF(B109="",0,N(Students!G98))</f>
        <v>0</v>
      </c>
      <c r="M109" s="23"/>
      <c r="N109" s="26" t="n">
        <f aca="false">N(K109)+N(L109)-N(M109)</f>
        <v>0</v>
      </c>
      <c r="O109" s="37" t="n">
        <f aca="false">'Dec 2026'!R109</f>
        <v>0</v>
      </c>
      <c r="P109" s="37" t="n">
        <f aca="false">IF(B109="",0,N(Students!H98))</f>
        <v>0</v>
      </c>
      <c r="Q109" s="23"/>
      <c r="R109" s="26" t="n">
        <f aca="false">N(O109)+N(P109)-N(Q109)</f>
        <v>0</v>
      </c>
      <c r="S109" s="37" t="n">
        <f aca="false">'Dec 2026'!V109</f>
        <v>0</v>
      </c>
      <c r="T109" s="37" t="n">
        <f aca="false">IF(B109="",0,N(Students!I98))</f>
        <v>0</v>
      </c>
      <c r="U109" s="23"/>
      <c r="V109" s="26" t="n">
        <f aca="false">N(S109)+N(T109)-N(U109)</f>
        <v>0</v>
      </c>
      <c r="W109" s="37" t="n">
        <f aca="false">'Dec 2026'!Z109</f>
        <v>0</v>
      </c>
      <c r="X109" s="37" t="n">
        <f aca="false">IF(B109="",0,N(Students!J98))</f>
        <v>0</v>
      </c>
      <c r="Y109" s="23"/>
      <c r="Z109" s="26" t="n">
        <f aca="false">N(W109)+N(X109)-N(Y109)</f>
        <v>0</v>
      </c>
      <c r="AA109" s="37" t="n">
        <f aca="false">N(E109)+N(I109)+N(M109)+N(Q109)+N(U109)+N(Y109)</f>
        <v>0</v>
      </c>
      <c r="AB109" s="26" t="n">
        <f aca="false">F109+J109+N109+R109+V109+Z109</f>
        <v>0</v>
      </c>
      <c r="AC109" s="83" t="str">
        <f aca="false">IF(B109="","",IF(AB109&lt;=0,"Clear",IF(AA109&gt;0,"Partial","Due")))</f>
        <v/>
      </c>
    </row>
    <row r="110" customFormat="false" ht="15" hidden="false" customHeight="false" outlineLevel="0" collapsed="false">
      <c r="A110" s="21" t="n">
        <v>95</v>
      </c>
      <c r="B110" s="46" t="str">
        <f aca="false">IF(Students!B99="","",Students!B99)</f>
        <v/>
      </c>
      <c r="C110" s="33" t="n">
        <f aca="false">'Dec 2026'!F110</f>
        <v>0</v>
      </c>
      <c r="D110" s="33" t="n">
        <f aca="false">IF(B110="",0,N(Students!E99))</f>
        <v>0</v>
      </c>
      <c r="E110" s="23"/>
      <c r="F110" s="24" t="n">
        <f aca="false">N(C110)+N(D110)-N(E110)</f>
        <v>0</v>
      </c>
      <c r="G110" s="33" t="n">
        <f aca="false">'Dec 2026'!J110</f>
        <v>0</v>
      </c>
      <c r="H110" s="33" t="n">
        <f aca="false">IF(B110="",0,N(Students!F99))</f>
        <v>0</v>
      </c>
      <c r="I110" s="23"/>
      <c r="J110" s="24" t="n">
        <f aca="false">N(G110)+N(H110)-N(I110)</f>
        <v>0</v>
      </c>
      <c r="K110" s="33" t="n">
        <f aca="false">'Dec 2026'!N110</f>
        <v>0</v>
      </c>
      <c r="L110" s="33" t="n">
        <f aca="false">IF(B110="",0,N(Students!G99))</f>
        <v>0</v>
      </c>
      <c r="M110" s="23"/>
      <c r="N110" s="24" t="n">
        <f aca="false">N(K110)+N(L110)-N(M110)</f>
        <v>0</v>
      </c>
      <c r="O110" s="33" t="n">
        <f aca="false">'Dec 2026'!R110</f>
        <v>0</v>
      </c>
      <c r="P110" s="33" t="n">
        <f aca="false">IF(B110="",0,N(Students!H99))</f>
        <v>0</v>
      </c>
      <c r="Q110" s="23"/>
      <c r="R110" s="24" t="n">
        <f aca="false">N(O110)+N(P110)-N(Q110)</f>
        <v>0</v>
      </c>
      <c r="S110" s="33" t="n">
        <f aca="false">'Dec 2026'!V110</f>
        <v>0</v>
      </c>
      <c r="T110" s="33" t="n">
        <f aca="false">IF(B110="",0,N(Students!I99))</f>
        <v>0</v>
      </c>
      <c r="U110" s="23"/>
      <c r="V110" s="24" t="n">
        <f aca="false">N(S110)+N(T110)-N(U110)</f>
        <v>0</v>
      </c>
      <c r="W110" s="33" t="n">
        <f aca="false">'Dec 2026'!Z110</f>
        <v>0</v>
      </c>
      <c r="X110" s="33" t="n">
        <f aca="false">IF(B110="",0,N(Students!J99))</f>
        <v>0</v>
      </c>
      <c r="Y110" s="23"/>
      <c r="Z110" s="24" t="n">
        <f aca="false">N(W110)+N(X110)-N(Y110)</f>
        <v>0</v>
      </c>
      <c r="AA110" s="33" t="n">
        <f aca="false">N(E110)+N(I110)+N(M110)+N(Q110)+N(U110)+N(Y110)</f>
        <v>0</v>
      </c>
      <c r="AB110" s="24" t="n">
        <f aca="false">F110+J110+N110+R110+V110+Z110</f>
        <v>0</v>
      </c>
      <c r="AC110" s="81" t="str">
        <f aca="false">IF(B110="","",IF(AB110&lt;=0,"Clear",IF(AA110&gt;0,"Partial","Due")))</f>
        <v/>
      </c>
    </row>
    <row r="111" customFormat="false" ht="15" hidden="false" customHeight="false" outlineLevel="0" collapsed="false">
      <c r="A111" s="25" t="n">
        <v>96</v>
      </c>
      <c r="B111" s="82" t="str">
        <f aca="false">IF(Students!B100="","",Students!B100)</f>
        <v/>
      </c>
      <c r="C111" s="37" t="n">
        <f aca="false">'Dec 2026'!F111</f>
        <v>0</v>
      </c>
      <c r="D111" s="37" t="n">
        <f aca="false">IF(B111="",0,N(Students!E100))</f>
        <v>0</v>
      </c>
      <c r="E111" s="23"/>
      <c r="F111" s="26" t="n">
        <f aca="false">N(C111)+N(D111)-N(E111)</f>
        <v>0</v>
      </c>
      <c r="G111" s="37" t="n">
        <f aca="false">'Dec 2026'!J111</f>
        <v>0</v>
      </c>
      <c r="H111" s="37" t="n">
        <f aca="false">IF(B111="",0,N(Students!F100))</f>
        <v>0</v>
      </c>
      <c r="I111" s="23"/>
      <c r="J111" s="26" t="n">
        <f aca="false">N(G111)+N(H111)-N(I111)</f>
        <v>0</v>
      </c>
      <c r="K111" s="37" t="n">
        <f aca="false">'Dec 2026'!N111</f>
        <v>0</v>
      </c>
      <c r="L111" s="37" t="n">
        <f aca="false">IF(B111="",0,N(Students!G100))</f>
        <v>0</v>
      </c>
      <c r="M111" s="23"/>
      <c r="N111" s="26" t="n">
        <f aca="false">N(K111)+N(L111)-N(M111)</f>
        <v>0</v>
      </c>
      <c r="O111" s="37" t="n">
        <f aca="false">'Dec 2026'!R111</f>
        <v>0</v>
      </c>
      <c r="P111" s="37" t="n">
        <f aca="false">IF(B111="",0,N(Students!H100))</f>
        <v>0</v>
      </c>
      <c r="Q111" s="23"/>
      <c r="R111" s="26" t="n">
        <f aca="false">N(O111)+N(P111)-N(Q111)</f>
        <v>0</v>
      </c>
      <c r="S111" s="37" t="n">
        <f aca="false">'Dec 2026'!V111</f>
        <v>0</v>
      </c>
      <c r="T111" s="37" t="n">
        <f aca="false">IF(B111="",0,N(Students!I100))</f>
        <v>0</v>
      </c>
      <c r="U111" s="23"/>
      <c r="V111" s="26" t="n">
        <f aca="false">N(S111)+N(T111)-N(U111)</f>
        <v>0</v>
      </c>
      <c r="W111" s="37" t="n">
        <f aca="false">'Dec 2026'!Z111</f>
        <v>0</v>
      </c>
      <c r="X111" s="37" t="n">
        <f aca="false">IF(B111="",0,N(Students!J100))</f>
        <v>0</v>
      </c>
      <c r="Y111" s="23"/>
      <c r="Z111" s="26" t="n">
        <f aca="false">N(W111)+N(X111)-N(Y111)</f>
        <v>0</v>
      </c>
      <c r="AA111" s="37" t="n">
        <f aca="false">N(E111)+N(I111)+N(M111)+N(Q111)+N(U111)+N(Y111)</f>
        <v>0</v>
      </c>
      <c r="AB111" s="26" t="n">
        <f aca="false">F111+J111+N111+R111+V111+Z111</f>
        <v>0</v>
      </c>
      <c r="AC111" s="83" t="str">
        <f aca="false">IF(B111="","",IF(AB111&lt;=0,"Clear",IF(AA111&gt;0,"Partial","Due")))</f>
        <v/>
      </c>
    </row>
    <row r="112" customFormat="false" ht="15" hidden="false" customHeight="false" outlineLevel="0" collapsed="false">
      <c r="A112" s="21" t="n">
        <v>97</v>
      </c>
      <c r="B112" s="46" t="str">
        <f aca="false">IF(Students!B101="","",Students!B101)</f>
        <v/>
      </c>
      <c r="C112" s="33" t="n">
        <f aca="false">'Dec 2026'!F112</f>
        <v>0</v>
      </c>
      <c r="D112" s="33" t="n">
        <f aca="false">IF(B112="",0,N(Students!E101))</f>
        <v>0</v>
      </c>
      <c r="E112" s="23"/>
      <c r="F112" s="24" t="n">
        <f aca="false">N(C112)+N(D112)-N(E112)</f>
        <v>0</v>
      </c>
      <c r="G112" s="33" t="n">
        <f aca="false">'Dec 2026'!J112</f>
        <v>0</v>
      </c>
      <c r="H112" s="33" t="n">
        <f aca="false">IF(B112="",0,N(Students!F101))</f>
        <v>0</v>
      </c>
      <c r="I112" s="23"/>
      <c r="J112" s="24" t="n">
        <f aca="false">N(G112)+N(H112)-N(I112)</f>
        <v>0</v>
      </c>
      <c r="K112" s="33" t="n">
        <f aca="false">'Dec 2026'!N112</f>
        <v>0</v>
      </c>
      <c r="L112" s="33" t="n">
        <f aca="false">IF(B112="",0,N(Students!G101))</f>
        <v>0</v>
      </c>
      <c r="M112" s="23"/>
      <c r="N112" s="24" t="n">
        <f aca="false">N(K112)+N(L112)-N(M112)</f>
        <v>0</v>
      </c>
      <c r="O112" s="33" t="n">
        <f aca="false">'Dec 2026'!R112</f>
        <v>0</v>
      </c>
      <c r="P112" s="33" t="n">
        <f aca="false">IF(B112="",0,N(Students!H101))</f>
        <v>0</v>
      </c>
      <c r="Q112" s="23"/>
      <c r="R112" s="24" t="n">
        <f aca="false">N(O112)+N(P112)-N(Q112)</f>
        <v>0</v>
      </c>
      <c r="S112" s="33" t="n">
        <f aca="false">'Dec 2026'!V112</f>
        <v>0</v>
      </c>
      <c r="T112" s="33" t="n">
        <f aca="false">IF(B112="",0,N(Students!I101))</f>
        <v>0</v>
      </c>
      <c r="U112" s="23"/>
      <c r="V112" s="24" t="n">
        <f aca="false">N(S112)+N(T112)-N(U112)</f>
        <v>0</v>
      </c>
      <c r="W112" s="33" t="n">
        <f aca="false">'Dec 2026'!Z112</f>
        <v>0</v>
      </c>
      <c r="X112" s="33" t="n">
        <f aca="false">IF(B112="",0,N(Students!J101))</f>
        <v>0</v>
      </c>
      <c r="Y112" s="23"/>
      <c r="Z112" s="24" t="n">
        <f aca="false">N(W112)+N(X112)-N(Y112)</f>
        <v>0</v>
      </c>
      <c r="AA112" s="33" t="n">
        <f aca="false">N(E112)+N(I112)+N(M112)+N(Q112)+N(U112)+N(Y112)</f>
        <v>0</v>
      </c>
      <c r="AB112" s="24" t="n">
        <f aca="false">F112+J112+N112+R112+V112+Z112</f>
        <v>0</v>
      </c>
      <c r="AC112" s="81" t="str">
        <f aca="false">IF(B112="","",IF(AB112&lt;=0,"Clear",IF(AA112&gt;0,"Partial","Due")))</f>
        <v/>
      </c>
    </row>
    <row r="113" customFormat="false" ht="15" hidden="false" customHeight="false" outlineLevel="0" collapsed="false">
      <c r="A113" s="25" t="n">
        <v>98</v>
      </c>
      <c r="B113" s="82" t="str">
        <f aca="false">IF(Students!B102="","",Students!B102)</f>
        <v/>
      </c>
      <c r="C113" s="37" t="n">
        <f aca="false">'Dec 2026'!F113</f>
        <v>0</v>
      </c>
      <c r="D113" s="37" t="n">
        <f aca="false">IF(B113="",0,N(Students!E102))</f>
        <v>0</v>
      </c>
      <c r="E113" s="23"/>
      <c r="F113" s="26" t="n">
        <f aca="false">N(C113)+N(D113)-N(E113)</f>
        <v>0</v>
      </c>
      <c r="G113" s="37" t="n">
        <f aca="false">'Dec 2026'!J113</f>
        <v>0</v>
      </c>
      <c r="H113" s="37" t="n">
        <f aca="false">IF(B113="",0,N(Students!F102))</f>
        <v>0</v>
      </c>
      <c r="I113" s="23"/>
      <c r="J113" s="26" t="n">
        <f aca="false">N(G113)+N(H113)-N(I113)</f>
        <v>0</v>
      </c>
      <c r="K113" s="37" t="n">
        <f aca="false">'Dec 2026'!N113</f>
        <v>0</v>
      </c>
      <c r="L113" s="37" t="n">
        <f aca="false">IF(B113="",0,N(Students!G102))</f>
        <v>0</v>
      </c>
      <c r="M113" s="23"/>
      <c r="N113" s="26" t="n">
        <f aca="false">N(K113)+N(L113)-N(M113)</f>
        <v>0</v>
      </c>
      <c r="O113" s="37" t="n">
        <f aca="false">'Dec 2026'!R113</f>
        <v>0</v>
      </c>
      <c r="P113" s="37" t="n">
        <f aca="false">IF(B113="",0,N(Students!H102))</f>
        <v>0</v>
      </c>
      <c r="Q113" s="23"/>
      <c r="R113" s="26" t="n">
        <f aca="false">N(O113)+N(P113)-N(Q113)</f>
        <v>0</v>
      </c>
      <c r="S113" s="37" t="n">
        <f aca="false">'Dec 2026'!V113</f>
        <v>0</v>
      </c>
      <c r="T113" s="37" t="n">
        <f aca="false">IF(B113="",0,N(Students!I102))</f>
        <v>0</v>
      </c>
      <c r="U113" s="23"/>
      <c r="V113" s="26" t="n">
        <f aca="false">N(S113)+N(T113)-N(U113)</f>
        <v>0</v>
      </c>
      <c r="W113" s="37" t="n">
        <f aca="false">'Dec 2026'!Z113</f>
        <v>0</v>
      </c>
      <c r="X113" s="37" t="n">
        <f aca="false">IF(B113="",0,N(Students!J102))</f>
        <v>0</v>
      </c>
      <c r="Y113" s="23"/>
      <c r="Z113" s="26" t="n">
        <f aca="false">N(W113)+N(X113)-N(Y113)</f>
        <v>0</v>
      </c>
      <c r="AA113" s="37" t="n">
        <f aca="false">N(E113)+N(I113)+N(M113)+N(Q113)+N(U113)+N(Y113)</f>
        <v>0</v>
      </c>
      <c r="AB113" s="26" t="n">
        <f aca="false">F113+J113+N113+R113+V113+Z113</f>
        <v>0</v>
      </c>
      <c r="AC113" s="83" t="str">
        <f aca="false">IF(B113="","",IF(AB113&lt;=0,"Clear",IF(AA113&gt;0,"Partial","Due")))</f>
        <v/>
      </c>
    </row>
    <row r="114" customFormat="false" ht="15" hidden="false" customHeight="false" outlineLevel="0" collapsed="false">
      <c r="A114" s="21" t="n">
        <v>99</v>
      </c>
      <c r="B114" s="46" t="str">
        <f aca="false">IF(Students!B103="","",Students!B103)</f>
        <v/>
      </c>
      <c r="C114" s="33" t="n">
        <f aca="false">'Dec 2026'!F114</f>
        <v>0</v>
      </c>
      <c r="D114" s="33" t="n">
        <f aca="false">IF(B114="",0,N(Students!E103))</f>
        <v>0</v>
      </c>
      <c r="E114" s="23"/>
      <c r="F114" s="24" t="n">
        <f aca="false">N(C114)+N(D114)-N(E114)</f>
        <v>0</v>
      </c>
      <c r="G114" s="33" t="n">
        <f aca="false">'Dec 2026'!J114</f>
        <v>0</v>
      </c>
      <c r="H114" s="33" t="n">
        <f aca="false">IF(B114="",0,N(Students!F103))</f>
        <v>0</v>
      </c>
      <c r="I114" s="23"/>
      <c r="J114" s="24" t="n">
        <f aca="false">N(G114)+N(H114)-N(I114)</f>
        <v>0</v>
      </c>
      <c r="K114" s="33" t="n">
        <f aca="false">'Dec 2026'!N114</f>
        <v>0</v>
      </c>
      <c r="L114" s="33" t="n">
        <f aca="false">IF(B114="",0,N(Students!G103))</f>
        <v>0</v>
      </c>
      <c r="M114" s="23"/>
      <c r="N114" s="24" t="n">
        <f aca="false">N(K114)+N(L114)-N(M114)</f>
        <v>0</v>
      </c>
      <c r="O114" s="33" t="n">
        <f aca="false">'Dec 2026'!R114</f>
        <v>0</v>
      </c>
      <c r="P114" s="33" t="n">
        <f aca="false">IF(B114="",0,N(Students!H103))</f>
        <v>0</v>
      </c>
      <c r="Q114" s="23"/>
      <c r="R114" s="24" t="n">
        <f aca="false">N(O114)+N(P114)-N(Q114)</f>
        <v>0</v>
      </c>
      <c r="S114" s="33" t="n">
        <f aca="false">'Dec 2026'!V114</f>
        <v>0</v>
      </c>
      <c r="T114" s="33" t="n">
        <f aca="false">IF(B114="",0,N(Students!I103))</f>
        <v>0</v>
      </c>
      <c r="U114" s="23"/>
      <c r="V114" s="24" t="n">
        <f aca="false">N(S114)+N(T114)-N(U114)</f>
        <v>0</v>
      </c>
      <c r="W114" s="33" t="n">
        <f aca="false">'Dec 2026'!Z114</f>
        <v>0</v>
      </c>
      <c r="X114" s="33" t="n">
        <f aca="false">IF(B114="",0,N(Students!J103))</f>
        <v>0</v>
      </c>
      <c r="Y114" s="23"/>
      <c r="Z114" s="24" t="n">
        <f aca="false">N(W114)+N(X114)-N(Y114)</f>
        <v>0</v>
      </c>
      <c r="AA114" s="33" t="n">
        <f aca="false">N(E114)+N(I114)+N(M114)+N(Q114)+N(U114)+N(Y114)</f>
        <v>0</v>
      </c>
      <c r="AB114" s="24" t="n">
        <f aca="false">F114+J114+N114+R114+V114+Z114</f>
        <v>0</v>
      </c>
      <c r="AC114" s="81" t="str">
        <f aca="false">IF(B114="","",IF(AB114&lt;=0,"Clear",IF(AA114&gt;0,"Partial","Due")))</f>
        <v/>
      </c>
    </row>
    <row r="115" customFormat="false" ht="15" hidden="false" customHeight="false" outlineLevel="0" collapsed="false">
      <c r="A115" s="25" t="n">
        <v>100</v>
      </c>
      <c r="B115" s="82" t="str">
        <f aca="false">IF(Students!B104="","",Students!B104)</f>
        <v/>
      </c>
      <c r="C115" s="37" t="n">
        <f aca="false">'Dec 2026'!F115</f>
        <v>0</v>
      </c>
      <c r="D115" s="37" t="n">
        <f aca="false">IF(B115="",0,N(Students!E104))</f>
        <v>0</v>
      </c>
      <c r="E115" s="23"/>
      <c r="F115" s="26" t="n">
        <f aca="false">N(C115)+N(D115)-N(E115)</f>
        <v>0</v>
      </c>
      <c r="G115" s="37" t="n">
        <f aca="false">'Dec 2026'!J115</f>
        <v>0</v>
      </c>
      <c r="H115" s="37" t="n">
        <f aca="false">IF(B115="",0,N(Students!F104))</f>
        <v>0</v>
      </c>
      <c r="I115" s="23"/>
      <c r="J115" s="26" t="n">
        <f aca="false">N(G115)+N(H115)-N(I115)</f>
        <v>0</v>
      </c>
      <c r="K115" s="37" t="n">
        <f aca="false">'Dec 2026'!N115</f>
        <v>0</v>
      </c>
      <c r="L115" s="37" t="n">
        <f aca="false">IF(B115="",0,N(Students!G104))</f>
        <v>0</v>
      </c>
      <c r="M115" s="23"/>
      <c r="N115" s="26" t="n">
        <f aca="false">N(K115)+N(L115)-N(M115)</f>
        <v>0</v>
      </c>
      <c r="O115" s="37" t="n">
        <f aca="false">'Dec 2026'!R115</f>
        <v>0</v>
      </c>
      <c r="P115" s="37" t="n">
        <f aca="false">IF(B115="",0,N(Students!H104))</f>
        <v>0</v>
      </c>
      <c r="Q115" s="23"/>
      <c r="R115" s="26" t="n">
        <f aca="false">N(O115)+N(P115)-N(Q115)</f>
        <v>0</v>
      </c>
      <c r="S115" s="37" t="n">
        <f aca="false">'Dec 2026'!V115</f>
        <v>0</v>
      </c>
      <c r="T115" s="37" t="n">
        <f aca="false">IF(B115="",0,N(Students!I104))</f>
        <v>0</v>
      </c>
      <c r="U115" s="23"/>
      <c r="V115" s="26" t="n">
        <f aca="false">N(S115)+N(T115)-N(U115)</f>
        <v>0</v>
      </c>
      <c r="W115" s="37" t="n">
        <f aca="false">'Dec 2026'!Z115</f>
        <v>0</v>
      </c>
      <c r="X115" s="37" t="n">
        <f aca="false">IF(B115="",0,N(Students!J104))</f>
        <v>0</v>
      </c>
      <c r="Y115" s="23"/>
      <c r="Z115" s="26" t="n">
        <f aca="false">N(W115)+N(X115)-N(Y115)</f>
        <v>0</v>
      </c>
      <c r="AA115" s="37" t="n">
        <f aca="false">N(E115)+N(I115)+N(M115)+N(Q115)+N(U115)+N(Y115)</f>
        <v>0</v>
      </c>
      <c r="AB115" s="26" t="n">
        <f aca="false">F115+J115+N115+R115+V115+Z115</f>
        <v>0</v>
      </c>
      <c r="AC115" s="83" t="str">
        <f aca="false">IF(B115="","",IF(AB115&lt;=0,"Clear",IF(AA115&gt;0,"Partial","Due")))</f>
        <v/>
      </c>
    </row>
    <row r="116" customFormat="false" ht="15" hidden="false" customHeight="false" outlineLevel="0" collapsed="false">
      <c r="A116" s="21" t="n">
        <v>101</v>
      </c>
      <c r="B116" s="46" t="str">
        <f aca="false">IF(Students!B105="","",Students!B105)</f>
        <v/>
      </c>
      <c r="C116" s="33" t="n">
        <f aca="false">'Dec 2026'!F116</f>
        <v>0</v>
      </c>
      <c r="D116" s="33" t="n">
        <f aca="false">IF(B116="",0,N(Students!E105))</f>
        <v>0</v>
      </c>
      <c r="E116" s="23"/>
      <c r="F116" s="24" t="n">
        <f aca="false">N(C116)+N(D116)-N(E116)</f>
        <v>0</v>
      </c>
      <c r="G116" s="33" t="n">
        <f aca="false">'Dec 2026'!J116</f>
        <v>0</v>
      </c>
      <c r="H116" s="33" t="n">
        <f aca="false">IF(B116="",0,N(Students!F105))</f>
        <v>0</v>
      </c>
      <c r="I116" s="23"/>
      <c r="J116" s="24" t="n">
        <f aca="false">N(G116)+N(H116)-N(I116)</f>
        <v>0</v>
      </c>
      <c r="K116" s="33" t="n">
        <f aca="false">'Dec 2026'!N116</f>
        <v>0</v>
      </c>
      <c r="L116" s="33" t="n">
        <f aca="false">IF(B116="",0,N(Students!G105))</f>
        <v>0</v>
      </c>
      <c r="M116" s="23"/>
      <c r="N116" s="24" t="n">
        <f aca="false">N(K116)+N(L116)-N(M116)</f>
        <v>0</v>
      </c>
      <c r="O116" s="33" t="n">
        <f aca="false">'Dec 2026'!R116</f>
        <v>0</v>
      </c>
      <c r="P116" s="33" t="n">
        <f aca="false">IF(B116="",0,N(Students!H105))</f>
        <v>0</v>
      </c>
      <c r="Q116" s="23"/>
      <c r="R116" s="24" t="n">
        <f aca="false">N(O116)+N(P116)-N(Q116)</f>
        <v>0</v>
      </c>
      <c r="S116" s="33" t="n">
        <f aca="false">'Dec 2026'!V116</f>
        <v>0</v>
      </c>
      <c r="T116" s="33" t="n">
        <f aca="false">IF(B116="",0,N(Students!I105))</f>
        <v>0</v>
      </c>
      <c r="U116" s="23"/>
      <c r="V116" s="24" t="n">
        <f aca="false">N(S116)+N(T116)-N(U116)</f>
        <v>0</v>
      </c>
      <c r="W116" s="33" t="n">
        <f aca="false">'Dec 2026'!Z116</f>
        <v>0</v>
      </c>
      <c r="X116" s="33" t="n">
        <f aca="false">IF(B116="",0,N(Students!J105))</f>
        <v>0</v>
      </c>
      <c r="Y116" s="23"/>
      <c r="Z116" s="24" t="n">
        <f aca="false">N(W116)+N(X116)-N(Y116)</f>
        <v>0</v>
      </c>
      <c r="AA116" s="33" t="n">
        <f aca="false">N(E116)+N(I116)+N(M116)+N(Q116)+N(U116)+N(Y116)</f>
        <v>0</v>
      </c>
      <c r="AB116" s="24" t="n">
        <f aca="false">F116+J116+N116+R116+V116+Z116</f>
        <v>0</v>
      </c>
      <c r="AC116" s="81" t="str">
        <f aca="false">IF(B116="","",IF(AB116&lt;=0,"Clear",IF(AA116&gt;0,"Partial","Due")))</f>
        <v/>
      </c>
    </row>
    <row r="117" customFormat="false" ht="15" hidden="false" customHeight="false" outlineLevel="0" collapsed="false">
      <c r="A117" s="25" t="n">
        <v>102</v>
      </c>
      <c r="B117" s="82" t="str">
        <f aca="false">IF(Students!B106="","",Students!B106)</f>
        <v/>
      </c>
      <c r="C117" s="37" t="n">
        <f aca="false">'Dec 2026'!F117</f>
        <v>0</v>
      </c>
      <c r="D117" s="37" t="n">
        <f aca="false">IF(B117="",0,N(Students!E106))</f>
        <v>0</v>
      </c>
      <c r="E117" s="23"/>
      <c r="F117" s="26" t="n">
        <f aca="false">N(C117)+N(D117)-N(E117)</f>
        <v>0</v>
      </c>
      <c r="G117" s="37" t="n">
        <f aca="false">'Dec 2026'!J117</f>
        <v>0</v>
      </c>
      <c r="H117" s="37" t="n">
        <f aca="false">IF(B117="",0,N(Students!F106))</f>
        <v>0</v>
      </c>
      <c r="I117" s="23"/>
      <c r="J117" s="26" t="n">
        <f aca="false">N(G117)+N(H117)-N(I117)</f>
        <v>0</v>
      </c>
      <c r="K117" s="37" t="n">
        <f aca="false">'Dec 2026'!N117</f>
        <v>0</v>
      </c>
      <c r="L117" s="37" t="n">
        <f aca="false">IF(B117="",0,N(Students!G106))</f>
        <v>0</v>
      </c>
      <c r="M117" s="23"/>
      <c r="N117" s="26" t="n">
        <f aca="false">N(K117)+N(L117)-N(M117)</f>
        <v>0</v>
      </c>
      <c r="O117" s="37" t="n">
        <f aca="false">'Dec 2026'!R117</f>
        <v>0</v>
      </c>
      <c r="P117" s="37" t="n">
        <f aca="false">IF(B117="",0,N(Students!H106))</f>
        <v>0</v>
      </c>
      <c r="Q117" s="23"/>
      <c r="R117" s="26" t="n">
        <f aca="false">N(O117)+N(P117)-N(Q117)</f>
        <v>0</v>
      </c>
      <c r="S117" s="37" t="n">
        <f aca="false">'Dec 2026'!V117</f>
        <v>0</v>
      </c>
      <c r="T117" s="37" t="n">
        <f aca="false">IF(B117="",0,N(Students!I106))</f>
        <v>0</v>
      </c>
      <c r="U117" s="23"/>
      <c r="V117" s="26" t="n">
        <f aca="false">N(S117)+N(T117)-N(U117)</f>
        <v>0</v>
      </c>
      <c r="W117" s="37" t="n">
        <f aca="false">'Dec 2026'!Z117</f>
        <v>0</v>
      </c>
      <c r="X117" s="37" t="n">
        <f aca="false">IF(B117="",0,N(Students!J106))</f>
        <v>0</v>
      </c>
      <c r="Y117" s="23"/>
      <c r="Z117" s="26" t="n">
        <f aca="false">N(W117)+N(X117)-N(Y117)</f>
        <v>0</v>
      </c>
      <c r="AA117" s="37" t="n">
        <f aca="false">N(E117)+N(I117)+N(M117)+N(Q117)+N(U117)+N(Y117)</f>
        <v>0</v>
      </c>
      <c r="AB117" s="26" t="n">
        <f aca="false">F117+J117+N117+R117+V117+Z117</f>
        <v>0</v>
      </c>
      <c r="AC117" s="83" t="str">
        <f aca="false">IF(B117="","",IF(AB117&lt;=0,"Clear",IF(AA117&gt;0,"Partial","Due")))</f>
        <v/>
      </c>
    </row>
    <row r="118" customFormat="false" ht="15" hidden="false" customHeight="false" outlineLevel="0" collapsed="false">
      <c r="A118" s="21" t="n">
        <v>103</v>
      </c>
      <c r="B118" s="46" t="str">
        <f aca="false">IF(Students!B107="","",Students!B107)</f>
        <v/>
      </c>
      <c r="C118" s="33" t="n">
        <f aca="false">'Dec 2026'!F118</f>
        <v>0</v>
      </c>
      <c r="D118" s="33" t="n">
        <f aca="false">IF(B118="",0,N(Students!E107))</f>
        <v>0</v>
      </c>
      <c r="E118" s="23"/>
      <c r="F118" s="24" t="n">
        <f aca="false">N(C118)+N(D118)-N(E118)</f>
        <v>0</v>
      </c>
      <c r="G118" s="33" t="n">
        <f aca="false">'Dec 2026'!J118</f>
        <v>0</v>
      </c>
      <c r="H118" s="33" t="n">
        <f aca="false">IF(B118="",0,N(Students!F107))</f>
        <v>0</v>
      </c>
      <c r="I118" s="23"/>
      <c r="J118" s="24" t="n">
        <f aca="false">N(G118)+N(H118)-N(I118)</f>
        <v>0</v>
      </c>
      <c r="K118" s="33" t="n">
        <f aca="false">'Dec 2026'!N118</f>
        <v>0</v>
      </c>
      <c r="L118" s="33" t="n">
        <f aca="false">IF(B118="",0,N(Students!G107))</f>
        <v>0</v>
      </c>
      <c r="M118" s="23"/>
      <c r="N118" s="24" t="n">
        <f aca="false">N(K118)+N(L118)-N(M118)</f>
        <v>0</v>
      </c>
      <c r="O118" s="33" t="n">
        <f aca="false">'Dec 2026'!R118</f>
        <v>0</v>
      </c>
      <c r="P118" s="33" t="n">
        <f aca="false">IF(B118="",0,N(Students!H107))</f>
        <v>0</v>
      </c>
      <c r="Q118" s="23"/>
      <c r="R118" s="24" t="n">
        <f aca="false">N(O118)+N(P118)-N(Q118)</f>
        <v>0</v>
      </c>
      <c r="S118" s="33" t="n">
        <f aca="false">'Dec 2026'!V118</f>
        <v>0</v>
      </c>
      <c r="T118" s="33" t="n">
        <f aca="false">IF(B118="",0,N(Students!I107))</f>
        <v>0</v>
      </c>
      <c r="U118" s="23"/>
      <c r="V118" s="24" t="n">
        <f aca="false">N(S118)+N(T118)-N(U118)</f>
        <v>0</v>
      </c>
      <c r="W118" s="33" t="n">
        <f aca="false">'Dec 2026'!Z118</f>
        <v>0</v>
      </c>
      <c r="X118" s="33" t="n">
        <f aca="false">IF(B118="",0,N(Students!J107))</f>
        <v>0</v>
      </c>
      <c r="Y118" s="23"/>
      <c r="Z118" s="24" t="n">
        <f aca="false">N(W118)+N(X118)-N(Y118)</f>
        <v>0</v>
      </c>
      <c r="AA118" s="33" t="n">
        <f aca="false">N(E118)+N(I118)+N(M118)+N(Q118)+N(U118)+N(Y118)</f>
        <v>0</v>
      </c>
      <c r="AB118" s="24" t="n">
        <f aca="false">F118+J118+N118+R118+V118+Z118</f>
        <v>0</v>
      </c>
      <c r="AC118" s="81" t="str">
        <f aca="false">IF(B118="","",IF(AB118&lt;=0,"Clear",IF(AA118&gt;0,"Partial","Due")))</f>
        <v/>
      </c>
    </row>
    <row r="119" customFormat="false" ht="15" hidden="false" customHeight="false" outlineLevel="0" collapsed="false">
      <c r="A119" s="25" t="n">
        <v>104</v>
      </c>
      <c r="B119" s="82" t="str">
        <f aca="false">IF(Students!B108="","",Students!B108)</f>
        <v/>
      </c>
      <c r="C119" s="37" t="n">
        <f aca="false">'Dec 2026'!F119</f>
        <v>0</v>
      </c>
      <c r="D119" s="37" t="n">
        <f aca="false">IF(B119="",0,N(Students!E108))</f>
        <v>0</v>
      </c>
      <c r="E119" s="23"/>
      <c r="F119" s="26" t="n">
        <f aca="false">N(C119)+N(D119)-N(E119)</f>
        <v>0</v>
      </c>
      <c r="G119" s="37" t="n">
        <f aca="false">'Dec 2026'!J119</f>
        <v>0</v>
      </c>
      <c r="H119" s="37" t="n">
        <f aca="false">IF(B119="",0,N(Students!F108))</f>
        <v>0</v>
      </c>
      <c r="I119" s="23"/>
      <c r="J119" s="26" t="n">
        <f aca="false">N(G119)+N(H119)-N(I119)</f>
        <v>0</v>
      </c>
      <c r="K119" s="37" t="n">
        <f aca="false">'Dec 2026'!N119</f>
        <v>0</v>
      </c>
      <c r="L119" s="37" t="n">
        <f aca="false">IF(B119="",0,N(Students!G108))</f>
        <v>0</v>
      </c>
      <c r="M119" s="23"/>
      <c r="N119" s="26" t="n">
        <f aca="false">N(K119)+N(L119)-N(M119)</f>
        <v>0</v>
      </c>
      <c r="O119" s="37" t="n">
        <f aca="false">'Dec 2026'!R119</f>
        <v>0</v>
      </c>
      <c r="P119" s="37" t="n">
        <f aca="false">IF(B119="",0,N(Students!H108))</f>
        <v>0</v>
      </c>
      <c r="Q119" s="23"/>
      <c r="R119" s="26" t="n">
        <f aca="false">N(O119)+N(P119)-N(Q119)</f>
        <v>0</v>
      </c>
      <c r="S119" s="37" t="n">
        <f aca="false">'Dec 2026'!V119</f>
        <v>0</v>
      </c>
      <c r="T119" s="37" t="n">
        <f aca="false">IF(B119="",0,N(Students!I108))</f>
        <v>0</v>
      </c>
      <c r="U119" s="23"/>
      <c r="V119" s="26" t="n">
        <f aca="false">N(S119)+N(T119)-N(U119)</f>
        <v>0</v>
      </c>
      <c r="W119" s="37" t="n">
        <f aca="false">'Dec 2026'!Z119</f>
        <v>0</v>
      </c>
      <c r="X119" s="37" t="n">
        <f aca="false">IF(B119="",0,N(Students!J108))</f>
        <v>0</v>
      </c>
      <c r="Y119" s="23"/>
      <c r="Z119" s="26" t="n">
        <f aca="false">N(W119)+N(X119)-N(Y119)</f>
        <v>0</v>
      </c>
      <c r="AA119" s="37" t="n">
        <f aca="false">N(E119)+N(I119)+N(M119)+N(Q119)+N(U119)+N(Y119)</f>
        <v>0</v>
      </c>
      <c r="AB119" s="26" t="n">
        <f aca="false">F119+J119+N119+R119+V119+Z119</f>
        <v>0</v>
      </c>
      <c r="AC119" s="83" t="str">
        <f aca="false">IF(B119="","",IF(AB119&lt;=0,"Clear",IF(AA119&gt;0,"Partial","Due")))</f>
        <v/>
      </c>
    </row>
    <row r="120" customFormat="false" ht="15" hidden="false" customHeight="false" outlineLevel="0" collapsed="false">
      <c r="A120" s="21" t="n">
        <v>105</v>
      </c>
      <c r="B120" s="46" t="str">
        <f aca="false">IF(Students!B109="","",Students!B109)</f>
        <v/>
      </c>
      <c r="C120" s="33" t="n">
        <f aca="false">'Dec 2026'!F120</f>
        <v>0</v>
      </c>
      <c r="D120" s="33" t="n">
        <f aca="false">IF(B120="",0,N(Students!E109))</f>
        <v>0</v>
      </c>
      <c r="E120" s="23"/>
      <c r="F120" s="24" t="n">
        <f aca="false">N(C120)+N(D120)-N(E120)</f>
        <v>0</v>
      </c>
      <c r="G120" s="33" t="n">
        <f aca="false">'Dec 2026'!J120</f>
        <v>0</v>
      </c>
      <c r="H120" s="33" t="n">
        <f aca="false">IF(B120="",0,N(Students!F109))</f>
        <v>0</v>
      </c>
      <c r="I120" s="23"/>
      <c r="J120" s="24" t="n">
        <f aca="false">N(G120)+N(H120)-N(I120)</f>
        <v>0</v>
      </c>
      <c r="K120" s="33" t="n">
        <f aca="false">'Dec 2026'!N120</f>
        <v>0</v>
      </c>
      <c r="L120" s="33" t="n">
        <f aca="false">IF(B120="",0,N(Students!G109))</f>
        <v>0</v>
      </c>
      <c r="M120" s="23"/>
      <c r="N120" s="24" t="n">
        <f aca="false">N(K120)+N(L120)-N(M120)</f>
        <v>0</v>
      </c>
      <c r="O120" s="33" t="n">
        <f aca="false">'Dec 2026'!R120</f>
        <v>0</v>
      </c>
      <c r="P120" s="33" t="n">
        <f aca="false">IF(B120="",0,N(Students!H109))</f>
        <v>0</v>
      </c>
      <c r="Q120" s="23"/>
      <c r="R120" s="24" t="n">
        <f aca="false">N(O120)+N(P120)-N(Q120)</f>
        <v>0</v>
      </c>
      <c r="S120" s="33" t="n">
        <f aca="false">'Dec 2026'!V120</f>
        <v>0</v>
      </c>
      <c r="T120" s="33" t="n">
        <f aca="false">IF(B120="",0,N(Students!I109))</f>
        <v>0</v>
      </c>
      <c r="U120" s="23"/>
      <c r="V120" s="24" t="n">
        <f aca="false">N(S120)+N(T120)-N(U120)</f>
        <v>0</v>
      </c>
      <c r="W120" s="33" t="n">
        <f aca="false">'Dec 2026'!Z120</f>
        <v>0</v>
      </c>
      <c r="X120" s="33" t="n">
        <f aca="false">IF(B120="",0,N(Students!J109))</f>
        <v>0</v>
      </c>
      <c r="Y120" s="23"/>
      <c r="Z120" s="24" t="n">
        <f aca="false">N(W120)+N(X120)-N(Y120)</f>
        <v>0</v>
      </c>
      <c r="AA120" s="33" t="n">
        <f aca="false">N(E120)+N(I120)+N(M120)+N(Q120)+N(U120)+N(Y120)</f>
        <v>0</v>
      </c>
      <c r="AB120" s="24" t="n">
        <f aca="false">F120+J120+N120+R120+V120+Z120</f>
        <v>0</v>
      </c>
      <c r="AC120" s="81" t="str">
        <f aca="false">IF(B120="","",IF(AB120&lt;=0,"Clear",IF(AA120&gt;0,"Partial","Due")))</f>
        <v/>
      </c>
    </row>
    <row r="121" customFormat="false" ht="15" hidden="false" customHeight="false" outlineLevel="0" collapsed="false">
      <c r="A121" s="25" t="n">
        <v>106</v>
      </c>
      <c r="B121" s="82" t="str">
        <f aca="false">IF(Students!B110="","",Students!B110)</f>
        <v/>
      </c>
      <c r="C121" s="37" t="n">
        <f aca="false">'Dec 2026'!F121</f>
        <v>0</v>
      </c>
      <c r="D121" s="37" t="n">
        <f aca="false">IF(B121="",0,N(Students!E110))</f>
        <v>0</v>
      </c>
      <c r="E121" s="23"/>
      <c r="F121" s="26" t="n">
        <f aca="false">N(C121)+N(D121)-N(E121)</f>
        <v>0</v>
      </c>
      <c r="G121" s="37" t="n">
        <f aca="false">'Dec 2026'!J121</f>
        <v>0</v>
      </c>
      <c r="H121" s="37" t="n">
        <f aca="false">IF(B121="",0,N(Students!F110))</f>
        <v>0</v>
      </c>
      <c r="I121" s="23"/>
      <c r="J121" s="26" t="n">
        <f aca="false">N(G121)+N(H121)-N(I121)</f>
        <v>0</v>
      </c>
      <c r="K121" s="37" t="n">
        <f aca="false">'Dec 2026'!N121</f>
        <v>0</v>
      </c>
      <c r="L121" s="37" t="n">
        <f aca="false">IF(B121="",0,N(Students!G110))</f>
        <v>0</v>
      </c>
      <c r="M121" s="23"/>
      <c r="N121" s="26" t="n">
        <f aca="false">N(K121)+N(L121)-N(M121)</f>
        <v>0</v>
      </c>
      <c r="O121" s="37" t="n">
        <f aca="false">'Dec 2026'!R121</f>
        <v>0</v>
      </c>
      <c r="P121" s="37" t="n">
        <f aca="false">IF(B121="",0,N(Students!H110))</f>
        <v>0</v>
      </c>
      <c r="Q121" s="23"/>
      <c r="R121" s="26" t="n">
        <f aca="false">N(O121)+N(P121)-N(Q121)</f>
        <v>0</v>
      </c>
      <c r="S121" s="37" t="n">
        <f aca="false">'Dec 2026'!V121</f>
        <v>0</v>
      </c>
      <c r="T121" s="37" t="n">
        <f aca="false">IF(B121="",0,N(Students!I110))</f>
        <v>0</v>
      </c>
      <c r="U121" s="23"/>
      <c r="V121" s="26" t="n">
        <f aca="false">N(S121)+N(T121)-N(U121)</f>
        <v>0</v>
      </c>
      <c r="W121" s="37" t="n">
        <f aca="false">'Dec 2026'!Z121</f>
        <v>0</v>
      </c>
      <c r="X121" s="37" t="n">
        <f aca="false">IF(B121="",0,N(Students!J110))</f>
        <v>0</v>
      </c>
      <c r="Y121" s="23"/>
      <c r="Z121" s="26" t="n">
        <f aca="false">N(W121)+N(X121)-N(Y121)</f>
        <v>0</v>
      </c>
      <c r="AA121" s="37" t="n">
        <f aca="false">N(E121)+N(I121)+N(M121)+N(Q121)+N(U121)+N(Y121)</f>
        <v>0</v>
      </c>
      <c r="AB121" s="26" t="n">
        <f aca="false">F121+J121+N121+R121+V121+Z121</f>
        <v>0</v>
      </c>
      <c r="AC121" s="83" t="str">
        <f aca="false">IF(B121="","",IF(AB121&lt;=0,"Clear",IF(AA121&gt;0,"Partial","Due")))</f>
        <v/>
      </c>
    </row>
    <row r="122" customFormat="false" ht="15" hidden="false" customHeight="false" outlineLevel="0" collapsed="false">
      <c r="A122" s="21" t="n">
        <v>107</v>
      </c>
      <c r="B122" s="46" t="str">
        <f aca="false">IF(Students!B111="","",Students!B111)</f>
        <v/>
      </c>
      <c r="C122" s="33" t="n">
        <f aca="false">'Dec 2026'!F122</f>
        <v>0</v>
      </c>
      <c r="D122" s="33" t="n">
        <f aca="false">IF(B122="",0,N(Students!E111))</f>
        <v>0</v>
      </c>
      <c r="E122" s="23"/>
      <c r="F122" s="24" t="n">
        <f aca="false">N(C122)+N(D122)-N(E122)</f>
        <v>0</v>
      </c>
      <c r="G122" s="33" t="n">
        <f aca="false">'Dec 2026'!J122</f>
        <v>0</v>
      </c>
      <c r="H122" s="33" t="n">
        <f aca="false">IF(B122="",0,N(Students!F111))</f>
        <v>0</v>
      </c>
      <c r="I122" s="23"/>
      <c r="J122" s="24" t="n">
        <f aca="false">N(G122)+N(H122)-N(I122)</f>
        <v>0</v>
      </c>
      <c r="K122" s="33" t="n">
        <f aca="false">'Dec 2026'!N122</f>
        <v>0</v>
      </c>
      <c r="L122" s="33" t="n">
        <f aca="false">IF(B122="",0,N(Students!G111))</f>
        <v>0</v>
      </c>
      <c r="M122" s="23"/>
      <c r="N122" s="24" t="n">
        <f aca="false">N(K122)+N(L122)-N(M122)</f>
        <v>0</v>
      </c>
      <c r="O122" s="33" t="n">
        <f aca="false">'Dec 2026'!R122</f>
        <v>0</v>
      </c>
      <c r="P122" s="33" t="n">
        <f aca="false">IF(B122="",0,N(Students!H111))</f>
        <v>0</v>
      </c>
      <c r="Q122" s="23"/>
      <c r="R122" s="24" t="n">
        <f aca="false">N(O122)+N(P122)-N(Q122)</f>
        <v>0</v>
      </c>
      <c r="S122" s="33" t="n">
        <f aca="false">'Dec 2026'!V122</f>
        <v>0</v>
      </c>
      <c r="T122" s="33" t="n">
        <f aca="false">IF(B122="",0,N(Students!I111))</f>
        <v>0</v>
      </c>
      <c r="U122" s="23"/>
      <c r="V122" s="24" t="n">
        <f aca="false">N(S122)+N(T122)-N(U122)</f>
        <v>0</v>
      </c>
      <c r="W122" s="33" t="n">
        <f aca="false">'Dec 2026'!Z122</f>
        <v>0</v>
      </c>
      <c r="X122" s="33" t="n">
        <f aca="false">IF(B122="",0,N(Students!J111))</f>
        <v>0</v>
      </c>
      <c r="Y122" s="23"/>
      <c r="Z122" s="24" t="n">
        <f aca="false">N(W122)+N(X122)-N(Y122)</f>
        <v>0</v>
      </c>
      <c r="AA122" s="33" t="n">
        <f aca="false">N(E122)+N(I122)+N(M122)+N(Q122)+N(U122)+N(Y122)</f>
        <v>0</v>
      </c>
      <c r="AB122" s="24" t="n">
        <f aca="false">F122+J122+N122+R122+V122+Z122</f>
        <v>0</v>
      </c>
      <c r="AC122" s="81" t="str">
        <f aca="false">IF(B122="","",IF(AB122&lt;=0,"Clear",IF(AA122&gt;0,"Partial","Due")))</f>
        <v/>
      </c>
    </row>
    <row r="123" customFormat="false" ht="15" hidden="false" customHeight="false" outlineLevel="0" collapsed="false">
      <c r="A123" s="25" t="n">
        <v>108</v>
      </c>
      <c r="B123" s="82" t="str">
        <f aca="false">IF(Students!B112="","",Students!B112)</f>
        <v/>
      </c>
      <c r="C123" s="37" t="n">
        <f aca="false">'Dec 2026'!F123</f>
        <v>0</v>
      </c>
      <c r="D123" s="37" t="n">
        <f aca="false">IF(B123="",0,N(Students!E112))</f>
        <v>0</v>
      </c>
      <c r="E123" s="23"/>
      <c r="F123" s="26" t="n">
        <f aca="false">N(C123)+N(D123)-N(E123)</f>
        <v>0</v>
      </c>
      <c r="G123" s="37" t="n">
        <f aca="false">'Dec 2026'!J123</f>
        <v>0</v>
      </c>
      <c r="H123" s="37" t="n">
        <f aca="false">IF(B123="",0,N(Students!F112))</f>
        <v>0</v>
      </c>
      <c r="I123" s="23"/>
      <c r="J123" s="26" t="n">
        <f aca="false">N(G123)+N(H123)-N(I123)</f>
        <v>0</v>
      </c>
      <c r="K123" s="37" t="n">
        <f aca="false">'Dec 2026'!N123</f>
        <v>0</v>
      </c>
      <c r="L123" s="37" t="n">
        <f aca="false">IF(B123="",0,N(Students!G112))</f>
        <v>0</v>
      </c>
      <c r="M123" s="23"/>
      <c r="N123" s="26" t="n">
        <f aca="false">N(K123)+N(L123)-N(M123)</f>
        <v>0</v>
      </c>
      <c r="O123" s="37" t="n">
        <f aca="false">'Dec 2026'!R123</f>
        <v>0</v>
      </c>
      <c r="P123" s="37" t="n">
        <f aca="false">IF(B123="",0,N(Students!H112))</f>
        <v>0</v>
      </c>
      <c r="Q123" s="23"/>
      <c r="R123" s="26" t="n">
        <f aca="false">N(O123)+N(P123)-N(Q123)</f>
        <v>0</v>
      </c>
      <c r="S123" s="37" t="n">
        <f aca="false">'Dec 2026'!V123</f>
        <v>0</v>
      </c>
      <c r="T123" s="37" t="n">
        <f aca="false">IF(B123="",0,N(Students!I112))</f>
        <v>0</v>
      </c>
      <c r="U123" s="23"/>
      <c r="V123" s="26" t="n">
        <f aca="false">N(S123)+N(T123)-N(U123)</f>
        <v>0</v>
      </c>
      <c r="W123" s="37" t="n">
        <f aca="false">'Dec 2026'!Z123</f>
        <v>0</v>
      </c>
      <c r="X123" s="37" t="n">
        <f aca="false">IF(B123="",0,N(Students!J112))</f>
        <v>0</v>
      </c>
      <c r="Y123" s="23"/>
      <c r="Z123" s="26" t="n">
        <f aca="false">N(W123)+N(X123)-N(Y123)</f>
        <v>0</v>
      </c>
      <c r="AA123" s="37" t="n">
        <f aca="false">N(E123)+N(I123)+N(M123)+N(Q123)+N(U123)+N(Y123)</f>
        <v>0</v>
      </c>
      <c r="AB123" s="26" t="n">
        <f aca="false">F123+J123+N123+R123+V123+Z123</f>
        <v>0</v>
      </c>
      <c r="AC123" s="83" t="str">
        <f aca="false">IF(B123="","",IF(AB123&lt;=0,"Clear",IF(AA123&gt;0,"Partial","Due")))</f>
        <v/>
      </c>
    </row>
    <row r="124" customFormat="false" ht="15" hidden="false" customHeight="false" outlineLevel="0" collapsed="false">
      <c r="A124" s="21" t="n">
        <v>109</v>
      </c>
      <c r="B124" s="46" t="str">
        <f aca="false">IF(Students!B113="","",Students!B113)</f>
        <v/>
      </c>
      <c r="C124" s="33" t="n">
        <f aca="false">'Dec 2026'!F124</f>
        <v>0</v>
      </c>
      <c r="D124" s="33" t="n">
        <f aca="false">IF(B124="",0,N(Students!E113))</f>
        <v>0</v>
      </c>
      <c r="E124" s="23"/>
      <c r="F124" s="24" t="n">
        <f aca="false">N(C124)+N(D124)-N(E124)</f>
        <v>0</v>
      </c>
      <c r="G124" s="33" t="n">
        <f aca="false">'Dec 2026'!J124</f>
        <v>0</v>
      </c>
      <c r="H124" s="33" t="n">
        <f aca="false">IF(B124="",0,N(Students!F113))</f>
        <v>0</v>
      </c>
      <c r="I124" s="23"/>
      <c r="J124" s="24" t="n">
        <f aca="false">N(G124)+N(H124)-N(I124)</f>
        <v>0</v>
      </c>
      <c r="K124" s="33" t="n">
        <f aca="false">'Dec 2026'!N124</f>
        <v>0</v>
      </c>
      <c r="L124" s="33" t="n">
        <f aca="false">IF(B124="",0,N(Students!G113))</f>
        <v>0</v>
      </c>
      <c r="M124" s="23"/>
      <c r="N124" s="24" t="n">
        <f aca="false">N(K124)+N(L124)-N(M124)</f>
        <v>0</v>
      </c>
      <c r="O124" s="33" t="n">
        <f aca="false">'Dec 2026'!R124</f>
        <v>0</v>
      </c>
      <c r="P124" s="33" t="n">
        <f aca="false">IF(B124="",0,N(Students!H113))</f>
        <v>0</v>
      </c>
      <c r="Q124" s="23"/>
      <c r="R124" s="24" t="n">
        <f aca="false">N(O124)+N(P124)-N(Q124)</f>
        <v>0</v>
      </c>
      <c r="S124" s="33" t="n">
        <f aca="false">'Dec 2026'!V124</f>
        <v>0</v>
      </c>
      <c r="T124" s="33" t="n">
        <f aca="false">IF(B124="",0,N(Students!I113))</f>
        <v>0</v>
      </c>
      <c r="U124" s="23"/>
      <c r="V124" s="24" t="n">
        <f aca="false">N(S124)+N(T124)-N(U124)</f>
        <v>0</v>
      </c>
      <c r="W124" s="33" t="n">
        <f aca="false">'Dec 2026'!Z124</f>
        <v>0</v>
      </c>
      <c r="X124" s="33" t="n">
        <f aca="false">IF(B124="",0,N(Students!J113))</f>
        <v>0</v>
      </c>
      <c r="Y124" s="23"/>
      <c r="Z124" s="24" t="n">
        <f aca="false">N(W124)+N(X124)-N(Y124)</f>
        <v>0</v>
      </c>
      <c r="AA124" s="33" t="n">
        <f aca="false">N(E124)+N(I124)+N(M124)+N(Q124)+N(U124)+N(Y124)</f>
        <v>0</v>
      </c>
      <c r="AB124" s="24" t="n">
        <f aca="false">F124+J124+N124+R124+V124+Z124</f>
        <v>0</v>
      </c>
      <c r="AC124" s="81" t="str">
        <f aca="false">IF(B124="","",IF(AB124&lt;=0,"Clear",IF(AA124&gt;0,"Partial","Due")))</f>
        <v/>
      </c>
    </row>
    <row r="125" customFormat="false" ht="15" hidden="false" customHeight="false" outlineLevel="0" collapsed="false">
      <c r="A125" s="25" t="n">
        <v>110</v>
      </c>
      <c r="B125" s="82" t="str">
        <f aca="false">IF(Students!B114="","",Students!B114)</f>
        <v/>
      </c>
      <c r="C125" s="37" t="n">
        <f aca="false">'Dec 2026'!F125</f>
        <v>0</v>
      </c>
      <c r="D125" s="37" t="n">
        <f aca="false">IF(B125="",0,N(Students!E114))</f>
        <v>0</v>
      </c>
      <c r="E125" s="23"/>
      <c r="F125" s="26" t="n">
        <f aca="false">N(C125)+N(D125)-N(E125)</f>
        <v>0</v>
      </c>
      <c r="G125" s="37" t="n">
        <f aca="false">'Dec 2026'!J125</f>
        <v>0</v>
      </c>
      <c r="H125" s="37" t="n">
        <f aca="false">IF(B125="",0,N(Students!F114))</f>
        <v>0</v>
      </c>
      <c r="I125" s="23"/>
      <c r="J125" s="26" t="n">
        <f aca="false">N(G125)+N(H125)-N(I125)</f>
        <v>0</v>
      </c>
      <c r="K125" s="37" t="n">
        <f aca="false">'Dec 2026'!N125</f>
        <v>0</v>
      </c>
      <c r="L125" s="37" t="n">
        <f aca="false">IF(B125="",0,N(Students!G114))</f>
        <v>0</v>
      </c>
      <c r="M125" s="23"/>
      <c r="N125" s="26" t="n">
        <f aca="false">N(K125)+N(L125)-N(M125)</f>
        <v>0</v>
      </c>
      <c r="O125" s="37" t="n">
        <f aca="false">'Dec 2026'!R125</f>
        <v>0</v>
      </c>
      <c r="P125" s="37" t="n">
        <f aca="false">IF(B125="",0,N(Students!H114))</f>
        <v>0</v>
      </c>
      <c r="Q125" s="23"/>
      <c r="R125" s="26" t="n">
        <f aca="false">N(O125)+N(P125)-N(Q125)</f>
        <v>0</v>
      </c>
      <c r="S125" s="37" t="n">
        <f aca="false">'Dec 2026'!V125</f>
        <v>0</v>
      </c>
      <c r="T125" s="37" t="n">
        <f aca="false">IF(B125="",0,N(Students!I114))</f>
        <v>0</v>
      </c>
      <c r="U125" s="23"/>
      <c r="V125" s="26" t="n">
        <f aca="false">N(S125)+N(T125)-N(U125)</f>
        <v>0</v>
      </c>
      <c r="W125" s="37" t="n">
        <f aca="false">'Dec 2026'!Z125</f>
        <v>0</v>
      </c>
      <c r="X125" s="37" t="n">
        <f aca="false">IF(B125="",0,N(Students!J114))</f>
        <v>0</v>
      </c>
      <c r="Y125" s="23"/>
      <c r="Z125" s="26" t="n">
        <f aca="false">N(W125)+N(X125)-N(Y125)</f>
        <v>0</v>
      </c>
      <c r="AA125" s="37" t="n">
        <f aca="false">N(E125)+N(I125)+N(M125)+N(Q125)+N(U125)+N(Y125)</f>
        <v>0</v>
      </c>
      <c r="AB125" s="26" t="n">
        <f aca="false">F125+J125+N125+R125+V125+Z125</f>
        <v>0</v>
      </c>
      <c r="AC125" s="83" t="str">
        <f aca="false">IF(B125="","",IF(AB125&lt;=0,"Clear",IF(AA125&gt;0,"Partial","Due")))</f>
        <v/>
      </c>
    </row>
    <row r="126" customFormat="false" ht="15" hidden="false" customHeight="false" outlineLevel="0" collapsed="false">
      <c r="A126" s="21" t="n">
        <v>111</v>
      </c>
      <c r="B126" s="46" t="str">
        <f aca="false">IF(Students!B115="","",Students!B115)</f>
        <v/>
      </c>
      <c r="C126" s="33" t="n">
        <f aca="false">'Dec 2026'!F126</f>
        <v>0</v>
      </c>
      <c r="D126" s="33" t="n">
        <f aca="false">IF(B126="",0,N(Students!E115))</f>
        <v>0</v>
      </c>
      <c r="E126" s="23"/>
      <c r="F126" s="24" t="n">
        <f aca="false">N(C126)+N(D126)-N(E126)</f>
        <v>0</v>
      </c>
      <c r="G126" s="33" t="n">
        <f aca="false">'Dec 2026'!J126</f>
        <v>0</v>
      </c>
      <c r="H126" s="33" t="n">
        <f aca="false">IF(B126="",0,N(Students!F115))</f>
        <v>0</v>
      </c>
      <c r="I126" s="23"/>
      <c r="J126" s="24" t="n">
        <f aca="false">N(G126)+N(H126)-N(I126)</f>
        <v>0</v>
      </c>
      <c r="K126" s="33" t="n">
        <f aca="false">'Dec 2026'!N126</f>
        <v>0</v>
      </c>
      <c r="L126" s="33" t="n">
        <f aca="false">IF(B126="",0,N(Students!G115))</f>
        <v>0</v>
      </c>
      <c r="M126" s="23"/>
      <c r="N126" s="24" t="n">
        <f aca="false">N(K126)+N(L126)-N(M126)</f>
        <v>0</v>
      </c>
      <c r="O126" s="33" t="n">
        <f aca="false">'Dec 2026'!R126</f>
        <v>0</v>
      </c>
      <c r="P126" s="33" t="n">
        <f aca="false">IF(B126="",0,N(Students!H115))</f>
        <v>0</v>
      </c>
      <c r="Q126" s="23"/>
      <c r="R126" s="24" t="n">
        <f aca="false">N(O126)+N(P126)-N(Q126)</f>
        <v>0</v>
      </c>
      <c r="S126" s="33" t="n">
        <f aca="false">'Dec 2026'!V126</f>
        <v>0</v>
      </c>
      <c r="T126" s="33" t="n">
        <f aca="false">IF(B126="",0,N(Students!I115))</f>
        <v>0</v>
      </c>
      <c r="U126" s="23"/>
      <c r="V126" s="24" t="n">
        <f aca="false">N(S126)+N(T126)-N(U126)</f>
        <v>0</v>
      </c>
      <c r="W126" s="33" t="n">
        <f aca="false">'Dec 2026'!Z126</f>
        <v>0</v>
      </c>
      <c r="X126" s="33" t="n">
        <f aca="false">IF(B126="",0,N(Students!J115))</f>
        <v>0</v>
      </c>
      <c r="Y126" s="23"/>
      <c r="Z126" s="24" t="n">
        <f aca="false">N(W126)+N(X126)-N(Y126)</f>
        <v>0</v>
      </c>
      <c r="AA126" s="33" t="n">
        <f aca="false">N(E126)+N(I126)+N(M126)+N(Q126)+N(U126)+N(Y126)</f>
        <v>0</v>
      </c>
      <c r="AB126" s="24" t="n">
        <f aca="false">F126+J126+N126+R126+V126+Z126</f>
        <v>0</v>
      </c>
      <c r="AC126" s="81" t="str">
        <f aca="false">IF(B126="","",IF(AB126&lt;=0,"Clear",IF(AA126&gt;0,"Partial","Due")))</f>
        <v/>
      </c>
    </row>
    <row r="127" customFormat="false" ht="15" hidden="false" customHeight="false" outlineLevel="0" collapsed="false">
      <c r="A127" s="25" t="n">
        <v>112</v>
      </c>
      <c r="B127" s="82" t="str">
        <f aca="false">IF(Students!B116="","",Students!B116)</f>
        <v/>
      </c>
      <c r="C127" s="37" t="n">
        <f aca="false">'Dec 2026'!F127</f>
        <v>0</v>
      </c>
      <c r="D127" s="37" t="n">
        <f aca="false">IF(B127="",0,N(Students!E116))</f>
        <v>0</v>
      </c>
      <c r="E127" s="23"/>
      <c r="F127" s="26" t="n">
        <f aca="false">N(C127)+N(D127)-N(E127)</f>
        <v>0</v>
      </c>
      <c r="G127" s="37" t="n">
        <f aca="false">'Dec 2026'!J127</f>
        <v>0</v>
      </c>
      <c r="H127" s="37" t="n">
        <f aca="false">IF(B127="",0,N(Students!F116))</f>
        <v>0</v>
      </c>
      <c r="I127" s="23"/>
      <c r="J127" s="26" t="n">
        <f aca="false">N(G127)+N(H127)-N(I127)</f>
        <v>0</v>
      </c>
      <c r="K127" s="37" t="n">
        <f aca="false">'Dec 2026'!N127</f>
        <v>0</v>
      </c>
      <c r="L127" s="37" t="n">
        <f aca="false">IF(B127="",0,N(Students!G116))</f>
        <v>0</v>
      </c>
      <c r="M127" s="23"/>
      <c r="N127" s="26" t="n">
        <f aca="false">N(K127)+N(L127)-N(M127)</f>
        <v>0</v>
      </c>
      <c r="O127" s="37" t="n">
        <f aca="false">'Dec 2026'!R127</f>
        <v>0</v>
      </c>
      <c r="P127" s="37" t="n">
        <f aca="false">IF(B127="",0,N(Students!H116))</f>
        <v>0</v>
      </c>
      <c r="Q127" s="23"/>
      <c r="R127" s="26" t="n">
        <f aca="false">N(O127)+N(P127)-N(Q127)</f>
        <v>0</v>
      </c>
      <c r="S127" s="37" t="n">
        <f aca="false">'Dec 2026'!V127</f>
        <v>0</v>
      </c>
      <c r="T127" s="37" t="n">
        <f aca="false">IF(B127="",0,N(Students!I116))</f>
        <v>0</v>
      </c>
      <c r="U127" s="23"/>
      <c r="V127" s="26" t="n">
        <f aca="false">N(S127)+N(T127)-N(U127)</f>
        <v>0</v>
      </c>
      <c r="W127" s="37" t="n">
        <f aca="false">'Dec 2026'!Z127</f>
        <v>0</v>
      </c>
      <c r="X127" s="37" t="n">
        <f aca="false">IF(B127="",0,N(Students!J116))</f>
        <v>0</v>
      </c>
      <c r="Y127" s="23"/>
      <c r="Z127" s="26" t="n">
        <f aca="false">N(W127)+N(X127)-N(Y127)</f>
        <v>0</v>
      </c>
      <c r="AA127" s="37" t="n">
        <f aca="false">N(E127)+N(I127)+N(M127)+N(Q127)+N(U127)+N(Y127)</f>
        <v>0</v>
      </c>
      <c r="AB127" s="26" t="n">
        <f aca="false">F127+J127+N127+R127+V127+Z127</f>
        <v>0</v>
      </c>
      <c r="AC127" s="83" t="str">
        <f aca="false">IF(B127="","",IF(AB127&lt;=0,"Clear",IF(AA127&gt;0,"Partial","Due")))</f>
        <v/>
      </c>
    </row>
    <row r="128" customFormat="false" ht="15" hidden="false" customHeight="false" outlineLevel="0" collapsed="false">
      <c r="A128" s="21" t="n">
        <v>113</v>
      </c>
      <c r="B128" s="46" t="str">
        <f aca="false">IF(Students!B117="","",Students!B117)</f>
        <v/>
      </c>
      <c r="C128" s="33" t="n">
        <f aca="false">'Dec 2026'!F128</f>
        <v>0</v>
      </c>
      <c r="D128" s="33" t="n">
        <f aca="false">IF(B128="",0,N(Students!E117))</f>
        <v>0</v>
      </c>
      <c r="E128" s="23"/>
      <c r="F128" s="24" t="n">
        <f aca="false">N(C128)+N(D128)-N(E128)</f>
        <v>0</v>
      </c>
      <c r="G128" s="33" t="n">
        <f aca="false">'Dec 2026'!J128</f>
        <v>0</v>
      </c>
      <c r="H128" s="33" t="n">
        <f aca="false">IF(B128="",0,N(Students!F117))</f>
        <v>0</v>
      </c>
      <c r="I128" s="23"/>
      <c r="J128" s="24" t="n">
        <f aca="false">N(G128)+N(H128)-N(I128)</f>
        <v>0</v>
      </c>
      <c r="K128" s="33" t="n">
        <f aca="false">'Dec 2026'!N128</f>
        <v>0</v>
      </c>
      <c r="L128" s="33" t="n">
        <f aca="false">IF(B128="",0,N(Students!G117))</f>
        <v>0</v>
      </c>
      <c r="M128" s="23"/>
      <c r="N128" s="24" t="n">
        <f aca="false">N(K128)+N(L128)-N(M128)</f>
        <v>0</v>
      </c>
      <c r="O128" s="33" t="n">
        <f aca="false">'Dec 2026'!R128</f>
        <v>0</v>
      </c>
      <c r="P128" s="33" t="n">
        <f aca="false">IF(B128="",0,N(Students!H117))</f>
        <v>0</v>
      </c>
      <c r="Q128" s="23"/>
      <c r="R128" s="24" t="n">
        <f aca="false">N(O128)+N(P128)-N(Q128)</f>
        <v>0</v>
      </c>
      <c r="S128" s="33" t="n">
        <f aca="false">'Dec 2026'!V128</f>
        <v>0</v>
      </c>
      <c r="T128" s="33" t="n">
        <f aca="false">IF(B128="",0,N(Students!I117))</f>
        <v>0</v>
      </c>
      <c r="U128" s="23"/>
      <c r="V128" s="24" t="n">
        <f aca="false">N(S128)+N(T128)-N(U128)</f>
        <v>0</v>
      </c>
      <c r="W128" s="33" t="n">
        <f aca="false">'Dec 2026'!Z128</f>
        <v>0</v>
      </c>
      <c r="X128" s="33" t="n">
        <f aca="false">IF(B128="",0,N(Students!J117))</f>
        <v>0</v>
      </c>
      <c r="Y128" s="23"/>
      <c r="Z128" s="24" t="n">
        <f aca="false">N(W128)+N(X128)-N(Y128)</f>
        <v>0</v>
      </c>
      <c r="AA128" s="33" t="n">
        <f aca="false">N(E128)+N(I128)+N(M128)+N(Q128)+N(U128)+N(Y128)</f>
        <v>0</v>
      </c>
      <c r="AB128" s="24" t="n">
        <f aca="false">F128+J128+N128+R128+V128+Z128</f>
        <v>0</v>
      </c>
      <c r="AC128" s="81" t="str">
        <f aca="false">IF(B128="","",IF(AB128&lt;=0,"Clear",IF(AA128&gt;0,"Partial","Due")))</f>
        <v/>
      </c>
    </row>
    <row r="129" customFormat="false" ht="15" hidden="false" customHeight="false" outlineLevel="0" collapsed="false">
      <c r="A129" s="25" t="n">
        <v>114</v>
      </c>
      <c r="B129" s="82" t="str">
        <f aca="false">IF(Students!B118="","",Students!B118)</f>
        <v/>
      </c>
      <c r="C129" s="37" t="n">
        <f aca="false">'Dec 2026'!F129</f>
        <v>0</v>
      </c>
      <c r="D129" s="37" t="n">
        <f aca="false">IF(B129="",0,N(Students!E118))</f>
        <v>0</v>
      </c>
      <c r="E129" s="23"/>
      <c r="F129" s="26" t="n">
        <f aca="false">N(C129)+N(D129)-N(E129)</f>
        <v>0</v>
      </c>
      <c r="G129" s="37" t="n">
        <f aca="false">'Dec 2026'!J129</f>
        <v>0</v>
      </c>
      <c r="H129" s="37" t="n">
        <f aca="false">IF(B129="",0,N(Students!F118))</f>
        <v>0</v>
      </c>
      <c r="I129" s="23"/>
      <c r="J129" s="26" t="n">
        <f aca="false">N(G129)+N(H129)-N(I129)</f>
        <v>0</v>
      </c>
      <c r="K129" s="37" t="n">
        <f aca="false">'Dec 2026'!N129</f>
        <v>0</v>
      </c>
      <c r="L129" s="37" t="n">
        <f aca="false">IF(B129="",0,N(Students!G118))</f>
        <v>0</v>
      </c>
      <c r="M129" s="23"/>
      <c r="N129" s="26" t="n">
        <f aca="false">N(K129)+N(L129)-N(M129)</f>
        <v>0</v>
      </c>
      <c r="O129" s="37" t="n">
        <f aca="false">'Dec 2026'!R129</f>
        <v>0</v>
      </c>
      <c r="P129" s="37" t="n">
        <f aca="false">IF(B129="",0,N(Students!H118))</f>
        <v>0</v>
      </c>
      <c r="Q129" s="23"/>
      <c r="R129" s="26" t="n">
        <f aca="false">N(O129)+N(P129)-N(Q129)</f>
        <v>0</v>
      </c>
      <c r="S129" s="37" t="n">
        <f aca="false">'Dec 2026'!V129</f>
        <v>0</v>
      </c>
      <c r="T129" s="37" t="n">
        <f aca="false">IF(B129="",0,N(Students!I118))</f>
        <v>0</v>
      </c>
      <c r="U129" s="23"/>
      <c r="V129" s="26" t="n">
        <f aca="false">N(S129)+N(T129)-N(U129)</f>
        <v>0</v>
      </c>
      <c r="W129" s="37" t="n">
        <f aca="false">'Dec 2026'!Z129</f>
        <v>0</v>
      </c>
      <c r="X129" s="37" t="n">
        <f aca="false">IF(B129="",0,N(Students!J118))</f>
        <v>0</v>
      </c>
      <c r="Y129" s="23"/>
      <c r="Z129" s="26" t="n">
        <f aca="false">N(W129)+N(X129)-N(Y129)</f>
        <v>0</v>
      </c>
      <c r="AA129" s="37" t="n">
        <f aca="false">N(E129)+N(I129)+N(M129)+N(Q129)+N(U129)+N(Y129)</f>
        <v>0</v>
      </c>
      <c r="AB129" s="26" t="n">
        <f aca="false">F129+J129+N129+R129+V129+Z129</f>
        <v>0</v>
      </c>
      <c r="AC129" s="83" t="str">
        <f aca="false">IF(B129="","",IF(AB129&lt;=0,"Clear",IF(AA129&gt;0,"Partial","Due")))</f>
        <v/>
      </c>
    </row>
    <row r="130" customFormat="false" ht="15" hidden="false" customHeight="false" outlineLevel="0" collapsed="false">
      <c r="A130" s="21" t="n">
        <v>115</v>
      </c>
      <c r="B130" s="46" t="str">
        <f aca="false">IF(Students!B119="","",Students!B119)</f>
        <v/>
      </c>
      <c r="C130" s="33" t="n">
        <f aca="false">'Dec 2026'!F130</f>
        <v>0</v>
      </c>
      <c r="D130" s="33" t="n">
        <f aca="false">IF(B130="",0,N(Students!E119))</f>
        <v>0</v>
      </c>
      <c r="E130" s="23"/>
      <c r="F130" s="24" t="n">
        <f aca="false">N(C130)+N(D130)-N(E130)</f>
        <v>0</v>
      </c>
      <c r="G130" s="33" t="n">
        <f aca="false">'Dec 2026'!J130</f>
        <v>0</v>
      </c>
      <c r="H130" s="33" t="n">
        <f aca="false">IF(B130="",0,N(Students!F119))</f>
        <v>0</v>
      </c>
      <c r="I130" s="23"/>
      <c r="J130" s="24" t="n">
        <f aca="false">N(G130)+N(H130)-N(I130)</f>
        <v>0</v>
      </c>
      <c r="K130" s="33" t="n">
        <f aca="false">'Dec 2026'!N130</f>
        <v>0</v>
      </c>
      <c r="L130" s="33" t="n">
        <f aca="false">IF(B130="",0,N(Students!G119))</f>
        <v>0</v>
      </c>
      <c r="M130" s="23"/>
      <c r="N130" s="24" t="n">
        <f aca="false">N(K130)+N(L130)-N(M130)</f>
        <v>0</v>
      </c>
      <c r="O130" s="33" t="n">
        <f aca="false">'Dec 2026'!R130</f>
        <v>0</v>
      </c>
      <c r="P130" s="33" t="n">
        <f aca="false">IF(B130="",0,N(Students!H119))</f>
        <v>0</v>
      </c>
      <c r="Q130" s="23"/>
      <c r="R130" s="24" t="n">
        <f aca="false">N(O130)+N(P130)-N(Q130)</f>
        <v>0</v>
      </c>
      <c r="S130" s="33" t="n">
        <f aca="false">'Dec 2026'!V130</f>
        <v>0</v>
      </c>
      <c r="T130" s="33" t="n">
        <f aca="false">IF(B130="",0,N(Students!I119))</f>
        <v>0</v>
      </c>
      <c r="U130" s="23"/>
      <c r="V130" s="24" t="n">
        <f aca="false">N(S130)+N(T130)-N(U130)</f>
        <v>0</v>
      </c>
      <c r="W130" s="33" t="n">
        <f aca="false">'Dec 2026'!Z130</f>
        <v>0</v>
      </c>
      <c r="X130" s="33" t="n">
        <f aca="false">IF(B130="",0,N(Students!J119))</f>
        <v>0</v>
      </c>
      <c r="Y130" s="23"/>
      <c r="Z130" s="24" t="n">
        <f aca="false">N(W130)+N(X130)-N(Y130)</f>
        <v>0</v>
      </c>
      <c r="AA130" s="33" t="n">
        <f aca="false">N(E130)+N(I130)+N(M130)+N(Q130)+N(U130)+N(Y130)</f>
        <v>0</v>
      </c>
      <c r="AB130" s="24" t="n">
        <f aca="false">F130+J130+N130+R130+V130+Z130</f>
        <v>0</v>
      </c>
      <c r="AC130" s="81" t="str">
        <f aca="false">IF(B130="","",IF(AB130&lt;=0,"Clear",IF(AA130&gt;0,"Partial","Due")))</f>
        <v/>
      </c>
    </row>
    <row r="131" customFormat="false" ht="15" hidden="false" customHeight="false" outlineLevel="0" collapsed="false">
      <c r="A131" s="25" t="n">
        <v>116</v>
      </c>
      <c r="B131" s="82" t="str">
        <f aca="false">IF(Students!B120="","",Students!B120)</f>
        <v/>
      </c>
      <c r="C131" s="37" t="n">
        <f aca="false">'Dec 2026'!F131</f>
        <v>0</v>
      </c>
      <c r="D131" s="37" t="n">
        <f aca="false">IF(B131="",0,N(Students!E120))</f>
        <v>0</v>
      </c>
      <c r="E131" s="23"/>
      <c r="F131" s="26" t="n">
        <f aca="false">N(C131)+N(D131)-N(E131)</f>
        <v>0</v>
      </c>
      <c r="G131" s="37" t="n">
        <f aca="false">'Dec 2026'!J131</f>
        <v>0</v>
      </c>
      <c r="H131" s="37" t="n">
        <f aca="false">IF(B131="",0,N(Students!F120))</f>
        <v>0</v>
      </c>
      <c r="I131" s="23"/>
      <c r="J131" s="26" t="n">
        <f aca="false">N(G131)+N(H131)-N(I131)</f>
        <v>0</v>
      </c>
      <c r="K131" s="37" t="n">
        <f aca="false">'Dec 2026'!N131</f>
        <v>0</v>
      </c>
      <c r="L131" s="37" t="n">
        <f aca="false">IF(B131="",0,N(Students!G120))</f>
        <v>0</v>
      </c>
      <c r="M131" s="23"/>
      <c r="N131" s="26" t="n">
        <f aca="false">N(K131)+N(L131)-N(M131)</f>
        <v>0</v>
      </c>
      <c r="O131" s="37" t="n">
        <f aca="false">'Dec 2026'!R131</f>
        <v>0</v>
      </c>
      <c r="P131" s="37" t="n">
        <f aca="false">IF(B131="",0,N(Students!H120))</f>
        <v>0</v>
      </c>
      <c r="Q131" s="23"/>
      <c r="R131" s="26" t="n">
        <f aca="false">N(O131)+N(P131)-N(Q131)</f>
        <v>0</v>
      </c>
      <c r="S131" s="37" t="n">
        <f aca="false">'Dec 2026'!V131</f>
        <v>0</v>
      </c>
      <c r="T131" s="37" t="n">
        <f aca="false">IF(B131="",0,N(Students!I120))</f>
        <v>0</v>
      </c>
      <c r="U131" s="23"/>
      <c r="V131" s="26" t="n">
        <f aca="false">N(S131)+N(T131)-N(U131)</f>
        <v>0</v>
      </c>
      <c r="W131" s="37" t="n">
        <f aca="false">'Dec 2026'!Z131</f>
        <v>0</v>
      </c>
      <c r="X131" s="37" t="n">
        <f aca="false">IF(B131="",0,N(Students!J120))</f>
        <v>0</v>
      </c>
      <c r="Y131" s="23"/>
      <c r="Z131" s="26" t="n">
        <f aca="false">N(W131)+N(X131)-N(Y131)</f>
        <v>0</v>
      </c>
      <c r="AA131" s="37" t="n">
        <f aca="false">N(E131)+N(I131)+N(M131)+N(Q131)+N(U131)+N(Y131)</f>
        <v>0</v>
      </c>
      <c r="AB131" s="26" t="n">
        <f aca="false">F131+J131+N131+R131+V131+Z131</f>
        <v>0</v>
      </c>
      <c r="AC131" s="83" t="str">
        <f aca="false">IF(B131="","",IF(AB131&lt;=0,"Clear",IF(AA131&gt;0,"Partial","Due")))</f>
        <v/>
      </c>
    </row>
    <row r="132" customFormat="false" ht="15" hidden="false" customHeight="false" outlineLevel="0" collapsed="false">
      <c r="A132" s="21" t="n">
        <v>117</v>
      </c>
      <c r="B132" s="46" t="str">
        <f aca="false">IF(Students!B121="","",Students!B121)</f>
        <v/>
      </c>
      <c r="C132" s="33" t="n">
        <f aca="false">'Dec 2026'!F132</f>
        <v>0</v>
      </c>
      <c r="D132" s="33" t="n">
        <f aca="false">IF(B132="",0,N(Students!E121))</f>
        <v>0</v>
      </c>
      <c r="E132" s="23"/>
      <c r="F132" s="24" t="n">
        <f aca="false">N(C132)+N(D132)-N(E132)</f>
        <v>0</v>
      </c>
      <c r="G132" s="33" t="n">
        <f aca="false">'Dec 2026'!J132</f>
        <v>0</v>
      </c>
      <c r="H132" s="33" t="n">
        <f aca="false">IF(B132="",0,N(Students!F121))</f>
        <v>0</v>
      </c>
      <c r="I132" s="23"/>
      <c r="J132" s="24" t="n">
        <f aca="false">N(G132)+N(H132)-N(I132)</f>
        <v>0</v>
      </c>
      <c r="K132" s="33" t="n">
        <f aca="false">'Dec 2026'!N132</f>
        <v>0</v>
      </c>
      <c r="L132" s="33" t="n">
        <f aca="false">IF(B132="",0,N(Students!G121))</f>
        <v>0</v>
      </c>
      <c r="M132" s="23"/>
      <c r="N132" s="24" t="n">
        <f aca="false">N(K132)+N(L132)-N(M132)</f>
        <v>0</v>
      </c>
      <c r="O132" s="33" t="n">
        <f aca="false">'Dec 2026'!R132</f>
        <v>0</v>
      </c>
      <c r="P132" s="33" t="n">
        <f aca="false">IF(B132="",0,N(Students!H121))</f>
        <v>0</v>
      </c>
      <c r="Q132" s="23"/>
      <c r="R132" s="24" t="n">
        <f aca="false">N(O132)+N(P132)-N(Q132)</f>
        <v>0</v>
      </c>
      <c r="S132" s="33" t="n">
        <f aca="false">'Dec 2026'!V132</f>
        <v>0</v>
      </c>
      <c r="T132" s="33" t="n">
        <f aca="false">IF(B132="",0,N(Students!I121))</f>
        <v>0</v>
      </c>
      <c r="U132" s="23"/>
      <c r="V132" s="24" t="n">
        <f aca="false">N(S132)+N(T132)-N(U132)</f>
        <v>0</v>
      </c>
      <c r="W132" s="33" t="n">
        <f aca="false">'Dec 2026'!Z132</f>
        <v>0</v>
      </c>
      <c r="X132" s="33" t="n">
        <f aca="false">IF(B132="",0,N(Students!J121))</f>
        <v>0</v>
      </c>
      <c r="Y132" s="23"/>
      <c r="Z132" s="24" t="n">
        <f aca="false">N(W132)+N(X132)-N(Y132)</f>
        <v>0</v>
      </c>
      <c r="AA132" s="33" t="n">
        <f aca="false">N(E132)+N(I132)+N(M132)+N(Q132)+N(U132)+N(Y132)</f>
        <v>0</v>
      </c>
      <c r="AB132" s="24" t="n">
        <f aca="false">F132+J132+N132+R132+V132+Z132</f>
        <v>0</v>
      </c>
      <c r="AC132" s="81" t="str">
        <f aca="false">IF(B132="","",IF(AB132&lt;=0,"Clear",IF(AA132&gt;0,"Partial","Due")))</f>
        <v/>
      </c>
    </row>
    <row r="133" customFormat="false" ht="15" hidden="false" customHeight="false" outlineLevel="0" collapsed="false">
      <c r="A133" s="25" t="n">
        <v>118</v>
      </c>
      <c r="B133" s="82" t="str">
        <f aca="false">IF(Students!B122="","",Students!B122)</f>
        <v/>
      </c>
      <c r="C133" s="37" t="n">
        <f aca="false">'Dec 2026'!F133</f>
        <v>0</v>
      </c>
      <c r="D133" s="37" t="n">
        <f aca="false">IF(B133="",0,N(Students!E122))</f>
        <v>0</v>
      </c>
      <c r="E133" s="23"/>
      <c r="F133" s="26" t="n">
        <f aca="false">N(C133)+N(D133)-N(E133)</f>
        <v>0</v>
      </c>
      <c r="G133" s="37" t="n">
        <f aca="false">'Dec 2026'!J133</f>
        <v>0</v>
      </c>
      <c r="H133" s="37" t="n">
        <f aca="false">IF(B133="",0,N(Students!F122))</f>
        <v>0</v>
      </c>
      <c r="I133" s="23"/>
      <c r="J133" s="26" t="n">
        <f aca="false">N(G133)+N(H133)-N(I133)</f>
        <v>0</v>
      </c>
      <c r="K133" s="37" t="n">
        <f aca="false">'Dec 2026'!N133</f>
        <v>0</v>
      </c>
      <c r="L133" s="37" t="n">
        <f aca="false">IF(B133="",0,N(Students!G122))</f>
        <v>0</v>
      </c>
      <c r="M133" s="23"/>
      <c r="N133" s="26" t="n">
        <f aca="false">N(K133)+N(L133)-N(M133)</f>
        <v>0</v>
      </c>
      <c r="O133" s="37" t="n">
        <f aca="false">'Dec 2026'!R133</f>
        <v>0</v>
      </c>
      <c r="P133" s="37" t="n">
        <f aca="false">IF(B133="",0,N(Students!H122))</f>
        <v>0</v>
      </c>
      <c r="Q133" s="23"/>
      <c r="R133" s="26" t="n">
        <f aca="false">N(O133)+N(P133)-N(Q133)</f>
        <v>0</v>
      </c>
      <c r="S133" s="37" t="n">
        <f aca="false">'Dec 2026'!V133</f>
        <v>0</v>
      </c>
      <c r="T133" s="37" t="n">
        <f aca="false">IF(B133="",0,N(Students!I122))</f>
        <v>0</v>
      </c>
      <c r="U133" s="23"/>
      <c r="V133" s="26" t="n">
        <f aca="false">N(S133)+N(T133)-N(U133)</f>
        <v>0</v>
      </c>
      <c r="W133" s="37" t="n">
        <f aca="false">'Dec 2026'!Z133</f>
        <v>0</v>
      </c>
      <c r="X133" s="37" t="n">
        <f aca="false">IF(B133="",0,N(Students!J122))</f>
        <v>0</v>
      </c>
      <c r="Y133" s="23"/>
      <c r="Z133" s="26" t="n">
        <f aca="false">N(W133)+N(X133)-N(Y133)</f>
        <v>0</v>
      </c>
      <c r="AA133" s="37" t="n">
        <f aca="false">N(E133)+N(I133)+N(M133)+N(Q133)+N(U133)+N(Y133)</f>
        <v>0</v>
      </c>
      <c r="AB133" s="26" t="n">
        <f aca="false">F133+J133+N133+R133+V133+Z133</f>
        <v>0</v>
      </c>
      <c r="AC133" s="83" t="str">
        <f aca="false">IF(B133="","",IF(AB133&lt;=0,"Clear",IF(AA133&gt;0,"Partial","Due")))</f>
        <v/>
      </c>
    </row>
    <row r="134" customFormat="false" ht="15" hidden="false" customHeight="false" outlineLevel="0" collapsed="false">
      <c r="A134" s="21" t="n">
        <v>119</v>
      </c>
      <c r="B134" s="46" t="str">
        <f aca="false">IF(Students!B123="","",Students!B123)</f>
        <v/>
      </c>
      <c r="C134" s="33" t="n">
        <f aca="false">'Dec 2026'!F134</f>
        <v>0</v>
      </c>
      <c r="D134" s="33" t="n">
        <f aca="false">IF(B134="",0,N(Students!E123))</f>
        <v>0</v>
      </c>
      <c r="E134" s="23"/>
      <c r="F134" s="24" t="n">
        <f aca="false">N(C134)+N(D134)-N(E134)</f>
        <v>0</v>
      </c>
      <c r="G134" s="33" t="n">
        <f aca="false">'Dec 2026'!J134</f>
        <v>0</v>
      </c>
      <c r="H134" s="33" t="n">
        <f aca="false">IF(B134="",0,N(Students!F123))</f>
        <v>0</v>
      </c>
      <c r="I134" s="23"/>
      <c r="J134" s="24" t="n">
        <f aca="false">N(G134)+N(H134)-N(I134)</f>
        <v>0</v>
      </c>
      <c r="K134" s="33" t="n">
        <f aca="false">'Dec 2026'!N134</f>
        <v>0</v>
      </c>
      <c r="L134" s="33" t="n">
        <f aca="false">IF(B134="",0,N(Students!G123))</f>
        <v>0</v>
      </c>
      <c r="M134" s="23"/>
      <c r="N134" s="24" t="n">
        <f aca="false">N(K134)+N(L134)-N(M134)</f>
        <v>0</v>
      </c>
      <c r="O134" s="33" t="n">
        <f aca="false">'Dec 2026'!R134</f>
        <v>0</v>
      </c>
      <c r="P134" s="33" t="n">
        <f aca="false">IF(B134="",0,N(Students!H123))</f>
        <v>0</v>
      </c>
      <c r="Q134" s="23"/>
      <c r="R134" s="24" t="n">
        <f aca="false">N(O134)+N(P134)-N(Q134)</f>
        <v>0</v>
      </c>
      <c r="S134" s="33" t="n">
        <f aca="false">'Dec 2026'!V134</f>
        <v>0</v>
      </c>
      <c r="T134" s="33" t="n">
        <f aca="false">IF(B134="",0,N(Students!I123))</f>
        <v>0</v>
      </c>
      <c r="U134" s="23"/>
      <c r="V134" s="24" t="n">
        <f aca="false">N(S134)+N(T134)-N(U134)</f>
        <v>0</v>
      </c>
      <c r="W134" s="33" t="n">
        <f aca="false">'Dec 2026'!Z134</f>
        <v>0</v>
      </c>
      <c r="X134" s="33" t="n">
        <f aca="false">IF(B134="",0,N(Students!J123))</f>
        <v>0</v>
      </c>
      <c r="Y134" s="23"/>
      <c r="Z134" s="24" t="n">
        <f aca="false">N(W134)+N(X134)-N(Y134)</f>
        <v>0</v>
      </c>
      <c r="AA134" s="33" t="n">
        <f aca="false">N(E134)+N(I134)+N(M134)+N(Q134)+N(U134)+N(Y134)</f>
        <v>0</v>
      </c>
      <c r="AB134" s="24" t="n">
        <f aca="false">F134+J134+N134+R134+V134+Z134</f>
        <v>0</v>
      </c>
      <c r="AC134" s="81" t="str">
        <f aca="false">IF(B134="","",IF(AB134&lt;=0,"Clear",IF(AA134&gt;0,"Partial","Due")))</f>
        <v/>
      </c>
    </row>
    <row r="135" customFormat="false" ht="15" hidden="false" customHeight="false" outlineLevel="0" collapsed="false">
      <c r="A135" s="25" t="n">
        <v>120</v>
      </c>
      <c r="B135" s="82" t="str">
        <f aca="false">IF(Students!B124="","",Students!B124)</f>
        <v/>
      </c>
      <c r="C135" s="37" t="n">
        <f aca="false">'Dec 2026'!F135</f>
        <v>0</v>
      </c>
      <c r="D135" s="37" t="n">
        <f aca="false">IF(B135="",0,N(Students!E124))</f>
        <v>0</v>
      </c>
      <c r="E135" s="23"/>
      <c r="F135" s="26" t="n">
        <f aca="false">N(C135)+N(D135)-N(E135)</f>
        <v>0</v>
      </c>
      <c r="G135" s="37" t="n">
        <f aca="false">'Dec 2026'!J135</f>
        <v>0</v>
      </c>
      <c r="H135" s="37" t="n">
        <f aca="false">IF(B135="",0,N(Students!F124))</f>
        <v>0</v>
      </c>
      <c r="I135" s="23"/>
      <c r="J135" s="26" t="n">
        <f aca="false">N(G135)+N(H135)-N(I135)</f>
        <v>0</v>
      </c>
      <c r="K135" s="37" t="n">
        <f aca="false">'Dec 2026'!N135</f>
        <v>0</v>
      </c>
      <c r="L135" s="37" t="n">
        <f aca="false">IF(B135="",0,N(Students!G124))</f>
        <v>0</v>
      </c>
      <c r="M135" s="23"/>
      <c r="N135" s="26" t="n">
        <f aca="false">N(K135)+N(L135)-N(M135)</f>
        <v>0</v>
      </c>
      <c r="O135" s="37" t="n">
        <f aca="false">'Dec 2026'!R135</f>
        <v>0</v>
      </c>
      <c r="P135" s="37" t="n">
        <f aca="false">IF(B135="",0,N(Students!H124))</f>
        <v>0</v>
      </c>
      <c r="Q135" s="23"/>
      <c r="R135" s="26" t="n">
        <f aca="false">N(O135)+N(P135)-N(Q135)</f>
        <v>0</v>
      </c>
      <c r="S135" s="37" t="n">
        <f aca="false">'Dec 2026'!V135</f>
        <v>0</v>
      </c>
      <c r="T135" s="37" t="n">
        <f aca="false">IF(B135="",0,N(Students!I124))</f>
        <v>0</v>
      </c>
      <c r="U135" s="23"/>
      <c r="V135" s="26" t="n">
        <f aca="false">N(S135)+N(T135)-N(U135)</f>
        <v>0</v>
      </c>
      <c r="W135" s="37" t="n">
        <f aca="false">'Dec 2026'!Z135</f>
        <v>0</v>
      </c>
      <c r="X135" s="37" t="n">
        <f aca="false">IF(B135="",0,N(Students!J124))</f>
        <v>0</v>
      </c>
      <c r="Y135" s="23"/>
      <c r="Z135" s="26" t="n">
        <f aca="false">N(W135)+N(X135)-N(Y135)</f>
        <v>0</v>
      </c>
      <c r="AA135" s="37" t="n">
        <f aca="false">N(E135)+N(I135)+N(M135)+N(Q135)+N(U135)+N(Y135)</f>
        <v>0</v>
      </c>
      <c r="AB135" s="26" t="n">
        <f aca="false">F135+J135+N135+R135+V135+Z135</f>
        <v>0</v>
      </c>
      <c r="AC135" s="83" t="str">
        <f aca="false">IF(B135="","",IF(AB135&lt;=0,"Clear",IF(AA135&gt;0,"Partial","Due")))</f>
        <v/>
      </c>
    </row>
    <row r="136" customFormat="false" ht="15" hidden="false" customHeight="false" outlineLevel="0" collapsed="false">
      <c r="A136" s="21" t="n">
        <v>121</v>
      </c>
      <c r="B136" s="46" t="str">
        <f aca="false">IF(Students!B125="","",Students!B125)</f>
        <v/>
      </c>
      <c r="C136" s="33" t="n">
        <f aca="false">'Dec 2026'!F136</f>
        <v>0</v>
      </c>
      <c r="D136" s="33" t="n">
        <f aca="false">IF(B136="",0,N(Students!E125))</f>
        <v>0</v>
      </c>
      <c r="E136" s="23"/>
      <c r="F136" s="24" t="n">
        <f aca="false">N(C136)+N(D136)-N(E136)</f>
        <v>0</v>
      </c>
      <c r="G136" s="33" t="n">
        <f aca="false">'Dec 2026'!J136</f>
        <v>0</v>
      </c>
      <c r="H136" s="33" t="n">
        <f aca="false">IF(B136="",0,N(Students!F125))</f>
        <v>0</v>
      </c>
      <c r="I136" s="23"/>
      <c r="J136" s="24" t="n">
        <f aca="false">N(G136)+N(H136)-N(I136)</f>
        <v>0</v>
      </c>
      <c r="K136" s="33" t="n">
        <f aca="false">'Dec 2026'!N136</f>
        <v>0</v>
      </c>
      <c r="L136" s="33" t="n">
        <f aca="false">IF(B136="",0,N(Students!G125))</f>
        <v>0</v>
      </c>
      <c r="M136" s="23"/>
      <c r="N136" s="24" t="n">
        <f aca="false">N(K136)+N(L136)-N(M136)</f>
        <v>0</v>
      </c>
      <c r="O136" s="33" t="n">
        <f aca="false">'Dec 2026'!R136</f>
        <v>0</v>
      </c>
      <c r="P136" s="33" t="n">
        <f aca="false">IF(B136="",0,N(Students!H125))</f>
        <v>0</v>
      </c>
      <c r="Q136" s="23"/>
      <c r="R136" s="24" t="n">
        <f aca="false">N(O136)+N(P136)-N(Q136)</f>
        <v>0</v>
      </c>
      <c r="S136" s="33" t="n">
        <f aca="false">'Dec 2026'!V136</f>
        <v>0</v>
      </c>
      <c r="T136" s="33" t="n">
        <f aca="false">IF(B136="",0,N(Students!I125))</f>
        <v>0</v>
      </c>
      <c r="U136" s="23"/>
      <c r="V136" s="24" t="n">
        <f aca="false">N(S136)+N(T136)-N(U136)</f>
        <v>0</v>
      </c>
      <c r="W136" s="33" t="n">
        <f aca="false">'Dec 2026'!Z136</f>
        <v>0</v>
      </c>
      <c r="X136" s="33" t="n">
        <f aca="false">IF(B136="",0,N(Students!J125))</f>
        <v>0</v>
      </c>
      <c r="Y136" s="23"/>
      <c r="Z136" s="24" t="n">
        <f aca="false">N(W136)+N(X136)-N(Y136)</f>
        <v>0</v>
      </c>
      <c r="AA136" s="33" t="n">
        <f aca="false">N(E136)+N(I136)+N(M136)+N(Q136)+N(U136)+N(Y136)</f>
        <v>0</v>
      </c>
      <c r="AB136" s="24" t="n">
        <f aca="false">F136+J136+N136+R136+V136+Z136</f>
        <v>0</v>
      </c>
      <c r="AC136" s="81" t="str">
        <f aca="false">IF(B136="","",IF(AB136&lt;=0,"Clear",IF(AA136&gt;0,"Partial","Due")))</f>
        <v/>
      </c>
    </row>
    <row r="137" customFormat="false" ht="15" hidden="false" customHeight="false" outlineLevel="0" collapsed="false">
      <c r="A137" s="25" t="n">
        <v>122</v>
      </c>
      <c r="B137" s="82" t="str">
        <f aca="false">IF(Students!B126="","",Students!B126)</f>
        <v/>
      </c>
      <c r="C137" s="37" t="n">
        <f aca="false">'Dec 2026'!F137</f>
        <v>0</v>
      </c>
      <c r="D137" s="37" t="n">
        <f aca="false">IF(B137="",0,N(Students!E126))</f>
        <v>0</v>
      </c>
      <c r="E137" s="23"/>
      <c r="F137" s="26" t="n">
        <f aca="false">N(C137)+N(D137)-N(E137)</f>
        <v>0</v>
      </c>
      <c r="G137" s="37" t="n">
        <f aca="false">'Dec 2026'!J137</f>
        <v>0</v>
      </c>
      <c r="H137" s="37" t="n">
        <f aca="false">IF(B137="",0,N(Students!F126))</f>
        <v>0</v>
      </c>
      <c r="I137" s="23"/>
      <c r="J137" s="26" t="n">
        <f aca="false">N(G137)+N(H137)-N(I137)</f>
        <v>0</v>
      </c>
      <c r="K137" s="37" t="n">
        <f aca="false">'Dec 2026'!N137</f>
        <v>0</v>
      </c>
      <c r="L137" s="37" t="n">
        <f aca="false">IF(B137="",0,N(Students!G126))</f>
        <v>0</v>
      </c>
      <c r="M137" s="23"/>
      <c r="N137" s="26" t="n">
        <f aca="false">N(K137)+N(L137)-N(M137)</f>
        <v>0</v>
      </c>
      <c r="O137" s="37" t="n">
        <f aca="false">'Dec 2026'!R137</f>
        <v>0</v>
      </c>
      <c r="P137" s="37" t="n">
        <f aca="false">IF(B137="",0,N(Students!H126))</f>
        <v>0</v>
      </c>
      <c r="Q137" s="23"/>
      <c r="R137" s="26" t="n">
        <f aca="false">N(O137)+N(P137)-N(Q137)</f>
        <v>0</v>
      </c>
      <c r="S137" s="37" t="n">
        <f aca="false">'Dec 2026'!V137</f>
        <v>0</v>
      </c>
      <c r="T137" s="37" t="n">
        <f aca="false">IF(B137="",0,N(Students!I126))</f>
        <v>0</v>
      </c>
      <c r="U137" s="23"/>
      <c r="V137" s="26" t="n">
        <f aca="false">N(S137)+N(T137)-N(U137)</f>
        <v>0</v>
      </c>
      <c r="W137" s="37" t="n">
        <f aca="false">'Dec 2026'!Z137</f>
        <v>0</v>
      </c>
      <c r="X137" s="37" t="n">
        <f aca="false">IF(B137="",0,N(Students!J126))</f>
        <v>0</v>
      </c>
      <c r="Y137" s="23"/>
      <c r="Z137" s="26" t="n">
        <f aca="false">N(W137)+N(X137)-N(Y137)</f>
        <v>0</v>
      </c>
      <c r="AA137" s="37" t="n">
        <f aca="false">N(E137)+N(I137)+N(M137)+N(Q137)+N(U137)+N(Y137)</f>
        <v>0</v>
      </c>
      <c r="AB137" s="26" t="n">
        <f aca="false">F137+J137+N137+R137+V137+Z137</f>
        <v>0</v>
      </c>
      <c r="AC137" s="83" t="str">
        <f aca="false">IF(B137="","",IF(AB137&lt;=0,"Clear",IF(AA137&gt;0,"Partial","Due")))</f>
        <v/>
      </c>
    </row>
    <row r="138" customFormat="false" ht="15" hidden="false" customHeight="false" outlineLevel="0" collapsed="false">
      <c r="A138" s="21" t="n">
        <v>123</v>
      </c>
      <c r="B138" s="46" t="str">
        <f aca="false">IF(Students!B127="","",Students!B127)</f>
        <v/>
      </c>
      <c r="C138" s="33" t="n">
        <f aca="false">'Dec 2026'!F138</f>
        <v>0</v>
      </c>
      <c r="D138" s="33" t="n">
        <f aca="false">IF(B138="",0,N(Students!E127))</f>
        <v>0</v>
      </c>
      <c r="E138" s="23"/>
      <c r="F138" s="24" t="n">
        <f aca="false">N(C138)+N(D138)-N(E138)</f>
        <v>0</v>
      </c>
      <c r="G138" s="33" t="n">
        <f aca="false">'Dec 2026'!J138</f>
        <v>0</v>
      </c>
      <c r="H138" s="33" t="n">
        <f aca="false">IF(B138="",0,N(Students!F127))</f>
        <v>0</v>
      </c>
      <c r="I138" s="23"/>
      <c r="J138" s="24" t="n">
        <f aca="false">N(G138)+N(H138)-N(I138)</f>
        <v>0</v>
      </c>
      <c r="K138" s="33" t="n">
        <f aca="false">'Dec 2026'!N138</f>
        <v>0</v>
      </c>
      <c r="L138" s="33" t="n">
        <f aca="false">IF(B138="",0,N(Students!G127))</f>
        <v>0</v>
      </c>
      <c r="M138" s="23"/>
      <c r="N138" s="24" t="n">
        <f aca="false">N(K138)+N(L138)-N(M138)</f>
        <v>0</v>
      </c>
      <c r="O138" s="33" t="n">
        <f aca="false">'Dec 2026'!R138</f>
        <v>0</v>
      </c>
      <c r="P138" s="33" t="n">
        <f aca="false">IF(B138="",0,N(Students!H127))</f>
        <v>0</v>
      </c>
      <c r="Q138" s="23"/>
      <c r="R138" s="24" t="n">
        <f aca="false">N(O138)+N(P138)-N(Q138)</f>
        <v>0</v>
      </c>
      <c r="S138" s="33" t="n">
        <f aca="false">'Dec 2026'!V138</f>
        <v>0</v>
      </c>
      <c r="T138" s="33" t="n">
        <f aca="false">IF(B138="",0,N(Students!I127))</f>
        <v>0</v>
      </c>
      <c r="U138" s="23"/>
      <c r="V138" s="24" t="n">
        <f aca="false">N(S138)+N(T138)-N(U138)</f>
        <v>0</v>
      </c>
      <c r="W138" s="33" t="n">
        <f aca="false">'Dec 2026'!Z138</f>
        <v>0</v>
      </c>
      <c r="X138" s="33" t="n">
        <f aca="false">IF(B138="",0,N(Students!J127))</f>
        <v>0</v>
      </c>
      <c r="Y138" s="23"/>
      <c r="Z138" s="24" t="n">
        <f aca="false">N(W138)+N(X138)-N(Y138)</f>
        <v>0</v>
      </c>
      <c r="AA138" s="33" t="n">
        <f aca="false">N(E138)+N(I138)+N(M138)+N(Q138)+N(U138)+N(Y138)</f>
        <v>0</v>
      </c>
      <c r="AB138" s="24" t="n">
        <f aca="false">F138+J138+N138+R138+V138+Z138</f>
        <v>0</v>
      </c>
      <c r="AC138" s="81" t="str">
        <f aca="false">IF(B138="","",IF(AB138&lt;=0,"Clear",IF(AA138&gt;0,"Partial","Due")))</f>
        <v/>
      </c>
    </row>
    <row r="139" customFormat="false" ht="15" hidden="false" customHeight="false" outlineLevel="0" collapsed="false">
      <c r="A139" s="25" t="n">
        <v>124</v>
      </c>
      <c r="B139" s="82" t="str">
        <f aca="false">IF(Students!B128="","",Students!B128)</f>
        <v/>
      </c>
      <c r="C139" s="37" t="n">
        <f aca="false">'Dec 2026'!F139</f>
        <v>0</v>
      </c>
      <c r="D139" s="37" t="n">
        <f aca="false">IF(B139="",0,N(Students!E128))</f>
        <v>0</v>
      </c>
      <c r="E139" s="23"/>
      <c r="F139" s="26" t="n">
        <f aca="false">N(C139)+N(D139)-N(E139)</f>
        <v>0</v>
      </c>
      <c r="G139" s="37" t="n">
        <f aca="false">'Dec 2026'!J139</f>
        <v>0</v>
      </c>
      <c r="H139" s="37" t="n">
        <f aca="false">IF(B139="",0,N(Students!F128))</f>
        <v>0</v>
      </c>
      <c r="I139" s="23"/>
      <c r="J139" s="26" t="n">
        <f aca="false">N(G139)+N(H139)-N(I139)</f>
        <v>0</v>
      </c>
      <c r="K139" s="37" t="n">
        <f aca="false">'Dec 2026'!N139</f>
        <v>0</v>
      </c>
      <c r="L139" s="37" t="n">
        <f aca="false">IF(B139="",0,N(Students!G128))</f>
        <v>0</v>
      </c>
      <c r="M139" s="23"/>
      <c r="N139" s="26" t="n">
        <f aca="false">N(K139)+N(L139)-N(M139)</f>
        <v>0</v>
      </c>
      <c r="O139" s="37" t="n">
        <f aca="false">'Dec 2026'!R139</f>
        <v>0</v>
      </c>
      <c r="P139" s="37" t="n">
        <f aca="false">IF(B139="",0,N(Students!H128))</f>
        <v>0</v>
      </c>
      <c r="Q139" s="23"/>
      <c r="R139" s="26" t="n">
        <f aca="false">N(O139)+N(P139)-N(Q139)</f>
        <v>0</v>
      </c>
      <c r="S139" s="37" t="n">
        <f aca="false">'Dec 2026'!V139</f>
        <v>0</v>
      </c>
      <c r="T139" s="37" t="n">
        <f aca="false">IF(B139="",0,N(Students!I128))</f>
        <v>0</v>
      </c>
      <c r="U139" s="23"/>
      <c r="V139" s="26" t="n">
        <f aca="false">N(S139)+N(T139)-N(U139)</f>
        <v>0</v>
      </c>
      <c r="W139" s="37" t="n">
        <f aca="false">'Dec 2026'!Z139</f>
        <v>0</v>
      </c>
      <c r="X139" s="37" t="n">
        <f aca="false">IF(B139="",0,N(Students!J128))</f>
        <v>0</v>
      </c>
      <c r="Y139" s="23"/>
      <c r="Z139" s="26" t="n">
        <f aca="false">N(W139)+N(X139)-N(Y139)</f>
        <v>0</v>
      </c>
      <c r="AA139" s="37" t="n">
        <f aca="false">N(E139)+N(I139)+N(M139)+N(Q139)+N(U139)+N(Y139)</f>
        <v>0</v>
      </c>
      <c r="AB139" s="26" t="n">
        <f aca="false">F139+J139+N139+R139+V139+Z139</f>
        <v>0</v>
      </c>
      <c r="AC139" s="83" t="str">
        <f aca="false">IF(B139="","",IF(AB139&lt;=0,"Clear",IF(AA139&gt;0,"Partial","Due")))</f>
        <v/>
      </c>
    </row>
    <row r="140" customFormat="false" ht="15" hidden="false" customHeight="false" outlineLevel="0" collapsed="false">
      <c r="A140" s="21" t="n">
        <v>125</v>
      </c>
      <c r="B140" s="46" t="str">
        <f aca="false">IF(Students!B129="","",Students!B129)</f>
        <v/>
      </c>
      <c r="C140" s="33" t="n">
        <f aca="false">'Dec 2026'!F140</f>
        <v>0</v>
      </c>
      <c r="D140" s="33" t="n">
        <f aca="false">IF(B140="",0,N(Students!E129))</f>
        <v>0</v>
      </c>
      <c r="E140" s="23"/>
      <c r="F140" s="24" t="n">
        <f aca="false">N(C140)+N(D140)-N(E140)</f>
        <v>0</v>
      </c>
      <c r="G140" s="33" t="n">
        <f aca="false">'Dec 2026'!J140</f>
        <v>0</v>
      </c>
      <c r="H140" s="33" t="n">
        <f aca="false">IF(B140="",0,N(Students!F129))</f>
        <v>0</v>
      </c>
      <c r="I140" s="23"/>
      <c r="J140" s="24" t="n">
        <f aca="false">N(G140)+N(H140)-N(I140)</f>
        <v>0</v>
      </c>
      <c r="K140" s="33" t="n">
        <f aca="false">'Dec 2026'!N140</f>
        <v>0</v>
      </c>
      <c r="L140" s="33" t="n">
        <f aca="false">IF(B140="",0,N(Students!G129))</f>
        <v>0</v>
      </c>
      <c r="M140" s="23"/>
      <c r="N140" s="24" t="n">
        <f aca="false">N(K140)+N(L140)-N(M140)</f>
        <v>0</v>
      </c>
      <c r="O140" s="33" t="n">
        <f aca="false">'Dec 2026'!R140</f>
        <v>0</v>
      </c>
      <c r="P140" s="33" t="n">
        <f aca="false">IF(B140="",0,N(Students!H129))</f>
        <v>0</v>
      </c>
      <c r="Q140" s="23"/>
      <c r="R140" s="24" t="n">
        <f aca="false">N(O140)+N(P140)-N(Q140)</f>
        <v>0</v>
      </c>
      <c r="S140" s="33" t="n">
        <f aca="false">'Dec 2026'!V140</f>
        <v>0</v>
      </c>
      <c r="T140" s="33" t="n">
        <f aca="false">IF(B140="",0,N(Students!I129))</f>
        <v>0</v>
      </c>
      <c r="U140" s="23"/>
      <c r="V140" s="24" t="n">
        <f aca="false">N(S140)+N(T140)-N(U140)</f>
        <v>0</v>
      </c>
      <c r="W140" s="33" t="n">
        <f aca="false">'Dec 2026'!Z140</f>
        <v>0</v>
      </c>
      <c r="X140" s="33" t="n">
        <f aca="false">IF(B140="",0,N(Students!J129))</f>
        <v>0</v>
      </c>
      <c r="Y140" s="23"/>
      <c r="Z140" s="24" t="n">
        <f aca="false">N(W140)+N(X140)-N(Y140)</f>
        <v>0</v>
      </c>
      <c r="AA140" s="33" t="n">
        <f aca="false">N(E140)+N(I140)+N(M140)+N(Q140)+N(U140)+N(Y140)</f>
        <v>0</v>
      </c>
      <c r="AB140" s="24" t="n">
        <f aca="false">F140+J140+N140+R140+V140+Z140</f>
        <v>0</v>
      </c>
      <c r="AC140" s="81" t="str">
        <f aca="false">IF(B140="","",IF(AB140&lt;=0,"Clear",IF(AA140&gt;0,"Partial","Due")))</f>
        <v/>
      </c>
    </row>
    <row r="141" customFormat="false" ht="15" hidden="false" customHeight="false" outlineLevel="0" collapsed="false">
      <c r="A141" s="25" t="n">
        <v>126</v>
      </c>
      <c r="B141" s="82" t="str">
        <f aca="false">IF(Students!B130="","",Students!B130)</f>
        <v/>
      </c>
      <c r="C141" s="37" t="n">
        <f aca="false">'Dec 2026'!F141</f>
        <v>0</v>
      </c>
      <c r="D141" s="37" t="n">
        <f aca="false">IF(B141="",0,N(Students!E130))</f>
        <v>0</v>
      </c>
      <c r="E141" s="23"/>
      <c r="F141" s="26" t="n">
        <f aca="false">N(C141)+N(D141)-N(E141)</f>
        <v>0</v>
      </c>
      <c r="G141" s="37" t="n">
        <f aca="false">'Dec 2026'!J141</f>
        <v>0</v>
      </c>
      <c r="H141" s="37" t="n">
        <f aca="false">IF(B141="",0,N(Students!F130))</f>
        <v>0</v>
      </c>
      <c r="I141" s="23"/>
      <c r="J141" s="26" t="n">
        <f aca="false">N(G141)+N(H141)-N(I141)</f>
        <v>0</v>
      </c>
      <c r="K141" s="37" t="n">
        <f aca="false">'Dec 2026'!N141</f>
        <v>0</v>
      </c>
      <c r="L141" s="37" t="n">
        <f aca="false">IF(B141="",0,N(Students!G130))</f>
        <v>0</v>
      </c>
      <c r="M141" s="23"/>
      <c r="N141" s="26" t="n">
        <f aca="false">N(K141)+N(L141)-N(M141)</f>
        <v>0</v>
      </c>
      <c r="O141" s="37" t="n">
        <f aca="false">'Dec 2026'!R141</f>
        <v>0</v>
      </c>
      <c r="P141" s="37" t="n">
        <f aca="false">IF(B141="",0,N(Students!H130))</f>
        <v>0</v>
      </c>
      <c r="Q141" s="23"/>
      <c r="R141" s="26" t="n">
        <f aca="false">N(O141)+N(P141)-N(Q141)</f>
        <v>0</v>
      </c>
      <c r="S141" s="37" t="n">
        <f aca="false">'Dec 2026'!V141</f>
        <v>0</v>
      </c>
      <c r="T141" s="37" t="n">
        <f aca="false">IF(B141="",0,N(Students!I130))</f>
        <v>0</v>
      </c>
      <c r="U141" s="23"/>
      <c r="V141" s="26" t="n">
        <f aca="false">N(S141)+N(T141)-N(U141)</f>
        <v>0</v>
      </c>
      <c r="W141" s="37" t="n">
        <f aca="false">'Dec 2026'!Z141</f>
        <v>0</v>
      </c>
      <c r="X141" s="37" t="n">
        <f aca="false">IF(B141="",0,N(Students!J130))</f>
        <v>0</v>
      </c>
      <c r="Y141" s="23"/>
      <c r="Z141" s="26" t="n">
        <f aca="false">N(W141)+N(X141)-N(Y141)</f>
        <v>0</v>
      </c>
      <c r="AA141" s="37" t="n">
        <f aca="false">N(E141)+N(I141)+N(M141)+N(Q141)+N(U141)+N(Y141)</f>
        <v>0</v>
      </c>
      <c r="AB141" s="26" t="n">
        <f aca="false">F141+J141+N141+R141+V141+Z141</f>
        <v>0</v>
      </c>
      <c r="AC141" s="83" t="str">
        <f aca="false">IF(B141="","",IF(AB141&lt;=0,"Clear",IF(AA141&gt;0,"Partial","Due")))</f>
        <v/>
      </c>
    </row>
    <row r="142" customFormat="false" ht="15" hidden="false" customHeight="false" outlineLevel="0" collapsed="false">
      <c r="A142" s="21" t="n">
        <v>127</v>
      </c>
      <c r="B142" s="46" t="str">
        <f aca="false">IF(Students!B131="","",Students!B131)</f>
        <v/>
      </c>
      <c r="C142" s="33" t="n">
        <f aca="false">'Dec 2026'!F142</f>
        <v>0</v>
      </c>
      <c r="D142" s="33" t="n">
        <f aca="false">IF(B142="",0,N(Students!E131))</f>
        <v>0</v>
      </c>
      <c r="E142" s="23"/>
      <c r="F142" s="24" t="n">
        <f aca="false">N(C142)+N(D142)-N(E142)</f>
        <v>0</v>
      </c>
      <c r="G142" s="33" t="n">
        <f aca="false">'Dec 2026'!J142</f>
        <v>0</v>
      </c>
      <c r="H142" s="33" t="n">
        <f aca="false">IF(B142="",0,N(Students!F131))</f>
        <v>0</v>
      </c>
      <c r="I142" s="23"/>
      <c r="J142" s="24" t="n">
        <f aca="false">N(G142)+N(H142)-N(I142)</f>
        <v>0</v>
      </c>
      <c r="K142" s="33" t="n">
        <f aca="false">'Dec 2026'!N142</f>
        <v>0</v>
      </c>
      <c r="L142" s="33" t="n">
        <f aca="false">IF(B142="",0,N(Students!G131))</f>
        <v>0</v>
      </c>
      <c r="M142" s="23"/>
      <c r="N142" s="24" t="n">
        <f aca="false">N(K142)+N(L142)-N(M142)</f>
        <v>0</v>
      </c>
      <c r="O142" s="33" t="n">
        <f aca="false">'Dec 2026'!R142</f>
        <v>0</v>
      </c>
      <c r="P142" s="33" t="n">
        <f aca="false">IF(B142="",0,N(Students!H131))</f>
        <v>0</v>
      </c>
      <c r="Q142" s="23"/>
      <c r="R142" s="24" t="n">
        <f aca="false">N(O142)+N(P142)-N(Q142)</f>
        <v>0</v>
      </c>
      <c r="S142" s="33" t="n">
        <f aca="false">'Dec 2026'!V142</f>
        <v>0</v>
      </c>
      <c r="T142" s="33" t="n">
        <f aca="false">IF(B142="",0,N(Students!I131))</f>
        <v>0</v>
      </c>
      <c r="U142" s="23"/>
      <c r="V142" s="24" t="n">
        <f aca="false">N(S142)+N(T142)-N(U142)</f>
        <v>0</v>
      </c>
      <c r="W142" s="33" t="n">
        <f aca="false">'Dec 2026'!Z142</f>
        <v>0</v>
      </c>
      <c r="X142" s="33" t="n">
        <f aca="false">IF(B142="",0,N(Students!J131))</f>
        <v>0</v>
      </c>
      <c r="Y142" s="23"/>
      <c r="Z142" s="24" t="n">
        <f aca="false">N(W142)+N(X142)-N(Y142)</f>
        <v>0</v>
      </c>
      <c r="AA142" s="33" t="n">
        <f aca="false">N(E142)+N(I142)+N(M142)+N(Q142)+N(U142)+N(Y142)</f>
        <v>0</v>
      </c>
      <c r="AB142" s="24" t="n">
        <f aca="false">F142+J142+N142+R142+V142+Z142</f>
        <v>0</v>
      </c>
      <c r="AC142" s="81" t="str">
        <f aca="false">IF(B142="","",IF(AB142&lt;=0,"Clear",IF(AA142&gt;0,"Partial","Due")))</f>
        <v/>
      </c>
    </row>
    <row r="143" customFormat="false" ht="15" hidden="false" customHeight="false" outlineLevel="0" collapsed="false">
      <c r="A143" s="25" t="n">
        <v>128</v>
      </c>
      <c r="B143" s="82" t="str">
        <f aca="false">IF(Students!B132="","",Students!B132)</f>
        <v/>
      </c>
      <c r="C143" s="37" t="n">
        <f aca="false">'Dec 2026'!F143</f>
        <v>0</v>
      </c>
      <c r="D143" s="37" t="n">
        <f aca="false">IF(B143="",0,N(Students!E132))</f>
        <v>0</v>
      </c>
      <c r="E143" s="23"/>
      <c r="F143" s="26" t="n">
        <f aca="false">N(C143)+N(D143)-N(E143)</f>
        <v>0</v>
      </c>
      <c r="G143" s="37" t="n">
        <f aca="false">'Dec 2026'!J143</f>
        <v>0</v>
      </c>
      <c r="H143" s="37" t="n">
        <f aca="false">IF(B143="",0,N(Students!F132))</f>
        <v>0</v>
      </c>
      <c r="I143" s="23"/>
      <c r="J143" s="26" t="n">
        <f aca="false">N(G143)+N(H143)-N(I143)</f>
        <v>0</v>
      </c>
      <c r="K143" s="37" t="n">
        <f aca="false">'Dec 2026'!N143</f>
        <v>0</v>
      </c>
      <c r="L143" s="37" t="n">
        <f aca="false">IF(B143="",0,N(Students!G132))</f>
        <v>0</v>
      </c>
      <c r="M143" s="23"/>
      <c r="N143" s="26" t="n">
        <f aca="false">N(K143)+N(L143)-N(M143)</f>
        <v>0</v>
      </c>
      <c r="O143" s="37" t="n">
        <f aca="false">'Dec 2026'!R143</f>
        <v>0</v>
      </c>
      <c r="P143" s="37" t="n">
        <f aca="false">IF(B143="",0,N(Students!H132))</f>
        <v>0</v>
      </c>
      <c r="Q143" s="23"/>
      <c r="R143" s="26" t="n">
        <f aca="false">N(O143)+N(P143)-N(Q143)</f>
        <v>0</v>
      </c>
      <c r="S143" s="37" t="n">
        <f aca="false">'Dec 2026'!V143</f>
        <v>0</v>
      </c>
      <c r="T143" s="37" t="n">
        <f aca="false">IF(B143="",0,N(Students!I132))</f>
        <v>0</v>
      </c>
      <c r="U143" s="23"/>
      <c r="V143" s="26" t="n">
        <f aca="false">N(S143)+N(T143)-N(U143)</f>
        <v>0</v>
      </c>
      <c r="W143" s="37" t="n">
        <f aca="false">'Dec 2026'!Z143</f>
        <v>0</v>
      </c>
      <c r="X143" s="37" t="n">
        <f aca="false">IF(B143="",0,N(Students!J132))</f>
        <v>0</v>
      </c>
      <c r="Y143" s="23"/>
      <c r="Z143" s="26" t="n">
        <f aca="false">N(W143)+N(X143)-N(Y143)</f>
        <v>0</v>
      </c>
      <c r="AA143" s="37" t="n">
        <f aca="false">N(E143)+N(I143)+N(M143)+N(Q143)+N(U143)+N(Y143)</f>
        <v>0</v>
      </c>
      <c r="AB143" s="26" t="n">
        <f aca="false">F143+J143+N143+R143+V143+Z143</f>
        <v>0</v>
      </c>
      <c r="AC143" s="83" t="str">
        <f aca="false">IF(B143="","",IF(AB143&lt;=0,"Clear",IF(AA143&gt;0,"Partial","Due")))</f>
        <v/>
      </c>
    </row>
    <row r="144" customFormat="false" ht="15" hidden="false" customHeight="false" outlineLevel="0" collapsed="false">
      <c r="A144" s="21" t="n">
        <v>129</v>
      </c>
      <c r="B144" s="46" t="str">
        <f aca="false">IF(Students!B133="","",Students!B133)</f>
        <v/>
      </c>
      <c r="C144" s="33" t="n">
        <f aca="false">'Dec 2026'!F144</f>
        <v>0</v>
      </c>
      <c r="D144" s="33" t="n">
        <f aca="false">IF(B144="",0,N(Students!E133))</f>
        <v>0</v>
      </c>
      <c r="E144" s="23"/>
      <c r="F144" s="24" t="n">
        <f aca="false">N(C144)+N(D144)-N(E144)</f>
        <v>0</v>
      </c>
      <c r="G144" s="33" t="n">
        <f aca="false">'Dec 2026'!J144</f>
        <v>0</v>
      </c>
      <c r="H144" s="33" t="n">
        <f aca="false">IF(B144="",0,N(Students!F133))</f>
        <v>0</v>
      </c>
      <c r="I144" s="23"/>
      <c r="J144" s="24" t="n">
        <f aca="false">N(G144)+N(H144)-N(I144)</f>
        <v>0</v>
      </c>
      <c r="K144" s="33" t="n">
        <f aca="false">'Dec 2026'!N144</f>
        <v>0</v>
      </c>
      <c r="L144" s="33" t="n">
        <f aca="false">IF(B144="",0,N(Students!G133))</f>
        <v>0</v>
      </c>
      <c r="M144" s="23"/>
      <c r="N144" s="24" t="n">
        <f aca="false">N(K144)+N(L144)-N(M144)</f>
        <v>0</v>
      </c>
      <c r="O144" s="33" t="n">
        <f aca="false">'Dec 2026'!R144</f>
        <v>0</v>
      </c>
      <c r="P144" s="33" t="n">
        <f aca="false">IF(B144="",0,N(Students!H133))</f>
        <v>0</v>
      </c>
      <c r="Q144" s="23"/>
      <c r="R144" s="24" t="n">
        <f aca="false">N(O144)+N(P144)-N(Q144)</f>
        <v>0</v>
      </c>
      <c r="S144" s="33" t="n">
        <f aca="false">'Dec 2026'!V144</f>
        <v>0</v>
      </c>
      <c r="T144" s="33" t="n">
        <f aca="false">IF(B144="",0,N(Students!I133))</f>
        <v>0</v>
      </c>
      <c r="U144" s="23"/>
      <c r="V144" s="24" t="n">
        <f aca="false">N(S144)+N(T144)-N(U144)</f>
        <v>0</v>
      </c>
      <c r="W144" s="33" t="n">
        <f aca="false">'Dec 2026'!Z144</f>
        <v>0</v>
      </c>
      <c r="X144" s="33" t="n">
        <f aca="false">IF(B144="",0,N(Students!J133))</f>
        <v>0</v>
      </c>
      <c r="Y144" s="23"/>
      <c r="Z144" s="24" t="n">
        <f aca="false">N(W144)+N(X144)-N(Y144)</f>
        <v>0</v>
      </c>
      <c r="AA144" s="33" t="n">
        <f aca="false">N(E144)+N(I144)+N(M144)+N(Q144)+N(U144)+N(Y144)</f>
        <v>0</v>
      </c>
      <c r="AB144" s="24" t="n">
        <f aca="false">F144+J144+N144+R144+V144+Z144</f>
        <v>0</v>
      </c>
      <c r="AC144" s="81" t="str">
        <f aca="false">IF(B144="","",IF(AB144&lt;=0,"Clear",IF(AA144&gt;0,"Partial","Due")))</f>
        <v/>
      </c>
    </row>
    <row r="145" customFormat="false" ht="15" hidden="false" customHeight="false" outlineLevel="0" collapsed="false">
      <c r="A145" s="25" t="n">
        <v>130</v>
      </c>
      <c r="B145" s="82" t="str">
        <f aca="false">IF(Students!B134="","",Students!B134)</f>
        <v/>
      </c>
      <c r="C145" s="37" t="n">
        <f aca="false">'Dec 2026'!F145</f>
        <v>0</v>
      </c>
      <c r="D145" s="37" t="n">
        <f aca="false">IF(B145="",0,N(Students!E134))</f>
        <v>0</v>
      </c>
      <c r="E145" s="23"/>
      <c r="F145" s="26" t="n">
        <f aca="false">N(C145)+N(D145)-N(E145)</f>
        <v>0</v>
      </c>
      <c r="G145" s="37" t="n">
        <f aca="false">'Dec 2026'!J145</f>
        <v>0</v>
      </c>
      <c r="H145" s="37" t="n">
        <f aca="false">IF(B145="",0,N(Students!F134))</f>
        <v>0</v>
      </c>
      <c r="I145" s="23"/>
      <c r="J145" s="26" t="n">
        <f aca="false">N(G145)+N(H145)-N(I145)</f>
        <v>0</v>
      </c>
      <c r="K145" s="37" t="n">
        <f aca="false">'Dec 2026'!N145</f>
        <v>0</v>
      </c>
      <c r="L145" s="37" t="n">
        <f aca="false">IF(B145="",0,N(Students!G134))</f>
        <v>0</v>
      </c>
      <c r="M145" s="23"/>
      <c r="N145" s="26" t="n">
        <f aca="false">N(K145)+N(L145)-N(M145)</f>
        <v>0</v>
      </c>
      <c r="O145" s="37" t="n">
        <f aca="false">'Dec 2026'!R145</f>
        <v>0</v>
      </c>
      <c r="P145" s="37" t="n">
        <f aca="false">IF(B145="",0,N(Students!H134))</f>
        <v>0</v>
      </c>
      <c r="Q145" s="23"/>
      <c r="R145" s="26" t="n">
        <f aca="false">N(O145)+N(P145)-N(Q145)</f>
        <v>0</v>
      </c>
      <c r="S145" s="37" t="n">
        <f aca="false">'Dec 2026'!V145</f>
        <v>0</v>
      </c>
      <c r="T145" s="37" t="n">
        <f aca="false">IF(B145="",0,N(Students!I134))</f>
        <v>0</v>
      </c>
      <c r="U145" s="23"/>
      <c r="V145" s="26" t="n">
        <f aca="false">N(S145)+N(T145)-N(U145)</f>
        <v>0</v>
      </c>
      <c r="W145" s="37" t="n">
        <f aca="false">'Dec 2026'!Z145</f>
        <v>0</v>
      </c>
      <c r="X145" s="37" t="n">
        <f aca="false">IF(B145="",0,N(Students!J134))</f>
        <v>0</v>
      </c>
      <c r="Y145" s="23"/>
      <c r="Z145" s="26" t="n">
        <f aca="false">N(W145)+N(X145)-N(Y145)</f>
        <v>0</v>
      </c>
      <c r="AA145" s="37" t="n">
        <f aca="false">N(E145)+N(I145)+N(M145)+N(Q145)+N(U145)+N(Y145)</f>
        <v>0</v>
      </c>
      <c r="AB145" s="26" t="n">
        <f aca="false">F145+J145+N145+R145+V145+Z145</f>
        <v>0</v>
      </c>
      <c r="AC145" s="83" t="str">
        <f aca="false">IF(B145="","",IF(AB145&lt;=0,"Clear",IF(AA145&gt;0,"Partial","Due")))</f>
        <v/>
      </c>
    </row>
    <row r="146" customFormat="false" ht="15" hidden="false" customHeight="false" outlineLevel="0" collapsed="false">
      <c r="A146" s="21" t="n">
        <v>131</v>
      </c>
      <c r="B146" s="46" t="str">
        <f aca="false">IF(Students!B135="","",Students!B135)</f>
        <v/>
      </c>
      <c r="C146" s="33" t="n">
        <f aca="false">'Dec 2026'!F146</f>
        <v>0</v>
      </c>
      <c r="D146" s="33" t="n">
        <f aca="false">IF(B146="",0,N(Students!E135))</f>
        <v>0</v>
      </c>
      <c r="E146" s="23"/>
      <c r="F146" s="24" t="n">
        <f aca="false">N(C146)+N(D146)-N(E146)</f>
        <v>0</v>
      </c>
      <c r="G146" s="33" t="n">
        <f aca="false">'Dec 2026'!J146</f>
        <v>0</v>
      </c>
      <c r="H146" s="33" t="n">
        <f aca="false">IF(B146="",0,N(Students!F135))</f>
        <v>0</v>
      </c>
      <c r="I146" s="23"/>
      <c r="J146" s="24" t="n">
        <f aca="false">N(G146)+N(H146)-N(I146)</f>
        <v>0</v>
      </c>
      <c r="K146" s="33" t="n">
        <f aca="false">'Dec 2026'!N146</f>
        <v>0</v>
      </c>
      <c r="L146" s="33" t="n">
        <f aca="false">IF(B146="",0,N(Students!G135))</f>
        <v>0</v>
      </c>
      <c r="M146" s="23"/>
      <c r="N146" s="24" t="n">
        <f aca="false">N(K146)+N(L146)-N(M146)</f>
        <v>0</v>
      </c>
      <c r="O146" s="33" t="n">
        <f aca="false">'Dec 2026'!R146</f>
        <v>0</v>
      </c>
      <c r="P146" s="33" t="n">
        <f aca="false">IF(B146="",0,N(Students!H135))</f>
        <v>0</v>
      </c>
      <c r="Q146" s="23"/>
      <c r="R146" s="24" t="n">
        <f aca="false">N(O146)+N(P146)-N(Q146)</f>
        <v>0</v>
      </c>
      <c r="S146" s="33" t="n">
        <f aca="false">'Dec 2026'!V146</f>
        <v>0</v>
      </c>
      <c r="T146" s="33" t="n">
        <f aca="false">IF(B146="",0,N(Students!I135))</f>
        <v>0</v>
      </c>
      <c r="U146" s="23"/>
      <c r="V146" s="24" t="n">
        <f aca="false">N(S146)+N(T146)-N(U146)</f>
        <v>0</v>
      </c>
      <c r="W146" s="33" t="n">
        <f aca="false">'Dec 2026'!Z146</f>
        <v>0</v>
      </c>
      <c r="X146" s="33" t="n">
        <f aca="false">IF(B146="",0,N(Students!J135))</f>
        <v>0</v>
      </c>
      <c r="Y146" s="23"/>
      <c r="Z146" s="24" t="n">
        <f aca="false">N(W146)+N(X146)-N(Y146)</f>
        <v>0</v>
      </c>
      <c r="AA146" s="33" t="n">
        <f aca="false">N(E146)+N(I146)+N(M146)+N(Q146)+N(U146)+N(Y146)</f>
        <v>0</v>
      </c>
      <c r="AB146" s="24" t="n">
        <f aca="false">F146+J146+N146+R146+V146+Z146</f>
        <v>0</v>
      </c>
      <c r="AC146" s="81" t="str">
        <f aca="false">IF(B146="","",IF(AB146&lt;=0,"Clear",IF(AA146&gt;0,"Partial","Due")))</f>
        <v/>
      </c>
    </row>
    <row r="147" customFormat="false" ht="15" hidden="false" customHeight="false" outlineLevel="0" collapsed="false">
      <c r="A147" s="25" t="n">
        <v>132</v>
      </c>
      <c r="B147" s="82" t="str">
        <f aca="false">IF(Students!B136="","",Students!B136)</f>
        <v/>
      </c>
      <c r="C147" s="37" t="n">
        <f aca="false">'Dec 2026'!F147</f>
        <v>0</v>
      </c>
      <c r="D147" s="37" t="n">
        <f aca="false">IF(B147="",0,N(Students!E136))</f>
        <v>0</v>
      </c>
      <c r="E147" s="23"/>
      <c r="F147" s="26" t="n">
        <f aca="false">N(C147)+N(D147)-N(E147)</f>
        <v>0</v>
      </c>
      <c r="G147" s="37" t="n">
        <f aca="false">'Dec 2026'!J147</f>
        <v>0</v>
      </c>
      <c r="H147" s="37" t="n">
        <f aca="false">IF(B147="",0,N(Students!F136))</f>
        <v>0</v>
      </c>
      <c r="I147" s="23"/>
      <c r="J147" s="26" t="n">
        <f aca="false">N(G147)+N(H147)-N(I147)</f>
        <v>0</v>
      </c>
      <c r="K147" s="37" t="n">
        <f aca="false">'Dec 2026'!N147</f>
        <v>0</v>
      </c>
      <c r="L147" s="37" t="n">
        <f aca="false">IF(B147="",0,N(Students!G136))</f>
        <v>0</v>
      </c>
      <c r="M147" s="23"/>
      <c r="N147" s="26" t="n">
        <f aca="false">N(K147)+N(L147)-N(M147)</f>
        <v>0</v>
      </c>
      <c r="O147" s="37" t="n">
        <f aca="false">'Dec 2026'!R147</f>
        <v>0</v>
      </c>
      <c r="P147" s="37" t="n">
        <f aca="false">IF(B147="",0,N(Students!H136))</f>
        <v>0</v>
      </c>
      <c r="Q147" s="23"/>
      <c r="R147" s="26" t="n">
        <f aca="false">N(O147)+N(P147)-N(Q147)</f>
        <v>0</v>
      </c>
      <c r="S147" s="37" t="n">
        <f aca="false">'Dec 2026'!V147</f>
        <v>0</v>
      </c>
      <c r="T147" s="37" t="n">
        <f aca="false">IF(B147="",0,N(Students!I136))</f>
        <v>0</v>
      </c>
      <c r="U147" s="23"/>
      <c r="V147" s="26" t="n">
        <f aca="false">N(S147)+N(T147)-N(U147)</f>
        <v>0</v>
      </c>
      <c r="W147" s="37" t="n">
        <f aca="false">'Dec 2026'!Z147</f>
        <v>0</v>
      </c>
      <c r="X147" s="37" t="n">
        <f aca="false">IF(B147="",0,N(Students!J136))</f>
        <v>0</v>
      </c>
      <c r="Y147" s="23"/>
      <c r="Z147" s="26" t="n">
        <f aca="false">N(W147)+N(X147)-N(Y147)</f>
        <v>0</v>
      </c>
      <c r="AA147" s="37" t="n">
        <f aca="false">N(E147)+N(I147)+N(M147)+N(Q147)+N(U147)+N(Y147)</f>
        <v>0</v>
      </c>
      <c r="AB147" s="26" t="n">
        <f aca="false">F147+J147+N147+R147+V147+Z147</f>
        <v>0</v>
      </c>
      <c r="AC147" s="83" t="str">
        <f aca="false">IF(B147="","",IF(AB147&lt;=0,"Clear",IF(AA147&gt;0,"Partial","Due")))</f>
        <v/>
      </c>
    </row>
    <row r="148" customFormat="false" ht="15" hidden="false" customHeight="false" outlineLevel="0" collapsed="false">
      <c r="A148" s="21" t="n">
        <v>133</v>
      </c>
      <c r="B148" s="46" t="str">
        <f aca="false">IF(Students!B137="","",Students!B137)</f>
        <v/>
      </c>
      <c r="C148" s="33" t="n">
        <f aca="false">'Dec 2026'!F148</f>
        <v>0</v>
      </c>
      <c r="D148" s="33" t="n">
        <f aca="false">IF(B148="",0,N(Students!E137))</f>
        <v>0</v>
      </c>
      <c r="E148" s="23"/>
      <c r="F148" s="24" t="n">
        <f aca="false">N(C148)+N(D148)-N(E148)</f>
        <v>0</v>
      </c>
      <c r="G148" s="33" t="n">
        <f aca="false">'Dec 2026'!J148</f>
        <v>0</v>
      </c>
      <c r="H148" s="33" t="n">
        <f aca="false">IF(B148="",0,N(Students!F137))</f>
        <v>0</v>
      </c>
      <c r="I148" s="23"/>
      <c r="J148" s="24" t="n">
        <f aca="false">N(G148)+N(H148)-N(I148)</f>
        <v>0</v>
      </c>
      <c r="K148" s="33" t="n">
        <f aca="false">'Dec 2026'!N148</f>
        <v>0</v>
      </c>
      <c r="L148" s="33" t="n">
        <f aca="false">IF(B148="",0,N(Students!G137))</f>
        <v>0</v>
      </c>
      <c r="M148" s="23"/>
      <c r="N148" s="24" t="n">
        <f aca="false">N(K148)+N(L148)-N(M148)</f>
        <v>0</v>
      </c>
      <c r="O148" s="33" t="n">
        <f aca="false">'Dec 2026'!R148</f>
        <v>0</v>
      </c>
      <c r="P148" s="33" t="n">
        <f aca="false">IF(B148="",0,N(Students!H137))</f>
        <v>0</v>
      </c>
      <c r="Q148" s="23"/>
      <c r="R148" s="24" t="n">
        <f aca="false">N(O148)+N(P148)-N(Q148)</f>
        <v>0</v>
      </c>
      <c r="S148" s="33" t="n">
        <f aca="false">'Dec 2026'!V148</f>
        <v>0</v>
      </c>
      <c r="T148" s="33" t="n">
        <f aca="false">IF(B148="",0,N(Students!I137))</f>
        <v>0</v>
      </c>
      <c r="U148" s="23"/>
      <c r="V148" s="24" t="n">
        <f aca="false">N(S148)+N(T148)-N(U148)</f>
        <v>0</v>
      </c>
      <c r="W148" s="33" t="n">
        <f aca="false">'Dec 2026'!Z148</f>
        <v>0</v>
      </c>
      <c r="X148" s="33" t="n">
        <f aca="false">IF(B148="",0,N(Students!J137))</f>
        <v>0</v>
      </c>
      <c r="Y148" s="23"/>
      <c r="Z148" s="24" t="n">
        <f aca="false">N(W148)+N(X148)-N(Y148)</f>
        <v>0</v>
      </c>
      <c r="AA148" s="33" t="n">
        <f aca="false">N(E148)+N(I148)+N(M148)+N(Q148)+N(U148)+N(Y148)</f>
        <v>0</v>
      </c>
      <c r="AB148" s="24" t="n">
        <f aca="false">F148+J148+N148+R148+V148+Z148</f>
        <v>0</v>
      </c>
      <c r="AC148" s="81" t="str">
        <f aca="false">IF(B148="","",IF(AB148&lt;=0,"Clear",IF(AA148&gt;0,"Partial","Due")))</f>
        <v/>
      </c>
    </row>
    <row r="149" customFormat="false" ht="15" hidden="false" customHeight="false" outlineLevel="0" collapsed="false">
      <c r="A149" s="25" t="n">
        <v>134</v>
      </c>
      <c r="B149" s="82" t="str">
        <f aca="false">IF(Students!B138="","",Students!B138)</f>
        <v/>
      </c>
      <c r="C149" s="37" t="n">
        <f aca="false">'Dec 2026'!F149</f>
        <v>0</v>
      </c>
      <c r="D149" s="37" t="n">
        <f aca="false">IF(B149="",0,N(Students!E138))</f>
        <v>0</v>
      </c>
      <c r="E149" s="23"/>
      <c r="F149" s="26" t="n">
        <f aca="false">N(C149)+N(D149)-N(E149)</f>
        <v>0</v>
      </c>
      <c r="G149" s="37" t="n">
        <f aca="false">'Dec 2026'!J149</f>
        <v>0</v>
      </c>
      <c r="H149" s="37" t="n">
        <f aca="false">IF(B149="",0,N(Students!F138))</f>
        <v>0</v>
      </c>
      <c r="I149" s="23"/>
      <c r="J149" s="26" t="n">
        <f aca="false">N(G149)+N(H149)-N(I149)</f>
        <v>0</v>
      </c>
      <c r="K149" s="37" t="n">
        <f aca="false">'Dec 2026'!N149</f>
        <v>0</v>
      </c>
      <c r="L149" s="37" t="n">
        <f aca="false">IF(B149="",0,N(Students!G138))</f>
        <v>0</v>
      </c>
      <c r="M149" s="23"/>
      <c r="N149" s="26" t="n">
        <f aca="false">N(K149)+N(L149)-N(M149)</f>
        <v>0</v>
      </c>
      <c r="O149" s="37" t="n">
        <f aca="false">'Dec 2026'!R149</f>
        <v>0</v>
      </c>
      <c r="P149" s="37" t="n">
        <f aca="false">IF(B149="",0,N(Students!H138))</f>
        <v>0</v>
      </c>
      <c r="Q149" s="23"/>
      <c r="R149" s="26" t="n">
        <f aca="false">N(O149)+N(P149)-N(Q149)</f>
        <v>0</v>
      </c>
      <c r="S149" s="37" t="n">
        <f aca="false">'Dec 2026'!V149</f>
        <v>0</v>
      </c>
      <c r="T149" s="37" t="n">
        <f aca="false">IF(B149="",0,N(Students!I138))</f>
        <v>0</v>
      </c>
      <c r="U149" s="23"/>
      <c r="V149" s="26" t="n">
        <f aca="false">N(S149)+N(T149)-N(U149)</f>
        <v>0</v>
      </c>
      <c r="W149" s="37" t="n">
        <f aca="false">'Dec 2026'!Z149</f>
        <v>0</v>
      </c>
      <c r="X149" s="37" t="n">
        <f aca="false">IF(B149="",0,N(Students!J138))</f>
        <v>0</v>
      </c>
      <c r="Y149" s="23"/>
      <c r="Z149" s="26" t="n">
        <f aca="false">N(W149)+N(X149)-N(Y149)</f>
        <v>0</v>
      </c>
      <c r="AA149" s="37" t="n">
        <f aca="false">N(E149)+N(I149)+N(M149)+N(Q149)+N(U149)+N(Y149)</f>
        <v>0</v>
      </c>
      <c r="AB149" s="26" t="n">
        <f aca="false">F149+J149+N149+R149+V149+Z149</f>
        <v>0</v>
      </c>
      <c r="AC149" s="83" t="str">
        <f aca="false">IF(B149="","",IF(AB149&lt;=0,"Clear",IF(AA149&gt;0,"Partial","Due")))</f>
        <v/>
      </c>
    </row>
    <row r="150" customFormat="false" ht="15" hidden="false" customHeight="false" outlineLevel="0" collapsed="false">
      <c r="A150" s="21" t="n">
        <v>135</v>
      </c>
      <c r="B150" s="46" t="str">
        <f aca="false">IF(Students!B139="","",Students!B139)</f>
        <v/>
      </c>
      <c r="C150" s="33" t="n">
        <f aca="false">'Dec 2026'!F150</f>
        <v>0</v>
      </c>
      <c r="D150" s="33" t="n">
        <f aca="false">IF(B150="",0,N(Students!E139))</f>
        <v>0</v>
      </c>
      <c r="E150" s="23"/>
      <c r="F150" s="24" t="n">
        <f aca="false">N(C150)+N(D150)-N(E150)</f>
        <v>0</v>
      </c>
      <c r="G150" s="33" t="n">
        <f aca="false">'Dec 2026'!J150</f>
        <v>0</v>
      </c>
      <c r="H150" s="33" t="n">
        <f aca="false">IF(B150="",0,N(Students!F139))</f>
        <v>0</v>
      </c>
      <c r="I150" s="23"/>
      <c r="J150" s="24" t="n">
        <f aca="false">N(G150)+N(H150)-N(I150)</f>
        <v>0</v>
      </c>
      <c r="K150" s="33" t="n">
        <f aca="false">'Dec 2026'!N150</f>
        <v>0</v>
      </c>
      <c r="L150" s="33" t="n">
        <f aca="false">IF(B150="",0,N(Students!G139))</f>
        <v>0</v>
      </c>
      <c r="M150" s="23"/>
      <c r="N150" s="24" t="n">
        <f aca="false">N(K150)+N(L150)-N(M150)</f>
        <v>0</v>
      </c>
      <c r="O150" s="33" t="n">
        <f aca="false">'Dec 2026'!R150</f>
        <v>0</v>
      </c>
      <c r="P150" s="33" t="n">
        <f aca="false">IF(B150="",0,N(Students!H139))</f>
        <v>0</v>
      </c>
      <c r="Q150" s="23"/>
      <c r="R150" s="24" t="n">
        <f aca="false">N(O150)+N(P150)-N(Q150)</f>
        <v>0</v>
      </c>
      <c r="S150" s="33" t="n">
        <f aca="false">'Dec 2026'!V150</f>
        <v>0</v>
      </c>
      <c r="T150" s="33" t="n">
        <f aca="false">IF(B150="",0,N(Students!I139))</f>
        <v>0</v>
      </c>
      <c r="U150" s="23"/>
      <c r="V150" s="24" t="n">
        <f aca="false">N(S150)+N(T150)-N(U150)</f>
        <v>0</v>
      </c>
      <c r="W150" s="33" t="n">
        <f aca="false">'Dec 2026'!Z150</f>
        <v>0</v>
      </c>
      <c r="X150" s="33" t="n">
        <f aca="false">IF(B150="",0,N(Students!J139))</f>
        <v>0</v>
      </c>
      <c r="Y150" s="23"/>
      <c r="Z150" s="24" t="n">
        <f aca="false">N(W150)+N(X150)-N(Y150)</f>
        <v>0</v>
      </c>
      <c r="AA150" s="33" t="n">
        <f aca="false">N(E150)+N(I150)+N(M150)+N(Q150)+N(U150)+N(Y150)</f>
        <v>0</v>
      </c>
      <c r="AB150" s="24" t="n">
        <f aca="false">F150+J150+N150+R150+V150+Z150</f>
        <v>0</v>
      </c>
      <c r="AC150" s="81" t="str">
        <f aca="false">IF(B150="","",IF(AB150&lt;=0,"Clear",IF(AA150&gt;0,"Partial","Due")))</f>
        <v/>
      </c>
    </row>
    <row r="151" customFormat="false" ht="15" hidden="false" customHeight="false" outlineLevel="0" collapsed="false">
      <c r="A151" s="25" t="n">
        <v>136</v>
      </c>
      <c r="B151" s="82" t="str">
        <f aca="false">IF(Students!B140="","",Students!B140)</f>
        <v/>
      </c>
      <c r="C151" s="37" t="n">
        <f aca="false">'Dec 2026'!F151</f>
        <v>0</v>
      </c>
      <c r="D151" s="37" t="n">
        <f aca="false">IF(B151="",0,N(Students!E140))</f>
        <v>0</v>
      </c>
      <c r="E151" s="23"/>
      <c r="F151" s="26" t="n">
        <f aca="false">N(C151)+N(D151)-N(E151)</f>
        <v>0</v>
      </c>
      <c r="G151" s="37" t="n">
        <f aca="false">'Dec 2026'!J151</f>
        <v>0</v>
      </c>
      <c r="H151" s="37" t="n">
        <f aca="false">IF(B151="",0,N(Students!F140))</f>
        <v>0</v>
      </c>
      <c r="I151" s="23"/>
      <c r="J151" s="26" t="n">
        <f aca="false">N(G151)+N(H151)-N(I151)</f>
        <v>0</v>
      </c>
      <c r="K151" s="37" t="n">
        <f aca="false">'Dec 2026'!N151</f>
        <v>0</v>
      </c>
      <c r="L151" s="37" t="n">
        <f aca="false">IF(B151="",0,N(Students!G140))</f>
        <v>0</v>
      </c>
      <c r="M151" s="23"/>
      <c r="N151" s="26" t="n">
        <f aca="false">N(K151)+N(L151)-N(M151)</f>
        <v>0</v>
      </c>
      <c r="O151" s="37" t="n">
        <f aca="false">'Dec 2026'!R151</f>
        <v>0</v>
      </c>
      <c r="P151" s="37" t="n">
        <f aca="false">IF(B151="",0,N(Students!H140))</f>
        <v>0</v>
      </c>
      <c r="Q151" s="23"/>
      <c r="R151" s="26" t="n">
        <f aca="false">N(O151)+N(P151)-N(Q151)</f>
        <v>0</v>
      </c>
      <c r="S151" s="37" t="n">
        <f aca="false">'Dec 2026'!V151</f>
        <v>0</v>
      </c>
      <c r="T151" s="37" t="n">
        <f aca="false">IF(B151="",0,N(Students!I140))</f>
        <v>0</v>
      </c>
      <c r="U151" s="23"/>
      <c r="V151" s="26" t="n">
        <f aca="false">N(S151)+N(T151)-N(U151)</f>
        <v>0</v>
      </c>
      <c r="W151" s="37" t="n">
        <f aca="false">'Dec 2026'!Z151</f>
        <v>0</v>
      </c>
      <c r="X151" s="37" t="n">
        <f aca="false">IF(B151="",0,N(Students!J140))</f>
        <v>0</v>
      </c>
      <c r="Y151" s="23"/>
      <c r="Z151" s="26" t="n">
        <f aca="false">N(W151)+N(X151)-N(Y151)</f>
        <v>0</v>
      </c>
      <c r="AA151" s="37" t="n">
        <f aca="false">N(E151)+N(I151)+N(M151)+N(Q151)+N(U151)+N(Y151)</f>
        <v>0</v>
      </c>
      <c r="AB151" s="26" t="n">
        <f aca="false">F151+J151+N151+R151+V151+Z151</f>
        <v>0</v>
      </c>
      <c r="AC151" s="83" t="str">
        <f aca="false">IF(B151="","",IF(AB151&lt;=0,"Clear",IF(AA151&gt;0,"Partial","Due")))</f>
        <v/>
      </c>
    </row>
    <row r="152" customFormat="false" ht="15" hidden="false" customHeight="false" outlineLevel="0" collapsed="false">
      <c r="A152" s="21" t="n">
        <v>137</v>
      </c>
      <c r="B152" s="46" t="str">
        <f aca="false">IF(Students!B141="","",Students!B141)</f>
        <v/>
      </c>
      <c r="C152" s="33" t="n">
        <f aca="false">'Dec 2026'!F152</f>
        <v>0</v>
      </c>
      <c r="D152" s="33" t="n">
        <f aca="false">IF(B152="",0,N(Students!E141))</f>
        <v>0</v>
      </c>
      <c r="E152" s="23"/>
      <c r="F152" s="24" t="n">
        <f aca="false">N(C152)+N(D152)-N(E152)</f>
        <v>0</v>
      </c>
      <c r="G152" s="33" t="n">
        <f aca="false">'Dec 2026'!J152</f>
        <v>0</v>
      </c>
      <c r="H152" s="33" t="n">
        <f aca="false">IF(B152="",0,N(Students!F141))</f>
        <v>0</v>
      </c>
      <c r="I152" s="23"/>
      <c r="J152" s="24" t="n">
        <f aca="false">N(G152)+N(H152)-N(I152)</f>
        <v>0</v>
      </c>
      <c r="K152" s="33" t="n">
        <f aca="false">'Dec 2026'!N152</f>
        <v>0</v>
      </c>
      <c r="L152" s="33" t="n">
        <f aca="false">IF(B152="",0,N(Students!G141))</f>
        <v>0</v>
      </c>
      <c r="M152" s="23"/>
      <c r="N152" s="24" t="n">
        <f aca="false">N(K152)+N(L152)-N(M152)</f>
        <v>0</v>
      </c>
      <c r="O152" s="33" t="n">
        <f aca="false">'Dec 2026'!R152</f>
        <v>0</v>
      </c>
      <c r="P152" s="33" t="n">
        <f aca="false">IF(B152="",0,N(Students!H141))</f>
        <v>0</v>
      </c>
      <c r="Q152" s="23"/>
      <c r="R152" s="24" t="n">
        <f aca="false">N(O152)+N(P152)-N(Q152)</f>
        <v>0</v>
      </c>
      <c r="S152" s="33" t="n">
        <f aca="false">'Dec 2026'!V152</f>
        <v>0</v>
      </c>
      <c r="T152" s="33" t="n">
        <f aca="false">IF(B152="",0,N(Students!I141))</f>
        <v>0</v>
      </c>
      <c r="U152" s="23"/>
      <c r="V152" s="24" t="n">
        <f aca="false">N(S152)+N(T152)-N(U152)</f>
        <v>0</v>
      </c>
      <c r="W152" s="33" t="n">
        <f aca="false">'Dec 2026'!Z152</f>
        <v>0</v>
      </c>
      <c r="X152" s="33" t="n">
        <f aca="false">IF(B152="",0,N(Students!J141))</f>
        <v>0</v>
      </c>
      <c r="Y152" s="23"/>
      <c r="Z152" s="24" t="n">
        <f aca="false">N(W152)+N(X152)-N(Y152)</f>
        <v>0</v>
      </c>
      <c r="AA152" s="33" t="n">
        <f aca="false">N(E152)+N(I152)+N(M152)+N(Q152)+N(U152)+N(Y152)</f>
        <v>0</v>
      </c>
      <c r="AB152" s="24" t="n">
        <f aca="false">F152+J152+N152+R152+V152+Z152</f>
        <v>0</v>
      </c>
      <c r="AC152" s="81" t="str">
        <f aca="false">IF(B152="","",IF(AB152&lt;=0,"Clear",IF(AA152&gt;0,"Partial","Due")))</f>
        <v/>
      </c>
    </row>
    <row r="153" customFormat="false" ht="15" hidden="false" customHeight="false" outlineLevel="0" collapsed="false">
      <c r="A153" s="25" t="n">
        <v>138</v>
      </c>
      <c r="B153" s="82" t="str">
        <f aca="false">IF(Students!B142="","",Students!B142)</f>
        <v/>
      </c>
      <c r="C153" s="37" t="n">
        <f aca="false">'Dec 2026'!F153</f>
        <v>0</v>
      </c>
      <c r="D153" s="37" t="n">
        <f aca="false">IF(B153="",0,N(Students!E142))</f>
        <v>0</v>
      </c>
      <c r="E153" s="23"/>
      <c r="F153" s="26" t="n">
        <f aca="false">N(C153)+N(D153)-N(E153)</f>
        <v>0</v>
      </c>
      <c r="G153" s="37" t="n">
        <f aca="false">'Dec 2026'!J153</f>
        <v>0</v>
      </c>
      <c r="H153" s="37" t="n">
        <f aca="false">IF(B153="",0,N(Students!F142))</f>
        <v>0</v>
      </c>
      <c r="I153" s="23"/>
      <c r="J153" s="26" t="n">
        <f aca="false">N(G153)+N(H153)-N(I153)</f>
        <v>0</v>
      </c>
      <c r="K153" s="37" t="n">
        <f aca="false">'Dec 2026'!N153</f>
        <v>0</v>
      </c>
      <c r="L153" s="37" t="n">
        <f aca="false">IF(B153="",0,N(Students!G142))</f>
        <v>0</v>
      </c>
      <c r="M153" s="23"/>
      <c r="N153" s="26" t="n">
        <f aca="false">N(K153)+N(L153)-N(M153)</f>
        <v>0</v>
      </c>
      <c r="O153" s="37" t="n">
        <f aca="false">'Dec 2026'!R153</f>
        <v>0</v>
      </c>
      <c r="P153" s="37" t="n">
        <f aca="false">IF(B153="",0,N(Students!H142))</f>
        <v>0</v>
      </c>
      <c r="Q153" s="23"/>
      <c r="R153" s="26" t="n">
        <f aca="false">N(O153)+N(P153)-N(Q153)</f>
        <v>0</v>
      </c>
      <c r="S153" s="37" t="n">
        <f aca="false">'Dec 2026'!V153</f>
        <v>0</v>
      </c>
      <c r="T153" s="37" t="n">
        <f aca="false">IF(B153="",0,N(Students!I142))</f>
        <v>0</v>
      </c>
      <c r="U153" s="23"/>
      <c r="V153" s="26" t="n">
        <f aca="false">N(S153)+N(T153)-N(U153)</f>
        <v>0</v>
      </c>
      <c r="W153" s="37" t="n">
        <f aca="false">'Dec 2026'!Z153</f>
        <v>0</v>
      </c>
      <c r="X153" s="37" t="n">
        <f aca="false">IF(B153="",0,N(Students!J142))</f>
        <v>0</v>
      </c>
      <c r="Y153" s="23"/>
      <c r="Z153" s="26" t="n">
        <f aca="false">N(W153)+N(X153)-N(Y153)</f>
        <v>0</v>
      </c>
      <c r="AA153" s="37" t="n">
        <f aca="false">N(E153)+N(I153)+N(M153)+N(Q153)+N(U153)+N(Y153)</f>
        <v>0</v>
      </c>
      <c r="AB153" s="26" t="n">
        <f aca="false">F153+J153+N153+R153+V153+Z153</f>
        <v>0</v>
      </c>
      <c r="AC153" s="83" t="str">
        <f aca="false">IF(B153="","",IF(AB153&lt;=0,"Clear",IF(AA153&gt;0,"Partial","Due")))</f>
        <v/>
      </c>
    </row>
    <row r="154" customFormat="false" ht="15" hidden="false" customHeight="false" outlineLevel="0" collapsed="false">
      <c r="A154" s="21" t="n">
        <v>139</v>
      </c>
      <c r="B154" s="46" t="str">
        <f aca="false">IF(Students!B143="","",Students!B143)</f>
        <v/>
      </c>
      <c r="C154" s="33" t="n">
        <f aca="false">'Dec 2026'!F154</f>
        <v>0</v>
      </c>
      <c r="D154" s="33" t="n">
        <f aca="false">IF(B154="",0,N(Students!E143))</f>
        <v>0</v>
      </c>
      <c r="E154" s="23"/>
      <c r="F154" s="24" t="n">
        <f aca="false">N(C154)+N(D154)-N(E154)</f>
        <v>0</v>
      </c>
      <c r="G154" s="33" t="n">
        <f aca="false">'Dec 2026'!J154</f>
        <v>0</v>
      </c>
      <c r="H154" s="33" t="n">
        <f aca="false">IF(B154="",0,N(Students!F143))</f>
        <v>0</v>
      </c>
      <c r="I154" s="23"/>
      <c r="J154" s="24" t="n">
        <f aca="false">N(G154)+N(H154)-N(I154)</f>
        <v>0</v>
      </c>
      <c r="K154" s="33" t="n">
        <f aca="false">'Dec 2026'!N154</f>
        <v>0</v>
      </c>
      <c r="L154" s="33" t="n">
        <f aca="false">IF(B154="",0,N(Students!G143))</f>
        <v>0</v>
      </c>
      <c r="M154" s="23"/>
      <c r="N154" s="24" t="n">
        <f aca="false">N(K154)+N(L154)-N(M154)</f>
        <v>0</v>
      </c>
      <c r="O154" s="33" t="n">
        <f aca="false">'Dec 2026'!R154</f>
        <v>0</v>
      </c>
      <c r="P154" s="33" t="n">
        <f aca="false">IF(B154="",0,N(Students!H143))</f>
        <v>0</v>
      </c>
      <c r="Q154" s="23"/>
      <c r="R154" s="24" t="n">
        <f aca="false">N(O154)+N(P154)-N(Q154)</f>
        <v>0</v>
      </c>
      <c r="S154" s="33" t="n">
        <f aca="false">'Dec 2026'!V154</f>
        <v>0</v>
      </c>
      <c r="T154" s="33" t="n">
        <f aca="false">IF(B154="",0,N(Students!I143))</f>
        <v>0</v>
      </c>
      <c r="U154" s="23"/>
      <c r="V154" s="24" t="n">
        <f aca="false">N(S154)+N(T154)-N(U154)</f>
        <v>0</v>
      </c>
      <c r="W154" s="33" t="n">
        <f aca="false">'Dec 2026'!Z154</f>
        <v>0</v>
      </c>
      <c r="X154" s="33" t="n">
        <f aca="false">IF(B154="",0,N(Students!J143))</f>
        <v>0</v>
      </c>
      <c r="Y154" s="23"/>
      <c r="Z154" s="24" t="n">
        <f aca="false">N(W154)+N(X154)-N(Y154)</f>
        <v>0</v>
      </c>
      <c r="AA154" s="33" t="n">
        <f aca="false">N(E154)+N(I154)+N(M154)+N(Q154)+N(U154)+N(Y154)</f>
        <v>0</v>
      </c>
      <c r="AB154" s="24" t="n">
        <f aca="false">F154+J154+N154+R154+V154+Z154</f>
        <v>0</v>
      </c>
      <c r="AC154" s="81" t="str">
        <f aca="false">IF(B154="","",IF(AB154&lt;=0,"Clear",IF(AA154&gt;0,"Partial","Due")))</f>
        <v/>
      </c>
    </row>
    <row r="155" customFormat="false" ht="15" hidden="false" customHeight="false" outlineLevel="0" collapsed="false">
      <c r="A155" s="25" t="n">
        <v>140</v>
      </c>
      <c r="B155" s="82" t="str">
        <f aca="false">IF(Students!B144="","",Students!B144)</f>
        <v/>
      </c>
      <c r="C155" s="37" t="n">
        <f aca="false">'Dec 2026'!F155</f>
        <v>0</v>
      </c>
      <c r="D155" s="37" t="n">
        <f aca="false">IF(B155="",0,N(Students!E144))</f>
        <v>0</v>
      </c>
      <c r="E155" s="23"/>
      <c r="F155" s="26" t="n">
        <f aca="false">N(C155)+N(D155)-N(E155)</f>
        <v>0</v>
      </c>
      <c r="G155" s="37" t="n">
        <f aca="false">'Dec 2026'!J155</f>
        <v>0</v>
      </c>
      <c r="H155" s="37" t="n">
        <f aca="false">IF(B155="",0,N(Students!F144))</f>
        <v>0</v>
      </c>
      <c r="I155" s="23"/>
      <c r="J155" s="26" t="n">
        <f aca="false">N(G155)+N(H155)-N(I155)</f>
        <v>0</v>
      </c>
      <c r="K155" s="37" t="n">
        <f aca="false">'Dec 2026'!N155</f>
        <v>0</v>
      </c>
      <c r="L155" s="37" t="n">
        <f aca="false">IF(B155="",0,N(Students!G144))</f>
        <v>0</v>
      </c>
      <c r="M155" s="23"/>
      <c r="N155" s="26" t="n">
        <f aca="false">N(K155)+N(L155)-N(M155)</f>
        <v>0</v>
      </c>
      <c r="O155" s="37" t="n">
        <f aca="false">'Dec 2026'!R155</f>
        <v>0</v>
      </c>
      <c r="P155" s="37" t="n">
        <f aca="false">IF(B155="",0,N(Students!H144))</f>
        <v>0</v>
      </c>
      <c r="Q155" s="23"/>
      <c r="R155" s="26" t="n">
        <f aca="false">N(O155)+N(P155)-N(Q155)</f>
        <v>0</v>
      </c>
      <c r="S155" s="37" t="n">
        <f aca="false">'Dec 2026'!V155</f>
        <v>0</v>
      </c>
      <c r="T155" s="37" t="n">
        <f aca="false">IF(B155="",0,N(Students!I144))</f>
        <v>0</v>
      </c>
      <c r="U155" s="23"/>
      <c r="V155" s="26" t="n">
        <f aca="false">N(S155)+N(T155)-N(U155)</f>
        <v>0</v>
      </c>
      <c r="W155" s="37" t="n">
        <f aca="false">'Dec 2026'!Z155</f>
        <v>0</v>
      </c>
      <c r="X155" s="37" t="n">
        <f aca="false">IF(B155="",0,N(Students!J144))</f>
        <v>0</v>
      </c>
      <c r="Y155" s="23"/>
      <c r="Z155" s="26" t="n">
        <f aca="false">N(W155)+N(X155)-N(Y155)</f>
        <v>0</v>
      </c>
      <c r="AA155" s="37" t="n">
        <f aca="false">N(E155)+N(I155)+N(M155)+N(Q155)+N(U155)+N(Y155)</f>
        <v>0</v>
      </c>
      <c r="AB155" s="26" t="n">
        <f aca="false">F155+J155+N155+R155+V155+Z155</f>
        <v>0</v>
      </c>
      <c r="AC155" s="83" t="str">
        <f aca="false">IF(B155="","",IF(AB155&lt;=0,"Clear",IF(AA155&gt;0,"Partial","Due")))</f>
        <v/>
      </c>
    </row>
    <row r="156" customFormat="false" ht="15" hidden="false" customHeight="false" outlineLevel="0" collapsed="false">
      <c r="A156" s="21" t="n">
        <v>141</v>
      </c>
      <c r="B156" s="46" t="str">
        <f aca="false">IF(Students!B145="","",Students!B145)</f>
        <v/>
      </c>
      <c r="C156" s="33" t="n">
        <f aca="false">'Dec 2026'!F156</f>
        <v>0</v>
      </c>
      <c r="D156" s="33" t="n">
        <f aca="false">IF(B156="",0,N(Students!E145))</f>
        <v>0</v>
      </c>
      <c r="E156" s="23"/>
      <c r="F156" s="24" t="n">
        <f aca="false">N(C156)+N(D156)-N(E156)</f>
        <v>0</v>
      </c>
      <c r="G156" s="33" t="n">
        <f aca="false">'Dec 2026'!J156</f>
        <v>0</v>
      </c>
      <c r="H156" s="33" t="n">
        <f aca="false">IF(B156="",0,N(Students!F145))</f>
        <v>0</v>
      </c>
      <c r="I156" s="23"/>
      <c r="J156" s="24" t="n">
        <f aca="false">N(G156)+N(H156)-N(I156)</f>
        <v>0</v>
      </c>
      <c r="K156" s="33" t="n">
        <f aca="false">'Dec 2026'!N156</f>
        <v>0</v>
      </c>
      <c r="L156" s="33" t="n">
        <f aca="false">IF(B156="",0,N(Students!G145))</f>
        <v>0</v>
      </c>
      <c r="M156" s="23"/>
      <c r="N156" s="24" t="n">
        <f aca="false">N(K156)+N(L156)-N(M156)</f>
        <v>0</v>
      </c>
      <c r="O156" s="33" t="n">
        <f aca="false">'Dec 2026'!R156</f>
        <v>0</v>
      </c>
      <c r="P156" s="33" t="n">
        <f aca="false">IF(B156="",0,N(Students!H145))</f>
        <v>0</v>
      </c>
      <c r="Q156" s="23"/>
      <c r="R156" s="24" t="n">
        <f aca="false">N(O156)+N(P156)-N(Q156)</f>
        <v>0</v>
      </c>
      <c r="S156" s="33" t="n">
        <f aca="false">'Dec 2026'!V156</f>
        <v>0</v>
      </c>
      <c r="T156" s="33" t="n">
        <f aca="false">IF(B156="",0,N(Students!I145))</f>
        <v>0</v>
      </c>
      <c r="U156" s="23"/>
      <c r="V156" s="24" t="n">
        <f aca="false">N(S156)+N(T156)-N(U156)</f>
        <v>0</v>
      </c>
      <c r="W156" s="33" t="n">
        <f aca="false">'Dec 2026'!Z156</f>
        <v>0</v>
      </c>
      <c r="X156" s="33" t="n">
        <f aca="false">IF(B156="",0,N(Students!J145))</f>
        <v>0</v>
      </c>
      <c r="Y156" s="23"/>
      <c r="Z156" s="24" t="n">
        <f aca="false">N(W156)+N(X156)-N(Y156)</f>
        <v>0</v>
      </c>
      <c r="AA156" s="33" t="n">
        <f aca="false">N(E156)+N(I156)+N(M156)+N(Q156)+N(U156)+N(Y156)</f>
        <v>0</v>
      </c>
      <c r="AB156" s="24" t="n">
        <f aca="false">F156+J156+N156+R156+V156+Z156</f>
        <v>0</v>
      </c>
      <c r="AC156" s="81" t="str">
        <f aca="false">IF(B156="","",IF(AB156&lt;=0,"Clear",IF(AA156&gt;0,"Partial","Due")))</f>
        <v/>
      </c>
    </row>
    <row r="157" customFormat="false" ht="15" hidden="false" customHeight="false" outlineLevel="0" collapsed="false">
      <c r="A157" s="25" t="n">
        <v>142</v>
      </c>
      <c r="B157" s="82" t="str">
        <f aca="false">IF(Students!B146="","",Students!B146)</f>
        <v/>
      </c>
      <c r="C157" s="37" t="n">
        <f aca="false">'Dec 2026'!F157</f>
        <v>0</v>
      </c>
      <c r="D157" s="37" t="n">
        <f aca="false">IF(B157="",0,N(Students!E146))</f>
        <v>0</v>
      </c>
      <c r="E157" s="23"/>
      <c r="F157" s="26" t="n">
        <f aca="false">N(C157)+N(D157)-N(E157)</f>
        <v>0</v>
      </c>
      <c r="G157" s="37" t="n">
        <f aca="false">'Dec 2026'!J157</f>
        <v>0</v>
      </c>
      <c r="H157" s="37" t="n">
        <f aca="false">IF(B157="",0,N(Students!F146))</f>
        <v>0</v>
      </c>
      <c r="I157" s="23"/>
      <c r="J157" s="26" t="n">
        <f aca="false">N(G157)+N(H157)-N(I157)</f>
        <v>0</v>
      </c>
      <c r="K157" s="37" t="n">
        <f aca="false">'Dec 2026'!N157</f>
        <v>0</v>
      </c>
      <c r="L157" s="37" t="n">
        <f aca="false">IF(B157="",0,N(Students!G146))</f>
        <v>0</v>
      </c>
      <c r="M157" s="23"/>
      <c r="N157" s="26" t="n">
        <f aca="false">N(K157)+N(L157)-N(M157)</f>
        <v>0</v>
      </c>
      <c r="O157" s="37" t="n">
        <f aca="false">'Dec 2026'!R157</f>
        <v>0</v>
      </c>
      <c r="P157" s="37" t="n">
        <f aca="false">IF(B157="",0,N(Students!H146))</f>
        <v>0</v>
      </c>
      <c r="Q157" s="23"/>
      <c r="R157" s="26" t="n">
        <f aca="false">N(O157)+N(P157)-N(Q157)</f>
        <v>0</v>
      </c>
      <c r="S157" s="37" t="n">
        <f aca="false">'Dec 2026'!V157</f>
        <v>0</v>
      </c>
      <c r="T157" s="37" t="n">
        <f aca="false">IF(B157="",0,N(Students!I146))</f>
        <v>0</v>
      </c>
      <c r="U157" s="23"/>
      <c r="V157" s="26" t="n">
        <f aca="false">N(S157)+N(T157)-N(U157)</f>
        <v>0</v>
      </c>
      <c r="W157" s="37" t="n">
        <f aca="false">'Dec 2026'!Z157</f>
        <v>0</v>
      </c>
      <c r="X157" s="37" t="n">
        <f aca="false">IF(B157="",0,N(Students!J146))</f>
        <v>0</v>
      </c>
      <c r="Y157" s="23"/>
      <c r="Z157" s="26" t="n">
        <f aca="false">N(W157)+N(X157)-N(Y157)</f>
        <v>0</v>
      </c>
      <c r="AA157" s="37" t="n">
        <f aca="false">N(E157)+N(I157)+N(M157)+N(Q157)+N(U157)+N(Y157)</f>
        <v>0</v>
      </c>
      <c r="AB157" s="26" t="n">
        <f aca="false">F157+J157+N157+R157+V157+Z157</f>
        <v>0</v>
      </c>
      <c r="AC157" s="83" t="str">
        <f aca="false">IF(B157="","",IF(AB157&lt;=0,"Clear",IF(AA157&gt;0,"Partial","Due")))</f>
        <v/>
      </c>
    </row>
    <row r="158" customFormat="false" ht="15" hidden="false" customHeight="false" outlineLevel="0" collapsed="false">
      <c r="A158" s="21" t="n">
        <v>143</v>
      </c>
      <c r="B158" s="46" t="str">
        <f aca="false">IF(Students!B147="","",Students!B147)</f>
        <v/>
      </c>
      <c r="C158" s="33" t="n">
        <f aca="false">'Dec 2026'!F158</f>
        <v>0</v>
      </c>
      <c r="D158" s="33" t="n">
        <f aca="false">IF(B158="",0,N(Students!E147))</f>
        <v>0</v>
      </c>
      <c r="E158" s="23"/>
      <c r="F158" s="24" t="n">
        <f aca="false">N(C158)+N(D158)-N(E158)</f>
        <v>0</v>
      </c>
      <c r="G158" s="33" t="n">
        <f aca="false">'Dec 2026'!J158</f>
        <v>0</v>
      </c>
      <c r="H158" s="33" t="n">
        <f aca="false">IF(B158="",0,N(Students!F147))</f>
        <v>0</v>
      </c>
      <c r="I158" s="23"/>
      <c r="J158" s="24" t="n">
        <f aca="false">N(G158)+N(H158)-N(I158)</f>
        <v>0</v>
      </c>
      <c r="K158" s="33" t="n">
        <f aca="false">'Dec 2026'!N158</f>
        <v>0</v>
      </c>
      <c r="L158" s="33" t="n">
        <f aca="false">IF(B158="",0,N(Students!G147))</f>
        <v>0</v>
      </c>
      <c r="M158" s="23"/>
      <c r="N158" s="24" t="n">
        <f aca="false">N(K158)+N(L158)-N(M158)</f>
        <v>0</v>
      </c>
      <c r="O158" s="33" t="n">
        <f aca="false">'Dec 2026'!R158</f>
        <v>0</v>
      </c>
      <c r="P158" s="33" t="n">
        <f aca="false">IF(B158="",0,N(Students!H147))</f>
        <v>0</v>
      </c>
      <c r="Q158" s="23"/>
      <c r="R158" s="24" t="n">
        <f aca="false">N(O158)+N(P158)-N(Q158)</f>
        <v>0</v>
      </c>
      <c r="S158" s="33" t="n">
        <f aca="false">'Dec 2026'!V158</f>
        <v>0</v>
      </c>
      <c r="T158" s="33" t="n">
        <f aca="false">IF(B158="",0,N(Students!I147))</f>
        <v>0</v>
      </c>
      <c r="U158" s="23"/>
      <c r="V158" s="24" t="n">
        <f aca="false">N(S158)+N(T158)-N(U158)</f>
        <v>0</v>
      </c>
      <c r="W158" s="33" t="n">
        <f aca="false">'Dec 2026'!Z158</f>
        <v>0</v>
      </c>
      <c r="X158" s="33" t="n">
        <f aca="false">IF(B158="",0,N(Students!J147))</f>
        <v>0</v>
      </c>
      <c r="Y158" s="23"/>
      <c r="Z158" s="24" t="n">
        <f aca="false">N(W158)+N(X158)-N(Y158)</f>
        <v>0</v>
      </c>
      <c r="AA158" s="33" t="n">
        <f aca="false">N(E158)+N(I158)+N(M158)+N(Q158)+N(U158)+N(Y158)</f>
        <v>0</v>
      </c>
      <c r="AB158" s="24" t="n">
        <f aca="false">F158+J158+N158+R158+V158+Z158</f>
        <v>0</v>
      </c>
      <c r="AC158" s="81" t="str">
        <f aca="false">IF(B158="","",IF(AB158&lt;=0,"Clear",IF(AA158&gt;0,"Partial","Due")))</f>
        <v/>
      </c>
    </row>
    <row r="159" customFormat="false" ht="15" hidden="false" customHeight="false" outlineLevel="0" collapsed="false">
      <c r="A159" s="25" t="n">
        <v>144</v>
      </c>
      <c r="B159" s="82" t="str">
        <f aca="false">IF(Students!B148="","",Students!B148)</f>
        <v/>
      </c>
      <c r="C159" s="37" t="n">
        <f aca="false">'Dec 2026'!F159</f>
        <v>0</v>
      </c>
      <c r="D159" s="37" t="n">
        <f aca="false">IF(B159="",0,N(Students!E148))</f>
        <v>0</v>
      </c>
      <c r="E159" s="23"/>
      <c r="F159" s="26" t="n">
        <f aca="false">N(C159)+N(D159)-N(E159)</f>
        <v>0</v>
      </c>
      <c r="G159" s="37" t="n">
        <f aca="false">'Dec 2026'!J159</f>
        <v>0</v>
      </c>
      <c r="H159" s="37" t="n">
        <f aca="false">IF(B159="",0,N(Students!F148))</f>
        <v>0</v>
      </c>
      <c r="I159" s="23"/>
      <c r="J159" s="26" t="n">
        <f aca="false">N(G159)+N(H159)-N(I159)</f>
        <v>0</v>
      </c>
      <c r="K159" s="37" t="n">
        <f aca="false">'Dec 2026'!N159</f>
        <v>0</v>
      </c>
      <c r="L159" s="37" t="n">
        <f aca="false">IF(B159="",0,N(Students!G148))</f>
        <v>0</v>
      </c>
      <c r="M159" s="23"/>
      <c r="N159" s="26" t="n">
        <f aca="false">N(K159)+N(L159)-N(M159)</f>
        <v>0</v>
      </c>
      <c r="O159" s="37" t="n">
        <f aca="false">'Dec 2026'!R159</f>
        <v>0</v>
      </c>
      <c r="P159" s="37" t="n">
        <f aca="false">IF(B159="",0,N(Students!H148))</f>
        <v>0</v>
      </c>
      <c r="Q159" s="23"/>
      <c r="R159" s="26" t="n">
        <f aca="false">N(O159)+N(P159)-N(Q159)</f>
        <v>0</v>
      </c>
      <c r="S159" s="37" t="n">
        <f aca="false">'Dec 2026'!V159</f>
        <v>0</v>
      </c>
      <c r="T159" s="37" t="n">
        <f aca="false">IF(B159="",0,N(Students!I148))</f>
        <v>0</v>
      </c>
      <c r="U159" s="23"/>
      <c r="V159" s="26" t="n">
        <f aca="false">N(S159)+N(T159)-N(U159)</f>
        <v>0</v>
      </c>
      <c r="W159" s="37" t="n">
        <f aca="false">'Dec 2026'!Z159</f>
        <v>0</v>
      </c>
      <c r="X159" s="37" t="n">
        <f aca="false">IF(B159="",0,N(Students!J148))</f>
        <v>0</v>
      </c>
      <c r="Y159" s="23"/>
      <c r="Z159" s="26" t="n">
        <f aca="false">N(W159)+N(X159)-N(Y159)</f>
        <v>0</v>
      </c>
      <c r="AA159" s="37" t="n">
        <f aca="false">N(E159)+N(I159)+N(M159)+N(Q159)+N(U159)+N(Y159)</f>
        <v>0</v>
      </c>
      <c r="AB159" s="26" t="n">
        <f aca="false">F159+J159+N159+R159+V159+Z159</f>
        <v>0</v>
      </c>
      <c r="AC159" s="83" t="str">
        <f aca="false">IF(B159="","",IF(AB159&lt;=0,"Clear",IF(AA159&gt;0,"Partial","Due")))</f>
        <v/>
      </c>
    </row>
    <row r="160" customFormat="false" ht="15" hidden="false" customHeight="false" outlineLevel="0" collapsed="false">
      <c r="A160" s="21" t="n">
        <v>145</v>
      </c>
      <c r="B160" s="46" t="str">
        <f aca="false">IF(Students!B149="","",Students!B149)</f>
        <v/>
      </c>
      <c r="C160" s="33" t="n">
        <f aca="false">'Dec 2026'!F160</f>
        <v>0</v>
      </c>
      <c r="D160" s="33" t="n">
        <f aca="false">IF(B160="",0,N(Students!E149))</f>
        <v>0</v>
      </c>
      <c r="E160" s="23"/>
      <c r="F160" s="24" t="n">
        <f aca="false">N(C160)+N(D160)-N(E160)</f>
        <v>0</v>
      </c>
      <c r="G160" s="33" t="n">
        <f aca="false">'Dec 2026'!J160</f>
        <v>0</v>
      </c>
      <c r="H160" s="33" t="n">
        <f aca="false">IF(B160="",0,N(Students!F149))</f>
        <v>0</v>
      </c>
      <c r="I160" s="23"/>
      <c r="J160" s="24" t="n">
        <f aca="false">N(G160)+N(H160)-N(I160)</f>
        <v>0</v>
      </c>
      <c r="K160" s="33" t="n">
        <f aca="false">'Dec 2026'!N160</f>
        <v>0</v>
      </c>
      <c r="L160" s="33" t="n">
        <f aca="false">IF(B160="",0,N(Students!G149))</f>
        <v>0</v>
      </c>
      <c r="M160" s="23"/>
      <c r="N160" s="24" t="n">
        <f aca="false">N(K160)+N(L160)-N(M160)</f>
        <v>0</v>
      </c>
      <c r="O160" s="33" t="n">
        <f aca="false">'Dec 2026'!R160</f>
        <v>0</v>
      </c>
      <c r="P160" s="33" t="n">
        <f aca="false">IF(B160="",0,N(Students!H149))</f>
        <v>0</v>
      </c>
      <c r="Q160" s="23"/>
      <c r="R160" s="24" t="n">
        <f aca="false">N(O160)+N(P160)-N(Q160)</f>
        <v>0</v>
      </c>
      <c r="S160" s="33" t="n">
        <f aca="false">'Dec 2026'!V160</f>
        <v>0</v>
      </c>
      <c r="T160" s="33" t="n">
        <f aca="false">IF(B160="",0,N(Students!I149))</f>
        <v>0</v>
      </c>
      <c r="U160" s="23"/>
      <c r="V160" s="24" t="n">
        <f aca="false">N(S160)+N(T160)-N(U160)</f>
        <v>0</v>
      </c>
      <c r="W160" s="33" t="n">
        <f aca="false">'Dec 2026'!Z160</f>
        <v>0</v>
      </c>
      <c r="X160" s="33" t="n">
        <f aca="false">IF(B160="",0,N(Students!J149))</f>
        <v>0</v>
      </c>
      <c r="Y160" s="23"/>
      <c r="Z160" s="24" t="n">
        <f aca="false">N(W160)+N(X160)-N(Y160)</f>
        <v>0</v>
      </c>
      <c r="AA160" s="33" t="n">
        <f aca="false">N(E160)+N(I160)+N(M160)+N(Q160)+N(U160)+N(Y160)</f>
        <v>0</v>
      </c>
      <c r="AB160" s="24" t="n">
        <f aca="false">F160+J160+N160+R160+V160+Z160</f>
        <v>0</v>
      </c>
      <c r="AC160" s="81" t="str">
        <f aca="false">IF(B160="","",IF(AB160&lt;=0,"Clear",IF(AA160&gt;0,"Partial","Due")))</f>
        <v/>
      </c>
    </row>
    <row r="161" customFormat="false" ht="15" hidden="false" customHeight="false" outlineLevel="0" collapsed="false">
      <c r="A161" s="25" t="n">
        <v>146</v>
      </c>
      <c r="B161" s="82" t="str">
        <f aca="false">IF(Students!B150="","",Students!B150)</f>
        <v/>
      </c>
      <c r="C161" s="37" t="n">
        <f aca="false">'Dec 2026'!F161</f>
        <v>0</v>
      </c>
      <c r="D161" s="37" t="n">
        <f aca="false">IF(B161="",0,N(Students!E150))</f>
        <v>0</v>
      </c>
      <c r="E161" s="23"/>
      <c r="F161" s="26" t="n">
        <f aca="false">N(C161)+N(D161)-N(E161)</f>
        <v>0</v>
      </c>
      <c r="G161" s="37" t="n">
        <f aca="false">'Dec 2026'!J161</f>
        <v>0</v>
      </c>
      <c r="H161" s="37" t="n">
        <f aca="false">IF(B161="",0,N(Students!F150))</f>
        <v>0</v>
      </c>
      <c r="I161" s="23"/>
      <c r="J161" s="26" t="n">
        <f aca="false">N(G161)+N(H161)-N(I161)</f>
        <v>0</v>
      </c>
      <c r="K161" s="37" t="n">
        <f aca="false">'Dec 2026'!N161</f>
        <v>0</v>
      </c>
      <c r="L161" s="37" t="n">
        <f aca="false">IF(B161="",0,N(Students!G150))</f>
        <v>0</v>
      </c>
      <c r="M161" s="23"/>
      <c r="N161" s="26" t="n">
        <f aca="false">N(K161)+N(L161)-N(M161)</f>
        <v>0</v>
      </c>
      <c r="O161" s="37" t="n">
        <f aca="false">'Dec 2026'!R161</f>
        <v>0</v>
      </c>
      <c r="P161" s="37" t="n">
        <f aca="false">IF(B161="",0,N(Students!H150))</f>
        <v>0</v>
      </c>
      <c r="Q161" s="23"/>
      <c r="R161" s="26" t="n">
        <f aca="false">N(O161)+N(P161)-N(Q161)</f>
        <v>0</v>
      </c>
      <c r="S161" s="37" t="n">
        <f aca="false">'Dec 2026'!V161</f>
        <v>0</v>
      </c>
      <c r="T161" s="37" t="n">
        <f aca="false">IF(B161="",0,N(Students!I150))</f>
        <v>0</v>
      </c>
      <c r="U161" s="23"/>
      <c r="V161" s="26" t="n">
        <f aca="false">N(S161)+N(T161)-N(U161)</f>
        <v>0</v>
      </c>
      <c r="W161" s="37" t="n">
        <f aca="false">'Dec 2026'!Z161</f>
        <v>0</v>
      </c>
      <c r="X161" s="37" t="n">
        <f aca="false">IF(B161="",0,N(Students!J150))</f>
        <v>0</v>
      </c>
      <c r="Y161" s="23"/>
      <c r="Z161" s="26" t="n">
        <f aca="false">N(W161)+N(X161)-N(Y161)</f>
        <v>0</v>
      </c>
      <c r="AA161" s="37" t="n">
        <f aca="false">N(E161)+N(I161)+N(M161)+N(Q161)+N(U161)+N(Y161)</f>
        <v>0</v>
      </c>
      <c r="AB161" s="26" t="n">
        <f aca="false">F161+J161+N161+R161+V161+Z161</f>
        <v>0</v>
      </c>
      <c r="AC161" s="83" t="str">
        <f aca="false">IF(B161="","",IF(AB161&lt;=0,"Clear",IF(AA161&gt;0,"Partial","Due")))</f>
        <v/>
      </c>
    </row>
    <row r="162" customFormat="false" ht="15" hidden="false" customHeight="false" outlineLevel="0" collapsed="false">
      <c r="A162" s="21" t="n">
        <v>147</v>
      </c>
      <c r="B162" s="46" t="str">
        <f aca="false">IF(Students!B151="","",Students!B151)</f>
        <v/>
      </c>
      <c r="C162" s="33" t="n">
        <f aca="false">'Dec 2026'!F162</f>
        <v>0</v>
      </c>
      <c r="D162" s="33" t="n">
        <f aca="false">IF(B162="",0,N(Students!E151))</f>
        <v>0</v>
      </c>
      <c r="E162" s="23"/>
      <c r="F162" s="24" t="n">
        <f aca="false">N(C162)+N(D162)-N(E162)</f>
        <v>0</v>
      </c>
      <c r="G162" s="33" t="n">
        <f aca="false">'Dec 2026'!J162</f>
        <v>0</v>
      </c>
      <c r="H162" s="33" t="n">
        <f aca="false">IF(B162="",0,N(Students!F151))</f>
        <v>0</v>
      </c>
      <c r="I162" s="23"/>
      <c r="J162" s="24" t="n">
        <f aca="false">N(G162)+N(H162)-N(I162)</f>
        <v>0</v>
      </c>
      <c r="K162" s="33" t="n">
        <f aca="false">'Dec 2026'!N162</f>
        <v>0</v>
      </c>
      <c r="L162" s="33" t="n">
        <f aca="false">IF(B162="",0,N(Students!G151))</f>
        <v>0</v>
      </c>
      <c r="M162" s="23"/>
      <c r="N162" s="24" t="n">
        <f aca="false">N(K162)+N(L162)-N(M162)</f>
        <v>0</v>
      </c>
      <c r="O162" s="33" t="n">
        <f aca="false">'Dec 2026'!R162</f>
        <v>0</v>
      </c>
      <c r="P162" s="33" t="n">
        <f aca="false">IF(B162="",0,N(Students!H151))</f>
        <v>0</v>
      </c>
      <c r="Q162" s="23"/>
      <c r="R162" s="24" t="n">
        <f aca="false">N(O162)+N(P162)-N(Q162)</f>
        <v>0</v>
      </c>
      <c r="S162" s="33" t="n">
        <f aca="false">'Dec 2026'!V162</f>
        <v>0</v>
      </c>
      <c r="T162" s="33" t="n">
        <f aca="false">IF(B162="",0,N(Students!I151))</f>
        <v>0</v>
      </c>
      <c r="U162" s="23"/>
      <c r="V162" s="24" t="n">
        <f aca="false">N(S162)+N(T162)-N(U162)</f>
        <v>0</v>
      </c>
      <c r="W162" s="33" t="n">
        <f aca="false">'Dec 2026'!Z162</f>
        <v>0</v>
      </c>
      <c r="X162" s="33" t="n">
        <f aca="false">IF(B162="",0,N(Students!J151))</f>
        <v>0</v>
      </c>
      <c r="Y162" s="23"/>
      <c r="Z162" s="24" t="n">
        <f aca="false">N(W162)+N(X162)-N(Y162)</f>
        <v>0</v>
      </c>
      <c r="AA162" s="33" t="n">
        <f aca="false">N(E162)+N(I162)+N(M162)+N(Q162)+N(U162)+N(Y162)</f>
        <v>0</v>
      </c>
      <c r="AB162" s="24" t="n">
        <f aca="false">F162+J162+N162+R162+V162+Z162</f>
        <v>0</v>
      </c>
      <c r="AC162" s="81" t="str">
        <f aca="false">IF(B162="","",IF(AB162&lt;=0,"Clear",IF(AA162&gt;0,"Partial","Due")))</f>
        <v/>
      </c>
    </row>
    <row r="163" customFormat="false" ht="15" hidden="false" customHeight="false" outlineLevel="0" collapsed="false">
      <c r="A163" s="25" t="n">
        <v>148</v>
      </c>
      <c r="B163" s="82" t="str">
        <f aca="false">IF(Students!B152="","",Students!B152)</f>
        <v/>
      </c>
      <c r="C163" s="37" t="n">
        <f aca="false">'Dec 2026'!F163</f>
        <v>0</v>
      </c>
      <c r="D163" s="37" t="n">
        <f aca="false">IF(B163="",0,N(Students!E152))</f>
        <v>0</v>
      </c>
      <c r="E163" s="23"/>
      <c r="F163" s="26" t="n">
        <f aca="false">N(C163)+N(D163)-N(E163)</f>
        <v>0</v>
      </c>
      <c r="G163" s="37" t="n">
        <f aca="false">'Dec 2026'!J163</f>
        <v>0</v>
      </c>
      <c r="H163" s="37" t="n">
        <f aca="false">IF(B163="",0,N(Students!F152))</f>
        <v>0</v>
      </c>
      <c r="I163" s="23"/>
      <c r="J163" s="26" t="n">
        <f aca="false">N(G163)+N(H163)-N(I163)</f>
        <v>0</v>
      </c>
      <c r="K163" s="37" t="n">
        <f aca="false">'Dec 2026'!N163</f>
        <v>0</v>
      </c>
      <c r="L163" s="37" t="n">
        <f aca="false">IF(B163="",0,N(Students!G152))</f>
        <v>0</v>
      </c>
      <c r="M163" s="23"/>
      <c r="N163" s="26" t="n">
        <f aca="false">N(K163)+N(L163)-N(M163)</f>
        <v>0</v>
      </c>
      <c r="O163" s="37" t="n">
        <f aca="false">'Dec 2026'!R163</f>
        <v>0</v>
      </c>
      <c r="P163" s="37" t="n">
        <f aca="false">IF(B163="",0,N(Students!H152))</f>
        <v>0</v>
      </c>
      <c r="Q163" s="23"/>
      <c r="R163" s="26" t="n">
        <f aca="false">N(O163)+N(P163)-N(Q163)</f>
        <v>0</v>
      </c>
      <c r="S163" s="37" t="n">
        <f aca="false">'Dec 2026'!V163</f>
        <v>0</v>
      </c>
      <c r="T163" s="37" t="n">
        <f aca="false">IF(B163="",0,N(Students!I152))</f>
        <v>0</v>
      </c>
      <c r="U163" s="23"/>
      <c r="V163" s="26" t="n">
        <f aca="false">N(S163)+N(T163)-N(U163)</f>
        <v>0</v>
      </c>
      <c r="W163" s="37" t="n">
        <f aca="false">'Dec 2026'!Z163</f>
        <v>0</v>
      </c>
      <c r="X163" s="37" t="n">
        <f aca="false">IF(B163="",0,N(Students!J152))</f>
        <v>0</v>
      </c>
      <c r="Y163" s="23"/>
      <c r="Z163" s="26" t="n">
        <f aca="false">N(W163)+N(X163)-N(Y163)</f>
        <v>0</v>
      </c>
      <c r="AA163" s="37" t="n">
        <f aca="false">N(E163)+N(I163)+N(M163)+N(Q163)+N(U163)+N(Y163)</f>
        <v>0</v>
      </c>
      <c r="AB163" s="26" t="n">
        <f aca="false">F163+J163+N163+R163+V163+Z163</f>
        <v>0</v>
      </c>
      <c r="AC163" s="83" t="str">
        <f aca="false">IF(B163="","",IF(AB163&lt;=0,"Clear",IF(AA163&gt;0,"Partial","Due")))</f>
        <v/>
      </c>
    </row>
    <row r="164" customFormat="false" ht="15" hidden="false" customHeight="false" outlineLevel="0" collapsed="false">
      <c r="A164" s="21" t="n">
        <v>149</v>
      </c>
      <c r="B164" s="46" t="str">
        <f aca="false">IF(Students!B153="","",Students!B153)</f>
        <v/>
      </c>
      <c r="C164" s="33" t="n">
        <f aca="false">'Dec 2026'!F164</f>
        <v>0</v>
      </c>
      <c r="D164" s="33" t="n">
        <f aca="false">IF(B164="",0,N(Students!E153))</f>
        <v>0</v>
      </c>
      <c r="E164" s="23"/>
      <c r="F164" s="24" t="n">
        <f aca="false">N(C164)+N(D164)-N(E164)</f>
        <v>0</v>
      </c>
      <c r="G164" s="33" t="n">
        <f aca="false">'Dec 2026'!J164</f>
        <v>0</v>
      </c>
      <c r="H164" s="33" t="n">
        <f aca="false">IF(B164="",0,N(Students!F153))</f>
        <v>0</v>
      </c>
      <c r="I164" s="23"/>
      <c r="J164" s="24" t="n">
        <f aca="false">N(G164)+N(H164)-N(I164)</f>
        <v>0</v>
      </c>
      <c r="K164" s="33" t="n">
        <f aca="false">'Dec 2026'!N164</f>
        <v>0</v>
      </c>
      <c r="L164" s="33" t="n">
        <f aca="false">IF(B164="",0,N(Students!G153))</f>
        <v>0</v>
      </c>
      <c r="M164" s="23"/>
      <c r="N164" s="24" t="n">
        <f aca="false">N(K164)+N(L164)-N(M164)</f>
        <v>0</v>
      </c>
      <c r="O164" s="33" t="n">
        <f aca="false">'Dec 2026'!R164</f>
        <v>0</v>
      </c>
      <c r="P164" s="33" t="n">
        <f aca="false">IF(B164="",0,N(Students!H153))</f>
        <v>0</v>
      </c>
      <c r="Q164" s="23"/>
      <c r="R164" s="24" t="n">
        <f aca="false">N(O164)+N(P164)-N(Q164)</f>
        <v>0</v>
      </c>
      <c r="S164" s="33" t="n">
        <f aca="false">'Dec 2026'!V164</f>
        <v>0</v>
      </c>
      <c r="T164" s="33" t="n">
        <f aca="false">IF(B164="",0,N(Students!I153))</f>
        <v>0</v>
      </c>
      <c r="U164" s="23"/>
      <c r="V164" s="24" t="n">
        <f aca="false">N(S164)+N(T164)-N(U164)</f>
        <v>0</v>
      </c>
      <c r="W164" s="33" t="n">
        <f aca="false">'Dec 2026'!Z164</f>
        <v>0</v>
      </c>
      <c r="X164" s="33" t="n">
        <f aca="false">IF(B164="",0,N(Students!J153))</f>
        <v>0</v>
      </c>
      <c r="Y164" s="23"/>
      <c r="Z164" s="24" t="n">
        <f aca="false">N(W164)+N(X164)-N(Y164)</f>
        <v>0</v>
      </c>
      <c r="AA164" s="33" t="n">
        <f aca="false">N(E164)+N(I164)+N(M164)+N(Q164)+N(U164)+N(Y164)</f>
        <v>0</v>
      </c>
      <c r="AB164" s="24" t="n">
        <f aca="false">F164+J164+N164+R164+V164+Z164</f>
        <v>0</v>
      </c>
      <c r="AC164" s="81" t="str">
        <f aca="false">IF(B164="","",IF(AB164&lt;=0,"Clear",IF(AA164&gt;0,"Partial","Due")))</f>
        <v/>
      </c>
    </row>
    <row r="165" customFormat="false" ht="15" hidden="false" customHeight="false" outlineLevel="0" collapsed="false">
      <c r="A165" s="25" t="n">
        <v>150</v>
      </c>
      <c r="B165" s="82" t="str">
        <f aca="false">IF(Students!B154="","",Students!B154)</f>
        <v/>
      </c>
      <c r="C165" s="37" t="n">
        <f aca="false">'Dec 2026'!F165</f>
        <v>0</v>
      </c>
      <c r="D165" s="37" t="n">
        <f aca="false">IF(B165="",0,N(Students!E154))</f>
        <v>0</v>
      </c>
      <c r="E165" s="23"/>
      <c r="F165" s="26" t="n">
        <f aca="false">N(C165)+N(D165)-N(E165)</f>
        <v>0</v>
      </c>
      <c r="G165" s="37" t="n">
        <f aca="false">'Dec 2026'!J165</f>
        <v>0</v>
      </c>
      <c r="H165" s="37" t="n">
        <f aca="false">IF(B165="",0,N(Students!F154))</f>
        <v>0</v>
      </c>
      <c r="I165" s="23"/>
      <c r="J165" s="26" t="n">
        <f aca="false">N(G165)+N(H165)-N(I165)</f>
        <v>0</v>
      </c>
      <c r="K165" s="37" t="n">
        <f aca="false">'Dec 2026'!N165</f>
        <v>0</v>
      </c>
      <c r="L165" s="37" t="n">
        <f aca="false">IF(B165="",0,N(Students!G154))</f>
        <v>0</v>
      </c>
      <c r="M165" s="23"/>
      <c r="N165" s="26" t="n">
        <f aca="false">N(K165)+N(L165)-N(M165)</f>
        <v>0</v>
      </c>
      <c r="O165" s="37" t="n">
        <f aca="false">'Dec 2026'!R165</f>
        <v>0</v>
      </c>
      <c r="P165" s="37" t="n">
        <f aca="false">IF(B165="",0,N(Students!H154))</f>
        <v>0</v>
      </c>
      <c r="Q165" s="23"/>
      <c r="R165" s="26" t="n">
        <f aca="false">N(O165)+N(P165)-N(Q165)</f>
        <v>0</v>
      </c>
      <c r="S165" s="37" t="n">
        <f aca="false">'Dec 2026'!V165</f>
        <v>0</v>
      </c>
      <c r="T165" s="37" t="n">
        <f aca="false">IF(B165="",0,N(Students!I154))</f>
        <v>0</v>
      </c>
      <c r="U165" s="23"/>
      <c r="V165" s="26" t="n">
        <f aca="false">N(S165)+N(T165)-N(U165)</f>
        <v>0</v>
      </c>
      <c r="W165" s="37" t="n">
        <f aca="false">'Dec 2026'!Z165</f>
        <v>0</v>
      </c>
      <c r="X165" s="37" t="n">
        <f aca="false">IF(B165="",0,N(Students!J154))</f>
        <v>0</v>
      </c>
      <c r="Y165" s="23"/>
      <c r="Z165" s="26" t="n">
        <f aca="false">N(W165)+N(X165)-N(Y165)</f>
        <v>0</v>
      </c>
      <c r="AA165" s="37" t="n">
        <f aca="false">N(E165)+N(I165)+N(M165)+N(Q165)+N(U165)+N(Y165)</f>
        <v>0</v>
      </c>
      <c r="AB165" s="26" t="n">
        <f aca="false">F165+J165+N165+R165+V165+Z165</f>
        <v>0</v>
      </c>
      <c r="AC165" s="83" t="str">
        <f aca="false">IF(B165="","",IF(AB165&lt;=0,"Clear",IF(AA165&gt;0,"Partial","Due")))</f>
        <v/>
      </c>
    </row>
    <row r="166" customFormat="false" ht="15" hidden="false" customHeight="true" outlineLevel="0" collapsed="false">
      <c r="A166" s="4" t="s">
        <v>79</v>
      </c>
      <c r="B166" s="4"/>
      <c r="C166" s="41" t="n">
        <f aca="false">SUM(C16:C165)</f>
        <v>0</v>
      </c>
      <c r="D166" s="41" t="n">
        <f aca="false">SUM(D16:D165)</f>
        <v>0</v>
      </c>
      <c r="E166" s="41" t="n">
        <f aca="false">SUM(E16:E165)</f>
        <v>0</v>
      </c>
      <c r="F166" s="41" t="n">
        <f aca="false">SUM(F16:F165)</f>
        <v>0</v>
      </c>
      <c r="G166" s="41" t="n">
        <f aca="false">SUM(G16:G165)</f>
        <v>4000</v>
      </c>
      <c r="H166" s="41" t="n">
        <f aca="false">SUM(H16:H165)</f>
        <v>2000</v>
      </c>
      <c r="I166" s="41" t="n">
        <f aca="false">SUM(I16:I165)</f>
        <v>0</v>
      </c>
      <c r="J166" s="41" t="n">
        <f aca="false">SUM(J16:J165)</f>
        <v>6000</v>
      </c>
      <c r="K166" s="41" t="n">
        <f aca="false">SUM(K16:K165)</f>
        <v>0</v>
      </c>
      <c r="L166" s="41" t="n">
        <f aca="false">SUM(L16:L165)</f>
        <v>0</v>
      </c>
      <c r="M166" s="41" t="n">
        <f aca="false">SUM(M16:M165)</f>
        <v>0</v>
      </c>
      <c r="N166" s="41" t="n">
        <f aca="false">SUM(N16:N165)</f>
        <v>0</v>
      </c>
      <c r="O166" s="41" t="n">
        <f aca="false">SUM(O16:O165)</f>
        <v>3500</v>
      </c>
      <c r="P166" s="41" t="n">
        <f aca="false">SUM(P16:P165)</f>
        <v>1500</v>
      </c>
      <c r="Q166" s="41" t="n">
        <f aca="false">SUM(Q16:Q165)</f>
        <v>0</v>
      </c>
      <c r="R166" s="41" t="n">
        <f aca="false">SUM(R16:R165)</f>
        <v>5000</v>
      </c>
      <c r="S166" s="41" t="n">
        <f aca="false">SUM(S16:S165)</f>
        <v>0</v>
      </c>
      <c r="T166" s="41" t="n">
        <f aca="false">SUM(T16:T165)</f>
        <v>0</v>
      </c>
      <c r="U166" s="41" t="n">
        <f aca="false">SUM(U16:U165)</f>
        <v>0</v>
      </c>
      <c r="V166" s="41" t="n">
        <f aca="false">SUM(V16:V165)</f>
        <v>0</v>
      </c>
      <c r="W166" s="41" t="n">
        <f aca="false">SUM(W16:W165)</f>
        <v>0</v>
      </c>
      <c r="X166" s="41" t="n">
        <f aca="false">SUM(X16:X165)</f>
        <v>0</v>
      </c>
      <c r="Y166" s="41" t="n">
        <f aca="false">SUM(Y16:Y165)</f>
        <v>0</v>
      </c>
      <c r="Z166" s="41" t="n">
        <f aca="false">SUM(Z16:Z165)</f>
        <v>0</v>
      </c>
      <c r="AA166" s="41" t="n">
        <f aca="false">SUM(AA16:AA165)</f>
        <v>0</v>
      </c>
      <c r="AB166" s="41" t="n">
        <f aca="false">SUM(AB16:AB165)</f>
        <v>11000</v>
      </c>
      <c r="AC166" s="43"/>
    </row>
  </sheetData>
  <mergeCells count="34">
    <mergeCell ref="A1:AC1"/>
    <mergeCell ref="A2:AC2"/>
    <mergeCell ref="B4:I4"/>
    <mergeCell ref="K4:N4"/>
    <mergeCell ref="C5:D5"/>
    <mergeCell ref="K5:M5"/>
    <mergeCell ref="P5:R5"/>
    <mergeCell ref="T5:V5"/>
    <mergeCell ref="X5:Z5"/>
    <mergeCell ref="C6:D6"/>
    <mergeCell ref="K6:M6"/>
    <mergeCell ref="P6:R7"/>
    <mergeCell ref="T6:V7"/>
    <mergeCell ref="X6:Z7"/>
    <mergeCell ref="C7:D7"/>
    <mergeCell ref="K7:M7"/>
    <mergeCell ref="C8:D8"/>
    <mergeCell ref="K8:M8"/>
    <mergeCell ref="C9:D9"/>
    <mergeCell ref="P9:Z9"/>
    <mergeCell ref="C10:D10"/>
    <mergeCell ref="K10:M10"/>
    <mergeCell ref="C11:D11"/>
    <mergeCell ref="K11:N11"/>
    <mergeCell ref="C12:D12"/>
    <mergeCell ref="A14:B14"/>
    <mergeCell ref="C14:F14"/>
    <mergeCell ref="G14:J14"/>
    <mergeCell ref="K14:N14"/>
    <mergeCell ref="O14:R14"/>
    <mergeCell ref="S14:V14"/>
    <mergeCell ref="W14:Z14"/>
    <mergeCell ref="AA14:AC14"/>
    <mergeCell ref="A166:B166"/>
  </mergeCells>
  <conditionalFormatting sqref="AC16:AC165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F16:F165 J16:J165 N16:N165 R16:R165 V16:V165 Z16:Z165 AB16:AB165">
    <cfRule type="cellIs" priority="5" operator="greaterThan" aboveAverage="0" equalAverage="0" bottom="0" percent="0" rank="0" text="" dxfId="0">
      <formula>0</formula>
    </cfRule>
  </conditionalFormatting>
  <conditionalFormatting sqref="N10"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AC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29" min="5" style="0" width="11.5"/>
  </cols>
  <sheetData>
    <row r="1" customFormat="false" ht="31.5" hidden="false" customHeight="true" outlineLevel="0" collapsed="false">
      <c r="A1" s="54" t="str">
        <f aca="false">UPPER(Setup!B3)</f>
        <v>FUTURE TALENT ACADEMY JAMSHORO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customFormat="false" ht="21.75" hidden="false" customHeight="true" outlineLevel="0" collapsed="false">
      <c r="A2" s="55" t="s">
        <v>106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customFormat="false" ht="15" hidden="false" customHeight="true" outlineLevel="0" collapsed="false">
      <c r="B4" s="4" t="s">
        <v>82</v>
      </c>
      <c r="C4" s="4"/>
      <c r="D4" s="4"/>
      <c r="E4" s="4"/>
      <c r="F4" s="4"/>
      <c r="G4" s="4"/>
      <c r="H4" s="4"/>
      <c r="I4" s="4"/>
      <c r="K4" s="28" t="s">
        <v>83</v>
      </c>
      <c r="L4" s="28"/>
      <c r="M4" s="28"/>
      <c r="N4" s="28"/>
    </row>
    <row r="5" customFormat="false" ht="22.35" hidden="false" customHeight="true" outlineLevel="0" collapsed="false">
      <c r="B5" s="56" t="s">
        <v>76</v>
      </c>
      <c r="C5" s="56" t="s">
        <v>77</v>
      </c>
      <c r="D5" s="56"/>
      <c r="E5" s="56" t="s">
        <v>84</v>
      </c>
      <c r="F5" s="56" t="s">
        <v>85</v>
      </c>
      <c r="G5" s="56" t="s">
        <v>5</v>
      </c>
      <c r="H5" s="56" t="s">
        <v>6</v>
      </c>
      <c r="I5" s="56" t="s">
        <v>86</v>
      </c>
      <c r="K5" s="57" t="s">
        <v>87</v>
      </c>
      <c r="L5" s="57"/>
      <c r="M5" s="57"/>
      <c r="N5" s="58" t="n">
        <f aca="false">H12</f>
        <v>0</v>
      </c>
      <c r="P5" s="59" t="s">
        <v>88</v>
      </c>
      <c r="Q5" s="59"/>
      <c r="R5" s="59"/>
      <c r="T5" s="60" t="s">
        <v>89</v>
      </c>
      <c r="U5" s="60"/>
      <c r="V5" s="60"/>
      <c r="X5" s="61" t="s">
        <v>90</v>
      </c>
      <c r="Y5" s="61"/>
      <c r="Z5" s="61"/>
    </row>
    <row r="6" customFormat="false" ht="15" hidden="false" customHeight="true" outlineLevel="0" collapsed="false">
      <c r="B6" s="62" t="str">
        <f aca="false">Setup!A6</f>
        <v>English</v>
      </c>
      <c r="C6" s="63" t="str">
        <f aca="false">Setup!B6</f>
        <v>Sir Sajjad Ali Birhmani</v>
      </c>
      <c r="D6" s="63"/>
      <c r="E6" s="64" t="n">
        <f aca="false">D166</f>
        <v>0</v>
      </c>
      <c r="F6" s="58" t="n">
        <f aca="false">E166</f>
        <v>0</v>
      </c>
      <c r="G6" s="65" t="n">
        <f aca="false">F6*Setup!C6</f>
        <v>0</v>
      </c>
      <c r="H6" s="66" t="n">
        <f aca="false">F6-G6</f>
        <v>0</v>
      </c>
      <c r="I6" s="67" t="n">
        <f aca="false">F166</f>
        <v>0</v>
      </c>
      <c r="K6" s="57" t="s">
        <v>91</v>
      </c>
      <c r="L6" s="57"/>
      <c r="M6" s="57"/>
      <c r="N6" s="65" t="n">
        <f aca="false">SUMIFS(Administration!$G$5:$G$304,Administration!$C$5:$C$304,"Feb 2027",Administration!$D$5:$D$304,"Other Income")</f>
        <v>0</v>
      </c>
      <c r="P6" s="68" t="n">
        <f aca="false">F12</f>
        <v>0</v>
      </c>
      <c r="Q6" s="68"/>
      <c r="R6" s="68"/>
      <c r="T6" s="69" t="n">
        <f aca="false">G12</f>
        <v>0</v>
      </c>
      <c r="U6" s="69"/>
      <c r="V6" s="69"/>
      <c r="X6" s="70" t="n">
        <f aca="false">I12</f>
        <v>14500</v>
      </c>
      <c r="Y6" s="70"/>
      <c r="Z6" s="70"/>
    </row>
    <row r="7" customFormat="false" ht="15" hidden="false" customHeight="true" outlineLevel="0" collapsed="false">
      <c r="B7" s="71" t="str">
        <f aca="false">Setup!A7</f>
        <v>Computer</v>
      </c>
      <c r="C7" s="63" t="str">
        <f aca="false">Setup!B7</f>
        <v>Sir Nazeer Ahmed Jamali</v>
      </c>
      <c r="D7" s="63"/>
      <c r="E7" s="64" t="n">
        <f aca="false">H166</f>
        <v>2000</v>
      </c>
      <c r="F7" s="58" t="n">
        <f aca="false">I166</f>
        <v>0</v>
      </c>
      <c r="G7" s="65" t="n">
        <f aca="false">F7*Setup!C7</f>
        <v>0</v>
      </c>
      <c r="H7" s="66" t="n">
        <f aca="false">F7-G7</f>
        <v>0</v>
      </c>
      <c r="I7" s="67" t="n">
        <f aca="false">J166</f>
        <v>8000</v>
      </c>
      <c r="K7" s="57" t="s">
        <v>92</v>
      </c>
      <c r="L7" s="57"/>
      <c r="M7" s="57"/>
      <c r="N7" s="72" t="n">
        <f aca="false">SUMIFS(Administration!$G$5:$G$304,Administration!$C$5:$C$304,"Feb 2027",Administration!$D$5:$D$304,"Expense")</f>
        <v>0</v>
      </c>
      <c r="P7" s="68"/>
      <c r="Q7" s="68"/>
      <c r="R7" s="68"/>
      <c r="T7" s="69"/>
      <c r="U7" s="69"/>
      <c r="V7" s="69"/>
      <c r="X7" s="70"/>
      <c r="Y7" s="70"/>
      <c r="Z7" s="70"/>
    </row>
    <row r="8" customFormat="false" ht="15" hidden="false" customHeight="true" outlineLevel="0" collapsed="false">
      <c r="B8" s="73" t="str">
        <f aca="false">Setup!A8</f>
        <v>Biology</v>
      </c>
      <c r="C8" s="63" t="str">
        <f aca="false">Setup!B8</f>
        <v>Sir Azhar Ali Chandio</v>
      </c>
      <c r="D8" s="63"/>
      <c r="E8" s="64" t="n">
        <f aca="false">L166</f>
        <v>0</v>
      </c>
      <c r="F8" s="58" t="n">
        <f aca="false">M166</f>
        <v>0</v>
      </c>
      <c r="G8" s="65" t="n">
        <f aca="false">F8*Setup!C8</f>
        <v>0</v>
      </c>
      <c r="H8" s="66" t="n">
        <f aca="false">F8-G8</f>
        <v>0</v>
      </c>
      <c r="I8" s="67" t="n">
        <f aca="false">N166</f>
        <v>0</v>
      </c>
      <c r="K8" s="57" t="s">
        <v>93</v>
      </c>
      <c r="L8" s="57"/>
      <c r="M8" s="57"/>
      <c r="N8" s="72" t="n">
        <f aca="false">SUMIFS(Administration!$G$5:$G$304,Administration!$C$5:$C$304,"Feb 2027",Administration!$D$5:$D$304,"Investment")</f>
        <v>0</v>
      </c>
    </row>
    <row r="9" customFormat="false" ht="15" hidden="false" customHeight="false" outlineLevel="0" collapsed="false">
      <c r="B9" s="74" t="str">
        <f aca="false">Setup!A9</f>
        <v>Math</v>
      </c>
      <c r="C9" s="63" t="str">
        <f aca="false">Setup!B9</f>
        <v>Sir M. Faheem</v>
      </c>
      <c r="D9" s="63"/>
      <c r="E9" s="64" t="n">
        <f aca="false">P166</f>
        <v>1500</v>
      </c>
      <c r="F9" s="58" t="n">
        <f aca="false">Q166</f>
        <v>0</v>
      </c>
      <c r="G9" s="65" t="n">
        <f aca="false">F9*Setup!C9</f>
        <v>0</v>
      </c>
      <c r="H9" s="66" t="n">
        <f aca="false">F9-G9</f>
        <v>0</v>
      </c>
      <c r="I9" s="67" t="n">
        <f aca="false">R166</f>
        <v>6500</v>
      </c>
      <c r="P9" s="75" t="str">
        <f aca="false">COUNTIF(AC16:AC165,"Clear")&amp;" students fully paid   •   "&amp;(COUNTIF(AC16:AC165,"Due")+COUNTIF(AC16:AC165,"Partial"))&amp;" students with dues"</f>
        <v>0 students fully paid   •   1 students with dues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15" hidden="false" customHeight="true" outlineLevel="0" collapsed="false">
      <c r="B10" s="76" t="str">
        <f aca="false">Setup!A10</f>
        <v>Kids Coaching (Class 1)</v>
      </c>
      <c r="C10" s="63" t="str">
        <f aca="false">Setup!B10</f>
        <v>Miss Farzana</v>
      </c>
      <c r="D10" s="63"/>
      <c r="E10" s="64" t="n">
        <f aca="false">T166</f>
        <v>0</v>
      </c>
      <c r="F10" s="58" t="n">
        <f aca="false">U166</f>
        <v>0</v>
      </c>
      <c r="G10" s="65" t="n">
        <f aca="false">F10*Setup!C10</f>
        <v>0</v>
      </c>
      <c r="H10" s="66" t="n">
        <f aca="false">F10-G10</f>
        <v>0</v>
      </c>
      <c r="I10" s="67" t="n">
        <f aca="false">V166</f>
        <v>0</v>
      </c>
      <c r="K10" s="77" t="s">
        <v>59</v>
      </c>
      <c r="L10" s="77"/>
      <c r="M10" s="77"/>
      <c r="N10" s="78" t="n">
        <f aca="false">N5+N6-N7-N8</f>
        <v>0</v>
      </c>
    </row>
    <row r="11" customFormat="false" ht="15" hidden="false" customHeight="true" outlineLevel="0" collapsed="false">
      <c r="B11" s="79" t="str">
        <f aca="false">Setup!A11</f>
        <v>Kids Coaching (Class 2)</v>
      </c>
      <c r="C11" s="63" t="str">
        <f aca="false">Setup!B11</f>
        <v>Miss Fozia</v>
      </c>
      <c r="D11" s="63"/>
      <c r="E11" s="64" t="n">
        <f aca="false">X166</f>
        <v>0</v>
      </c>
      <c r="F11" s="58" t="n">
        <f aca="false">Y166</f>
        <v>0</v>
      </c>
      <c r="G11" s="65" t="n">
        <f aca="false">F11*Setup!C11</f>
        <v>0</v>
      </c>
      <c r="H11" s="66" t="n">
        <f aca="false">F11-G11</f>
        <v>0</v>
      </c>
      <c r="I11" s="67" t="n">
        <f aca="false">Z166</f>
        <v>0</v>
      </c>
      <c r="K11" s="53" t="s">
        <v>94</v>
      </c>
      <c r="L11" s="53"/>
      <c r="M11" s="53"/>
      <c r="N11" s="53"/>
    </row>
    <row r="12" customFormat="false" ht="15" hidden="false" customHeight="false" outlineLevel="0" collapsed="false">
      <c r="B12" s="40" t="s">
        <v>79</v>
      </c>
      <c r="C12" s="43"/>
      <c r="D12" s="43"/>
      <c r="E12" s="41" t="n">
        <f aca="false">SUM(E6:E11)</f>
        <v>3500</v>
      </c>
      <c r="F12" s="41" t="n">
        <f aca="false">SUM(F6:F11)</f>
        <v>0</v>
      </c>
      <c r="G12" s="41" t="n">
        <f aca="false">SUM(G6:G11)</f>
        <v>0</v>
      </c>
      <c r="H12" s="41" t="n">
        <f aca="false">SUM(H6:H11)</f>
        <v>0</v>
      </c>
      <c r="I12" s="41" t="n">
        <f aca="false">SUM(I6:I11)</f>
        <v>14500</v>
      </c>
    </row>
    <row r="14" customFormat="false" ht="25.5" hidden="false" customHeight="true" outlineLevel="0" collapsed="false">
      <c r="A14" s="4" t="s">
        <v>28</v>
      </c>
      <c r="B14" s="4"/>
      <c r="C14" s="14" t="str">
        <f aca="false">Setup!A6&amp;" — "&amp;Setup!B6</f>
        <v>English — Sir Sajjad Ali Birhmani</v>
      </c>
      <c r="D14" s="14"/>
      <c r="E14" s="14"/>
      <c r="F14" s="14"/>
      <c r="G14" s="15" t="str">
        <f aca="false">Setup!A7&amp;" — "&amp;Setup!B7</f>
        <v>Computer — Sir Nazeer Ahmed Jamali</v>
      </c>
      <c r="H14" s="15"/>
      <c r="I14" s="15"/>
      <c r="J14" s="15"/>
      <c r="K14" s="16" t="str">
        <f aca="false">Setup!A8&amp;" — "&amp;Setup!B8</f>
        <v>Biology — Sir Azhar Ali Chandio</v>
      </c>
      <c r="L14" s="16"/>
      <c r="M14" s="16"/>
      <c r="N14" s="16"/>
      <c r="O14" s="17" t="str">
        <f aca="false">Setup!A9&amp;" — "&amp;Setup!B9</f>
        <v>Math — Sir M. Faheem</v>
      </c>
      <c r="P14" s="17"/>
      <c r="Q14" s="17"/>
      <c r="R14" s="17"/>
      <c r="S14" s="18" t="str">
        <f aca="false">Setup!A10&amp;" — "&amp;Setup!B10</f>
        <v>Kids Coaching (Class 1) — Miss Farzana</v>
      </c>
      <c r="T14" s="18"/>
      <c r="U14" s="18"/>
      <c r="V14" s="18"/>
      <c r="W14" s="19" t="str">
        <f aca="false">Setup!A11&amp;" — "&amp;Setup!B11</f>
        <v>Kids Coaching (Class 2) — Miss Fozia</v>
      </c>
      <c r="X14" s="19"/>
      <c r="Y14" s="19"/>
      <c r="Z14" s="19"/>
      <c r="AA14" s="80" t="s">
        <v>95</v>
      </c>
      <c r="AB14" s="80"/>
      <c r="AC14" s="80"/>
    </row>
    <row r="15" customFormat="false" ht="30" hidden="false" customHeight="true" outlineLevel="0" collapsed="false">
      <c r="A15" s="13" t="s">
        <v>30</v>
      </c>
      <c r="B15" s="13" t="s">
        <v>31</v>
      </c>
      <c r="C15" s="14" t="s">
        <v>96</v>
      </c>
      <c r="D15" s="14" t="s">
        <v>97</v>
      </c>
      <c r="E15" s="14" t="s">
        <v>98</v>
      </c>
      <c r="F15" s="14" t="s">
        <v>99</v>
      </c>
      <c r="G15" s="15" t="s">
        <v>96</v>
      </c>
      <c r="H15" s="15" t="s">
        <v>97</v>
      </c>
      <c r="I15" s="15" t="s">
        <v>98</v>
      </c>
      <c r="J15" s="15" t="s">
        <v>99</v>
      </c>
      <c r="K15" s="16" t="s">
        <v>96</v>
      </c>
      <c r="L15" s="16" t="s">
        <v>97</v>
      </c>
      <c r="M15" s="16" t="s">
        <v>98</v>
      </c>
      <c r="N15" s="16" t="s">
        <v>99</v>
      </c>
      <c r="O15" s="17" t="s">
        <v>96</v>
      </c>
      <c r="P15" s="17" t="s">
        <v>97</v>
      </c>
      <c r="Q15" s="17" t="s">
        <v>98</v>
      </c>
      <c r="R15" s="17" t="s">
        <v>99</v>
      </c>
      <c r="S15" s="18" t="s">
        <v>96</v>
      </c>
      <c r="T15" s="18" t="s">
        <v>97</v>
      </c>
      <c r="U15" s="18" t="s">
        <v>98</v>
      </c>
      <c r="V15" s="18" t="s">
        <v>99</v>
      </c>
      <c r="W15" s="19" t="s">
        <v>96</v>
      </c>
      <c r="X15" s="19" t="s">
        <v>97</v>
      </c>
      <c r="Y15" s="19" t="s">
        <v>98</v>
      </c>
      <c r="Z15" s="19" t="s">
        <v>99</v>
      </c>
      <c r="AA15" s="20" t="s">
        <v>100</v>
      </c>
      <c r="AB15" s="20" t="s">
        <v>101</v>
      </c>
      <c r="AC15" s="20" t="s">
        <v>102</v>
      </c>
    </row>
    <row r="16" customFormat="false" ht="15" hidden="false" customHeight="false" outlineLevel="0" collapsed="false">
      <c r="A16" s="21" t="n">
        <v>1</v>
      </c>
      <c r="B16" s="46" t="str">
        <f aca="false">IF(Students!B5="","",Students!B5)</f>
        <v>Ali (example)</v>
      </c>
      <c r="C16" s="33" t="n">
        <f aca="false">'Jan 2027'!F16</f>
        <v>0</v>
      </c>
      <c r="D16" s="33" t="n">
        <f aca="false">IF(B16="",0,N(Students!E5))</f>
        <v>0</v>
      </c>
      <c r="E16" s="23"/>
      <c r="F16" s="24" t="n">
        <f aca="false">N(C16)+N(D16)-N(E16)</f>
        <v>0</v>
      </c>
      <c r="G16" s="33" t="n">
        <f aca="false">'Jan 2027'!J16</f>
        <v>6000</v>
      </c>
      <c r="H16" s="33" t="n">
        <f aca="false">IF(B16="",0,N(Students!F5))</f>
        <v>2000</v>
      </c>
      <c r="I16" s="23"/>
      <c r="J16" s="24" t="n">
        <f aca="false">N(G16)+N(H16)-N(I16)</f>
        <v>8000</v>
      </c>
      <c r="K16" s="33" t="n">
        <f aca="false">'Jan 2027'!N16</f>
        <v>0</v>
      </c>
      <c r="L16" s="33" t="n">
        <f aca="false">IF(B16="",0,N(Students!G5))</f>
        <v>0</v>
      </c>
      <c r="M16" s="23"/>
      <c r="N16" s="24" t="n">
        <f aca="false">N(K16)+N(L16)-N(M16)</f>
        <v>0</v>
      </c>
      <c r="O16" s="33" t="n">
        <f aca="false">'Jan 2027'!R16</f>
        <v>5000</v>
      </c>
      <c r="P16" s="33" t="n">
        <f aca="false">IF(B16="",0,N(Students!H5))</f>
        <v>1500</v>
      </c>
      <c r="Q16" s="23"/>
      <c r="R16" s="24" t="n">
        <f aca="false">N(O16)+N(P16)-N(Q16)</f>
        <v>6500</v>
      </c>
      <c r="S16" s="33" t="n">
        <f aca="false">'Jan 2027'!V16</f>
        <v>0</v>
      </c>
      <c r="T16" s="33" t="n">
        <f aca="false">IF(B16="",0,N(Students!I5))</f>
        <v>0</v>
      </c>
      <c r="U16" s="23"/>
      <c r="V16" s="24" t="n">
        <f aca="false">N(S16)+N(T16)-N(U16)</f>
        <v>0</v>
      </c>
      <c r="W16" s="33" t="n">
        <f aca="false">'Jan 2027'!Z16</f>
        <v>0</v>
      </c>
      <c r="X16" s="33" t="n">
        <f aca="false">IF(B16="",0,N(Students!J5))</f>
        <v>0</v>
      </c>
      <c r="Y16" s="23"/>
      <c r="Z16" s="24" t="n">
        <f aca="false">N(W16)+N(X16)-N(Y16)</f>
        <v>0</v>
      </c>
      <c r="AA16" s="33" t="n">
        <f aca="false">N(E16)+N(I16)+N(M16)+N(Q16)+N(U16)+N(Y16)</f>
        <v>0</v>
      </c>
      <c r="AB16" s="24" t="n">
        <f aca="false">F16+J16+N16+R16+V16+Z16</f>
        <v>14500</v>
      </c>
      <c r="AC16" s="81" t="str">
        <f aca="false">IF(B16="","",IF(AB16&lt;=0,"Clear",IF(AA16&gt;0,"Partial","Due")))</f>
        <v>Due</v>
      </c>
    </row>
    <row r="17" customFormat="false" ht="15" hidden="false" customHeight="false" outlineLevel="0" collapsed="false">
      <c r="A17" s="25" t="n">
        <v>2</v>
      </c>
      <c r="B17" s="82" t="str">
        <f aca="false">IF(Students!B6="","",Students!B6)</f>
        <v/>
      </c>
      <c r="C17" s="37" t="n">
        <f aca="false">'Jan 2027'!F17</f>
        <v>0</v>
      </c>
      <c r="D17" s="37" t="n">
        <f aca="false">IF(B17="",0,N(Students!E6))</f>
        <v>0</v>
      </c>
      <c r="E17" s="23"/>
      <c r="F17" s="26" t="n">
        <f aca="false">N(C17)+N(D17)-N(E17)</f>
        <v>0</v>
      </c>
      <c r="G17" s="37" t="n">
        <f aca="false">'Jan 2027'!J17</f>
        <v>0</v>
      </c>
      <c r="H17" s="37" t="n">
        <f aca="false">IF(B17="",0,N(Students!F6))</f>
        <v>0</v>
      </c>
      <c r="I17" s="23"/>
      <c r="J17" s="26" t="n">
        <f aca="false">N(G17)+N(H17)-N(I17)</f>
        <v>0</v>
      </c>
      <c r="K17" s="37" t="n">
        <f aca="false">'Jan 2027'!N17</f>
        <v>0</v>
      </c>
      <c r="L17" s="37" t="n">
        <f aca="false">IF(B17="",0,N(Students!G6))</f>
        <v>0</v>
      </c>
      <c r="M17" s="23"/>
      <c r="N17" s="26" t="n">
        <f aca="false">N(K17)+N(L17)-N(M17)</f>
        <v>0</v>
      </c>
      <c r="O17" s="37" t="n">
        <f aca="false">'Jan 2027'!R17</f>
        <v>0</v>
      </c>
      <c r="P17" s="37" t="n">
        <f aca="false">IF(B17="",0,N(Students!H6))</f>
        <v>0</v>
      </c>
      <c r="Q17" s="23"/>
      <c r="R17" s="26" t="n">
        <f aca="false">N(O17)+N(P17)-N(Q17)</f>
        <v>0</v>
      </c>
      <c r="S17" s="37" t="n">
        <f aca="false">'Jan 2027'!V17</f>
        <v>0</v>
      </c>
      <c r="T17" s="37" t="n">
        <f aca="false">IF(B17="",0,N(Students!I6))</f>
        <v>0</v>
      </c>
      <c r="U17" s="23"/>
      <c r="V17" s="26" t="n">
        <f aca="false">N(S17)+N(T17)-N(U17)</f>
        <v>0</v>
      </c>
      <c r="W17" s="37" t="n">
        <f aca="false">'Jan 2027'!Z17</f>
        <v>0</v>
      </c>
      <c r="X17" s="37" t="n">
        <f aca="false">IF(B17="",0,N(Students!J6))</f>
        <v>0</v>
      </c>
      <c r="Y17" s="23"/>
      <c r="Z17" s="26" t="n">
        <f aca="false">N(W17)+N(X17)-N(Y17)</f>
        <v>0</v>
      </c>
      <c r="AA17" s="37" t="n">
        <f aca="false">N(E17)+N(I17)+N(M17)+N(Q17)+N(U17)+N(Y17)</f>
        <v>0</v>
      </c>
      <c r="AB17" s="26" t="n">
        <f aca="false">F17+J17+N17+R17+V17+Z17</f>
        <v>0</v>
      </c>
      <c r="AC17" s="83" t="str">
        <f aca="false">IF(B17="","",IF(AB17&lt;=0,"Clear",IF(AA17&gt;0,"Partial","Due")))</f>
        <v/>
      </c>
    </row>
    <row r="18" customFormat="false" ht="15" hidden="false" customHeight="false" outlineLevel="0" collapsed="false">
      <c r="A18" s="21" t="n">
        <v>3</v>
      </c>
      <c r="B18" s="46" t="str">
        <f aca="false">IF(Students!B7="","",Students!B7)</f>
        <v/>
      </c>
      <c r="C18" s="33" t="n">
        <f aca="false">'Jan 2027'!F18</f>
        <v>0</v>
      </c>
      <c r="D18" s="33" t="n">
        <f aca="false">IF(B18="",0,N(Students!E7))</f>
        <v>0</v>
      </c>
      <c r="E18" s="23"/>
      <c r="F18" s="24" t="n">
        <f aca="false">N(C18)+N(D18)-N(E18)</f>
        <v>0</v>
      </c>
      <c r="G18" s="33" t="n">
        <f aca="false">'Jan 2027'!J18</f>
        <v>0</v>
      </c>
      <c r="H18" s="33" t="n">
        <f aca="false">IF(B18="",0,N(Students!F7))</f>
        <v>0</v>
      </c>
      <c r="I18" s="23"/>
      <c r="J18" s="24" t="n">
        <f aca="false">N(G18)+N(H18)-N(I18)</f>
        <v>0</v>
      </c>
      <c r="K18" s="33" t="n">
        <f aca="false">'Jan 2027'!N18</f>
        <v>0</v>
      </c>
      <c r="L18" s="33" t="n">
        <f aca="false">IF(B18="",0,N(Students!G7))</f>
        <v>0</v>
      </c>
      <c r="M18" s="23"/>
      <c r="N18" s="24" t="n">
        <f aca="false">N(K18)+N(L18)-N(M18)</f>
        <v>0</v>
      </c>
      <c r="O18" s="33" t="n">
        <f aca="false">'Jan 2027'!R18</f>
        <v>0</v>
      </c>
      <c r="P18" s="33" t="n">
        <f aca="false">IF(B18="",0,N(Students!H7))</f>
        <v>0</v>
      </c>
      <c r="Q18" s="23"/>
      <c r="R18" s="24" t="n">
        <f aca="false">N(O18)+N(P18)-N(Q18)</f>
        <v>0</v>
      </c>
      <c r="S18" s="33" t="n">
        <f aca="false">'Jan 2027'!V18</f>
        <v>0</v>
      </c>
      <c r="T18" s="33" t="n">
        <f aca="false">IF(B18="",0,N(Students!I7))</f>
        <v>0</v>
      </c>
      <c r="U18" s="23"/>
      <c r="V18" s="24" t="n">
        <f aca="false">N(S18)+N(T18)-N(U18)</f>
        <v>0</v>
      </c>
      <c r="W18" s="33" t="n">
        <f aca="false">'Jan 2027'!Z18</f>
        <v>0</v>
      </c>
      <c r="X18" s="33" t="n">
        <f aca="false">IF(B18="",0,N(Students!J7))</f>
        <v>0</v>
      </c>
      <c r="Y18" s="23"/>
      <c r="Z18" s="24" t="n">
        <f aca="false">N(W18)+N(X18)-N(Y18)</f>
        <v>0</v>
      </c>
      <c r="AA18" s="33" t="n">
        <f aca="false">N(E18)+N(I18)+N(M18)+N(Q18)+N(U18)+N(Y18)</f>
        <v>0</v>
      </c>
      <c r="AB18" s="24" t="n">
        <f aca="false">F18+J18+N18+R18+V18+Z18</f>
        <v>0</v>
      </c>
      <c r="AC18" s="81" t="str">
        <f aca="false">IF(B18="","",IF(AB18&lt;=0,"Clear",IF(AA18&gt;0,"Partial","Due")))</f>
        <v/>
      </c>
    </row>
    <row r="19" customFormat="false" ht="15" hidden="false" customHeight="false" outlineLevel="0" collapsed="false">
      <c r="A19" s="25" t="n">
        <v>4</v>
      </c>
      <c r="B19" s="82" t="str">
        <f aca="false">IF(Students!B8="","",Students!B8)</f>
        <v/>
      </c>
      <c r="C19" s="37" t="n">
        <f aca="false">'Jan 2027'!F19</f>
        <v>0</v>
      </c>
      <c r="D19" s="37" t="n">
        <f aca="false">IF(B19="",0,N(Students!E8))</f>
        <v>0</v>
      </c>
      <c r="E19" s="23"/>
      <c r="F19" s="26" t="n">
        <f aca="false">N(C19)+N(D19)-N(E19)</f>
        <v>0</v>
      </c>
      <c r="G19" s="37" t="n">
        <f aca="false">'Jan 2027'!J19</f>
        <v>0</v>
      </c>
      <c r="H19" s="37" t="n">
        <f aca="false">IF(B19="",0,N(Students!F8))</f>
        <v>0</v>
      </c>
      <c r="I19" s="23"/>
      <c r="J19" s="26" t="n">
        <f aca="false">N(G19)+N(H19)-N(I19)</f>
        <v>0</v>
      </c>
      <c r="K19" s="37" t="n">
        <f aca="false">'Jan 2027'!N19</f>
        <v>0</v>
      </c>
      <c r="L19" s="37" t="n">
        <f aca="false">IF(B19="",0,N(Students!G8))</f>
        <v>0</v>
      </c>
      <c r="M19" s="23"/>
      <c r="N19" s="26" t="n">
        <f aca="false">N(K19)+N(L19)-N(M19)</f>
        <v>0</v>
      </c>
      <c r="O19" s="37" t="n">
        <f aca="false">'Jan 2027'!R19</f>
        <v>0</v>
      </c>
      <c r="P19" s="37" t="n">
        <f aca="false">IF(B19="",0,N(Students!H8))</f>
        <v>0</v>
      </c>
      <c r="Q19" s="23"/>
      <c r="R19" s="26" t="n">
        <f aca="false">N(O19)+N(P19)-N(Q19)</f>
        <v>0</v>
      </c>
      <c r="S19" s="37" t="n">
        <f aca="false">'Jan 2027'!V19</f>
        <v>0</v>
      </c>
      <c r="T19" s="37" t="n">
        <f aca="false">IF(B19="",0,N(Students!I8))</f>
        <v>0</v>
      </c>
      <c r="U19" s="23"/>
      <c r="V19" s="26" t="n">
        <f aca="false">N(S19)+N(T19)-N(U19)</f>
        <v>0</v>
      </c>
      <c r="W19" s="37" t="n">
        <f aca="false">'Jan 2027'!Z19</f>
        <v>0</v>
      </c>
      <c r="X19" s="37" t="n">
        <f aca="false">IF(B19="",0,N(Students!J8))</f>
        <v>0</v>
      </c>
      <c r="Y19" s="23"/>
      <c r="Z19" s="26" t="n">
        <f aca="false">N(W19)+N(X19)-N(Y19)</f>
        <v>0</v>
      </c>
      <c r="AA19" s="37" t="n">
        <f aca="false">N(E19)+N(I19)+N(M19)+N(Q19)+N(U19)+N(Y19)</f>
        <v>0</v>
      </c>
      <c r="AB19" s="26" t="n">
        <f aca="false">F19+J19+N19+R19+V19+Z19</f>
        <v>0</v>
      </c>
      <c r="AC19" s="83" t="str">
        <f aca="false">IF(B19="","",IF(AB19&lt;=0,"Clear",IF(AA19&gt;0,"Partial","Due")))</f>
        <v/>
      </c>
    </row>
    <row r="20" customFormat="false" ht="15" hidden="false" customHeight="false" outlineLevel="0" collapsed="false">
      <c r="A20" s="21" t="n">
        <v>5</v>
      </c>
      <c r="B20" s="46" t="str">
        <f aca="false">IF(Students!B9="","",Students!B9)</f>
        <v/>
      </c>
      <c r="C20" s="33" t="n">
        <f aca="false">'Jan 2027'!F20</f>
        <v>0</v>
      </c>
      <c r="D20" s="33" t="n">
        <f aca="false">IF(B20="",0,N(Students!E9))</f>
        <v>0</v>
      </c>
      <c r="E20" s="23"/>
      <c r="F20" s="24" t="n">
        <f aca="false">N(C20)+N(D20)-N(E20)</f>
        <v>0</v>
      </c>
      <c r="G20" s="33" t="n">
        <f aca="false">'Jan 2027'!J20</f>
        <v>0</v>
      </c>
      <c r="H20" s="33" t="n">
        <f aca="false">IF(B20="",0,N(Students!F9))</f>
        <v>0</v>
      </c>
      <c r="I20" s="23"/>
      <c r="J20" s="24" t="n">
        <f aca="false">N(G20)+N(H20)-N(I20)</f>
        <v>0</v>
      </c>
      <c r="K20" s="33" t="n">
        <f aca="false">'Jan 2027'!N20</f>
        <v>0</v>
      </c>
      <c r="L20" s="33" t="n">
        <f aca="false">IF(B20="",0,N(Students!G9))</f>
        <v>0</v>
      </c>
      <c r="M20" s="23"/>
      <c r="N20" s="24" t="n">
        <f aca="false">N(K20)+N(L20)-N(M20)</f>
        <v>0</v>
      </c>
      <c r="O20" s="33" t="n">
        <f aca="false">'Jan 2027'!R20</f>
        <v>0</v>
      </c>
      <c r="P20" s="33" t="n">
        <f aca="false">IF(B20="",0,N(Students!H9))</f>
        <v>0</v>
      </c>
      <c r="Q20" s="23"/>
      <c r="R20" s="24" t="n">
        <f aca="false">N(O20)+N(P20)-N(Q20)</f>
        <v>0</v>
      </c>
      <c r="S20" s="33" t="n">
        <f aca="false">'Jan 2027'!V20</f>
        <v>0</v>
      </c>
      <c r="T20" s="33" t="n">
        <f aca="false">IF(B20="",0,N(Students!I9))</f>
        <v>0</v>
      </c>
      <c r="U20" s="23"/>
      <c r="V20" s="24" t="n">
        <f aca="false">N(S20)+N(T20)-N(U20)</f>
        <v>0</v>
      </c>
      <c r="W20" s="33" t="n">
        <f aca="false">'Jan 2027'!Z20</f>
        <v>0</v>
      </c>
      <c r="X20" s="33" t="n">
        <f aca="false">IF(B20="",0,N(Students!J9))</f>
        <v>0</v>
      </c>
      <c r="Y20" s="23"/>
      <c r="Z20" s="24" t="n">
        <f aca="false">N(W20)+N(X20)-N(Y20)</f>
        <v>0</v>
      </c>
      <c r="AA20" s="33" t="n">
        <f aca="false">N(E20)+N(I20)+N(M20)+N(Q20)+N(U20)+N(Y20)</f>
        <v>0</v>
      </c>
      <c r="AB20" s="24" t="n">
        <f aca="false">F20+J20+N20+R20+V20+Z20</f>
        <v>0</v>
      </c>
      <c r="AC20" s="81" t="str">
        <f aca="false">IF(B20="","",IF(AB20&lt;=0,"Clear",IF(AA20&gt;0,"Partial","Due")))</f>
        <v/>
      </c>
    </row>
    <row r="21" customFormat="false" ht="15" hidden="false" customHeight="false" outlineLevel="0" collapsed="false">
      <c r="A21" s="25" t="n">
        <v>6</v>
      </c>
      <c r="B21" s="82" t="str">
        <f aca="false">IF(Students!B10="","",Students!B10)</f>
        <v/>
      </c>
      <c r="C21" s="37" t="n">
        <f aca="false">'Jan 2027'!F21</f>
        <v>0</v>
      </c>
      <c r="D21" s="37" t="n">
        <f aca="false">IF(B21="",0,N(Students!E10))</f>
        <v>0</v>
      </c>
      <c r="E21" s="23"/>
      <c r="F21" s="26" t="n">
        <f aca="false">N(C21)+N(D21)-N(E21)</f>
        <v>0</v>
      </c>
      <c r="G21" s="37" t="n">
        <f aca="false">'Jan 2027'!J21</f>
        <v>0</v>
      </c>
      <c r="H21" s="37" t="n">
        <f aca="false">IF(B21="",0,N(Students!F10))</f>
        <v>0</v>
      </c>
      <c r="I21" s="23"/>
      <c r="J21" s="26" t="n">
        <f aca="false">N(G21)+N(H21)-N(I21)</f>
        <v>0</v>
      </c>
      <c r="K21" s="37" t="n">
        <f aca="false">'Jan 2027'!N21</f>
        <v>0</v>
      </c>
      <c r="L21" s="37" t="n">
        <f aca="false">IF(B21="",0,N(Students!G10))</f>
        <v>0</v>
      </c>
      <c r="M21" s="23"/>
      <c r="N21" s="26" t="n">
        <f aca="false">N(K21)+N(L21)-N(M21)</f>
        <v>0</v>
      </c>
      <c r="O21" s="37" t="n">
        <f aca="false">'Jan 2027'!R21</f>
        <v>0</v>
      </c>
      <c r="P21" s="37" t="n">
        <f aca="false">IF(B21="",0,N(Students!H10))</f>
        <v>0</v>
      </c>
      <c r="Q21" s="23"/>
      <c r="R21" s="26" t="n">
        <f aca="false">N(O21)+N(P21)-N(Q21)</f>
        <v>0</v>
      </c>
      <c r="S21" s="37" t="n">
        <f aca="false">'Jan 2027'!V21</f>
        <v>0</v>
      </c>
      <c r="T21" s="37" t="n">
        <f aca="false">IF(B21="",0,N(Students!I10))</f>
        <v>0</v>
      </c>
      <c r="U21" s="23"/>
      <c r="V21" s="26" t="n">
        <f aca="false">N(S21)+N(T21)-N(U21)</f>
        <v>0</v>
      </c>
      <c r="W21" s="37" t="n">
        <f aca="false">'Jan 2027'!Z21</f>
        <v>0</v>
      </c>
      <c r="X21" s="37" t="n">
        <f aca="false">IF(B21="",0,N(Students!J10))</f>
        <v>0</v>
      </c>
      <c r="Y21" s="23"/>
      <c r="Z21" s="26" t="n">
        <f aca="false">N(W21)+N(X21)-N(Y21)</f>
        <v>0</v>
      </c>
      <c r="AA21" s="37" t="n">
        <f aca="false">N(E21)+N(I21)+N(M21)+N(Q21)+N(U21)+N(Y21)</f>
        <v>0</v>
      </c>
      <c r="AB21" s="26" t="n">
        <f aca="false">F21+J21+N21+R21+V21+Z21</f>
        <v>0</v>
      </c>
      <c r="AC21" s="83" t="str">
        <f aca="false">IF(B21="","",IF(AB21&lt;=0,"Clear",IF(AA21&gt;0,"Partial","Due")))</f>
        <v/>
      </c>
    </row>
    <row r="22" customFormat="false" ht="15" hidden="false" customHeight="false" outlineLevel="0" collapsed="false">
      <c r="A22" s="21" t="n">
        <v>7</v>
      </c>
      <c r="B22" s="46" t="str">
        <f aca="false">IF(Students!B11="","",Students!B11)</f>
        <v/>
      </c>
      <c r="C22" s="33" t="n">
        <f aca="false">'Jan 2027'!F22</f>
        <v>0</v>
      </c>
      <c r="D22" s="33" t="n">
        <f aca="false">IF(B22="",0,N(Students!E11))</f>
        <v>0</v>
      </c>
      <c r="E22" s="23"/>
      <c r="F22" s="24" t="n">
        <f aca="false">N(C22)+N(D22)-N(E22)</f>
        <v>0</v>
      </c>
      <c r="G22" s="33" t="n">
        <f aca="false">'Jan 2027'!J22</f>
        <v>0</v>
      </c>
      <c r="H22" s="33" t="n">
        <f aca="false">IF(B22="",0,N(Students!F11))</f>
        <v>0</v>
      </c>
      <c r="I22" s="23"/>
      <c r="J22" s="24" t="n">
        <f aca="false">N(G22)+N(H22)-N(I22)</f>
        <v>0</v>
      </c>
      <c r="K22" s="33" t="n">
        <f aca="false">'Jan 2027'!N22</f>
        <v>0</v>
      </c>
      <c r="L22" s="33" t="n">
        <f aca="false">IF(B22="",0,N(Students!G11))</f>
        <v>0</v>
      </c>
      <c r="M22" s="23"/>
      <c r="N22" s="24" t="n">
        <f aca="false">N(K22)+N(L22)-N(M22)</f>
        <v>0</v>
      </c>
      <c r="O22" s="33" t="n">
        <f aca="false">'Jan 2027'!R22</f>
        <v>0</v>
      </c>
      <c r="P22" s="33" t="n">
        <f aca="false">IF(B22="",0,N(Students!H11))</f>
        <v>0</v>
      </c>
      <c r="Q22" s="23"/>
      <c r="R22" s="24" t="n">
        <f aca="false">N(O22)+N(P22)-N(Q22)</f>
        <v>0</v>
      </c>
      <c r="S22" s="33" t="n">
        <f aca="false">'Jan 2027'!V22</f>
        <v>0</v>
      </c>
      <c r="T22" s="33" t="n">
        <f aca="false">IF(B22="",0,N(Students!I11))</f>
        <v>0</v>
      </c>
      <c r="U22" s="23"/>
      <c r="V22" s="24" t="n">
        <f aca="false">N(S22)+N(T22)-N(U22)</f>
        <v>0</v>
      </c>
      <c r="W22" s="33" t="n">
        <f aca="false">'Jan 2027'!Z22</f>
        <v>0</v>
      </c>
      <c r="X22" s="33" t="n">
        <f aca="false">IF(B22="",0,N(Students!J11))</f>
        <v>0</v>
      </c>
      <c r="Y22" s="23"/>
      <c r="Z22" s="24" t="n">
        <f aca="false">N(W22)+N(X22)-N(Y22)</f>
        <v>0</v>
      </c>
      <c r="AA22" s="33" t="n">
        <f aca="false">N(E22)+N(I22)+N(M22)+N(Q22)+N(U22)+N(Y22)</f>
        <v>0</v>
      </c>
      <c r="AB22" s="24" t="n">
        <f aca="false">F22+J22+N22+R22+V22+Z22</f>
        <v>0</v>
      </c>
      <c r="AC22" s="81" t="str">
        <f aca="false">IF(B22="","",IF(AB22&lt;=0,"Clear",IF(AA22&gt;0,"Partial","Due")))</f>
        <v/>
      </c>
    </row>
    <row r="23" customFormat="false" ht="15" hidden="false" customHeight="false" outlineLevel="0" collapsed="false">
      <c r="A23" s="25" t="n">
        <v>8</v>
      </c>
      <c r="B23" s="82" t="str">
        <f aca="false">IF(Students!B12="","",Students!B12)</f>
        <v/>
      </c>
      <c r="C23" s="37" t="n">
        <f aca="false">'Jan 2027'!F23</f>
        <v>0</v>
      </c>
      <c r="D23" s="37" t="n">
        <f aca="false">IF(B23="",0,N(Students!E12))</f>
        <v>0</v>
      </c>
      <c r="E23" s="23"/>
      <c r="F23" s="26" t="n">
        <f aca="false">N(C23)+N(D23)-N(E23)</f>
        <v>0</v>
      </c>
      <c r="G23" s="37" t="n">
        <f aca="false">'Jan 2027'!J23</f>
        <v>0</v>
      </c>
      <c r="H23" s="37" t="n">
        <f aca="false">IF(B23="",0,N(Students!F12))</f>
        <v>0</v>
      </c>
      <c r="I23" s="23"/>
      <c r="J23" s="26" t="n">
        <f aca="false">N(G23)+N(H23)-N(I23)</f>
        <v>0</v>
      </c>
      <c r="K23" s="37" t="n">
        <f aca="false">'Jan 2027'!N23</f>
        <v>0</v>
      </c>
      <c r="L23" s="37" t="n">
        <f aca="false">IF(B23="",0,N(Students!G12))</f>
        <v>0</v>
      </c>
      <c r="M23" s="23"/>
      <c r="N23" s="26" t="n">
        <f aca="false">N(K23)+N(L23)-N(M23)</f>
        <v>0</v>
      </c>
      <c r="O23" s="37" t="n">
        <f aca="false">'Jan 2027'!R23</f>
        <v>0</v>
      </c>
      <c r="P23" s="37" t="n">
        <f aca="false">IF(B23="",0,N(Students!H12))</f>
        <v>0</v>
      </c>
      <c r="Q23" s="23"/>
      <c r="R23" s="26" t="n">
        <f aca="false">N(O23)+N(P23)-N(Q23)</f>
        <v>0</v>
      </c>
      <c r="S23" s="37" t="n">
        <f aca="false">'Jan 2027'!V23</f>
        <v>0</v>
      </c>
      <c r="T23" s="37" t="n">
        <f aca="false">IF(B23="",0,N(Students!I12))</f>
        <v>0</v>
      </c>
      <c r="U23" s="23"/>
      <c r="V23" s="26" t="n">
        <f aca="false">N(S23)+N(T23)-N(U23)</f>
        <v>0</v>
      </c>
      <c r="W23" s="37" t="n">
        <f aca="false">'Jan 2027'!Z23</f>
        <v>0</v>
      </c>
      <c r="X23" s="37" t="n">
        <f aca="false">IF(B23="",0,N(Students!J12))</f>
        <v>0</v>
      </c>
      <c r="Y23" s="23"/>
      <c r="Z23" s="26" t="n">
        <f aca="false">N(W23)+N(X23)-N(Y23)</f>
        <v>0</v>
      </c>
      <c r="AA23" s="37" t="n">
        <f aca="false">N(E23)+N(I23)+N(M23)+N(Q23)+N(U23)+N(Y23)</f>
        <v>0</v>
      </c>
      <c r="AB23" s="26" t="n">
        <f aca="false">F23+J23+N23+R23+V23+Z23</f>
        <v>0</v>
      </c>
      <c r="AC23" s="83" t="str">
        <f aca="false">IF(B23="","",IF(AB23&lt;=0,"Clear",IF(AA23&gt;0,"Partial","Due")))</f>
        <v/>
      </c>
    </row>
    <row r="24" customFormat="false" ht="15" hidden="false" customHeight="false" outlineLevel="0" collapsed="false">
      <c r="A24" s="21" t="n">
        <v>9</v>
      </c>
      <c r="B24" s="46" t="str">
        <f aca="false">IF(Students!B13="","",Students!B13)</f>
        <v/>
      </c>
      <c r="C24" s="33" t="n">
        <f aca="false">'Jan 2027'!F24</f>
        <v>0</v>
      </c>
      <c r="D24" s="33" t="n">
        <f aca="false">IF(B24="",0,N(Students!E13))</f>
        <v>0</v>
      </c>
      <c r="E24" s="23"/>
      <c r="F24" s="24" t="n">
        <f aca="false">N(C24)+N(D24)-N(E24)</f>
        <v>0</v>
      </c>
      <c r="G24" s="33" t="n">
        <f aca="false">'Jan 2027'!J24</f>
        <v>0</v>
      </c>
      <c r="H24" s="33" t="n">
        <f aca="false">IF(B24="",0,N(Students!F13))</f>
        <v>0</v>
      </c>
      <c r="I24" s="23"/>
      <c r="J24" s="24" t="n">
        <f aca="false">N(G24)+N(H24)-N(I24)</f>
        <v>0</v>
      </c>
      <c r="K24" s="33" t="n">
        <f aca="false">'Jan 2027'!N24</f>
        <v>0</v>
      </c>
      <c r="L24" s="33" t="n">
        <f aca="false">IF(B24="",0,N(Students!G13))</f>
        <v>0</v>
      </c>
      <c r="M24" s="23"/>
      <c r="N24" s="24" t="n">
        <f aca="false">N(K24)+N(L24)-N(M24)</f>
        <v>0</v>
      </c>
      <c r="O24" s="33" t="n">
        <f aca="false">'Jan 2027'!R24</f>
        <v>0</v>
      </c>
      <c r="P24" s="33" t="n">
        <f aca="false">IF(B24="",0,N(Students!H13))</f>
        <v>0</v>
      </c>
      <c r="Q24" s="23"/>
      <c r="R24" s="24" t="n">
        <f aca="false">N(O24)+N(P24)-N(Q24)</f>
        <v>0</v>
      </c>
      <c r="S24" s="33" t="n">
        <f aca="false">'Jan 2027'!V24</f>
        <v>0</v>
      </c>
      <c r="T24" s="33" t="n">
        <f aca="false">IF(B24="",0,N(Students!I13))</f>
        <v>0</v>
      </c>
      <c r="U24" s="23"/>
      <c r="V24" s="24" t="n">
        <f aca="false">N(S24)+N(T24)-N(U24)</f>
        <v>0</v>
      </c>
      <c r="W24" s="33" t="n">
        <f aca="false">'Jan 2027'!Z24</f>
        <v>0</v>
      </c>
      <c r="X24" s="33" t="n">
        <f aca="false">IF(B24="",0,N(Students!J13))</f>
        <v>0</v>
      </c>
      <c r="Y24" s="23"/>
      <c r="Z24" s="24" t="n">
        <f aca="false">N(W24)+N(X24)-N(Y24)</f>
        <v>0</v>
      </c>
      <c r="AA24" s="33" t="n">
        <f aca="false">N(E24)+N(I24)+N(M24)+N(Q24)+N(U24)+N(Y24)</f>
        <v>0</v>
      </c>
      <c r="AB24" s="24" t="n">
        <f aca="false">F24+J24+N24+R24+V24+Z24</f>
        <v>0</v>
      </c>
      <c r="AC24" s="81" t="str">
        <f aca="false">IF(B24="","",IF(AB24&lt;=0,"Clear",IF(AA24&gt;0,"Partial","Due")))</f>
        <v/>
      </c>
    </row>
    <row r="25" customFormat="false" ht="15" hidden="false" customHeight="false" outlineLevel="0" collapsed="false">
      <c r="A25" s="25" t="n">
        <v>10</v>
      </c>
      <c r="B25" s="82" t="str">
        <f aca="false">IF(Students!B14="","",Students!B14)</f>
        <v/>
      </c>
      <c r="C25" s="37" t="n">
        <f aca="false">'Jan 2027'!F25</f>
        <v>0</v>
      </c>
      <c r="D25" s="37" t="n">
        <f aca="false">IF(B25="",0,N(Students!E14))</f>
        <v>0</v>
      </c>
      <c r="E25" s="23"/>
      <c r="F25" s="26" t="n">
        <f aca="false">N(C25)+N(D25)-N(E25)</f>
        <v>0</v>
      </c>
      <c r="G25" s="37" t="n">
        <f aca="false">'Jan 2027'!J25</f>
        <v>0</v>
      </c>
      <c r="H25" s="37" t="n">
        <f aca="false">IF(B25="",0,N(Students!F14))</f>
        <v>0</v>
      </c>
      <c r="I25" s="23"/>
      <c r="J25" s="26" t="n">
        <f aca="false">N(G25)+N(H25)-N(I25)</f>
        <v>0</v>
      </c>
      <c r="K25" s="37" t="n">
        <f aca="false">'Jan 2027'!N25</f>
        <v>0</v>
      </c>
      <c r="L25" s="37" t="n">
        <f aca="false">IF(B25="",0,N(Students!G14))</f>
        <v>0</v>
      </c>
      <c r="M25" s="23"/>
      <c r="N25" s="26" t="n">
        <f aca="false">N(K25)+N(L25)-N(M25)</f>
        <v>0</v>
      </c>
      <c r="O25" s="37" t="n">
        <f aca="false">'Jan 2027'!R25</f>
        <v>0</v>
      </c>
      <c r="P25" s="37" t="n">
        <f aca="false">IF(B25="",0,N(Students!H14))</f>
        <v>0</v>
      </c>
      <c r="Q25" s="23"/>
      <c r="R25" s="26" t="n">
        <f aca="false">N(O25)+N(P25)-N(Q25)</f>
        <v>0</v>
      </c>
      <c r="S25" s="37" t="n">
        <f aca="false">'Jan 2027'!V25</f>
        <v>0</v>
      </c>
      <c r="T25" s="37" t="n">
        <f aca="false">IF(B25="",0,N(Students!I14))</f>
        <v>0</v>
      </c>
      <c r="U25" s="23"/>
      <c r="V25" s="26" t="n">
        <f aca="false">N(S25)+N(T25)-N(U25)</f>
        <v>0</v>
      </c>
      <c r="W25" s="37" t="n">
        <f aca="false">'Jan 2027'!Z25</f>
        <v>0</v>
      </c>
      <c r="X25" s="37" t="n">
        <f aca="false">IF(B25="",0,N(Students!J14))</f>
        <v>0</v>
      </c>
      <c r="Y25" s="23"/>
      <c r="Z25" s="26" t="n">
        <f aca="false">N(W25)+N(X25)-N(Y25)</f>
        <v>0</v>
      </c>
      <c r="AA25" s="37" t="n">
        <f aca="false">N(E25)+N(I25)+N(M25)+N(Q25)+N(U25)+N(Y25)</f>
        <v>0</v>
      </c>
      <c r="AB25" s="26" t="n">
        <f aca="false">F25+J25+N25+R25+V25+Z25</f>
        <v>0</v>
      </c>
      <c r="AC25" s="83" t="str">
        <f aca="false">IF(B25="","",IF(AB25&lt;=0,"Clear",IF(AA25&gt;0,"Partial","Due")))</f>
        <v/>
      </c>
    </row>
    <row r="26" customFormat="false" ht="15" hidden="false" customHeight="false" outlineLevel="0" collapsed="false">
      <c r="A26" s="21" t="n">
        <v>11</v>
      </c>
      <c r="B26" s="46" t="str">
        <f aca="false">IF(Students!B15="","",Students!B15)</f>
        <v/>
      </c>
      <c r="C26" s="33" t="n">
        <f aca="false">'Jan 2027'!F26</f>
        <v>0</v>
      </c>
      <c r="D26" s="33" t="n">
        <f aca="false">IF(B26="",0,N(Students!E15))</f>
        <v>0</v>
      </c>
      <c r="E26" s="23"/>
      <c r="F26" s="24" t="n">
        <f aca="false">N(C26)+N(D26)-N(E26)</f>
        <v>0</v>
      </c>
      <c r="G26" s="33" t="n">
        <f aca="false">'Jan 2027'!J26</f>
        <v>0</v>
      </c>
      <c r="H26" s="33" t="n">
        <f aca="false">IF(B26="",0,N(Students!F15))</f>
        <v>0</v>
      </c>
      <c r="I26" s="23"/>
      <c r="J26" s="24" t="n">
        <f aca="false">N(G26)+N(H26)-N(I26)</f>
        <v>0</v>
      </c>
      <c r="K26" s="33" t="n">
        <f aca="false">'Jan 2027'!N26</f>
        <v>0</v>
      </c>
      <c r="L26" s="33" t="n">
        <f aca="false">IF(B26="",0,N(Students!G15))</f>
        <v>0</v>
      </c>
      <c r="M26" s="23"/>
      <c r="N26" s="24" t="n">
        <f aca="false">N(K26)+N(L26)-N(M26)</f>
        <v>0</v>
      </c>
      <c r="O26" s="33" t="n">
        <f aca="false">'Jan 2027'!R26</f>
        <v>0</v>
      </c>
      <c r="P26" s="33" t="n">
        <f aca="false">IF(B26="",0,N(Students!H15))</f>
        <v>0</v>
      </c>
      <c r="Q26" s="23"/>
      <c r="R26" s="24" t="n">
        <f aca="false">N(O26)+N(P26)-N(Q26)</f>
        <v>0</v>
      </c>
      <c r="S26" s="33" t="n">
        <f aca="false">'Jan 2027'!V26</f>
        <v>0</v>
      </c>
      <c r="T26" s="33" t="n">
        <f aca="false">IF(B26="",0,N(Students!I15))</f>
        <v>0</v>
      </c>
      <c r="U26" s="23"/>
      <c r="V26" s="24" t="n">
        <f aca="false">N(S26)+N(T26)-N(U26)</f>
        <v>0</v>
      </c>
      <c r="W26" s="33" t="n">
        <f aca="false">'Jan 2027'!Z26</f>
        <v>0</v>
      </c>
      <c r="X26" s="33" t="n">
        <f aca="false">IF(B26="",0,N(Students!J15))</f>
        <v>0</v>
      </c>
      <c r="Y26" s="23"/>
      <c r="Z26" s="24" t="n">
        <f aca="false">N(W26)+N(X26)-N(Y26)</f>
        <v>0</v>
      </c>
      <c r="AA26" s="33" t="n">
        <f aca="false">N(E26)+N(I26)+N(M26)+N(Q26)+N(U26)+N(Y26)</f>
        <v>0</v>
      </c>
      <c r="AB26" s="24" t="n">
        <f aca="false">F26+J26+N26+R26+V26+Z26</f>
        <v>0</v>
      </c>
      <c r="AC26" s="81" t="str">
        <f aca="false">IF(B26="","",IF(AB26&lt;=0,"Clear",IF(AA26&gt;0,"Partial","Due")))</f>
        <v/>
      </c>
    </row>
    <row r="27" customFormat="false" ht="15" hidden="false" customHeight="false" outlineLevel="0" collapsed="false">
      <c r="A27" s="25" t="n">
        <v>12</v>
      </c>
      <c r="B27" s="82" t="str">
        <f aca="false">IF(Students!B16="","",Students!B16)</f>
        <v/>
      </c>
      <c r="C27" s="37" t="n">
        <f aca="false">'Jan 2027'!F27</f>
        <v>0</v>
      </c>
      <c r="D27" s="37" t="n">
        <f aca="false">IF(B27="",0,N(Students!E16))</f>
        <v>0</v>
      </c>
      <c r="E27" s="23"/>
      <c r="F27" s="26" t="n">
        <f aca="false">N(C27)+N(D27)-N(E27)</f>
        <v>0</v>
      </c>
      <c r="G27" s="37" t="n">
        <f aca="false">'Jan 2027'!J27</f>
        <v>0</v>
      </c>
      <c r="H27" s="37" t="n">
        <f aca="false">IF(B27="",0,N(Students!F16))</f>
        <v>0</v>
      </c>
      <c r="I27" s="23"/>
      <c r="J27" s="26" t="n">
        <f aca="false">N(G27)+N(H27)-N(I27)</f>
        <v>0</v>
      </c>
      <c r="K27" s="37" t="n">
        <f aca="false">'Jan 2027'!N27</f>
        <v>0</v>
      </c>
      <c r="L27" s="37" t="n">
        <f aca="false">IF(B27="",0,N(Students!G16))</f>
        <v>0</v>
      </c>
      <c r="M27" s="23"/>
      <c r="N27" s="26" t="n">
        <f aca="false">N(K27)+N(L27)-N(M27)</f>
        <v>0</v>
      </c>
      <c r="O27" s="37" t="n">
        <f aca="false">'Jan 2027'!R27</f>
        <v>0</v>
      </c>
      <c r="P27" s="37" t="n">
        <f aca="false">IF(B27="",0,N(Students!H16))</f>
        <v>0</v>
      </c>
      <c r="Q27" s="23"/>
      <c r="R27" s="26" t="n">
        <f aca="false">N(O27)+N(P27)-N(Q27)</f>
        <v>0</v>
      </c>
      <c r="S27" s="37" t="n">
        <f aca="false">'Jan 2027'!V27</f>
        <v>0</v>
      </c>
      <c r="T27" s="37" t="n">
        <f aca="false">IF(B27="",0,N(Students!I16))</f>
        <v>0</v>
      </c>
      <c r="U27" s="23"/>
      <c r="V27" s="26" t="n">
        <f aca="false">N(S27)+N(T27)-N(U27)</f>
        <v>0</v>
      </c>
      <c r="W27" s="37" t="n">
        <f aca="false">'Jan 2027'!Z27</f>
        <v>0</v>
      </c>
      <c r="X27" s="37" t="n">
        <f aca="false">IF(B27="",0,N(Students!J16))</f>
        <v>0</v>
      </c>
      <c r="Y27" s="23"/>
      <c r="Z27" s="26" t="n">
        <f aca="false">N(W27)+N(X27)-N(Y27)</f>
        <v>0</v>
      </c>
      <c r="AA27" s="37" t="n">
        <f aca="false">N(E27)+N(I27)+N(M27)+N(Q27)+N(U27)+N(Y27)</f>
        <v>0</v>
      </c>
      <c r="AB27" s="26" t="n">
        <f aca="false">F27+J27+N27+R27+V27+Z27</f>
        <v>0</v>
      </c>
      <c r="AC27" s="83" t="str">
        <f aca="false">IF(B27="","",IF(AB27&lt;=0,"Clear",IF(AA27&gt;0,"Partial","Due")))</f>
        <v/>
      </c>
    </row>
    <row r="28" customFormat="false" ht="15" hidden="false" customHeight="false" outlineLevel="0" collapsed="false">
      <c r="A28" s="21" t="n">
        <v>13</v>
      </c>
      <c r="B28" s="46" t="str">
        <f aca="false">IF(Students!B17="","",Students!B17)</f>
        <v/>
      </c>
      <c r="C28" s="33" t="n">
        <f aca="false">'Jan 2027'!F28</f>
        <v>0</v>
      </c>
      <c r="D28" s="33" t="n">
        <f aca="false">IF(B28="",0,N(Students!E17))</f>
        <v>0</v>
      </c>
      <c r="E28" s="23"/>
      <c r="F28" s="24" t="n">
        <f aca="false">N(C28)+N(D28)-N(E28)</f>
        <v>0</v>
      </c>
      <c r="G28" s="33" t="n">
        <f aca="false">'Jan 2027'!J28</f>
        <v>0</v>
      </c>
      <c r="H28" s="33" t="n">
        <f aca="false">IF(B28="",0,N(Students!F17))</f>
        <v>0</v>
      </c>
      <c r="I28" s="23"/>
      <c r="J28" s="24" t="n">
        <f aca="false">N(G28)+N(H28)-N(I28)</f>
        <v>0</v>
      </c>
      <c r="K28" s="33" t="n">
        <f aca="false">'Jan 2027'!N28</f>
        <v>0</v>
      </c>
      <c r="L28" s="33" t="n">
        <f aca="false">IF(B28="",0,N(Students!G17))</f>
        <v>0</v>
      </c>
      <c r="M28" s="23"/>
      <c r="N28" s="24" t="n">
        <f aca="false">N(K28)+N(L28)-N(M28)</f>
        <v>0</v>
      </c>
      <c r="O28" s="33" t="n">
        <f aca="false">'Jan 2027'!R28</f>
        <v>0</v>
      </c>
      <c r="P28" s="33" t="n">
        <f aca="false">IF(B28="",0,N(Students!H17))</f>
        <v>0</v>
      </c>
      <c r="Q28" s="23"/>
      <c r="R28" s="24" t="n">
        <f aca="false">N(O28)+N(P28)-N(Q28)</f>
        <v>0</v>
      </c>
      <c r="S28" s="33" t="n">
        <f aca="false">'Jan 2027'!V28</f>
        <v>0</v>
      </c>
      <c r="T28" s="33" t="n">
        <f aca="false">IF(B28="",0,N(Students!I17))</f>
        <v>0</v>
      </c>
      <c r="U28" s="23"/>
      <c r="V28" s="24" t="n">
        <f aca="false">N(S28)+N(T28)-N(U28)</f>
        <v>0</v>
      </c>
      <c r="W28" s="33" t="n">
        <f aca="false">'Jan 2027'!Z28</f>
        <v>0</v>
      </c>
      <c r="X28" s="33" t="n">
        <f aca="false">IF(B28="",0,N(Students!J17))</f>
        <v>0</v>
      </c>
      <c r="Y28" s="23"/>
      <c r="Z28" s="24" t="n">
        <f aca="false">N(W28)+N(X28)-N(Y28)</f>
        <v>0</v>
      </c>
      <c r="AA28" s="33" t="n">
        <f aca="false">N(E28)+N(I28)+N(M28)+N(Q28)+N(U28)+N(Y28)</f>
        <v>0</v>
      </c>
      <c r="AB28" s="24" t="n">
        <f aca="false">F28+J28+N28+R28+V28+Z28</f>
        <v>0</v>
      </c>
      <c r="AC28" s="81" t="str">
        <f aca="false">IF(B28="","",IF(AB28&lt;=0,"Clear",IF(AA28&gt;0,"Partial","Due")))</f>
        <v/>
      </c>
    </row>
    <row r="29" customFormat="false" ht="15" hidden="false" customHeight="false" outlineLevel="0" collapsed="false">
      <c r="A29" s="25" t="n">
        <v>14</v>
      </c>
      <c r="B29" s="82" t="str">
        <f aca="false">IF(Students!B18="","",Students!B18)</f>
        <v/>
      </c>
      <c r="C29" s="37" t="n">
        <f aca="false">'Jan 2027'!F29</f>
        <v>0</v>
      </c>
      <c r="D29" s="37" t="n">
        <f aca="false">IF(B29="",0,N(Students!E18))</f>
        <v>0</v>
      </c>
      <c r="E29" s="23"/>
      <c r="F29" s="26" t="n">
        <f aca="false">N(C29)+N(D29)-N(E29)</f>
        <v>0</v>
      </c>
      <c r="G29" s="37" t="n">
        <f aca="false">'Jan 2027'!J29</f>
        <v>0</v>
      </c>
      <c r="H29" s="37" t="n">
        <f aca="false">IF(B29="",0,N(Students!F18))</f>
        <v>0</v>
      </c>
      <c r="I29" s="23"/>
      <c r="J29" s="26" t="n">
        <f aca="false">N(G29)+N(H29)-N(I29)</f>
        <v>0</v>
      </c>
      <c r="K29" s="37" t="n">
        <f aca="false">'Jan 2027'!N29</f>
        <v>0</v>
      </c>
      <c r="L29" s="37" t="n">
        <f aca="false">IF(B29="",0,N(Students!G18))</f>
        <v>0</v>
      </c>
      <c r="M29" s="23"/>
      <c r="N29" s="26" t="n">
        <f aca="false">N(K29)+N(L29)-N(M29)</f>
        <v>0</v>
      </c>
      <c r="O29" s="37" t="n">
        <f aca="false">'Jan 2027'!R29</f>
        <v>0</v>
      </c>
      <c r="P29" s="37" t="n">
        <f aca="false">IF(B29="",0,N(Students!H18))</f>
        <v>0</v>
      </c>
      <c r="Q29" s="23"/>
      <c r="R29" s="26" t="n">
        <f aca="false">N(O29)+N(P29)-N(Q29)</f>
        <v>0</v>
      </c>
      <c r="S29" s="37" t="n">
        <f aca="false">'Jan 2027'!V29</f>
        <v>0</v>
      </c>
      <c r="T29" s="37" t="n">
        <f aca="false">IF(B29="",0,N(Students!I18))</f>
        <v>0</v>
      </c>
      <c r="U29" s="23"/>
      <c r="V29" s="26" t="n">
        <f aca="false">N(S29)+N(T29)-N(U29)</f>
        <v>0</v>
      </c>
      <c r="W29" s="37" t="n">
        <f aca="false">'Jan 2027'!Z29</f>
        <v>0</v>
      </c>
      <c r="X29" s="37" t="n">
        <f aca="false">IF(B29="",0,N(Students!J18))</f>
        <v>0</v>
      </c>
      <c r="Y29" s="23"/>
      <c r="Z29" s="26" t="n">
        <f aca="false">N(W29)+N(X29)-N(Y29)</f>
        <v>0</v>
      </c>
      <c r="AA29" s="37" t="n">
        <f aca="false">N(E29)+N(I29)+N(M29)+N(Q29)+N(U29)+N(Y29)</f>
        <v>0</v>
      </c>
      <c r="AB29" s="26" t="n">
        <f aca="false">F29+J29+N29+R29+V29+Z29</f>
        <v>0</v>
      </c>
      <c r="AC29" s="83" t="str">
        <f aca="false">IF(B29="","",IF(AB29&lt;=0,"Clear",IF(AA29&gt;0,"Partial","Due")))</f>
        <v/>
      </c>
    </row>
    <row r="30" customFormat="false" ht="15" hidden="false" customHeight="false" outlineLevel="0" collapsed="false">
      <c r="A30" s="21" t="n">
        <v>15</v>
      </c>
      <c r="B30" s="46" t="str">
        <f aca="false">IF(Students!B19="","",Students!B19)</f>
        <v/>
      </c>
      <c r="C30" s="33" t="n">
        <f aca="false">'Jan 2027'!F30</f>
        <v>0</v>
      </c>
      <c r="D30" s="33" t="n">
        <f aca="false">IF(B30="",0,N(Students!E19))</f>
        <v>0</v>
      </c>
      <c r="E30" s="23"/>
      <c r="F30" s="24" t="n">
        <f aca="false">N(C30)+N(D30)-N(E30)</f>
        <v>0</v>
      </c>
      <c r="G30" s="33" t="n">
        <f aca="false">'Jan 2027'!J30</f>
        <v>0</v>
      </c>
      <c r="H30" s="33" t="n">
        <f aca="false">IF(B30="",0,N(Students!F19))</f>
        <v>0</v>
      </c>
      <c r="I30" s="23"/>
      <c r="J30" s="24" t="n">
        <f aca="false">N(G30)+N(H30)-N(I30)</f>
        <v>0</v>
      </c>
      <c r="K30" s="33" t="n">
        <f aca="false">'Jan 2027'!N30</f>
        <v>0</v>
      </c>
      <c r="L30" s="33" t="n">
        <f aca="false">IF(B30="",0,N(Students!G19))</f>
        <v>0</v>
      </c>
      <c r="M30" s="23"/>
      <c r="N30" s="24" t="n">
        <f aca="false">N(K30)+N(L30)-N(M30)</f>
        <v>0</v>
      </c>
      <c r="O30" s="33" t="n">
        <f aca="false">'Jan 2027'!R30</f>
        <v>0</v>
      </c>
      <c r="P30" s="33" t="n">
        <f aca="false">IF(B30="",0,N(Students!H19))</f>
        <v>0</v>
      </c>
      <c r="Q30" s="23"/>
      <c r="R30" s="24" t="n">
        <f aca="false">N(O30)+N(P30)-N(Q30)</f>
        <v>0</v>
      </c>
      <c r="S30" s="33" t="n">
        <f aca="false">'Jan 2027'!V30</f>
        <v>0</v>
      </c>
      <c r="T30" s="33" t="n">
        <f aca="false">IF(B30="",0,N(Students!I19))</f>
        <v>0</v>
      </c>
      <c r="U30" s="23"/>
      <c r="V30" s="24" t="n">
        <f aca="false">N(S30)+N(T30)-N(U30)</f>
        <v>0</v>
      </c>
      <c r="W30" s="33" t="n">
        <f aca="false">'Jan 2027'!Z30</f>
        <v>0</v>
      </c>
      <c r="X30" s="33" t="n">
        <f aca="false">IF(B30="",0,N(Students!J19))</f>
        <v>0</v>
      </c>
      <c r="Y30" s="23"/>
      <c r="Z30" s="24" t="n">
        <f aca="false">N(W30)+N(X30)-N(Y30)</f>
        <v>0</v>
      </c>
      <c r="AA30" s="33" t="n">
        <f aca="false">N(E30)+N(I30)+N(M30)+N(Q30)+N(U30)+N(Y30)</f>
        <v>0</v>
      </c>
      <c r="AB30" s="24" t="n">
        <f aca="false">F30+J30+N30+R30+V30+Z30</f>
        <v>0</v>
      </c>
      <c r="AC30" s="81" t="str">
        <f aca="false">IF(B30="","",IF(AB30&lt;=0,"Clear",IF(AA30&gt;0,"Partial","Due")))</f>
        <v/>
      </c>
    </row>
    <row r="31" customFormat="false" ht="15" hidden="false" customHeight="false" outlineLevel="0" collapsed="false">
      <c r="A31" s="25" t="n">
        <v>16</v>
      </c>
      <c r="B31" s="82" t="str">
        <f aca="false">IF(Students!B20="","",Students!B20)</f>
        <v/>
      </c>
      <c r="C31" s="37" t="n">
        <f aca="false">'Jan 2027'!F31</f>
        <v>0</v>
      </c>
      <c r="D31" s="37" t="n">
        <f aca="false">IF(B31="",0,N(Students!E20))</f>
        <v>0</v>
      </c>
      <c r="E31" s="23"/>
      <c r="F31" s="26" t="n">
        <f aca="false">N(C31)+N(D31)-N(E31)</f>
        <v>0</v>
      </c>
      <c r="G31" s="37" t="n">
        <f aca="false">'Jan 2027'!J31</f>
        <v>0</v>
      </c>
      <c r="H31" s="37" t="n">
        <f aca="false">IF(B31="",0,N(Students!F20))</f>
        <v>0</v>
      </c>
      <c r="I31" s="23"/>
      <c r="J31" s="26" t="n">
        <f aca="false">N(G31)+N(H31)-N(I31)</f>
        <v>0</v>
      </c>
      <c r="K31" s="37" t="n">
        <f aca="false">'Jan 2027'!N31</f>
        <v>0</v>
      </c>
      <c r="L31" s="37" t="n">
        <f aca="false">IF(B31="",0,N(Students!G20))</f>
        <v>0</v>
      </c>
      <c r="M31" s="23"/>
      <c r="N31" s="26" t="n">
        <f aca="false">N(K31)+N(L31)-N(M31)</f>
        <v>0</v>
      </c>
      <c r="O31" s="37" t="n">
        <f aca="false">'Jan 2027'!R31</f>
        <v>0</v>
      </c>
      <c r="P31" s="37" t="n">
        <f aca="false">IF(B31="",0,N(Students!H20))</f>
        <v>0</v>
      </c>
      <c r="Q31" s="23"/>
      <c r="R31" s="26" t="n">
        <f aca="false">N(O31)+N(P31)-N(Q31)</f>
        <v>0</v>
      </c>
      <c r="S31" s="37" t="n">
        <f aca="false">'Jan 2027'!V31</f>
        <v>0</v>
      </c>
      <c r="T31" s="37" t="n">
        <f aca="false">IF(B31="",0,N(Students!I20))</f>
        <v>0</v>
      </c>
      <c r="U31" s="23"/>
      <c r="V31" s="26" t="n">
        <f aca="false">N(S31)+N(T31)-N(U31)</f>
        <v>0</v>
      </c>
      <c r="W31" s="37" t="n">
        <f aca="false">'Jan 2027'!Z31</f>
        <v>0</v>
      </c>
      <c r="X31" s="37" t="n">
        <f aca="false">IF(B31="",0,N(Students!J20))</f>
        <v>0</v>
      </c>
      <c r="Y31" s="23"/>
      <c r="Z31" s="26" t="n">
        <f aca="false">N(W31)+N(X31)-N(Y31)</f>
        <v>0</v>
      </c>
      <c r="AA31" s="37" t="n">
        <f aca="false">N(E31)+N(I31)+N(M31)+N(Q31)+N(U31)+N(Y31)</f>
        <v>0</v>
      </c>
      <c r="AB31" s="26" t="n">
        <f aca="false">F31+J31+N31+R31+V31+Z31</f>
        <v>0</v>
      </c>
      <c r="AC31" s="83" t="str">
        <f aca="false">IF(B31="","",IF(AB31&lt;=0,"Clear",IF(AA31&gt;0,"Partial","Due")))</f>
        <v/>
      </c>
    </row>
    <row r="32" customFormat="false" ht="15" hidden="false" customHeight="false" outlineLevel="0" collapsed="false">
      <c r="A32" s="21" t="n">
        <v>17</v>
      </c>
      <c r="B32" s="46" t="str">
        <f aca="false">IF(Students!B21="","",Students!B21)</f>
        <v/>
      </c>
      <c r="C32" s="33" t="n">
        <f aca="false">'Jan 2027'!F32</f>
        <v>0</v>
      </c>
      <c r="D32" s="33" t="n">
        <f aca="false">IF(B32="",0,N(Students!E21))</f>
        <v>0</v>
      </c>
      <c r="E32" s="23"/>
      <c r="F32" s="24" t="n">
        <f aca="false">N(C32)+N(D32)-N(E32)</f>
        <v>0</v>
      </c>
      <c r="G32" s="33" t="n">
        <f aca="false">'Jan 2027'!J32</f>
        <v>0</v>
      </c>
      <c r="H32" s="33" t="n">
        <f aca="false">IF(B32="",0,N(Students!F21))</f>
        <v>0</v>
      </c>
      <c r="I32" s="23"/>
      <c r="J32" s="24" t="n">
        <f aca="false">N(G32)+N(H32)-N(I32)</f>
        <v>0</v>
      </c>
      <c r="K32" s="33" t="n">
        <f aca="false">'Jan 2027'!N32</f>
        <v>0</v>
      </c>
      <c r="L32" s="33" t="n">
        <f aca="false">IF(B32="",0,N(Students!G21))</f>
        <v>0</v>
      </c>
      <c r="M32" s="23"/>
      <c r="N32" s="24" t="n">
        <f aca="false">N(K32)+N(L32)-N(M32)</f>
        <v>0</v>
      </c>
      <c r="O32" s="33" t="n">
        <f aca="false">'Jan 2027'!R32</f>
        <v>0</v>
      </c>
      <c r="P32" s="33" t="n">
        <f aca="false">IF(B32="",0,N(Students!H21))</f>
        <v>0</v>
      </c>
      <c r="Q32" s="23"/>
      <c r="R32" s="24" t="n">
        <f aca="false">N(O32)+N(P32)-N(Q32)</f>
        <v>0</v>
      </c>
      <c r="S32" s="33" t="n">
        <f aca="false">'Jan 2027'!V32</f>
        <v>0</v>
      </c>
      <c r="T32" s="33" t="n">
        <f aca="false">IF(B32="",0,N(Students!I21))</f>
        <v>0</v>
      </c>
      <c r="U32" s="23"/>
      <c r="V32" s="24" t="n">
        <f aca="false">N(S32)+N(T32)-N(U32)</f>
        <v>0</v>
      </c>
      <c r="W32" s="33" t="n">
        <f aca="false">'Jan 2027'!Z32</f>
        <v>0</v>
      </c>
      <c r="X32" s="33" t="n">
        <f aca="false">IF(B32="",0,N(Students!J21))</f>
        <v>0</v>
      </c>
      <c r="Y32" s="23"/>
      <c r="Z32" s="24" t="n">
        <f aca="false">N(W32)+N(X32)-N(Y32)</f>
        <v>0</v>
      </c>
      <c r="AA32" s="33" t="n">
        <f aca="false">N(E32)+N(I32)+N(M32)+N(Q32)+N(U32)+N(Y32)</f>
        <v>0</v>
      </c>
      <c r="AB32" s="24" t="n">
        <f aca="false">F32+J32+N32+R32+V32+Z32</f>
        <v>0</v>
      </c>
      <c r="AC32" s="81" t="str">
        <f aca="false">IF(B32="","",IF(AB32&lt;=0,"Clear",IF(AA32&gt;0,"Partial","Due")))</f>
        <v/>
      </c>
    </row>
    <row r="33" customFormat="false" ht="15" hidden="false" customHeight="false" outlineLevel="0" collapsed="false">
      <c r="A33" s="25" t="n">
        <v>18</v>
      </c>
      <c r="B33" s="82" t="str">
        <f aca="false">IF(Students!B22="","",Students!B22)</f>
        <v/>
      </c>
      <c r="C33" s="37" t="n">
        <f aca="false">'Jan 2027'!F33</f>
        <v>0</v>
      </c>
      <c r="D33" s="37" t="n">
        <f aca="false">IF(B33="",0,N(Students!E22))</f>
        <v>0</v>
      </c>
      <c r="E33" s="23"/>
      <c r="F33" s="26" t="n">
        <f aca="false">N(C33)+N(D33)-N(E33)</f>
        <v>0</v>
      </c>
      <c r="G33" s="37" t="n">
        <f aca="false">'Jan 2027'!J33</f>
        <v>0</v>
      </c>
      <c r="H33" s="37" t="n">
        <f aca="false">IF(B33="",0,N(Students!F22))</f>
        <v>0</v>
      </c>
      <c r="I33" s="23"/>
      <c r="J33" s="26" t="n">
        <f aca="false">N(G33)+N(H33)-N(I33)</f>
        <v>0</v>
      </c>
      <c r="K33" s="37" t="n">
        <f aca="false">'Jan 2027'!N33</f>
        <v>0</v>
      </c>
      <c r="L33" s="37" t="n">
        <f aca="false">IF(B33="",0,N(Students!G22))</f>
        <v>0</v>
      </c>
      <c r="M33" s="23"/>
      <c r="N33" s="26" t="n">
        <f aca="false">N(K33)+N(L33)-N(M33)</f>
        <v>0</v>
      </c>
      <c r="O33" s="37" t="n">
        <f aca="false">'Jan 2027'!R33</f>
        <v>0</v>
      </c>
      <c r="P33" s="37" t="n">
        <f aca="false">IF(B33="",0,N(Students!H22))</f>
        <v>0</v>
      </c>
      <c r="Q33" s="23"/>
      <c r="R33" s="26" t="n">
        <f aca="false">N(O33)+N(P33)-N(Q33)</f>
        <v>0</v>
      </c>
      <c r="S33" s="37" t="n">
        <f aca="false">'Jan 2027'!V33</f>
        <v>0</v>
      </c>
      <c r="T33" s="37" t="n">
        <f aca="false">IF(B33="",0,N(Students!I22))</f>
        <v>0</v>
      </c>
      <c r="U33" s="23"/>
      <c r="V33" s="26" t="n">
        <f aca="false">N(S33)+N(T33)-N(U33)</f>
        <v>0</v>
      </c>
      <c r="W33" s="37" t="n">
        <f aca="false">'Jan 2027'!Z33</f>
        <v>0</v>
      </c>
      <c r="X33" s="37" t="n">
        <f aca="false">IF(B33="",0,N(Students!J22))</f>
        <v>0</v>
      </c>
      <c r="Y33" s="23"/>
      <c r="Z33" s="26" t="n">
        <f aca="false">N(W33)+N(X33)-N(Y33)</f>
        <v>0</v>
      </c>
      <c r="AA33" s="37" t="n">
        <f aca="false">N(E33)+N(I33)+N(M33)+N(Q33)+N(U33)+N(Y33)</f>
        <v>0</v>
      </c>
      <c r="AB33" s="26" t="n">
        <f aca="false">F33+J33+N33+R33+V33+Z33</f>
        <v>0</v>
      </c>
      <c r="AC33" s="83" t="str">
        <f aca="false">IF(B33="","",IF(AB33&lt;=0,"Clear",IF(AA33&gt;0,"Partial","Due")))</f>
        <v/>
      </c>
    </row>
    <row r="34" customFormat="false" ht="15" hidden="false" customHeight="false" outlineLevel="0" collapsed="false">
      <c r="A34" s="21" t="n">
        <v>19</v>
      </c>
      <c r="B34" s="46" t="str">
        <f aca="false">IF(Students!B23="","",Students!B23)</f>
        <v/>
      </c>
      <c r="C34" s="33" t="n">
        <f aca="false">'Jan 2027'!F34</f>
        <v>0</v>
      </c>
      <c r="D34" s="33" t="n">
        <f aca="false">IF(B34="",0,N(Students!E23))</f>
        <v>0</v>
      </c>
      <c r="E34" s="23"/>
      <c r="F34" s="24" t="n">
        <f aca="false">N(C34)+N(D34)-N(E34)</f>
        <v>0</v>
      </c>
      <c r="G34" s="33" t="n">
        <f aca="false">'Jan 2027'!J34</f>
        <v>0</v>
      </c>
      <c r="H34" s="33" t="n">
        <f aca="false">IF(B34="",0,N(Students!F23))</f>
        <v>0</v>
      </c>
      <c r="I34" s="23"/>
      <c r="J34" s="24" t="n">
        <f aca="false">N(G34)+N(H34)-N(I34)</f>
        <v>0</v>
      </c>
      <c r="K34" s="33" t="n">
        <f aca="false">'Jan 2027'!N34</f>
        <v>0</v>
      </c>
      <c r="L34" s="33" t="n">
        <f aca="false">IF(B34="",0,N(Students!G23))</f>
        <v>0</v>
      </c>
      <c r="M34" s="23"/>
      <c r="N34" s="24" t="n">
        <f aca="false">N(K34)+N(L34)-N(M34)</f>
        <v>0</v>
      </c>
      <c r="O34" s="33" t="n">
        <f aca="false">'Jan 2027'!R34</f>
        <v>0</v>
      </c>
      <c r="P34" s="33" t="n">
        <f aca="false">IF(B34="",0,N(Students!H23))</f>
        <v>0</v>
      </c>
      <c r="Q34" s="23"/>
      <c r="R34" s="24" t="n">
        <f aca="false">N(O34)+N(P34)-N(Q34)</f>
        <v>0</v>
      </c>
      <c r="S34" s="33" t="n">
        <f aca="false">'Jan 2027'!V34</f>
        <v>0</v>
      </c>
      <c r="T34" s="33" t="n">
        <f aca="false">IF(B34="",0,N(Students!I23))</f>
        <v>0</v>
      </c>
      <c r="U34" s="23"/>
      <c r="V34" s="24" t="n">
        <f aca="false">N(S34)+N(T34)-N(U34)</f>
        <v>0</v>
      </c>
      <c r="W34" s="33" t="n">
        <f aca="false">'Jan 2027'!Z34</f>
        <v>0</v>
      </c>
      <c r="X34" s="33" t="n">
        <f aca="false">IF(B34="",0,N(Students!J23))</f>
        <v>0</v>
      </c>
      <c r="Y34" s="23"/>
      <c r="Z34" s="24" t="n">
        <f aca="false">N(W34)+N(X34)-N(Y34)</f>
        <v>0</v>
      </c>
      <c r="AA34" s="33" t="n">
        <f aca="false">N(E34)+N(I34)+N(M34)+N(Q34)+N(U34)+N(Y34)</f>
        <v>0</v>
      </c>
      <c r="AB34" s="24" t="n">
        <f aca="false">F34+J34+N34+R34+V34+Z34</f>
        <v>0</v>
      </c>
      <c r="AC34" s="81" t="str">
        <f aca="false">IF(B34="","",IF(AB34&lt;=0,"Clear",IF(AA34&gt;0,"Partial","Due")))</f>
        <v/>
      </c>
    </row>
    <row r="35" customFormat="false" ht="15" hidden="false" customHeight="false" outlineLevel="0" collapsed="false">
      <c r="A35" s="25" t="n">
        <v>20</v>
      </c>
      <c r="B35" s="82" t="str">
        <f aca="false">IF(Students!B24="","",Students!B24)</f>
        <v/>
      </c>
      <c r="C35" s="37" t="n">
        <f aca="false">'Jan 2027'!F35</f>
        <v>0</v>
      </c>
      <c r="D35" s="37" t="n">
        <f aca="false">IF(B35="",0,N(Students!E24))</f>
        <v>0</v>
      </c>
      <c r="E35" s="23"/>
      <c r="F35" s="26" t="n">
        <f aca="false">N(C35)+N(D35)-N(E35)</f>
        <v>0</v>
      </c>
      <c r="G35" s="37" t="n">
        <f aca="false">'Jan 2027'!J35</f>
        <v>0</v>
      </c>
      <c r="H35" s="37" t="n">
        <f aca="false">IF(B35="",0,N(Students!F24))</f>
        <v>0</v>
      </c>
      <c r="I35" s="23"/>
      <c r="J35" s="26" t="n">
        <f aca="false">N(G35)+N(H35)-N(I35)</f>
        <v>0</v>
      </c>
      <c r="K35" s="37" t="n">
        <f aca="false">'Jan 2027'!N35</f>
        <v>0</v>
      </c>
      <c r="L35" s="37" t="n">
        <f aca="false">IF(B35="",0,N(Students!G24))</f>
        <v>0</v>
      </c>
      <c r="M35" s="23"/>
      <c r="N35" s="26" t="n">
        <f aca="false">N(K35)+N(L35)-N(M35)</f>
        <v>0</v>
      </c>
      <c r="O35" s="37" t="n">
        <f aca="false">'Jan 2027'!R35</f>
        <v>0</v>
      </c>
      <c r="P35" s="37" t="n">
        <f aca="false">IF(B35="",0,N(Students!H24))</f>
        <v>0</v>
      </c>
      <c r="Q35" s="23"/>
      <c r="R35" s="26" t="n">
        <f aca="false">N(O35)+N(P35)-N(Q35)</f>
        <v>0</v>
      </c>
      <c r="S35" s="37" t="n">
        <f aca="false">'Jan 2027'!V35</f>
        <v>0</v>
      </c>
      <c r="T35" s="37" t="n">
        <f aca="false">IF(B35="",0,N(Students!I24))</f>
        <v>0</v>
      </c>
      <c r="U35" s="23"/>
      <c r="V35" s="26" t="n">
        <f aca="false">N(S35)+N(T35)-N(U35)</f>
        <v>0</v>
      </c>
      <c r="W35" s="37" t="n">
        <f aca="false">'Jan 2027'!Z35</f>
        <v>0</v>
      </c>
      <c r="X35" s="37" t="n">
        <f aca="false">IF(B35="",0,N(Students!J24))</f>
        <v>0</v>
      </c>
      <c r="Y35" s="23"/>
      <c r="Z35" s="26" t="n">
        <f aca="false">N(W35)+N(X35)-N(Y35)</f>
        <v>0</v>
      </c>
      <c r="AA35" s="37" t="n">
        <f aca="false">N(E35)+N(I35)+N(M35)+N(Q35)+N(U35)+N(Y35)</f>
        <v>0</v>
      </c>
      <c r="AB35" s="26" t="n">
        <f aca="false">F35+J35+N35+R35+V35+Z35</f>
        <v>0</v>
      </c>
      <c r="AC35" s="83" t="str">
        <f aca="false">IF(B35="","",IF(AB35&lt;=0,"Clear",IF(AA35&gt;0,"Partial","Due")))</f>
        <v/>
      </c>
    </row>
    <row r="36" customFormat="false" ht="15" hidden="false" customHeight="false" outlineLevel="0" collapsed="false">
      <c r="A36" s="21" t="n">
        <v>21</v>
      </c>
      <c r="B36" s="46" t="str">
        <f aca="false">IF(Students!B25="","",Students!B25)</f>
        <v/>
      </c>
      <c r="C36" s="33" t="n">
        <f aca="false">'Jan 2027'!F36</f>
        <v>0</v>
      </c>
      <c r="D36" s="33" t="n">
        <f aca="false">IF(B36="",0,N(Students!E25))</f>
        <v>0</v>
      </c>
      <c r="E36" s="23"/>
      <c r="F36" s="24" t="n">
        <f aca="false">N(C36)+N(D36)-N(E36)</f>
        <v>0</v>
      </c>
      <c r="G36" s="33" t="n">
        <f aca="false">'Jan 2027'!J36</f>
        <v>0</v>
      </c>
      <c r="H36" s="33" t="n">
        <f aca="false">IF(B36="",0,N(Students!F25))</f>
        <v>0</v>
      </c>
      <c r="I36" s="23"/>
      <c r="J36" s="24" t="n">
        <f aca="false">N(G36)+N(H36)-N(I36)</f>
        <v>0</v>
      </c>
      <c r="K36" s="33" t="n">
        <f aca="false">'Jan 2027'!N36</f>
        <v>0</v>
      </c>
      <c r="L36" s="33" t="n">
        <f aca="false">IF(B36="",0,N(Students!G25))</f>
        <v>0</v>
      </c>
      <c r="M36" s="23"/>
      <c r="N36" s="24" t="n">
        <f aca="false">N(K36)+N(L36)-N(M36)</f>
        <v>0</v>
      </c>
      <c r="O36" s="33" t="n">
        <f aca="false">'Jan 2027'!R36</f>
        <v>0</v>
      </c>
      <c r="P36" s="33" t="n">
        <f aca="false">IF(B36="",0,N(Students!H25))</f>
        <v>0</v>
      </c>
      <c r="Q36" s="23"/>
      <c r="R36" s="24" t="n">
        <f aca="false">N(O36)+N(P36)-N(Q36)</f>
        <v>0</v>
      </c>
      <c r="S36" s="33" t="n">
        <f aca="false">'Jan 2027'!V36</f>
        <v>0</v>
      </c>
      <c r="T36" s="33" t="n">
        <f aca="false">IF(B36="",0,N(Students!I25))</f>
        <v>0</v>
      </c>
      <c r="U36" s="23"/>
      <c r="V36" s="24" t="n">
        <f aca="false">N(S36)+N(T36)-N(U36)</f>
        <v>0</v>
      </c>
      <c r="W36" s="33" t="n">
        <f aca="false">'Jan 2027'!Z36</f>
        <v>0</v>
      </c>
      <c r="X36" s="33" t="n">
        <f aca="false">IF(B36="",0,N(Students!J25))</f>
        <v>0</v>
      </c>
      <c r="Y36" s="23"/>
      <c r="Z36" s="24" t="n">
        <f aca="false">N(W36)+N(X36)-N(Y36)</f>
        <v>0</v>
      </c>
      <c r="AA36" s="33" t="n">
        <f aca="false">N(E36)+N(I36)+N(M36)+N(Q36)+N(U36)+N(Y36)</f>
        <v>0</v>
      </c>
      <c r="AB36" s="24" t="n">
        <f aca="false">F36+J36+N36+R36+V36+Z36</f>
        <v>0</v>
      </c>
      <c r="AC36" s="81" t="str">
        <f aca="false">IF(B36="","",IF(AB36&lt;=0,"Clear",IF(AA36&gt;0,"Partial","Due")))</f>
        <v/>
      </c>
    </row>
    <row r="37" customFormat="false" ht="15" hidden="false" customHeight="false" outlineLevel="0" collapsed="false">
      <c r="A37" s="25" t="n">
        <v>22</v>
      </c>
      <c r="B37" s="82" t="str">
        <f aca="false">IF(Students!B26="","",Students!B26)</f>
        <v/>
      </c>
      <c r="C37" s="37" t="n">
        <f aca="false">'Jan 2027'!F37</f>
        <v>0</v>
      </c>
      <c r="D37" s="37" t="n">
        <f aca="false">IF(B37="",0,N(Students!E26))</f>
        <v>0</v>
      </c>
      <c r="E37" s="23"/>
      <c r="F37" s="26" t="n">
        <f aca="false">N(C37)+N(D37)-N(E37)</f>
        <v>0</v>
      </c>
      <c r="G37" s="37" t="n">
        <f aca="false">'Jan 2027'!J37</f>
        <v>0</v>
      </c>
      <c r="H37" s="37" t="n">
        <f aca="false">IF(B37="",0,N(Students!F26))</f>
        <v>0</v>
      </c>
      <c r="I37" s="23"/>
      <c r="J37" s="26" t="n">
        <f aca="false">N(G37)+N(H37)-N(I37)</f>
        <v>0</v>
      </c>
      <c r="K37" s="37" t="n">
        <f aca="false">'Jan 2027'!N37</f>
        <v>0</v>
      </c>
      <c r="L37" s="37" t="n">
        <f aca="false">IF(B37="",0,N(Students!G26))</f>
        <v>0</v>
      </c>
      <c r="M37" s="23"/>
      <c r="N37" s="26" t="n">
        <f aca="false">N(K37)+N(L37)-N(M37)</f>
        <v>0</v>
      </c>
      <c r="O37" s="37" t="n">
        <f aca="false">'Jan 2027'!R37</f>
        <v>0</v>
      </c>
      <c r="P37" s="37" t="n">
        <f aca="false">IF(B37="",0,N(Students!H26))</f>
        <v>0</v>
      </c>
      <c r="Q37" s="23"/>
      <c r="R37" s="26" t="n">
        <f aca="false">N(O37)+N(P37)-N(Q37)</f>
        <v>0</v>
      </c>
      <c r="S37" s="37" t="n">
        <f aca="false">'Jan 2027'!V37</f>
        <v>0</v>
      </c>
      <c r="T37" s="37" t="n">
        <f aca="false">IF(B37="",0,N(Students!I26))</f>
        <v>0</v>
      </c>
      <c r="U37" s="23"/>
      <c r="V37" s="26" t="n">
        <f aca="false">N(S37)+N(T37)-N(U37)</f>
        <v>0</v>
      </c>
      <c r="W37" s="37" t="n">
        <f aca="false">'Jan 2027'!Z37</f>
        <v>0</v>
      </c>
      <c r="X37" s="37" t="n">
        <f aca="false">IF(B37="",0,N(Students!J26))</f>
        <v>0</v>
      </c>
      <c r="Y37" s="23"/>
      <c r="Z37" s="26" t="n">
        <f aca="false">N(W37)+N(X37)-N(Y37)</f>
        <v>0</v>
      </c>
      <c r="AA37" s="37" t="n">
        <f aca="false">N(E37)+N(I37)+N(M37)+N(Q37)+N(U37)+N(Y37)</f>
        <v>0</v>
      </c>
      <c r="AB37" s="26" t="n">
        <f aca="false">F37+J37+N37+R37+V37+Z37</f>
        <v>0</v>
      </c>
      <c r="AC37" s="83" t="str">
        <f aca="false">IF(B37="","",IF(AB37&lt;=0,"Clear",IF(AA37&gt;0,"Partial","Due")))</f>
        <v/>
      </c>
    </row>
    <row r="38" customFormat="false" ht="15" hidden="false" customHeight="false" outlineLevel="0" collapsed="false">
      <c r="A38" s="21" t="n">
        <v>23</v>
      </c>
      <c r="B38" s="46" t="str">
        <f aca="false">IF(Students!B27="","",Students!B27)</f>
        <v/>
      </c>
      <c r="C38" s="33" t="n">
        <f aca="false">'Jan 2027'!F38</f>
        <v>0</v>
      </c>
      <c r="D38" s="33" t="n">
        <f aca="false">IF(B38="",0,N(Students!E27))</f>
        <v>0</v>
      </c>
      <c r="E38" s="23"/>
      <c r="F38" s="24" t="n">
        <f aca="false">N(C38)+N(D38)-N(E38)</f>
        <v>0</v>
      </c>
      <c r="G38" s="33" t="n">
        <f aca="false">'Jan 2027'!J38</f>
        <v>0</v>
      </c>
      <c r="H38" s="33" t="n">
        <f aca="false">IF(B38="",0,N(Students!F27))</f>
        <v>0</v>
      </c>
      <c r="I38" s="23"/>
      <c r="J38" s="24" t="n">
        <f aca="false">N(G38)+N(H38)-N(I38)</f>
        <v>0</v>
      </c>
      <c r="K38" s="33" t="n">
        <f aca="false">'Jan 2027'!N38</f>
        <v>0</v>
      </c>
      <c r="L38" s="33" t="n">
        <f aca="false">IF(B38="",0,N(Students!G27))</f>
        <v>0</v>
      </c>
      <c r="M38" s="23"/>
      <c r="N38" s="24" t="n">
        <f aca="false">N(K38)+N(L38)-N(M38)</f>
        <v>0</v>
      </c>
      <c r="O38" s="33" t="n">
        <f aca="false">'Jan 2027'!R38</f>
        <v>0</v>
      </c>
      <c r="P38" s="33" t="n">
        <f aca="false">IF(B38="",0,N(Students!H27))</f>
        <v>0</v>
      </c>
      <c r="Q38" s="23"/>
      <c r="R38" s="24" t="n">
        <f aca="false">N(O38)+N(P38)-N(Q38)</f>
        <v>0</v>
      </c>
      <c r="S38" s="33" t="n">
        <f aca="false">'Jan 2027'!V38</f>
        <v>0</v>
      </c>
      <c r="T38" s="33" t="n">
        <f aca="false">IF(B38="",0,N(Students!I27))</f>
        <v>0</v>
      </c>
      <c r="U38" s="23"/>
      <c r="V38" s="24" t="n">
        <f aca="false">N(S38)+N(T38)-N(U38)</f>
        <v>0</v>
      </c>
      <c r="W38" s="33" t="n">
        <f aca="false">'Jan 2027'!Z38</f>
        <v>0</v>
      </c>
      <c r="X38" s="33" t="n">
        <f aca="false">IF(B38="",0,N(Students!J27))</f>
        <v>0</v>
      </c>
      <c r="Y38" s="23"/>
      <c r="Z38" s="24" t="n">
        <f aca="false">N(W38)+N(X38)-N(Y38)</f>
        <v>0</v>
      </c>
      <c r="AA38" s="33" t="n">
        <f aca="false">N(E38)+N(I38)+N(M38)+N(Q38)+N(U38)+N(Y38)</f>
        <v>0</v>
      </c>
      <c r="AB38" s="24" t="n">
        <f aca="false">F38+J38+N38+R38+V38+Z38</f>
        <v>0</v>
      </c>
      <c r="AC38" s="81" t="str">
        <f aca="false">IF(B38="","",IF(AB38&lt;=0,"Clear",IF(AA38&gt;0,"Partial","Due")))</f>
        <v/>
      </c>
    </row>
    <row r="39" customFormat="false" ht="15" hidden="false" customHeight="false" outlineLevel="0" collapsed="false">
      <c r="A39" s="25" t="n">
        <v>24</v>
      </c>
      <c r="B39" s="82" t="str">
        <f aca="false">IF(Students!B28="","",Students!B28)</f>
        <v/>
      </c>
      <c r="C39" s="37" t="n">
        <f aca="false">'Jan 2027'!F39</f>
        <v>0</v>
      </c>
      <c r="D39" s="37" t="n">
        <f aca="false">IF(B39="",0,N(Students!E28))</f>
        <v>0</v>
      </c>
      <c r="E39" s="23"/>
      <c r="F39" s="26" t="n">
        <f aca="false">N(C39)+N(D39)-N(E39)</f>
        <v>0</v>
      </c>
      <c r="G39" s="37" t="n">
        <f aca="false">'Jan 2027'!J39</f>
        <v>0</v>
      </c>
      <c r="H39" s="37" t="n">
        <f aca="false">IF(B39="",0,N(Students!F28))</f>
        <v>0</v>
      </c>
      <c r="I39" s="23"/>
      <c r="J39" s="26" t="n">
        <f aca="false">N(G39)+N(H39)-N(I39)</f>
        <v>0</v>
      </c>
      <c r="K39" s="37" t="n">
        <f aca="false">'Jan 2027'!N39</f>
        <v>0</v>
      </c>
      <c r="L39" s="37" t="n">
        <f aca="false">IF(B39="",0,N(Students!G28))</f>
        <v>0</v>
      </c>
      <c r="M39" s="23"/>
      <c r="N39" s="26" t="n">
        <f aca="false">N(K39)+N(L39)-N(M39)</f>
        <v>0</v>
      </c>
      <c r="O39" s="37" t="n">
        <f aca="false">'Jan 2027'!R39</f>
        <v>0</v>
      </c>
      <c r="P39" s="37" t="n">
        <f aca="false">IF(B39="",0,N(Students!H28))</f>
        <v>0</v>
      </c>
      <c r="Q39" s="23"/>
      <c r="R39" s="26" t="n">
        <f aca="false">N(O39)+N(P39)-N(Q39)</f>
        <v>0</v>
      </c>
      <c r="S39" s="37" t="n">
        <f aca="false">'Jan 2027'!V39</f>
        <v>0</v>
      </c>
      <c r="T39" s="37" t="n">
        <f aca="false">IF(B39="",0,N(Students!I28))</f>
        <v>0</v>
      </c>
      <c r="U39" s="23"/>
      <c r="V39" s="26" t="n">
        <f aca="false">N(S39)+N(T39)-N(U39)</f>
        <v>0</v>
      </c>
      <c r="W39" s="37" t="n">
        <f aca="false">'Jan 2027'!Z39</f>
        <v>0</v>
      </c>
      <c r="X39" s="37" t="n">
        <f aca="false">IF(B39="",0,N(Students!J28))</f>
        <v>0</v>
      </c>
      <c r="Y39" s="23"/>
      <c r="Z39" s="26" t="n">
        <f aca="false">N(W39)+N(X39)-N(Y39)</f>
        <v>0</v>
      </c>
      <c r="AA39" s="37" t="n">
        <f aca="false">N(E39)+N(I39)+N(M39)+N(Q39)+N(U39)+N(Y39)</f>
        <v>0</v>
      </c>
      <c r="AB39" s="26" t="n">
        <f aca="false">F39+J39+N39+R39+V39+Z39</f>
        <v>0</v>
      </c>
      <c r="AC39" s="83" t="str">
        <f aca="false">IF(B39="","",IF(AB39&lt;=0,"Clear",IF(AA39&gt;0,"Partial","Due")))</f>
        <v/>
      </c>
    </row>
    <row r="40" customFormat="false" ht="15" hidden="false" customHeight="false" outlineLevel="0" collapsed="false">
      <c r="A40" s="21" t="n">
        <v>25</v>
      </c>
      <c r="B40" s="46" t="str">
        <f aca="false">IF(Students!B29="","",Students!B29)</f>
        <v/>
      </c>
      <c r="C40" s="33" t="n">
        <f aca="false">'Jan 2027'!F40</f>
        <v>0</v>
      </c>
      <c r="D40" s="33" t="n">
        <f aca="false">IF(B40="",0,N(Students!E29))</f>
        <v>0</v>
      </c>
      <c r="E40" s="23"/>
      <c r="F40" s="24" t="n">
        <f aca="false">N(C40)+N(D40)-N(E40)</f>
        <v>0</v>
      </c>
      <c r="G40" s="33" t="n">
        <f aca="false">'Jan 2027'!J40</f>
        <v>0</v>
      </c>
      <c r="H40" s="33" t="n">
        <f aca="false">IF(B40="",0,N(Students!F29))</f>
        <v>0</v>
      </c>
      <c r="I40" s="23"/>
      <c r="J40" s="24" t="n">
        <f aca="false">N(G40)+N(H40)-N(I40)</f>
        <v>0</v>
      </c>
      <c r="K40" s="33" t="n">
        <f aca="false">'Jan 2027'!N40</f>
        <v>0</v>
      </c>
      <c r="L40" s="33" t="n">
        <f aca="false">IF(B40="",0,N(Students!G29))</f>
        <v>0</v>
      </c>
      <c r="M40" s="23"/>
      <c r="N40" s="24" t="n">
        <f aca="false">N(K40)+N(L40)-N(M40)</f>
        <v>0</v>
      </c>
      <c r="O40" s="33" t="n">
        <f aca="false">'Jan 2027'!R40</f>
        <v>0</v>
      </c>
      <c r="P40" s="33" t="n">
        <f aca="false">IF(B40="",0,N(Students!H29))</f>
        <v>0</v>
      </c>
      <c r="Q40" s="23"/>
      <c r="R40" s="24" t="n">
        <f aca="false">N(O40)+N(P40)-N(Q40)</f>
        <v>0</v>
      </c>
      <c r="S40" s="33" t="n">
        <f aca="false">'Jan 2027'!V40</f>
        <v>0</v>
      </c>
      <c r="T40" s="33" t="n">
        <f aca="false">IF(B40="",0,N(Students!I29))</f>
        <v>0</v>
      </c>
      <c r="U40" s="23"/>
      <c r="V40" s="24" t="n">
        <f aca="false">N(S40)+N(T40)-N(U40)</f>
        <v>0</v>
      </c>
      <c r="W40" s="33" t="n">
        <f aca="false">'Jan 2027'!Z40</f>
        <v>0</v>
      </c>
      <c r="X40" s="33" t="n">
        <f aca="false">IF(B40="",0,N(Students!J29))</f>
        <v>0</v>
      </c>
      <c r="Y40" s="23"/>
      <c r="Z40" s="24" t="n">
        <f aca="false">N(W40)+N(X40)-N(Y40)</f>
        <v>0</v>
      </c>
      <c r="AA40" s="33" t="n">
        <f aca="false">N(E40)+N(I40)+N(M40)+N(Q40)+N(U40)+N(Y40)</f>
        <v>0</v>
      </c>
      <c r="AB40" s="24" t="n">
        <f aca="false">F40+J40+N40+R40+V40+Z40</f>
        <v>0</v>
      </c>
      <c r="AC40" s="81" t="str">
        <f aca="false">IF(B40="","",IF(AB40&lt;=0,"Clear",IF(AA40&gt;0,"Partial","Due")))</f>
        <v/>
      </c>
    </row>
    <row r="41" customFormat="false" ht="15" hidden="false" customHeight="false" outlineLevel="0" collapsed="false">
      <c r="A41" s="25" t="n">
        <v>26</v>
      </c>
      <c r="B41" s="82" t="str">
        <f aca="false">IF(Students!B30="","",Students!B30)</f>
        <v/>
      </c>
      <c r="C41" s="37" t="n">
        <f aca="false">'Jan 2027'!F41</f>
        <v>0</v>
      </c>
      <c r="D41" s="37" t="n">
        <f aca="false">IF(B41="",0,N(Students!E30))</f>
        <v>0</v>
      </c>
      <c r="E41" s="23"/>
      <c r="F41" s="26" t="n">
        <f aca="false">N(C41)+N(D41)-N(E41)</f>
        <v>0</v>
      </c>
      <c r="G41" s="37" t="n">
        <f aca="false">'Jan 2027'!J41</f>
        <v>0</v>
      </c>
      <c r="H41" s="37" t="n">
        <f aca="false">IF(B41="",0,N(Students!F30))</f>
        <v>0</v>
      </c>
      <c r="I41" s="23"/>
      <c r="J41" s="26" t="n">
        <f aca="false">N(G41)+N(H41)-N(I41)</f>
        <v>0</v>
      </c>
      <c r="K41" s="37" t="n">
        <f aca="false">'Jan 2027'!N41</f>
        <v>0</v>
      </c>
      <c r="L41" s="37" t="n">
        <f aca="false">IF(B41="",0,N(Students!G30))</f>
        <v>0</v>
      </c>
      <c r="M41" s="23"/>
      <c r="N41" s="26" t="n">
        <f aca="false">N(K41)+N(L41)-N(M41)</f>
        <v>0</v>
      </c>
      <c r="O41" s="37" t="n">
        <f aca="false">'Jan 2027'!R41</f>
        <v>0</v>
      </c>
      <c r="P41" s="37" t="n">
        <f aca="false">IF(B41="",0,N(Students!H30))</f>
        <v>0</v>
      </c>
      <c r="Q41" s="23"/>
      <c r="R41" s="26" t="n">
        <f aca="false">N(O41)+N(P41)-N(Q41)</f>
        <v>0</v>
      </c>
      <c r="S41" s="37" t="n">
        <f aca="false">'Jan 2027'!V41</f>
        <v>0</v>
      </c>
      <c r="T41" s="37" t="n">
        <f aca="false">IF(B41="",0,N(Students!I30))</f>
        <v>0</v>
      </c>
      <c r="U41" s="23"/>
      <c r="V41" s="26" t="n">
        <f aca="false">N(S41)+N(T41)-N(U41)</f>
        <v>0</v>
      </c>
      <c r="W41" s="37" t="n">
        <f aca="false">'Jan 2027'!Z41</f>
        <v>0</v>
      </c>
      <c r="X41" s="37" t="n">
        <f aca="false">IF(B41="",0,N(Students!J30))</f>
        <v>0</v>
      </c>
      <c r="Y41" s="23"/>
      <c r="Z41" s="26" t="n">
        <f aca="false">N(W41)+N(X41)-N(Y41)</f>
        <v>0</v>
      </c>
      <c r="AA41" s="37" t="n">
        <f aca="false">N(E41)+N(I41)+N(M41)+N(Q41)+N(U41)+N(Y41)</f>
        <v>0</v>
      </c>
      <c r="AB41" s="26" t="n">
        <f aca="false">F41+J41+N41+R41+V41+Z41</f>
        <v>0</v>
      </c>
      <c r="AC41" s="83" t="str">
        <f aca="false">IF(B41="","",IF(AB41&lt;=0,"Clear",IF(AA41&gt;0,"Partial","Due")))</f>
        <v/>
      </c>
    </row>
    <row r="42" customFormat="false" ht="15" hidden="false" customHeight="false" outlineLevel="0" collapsed="false">
      <c r="A42" s="21" t="n">
        <v>27</v>
      </c>
      <c r="B42" s="46" t="str">
        <f aca="false">IF(Students!B31="","",Students!B31)</f>
        <v/>
      </c>
      <c r="C42" s="33" t="n">
        <f aca="false">'Jan 2027'!F42</f>
        <v>0</v>
      </c>
      <c r="D42" s="33" t="n">
        <f aca="false">IF(B42="",0,N(Students!E31))</f>
        <v>0</v>
      </c>
      <c r="E42" s="23"/>
      <c r="F42" s="24" t="n">
        <f aca="false">N(C42)+N(D42)-N(E42)</f>
        <v>0</v>
      </c>
      <c r="G42" s="33" t="n">
        <f aca="false">'Jan 2027'!J42</f>
        <v>0</v>
      </c>
      <c r="H42" s="33" t="n">
        <f aca="false">IF(B42="",0,N(Students!F31))</f>
        <v>0</v>
      </c>
      <c r="I42" s="23"/>
      <c r="J42" s="24" t="n">
        <f aca="false">N(G42)+N(H42)-N(I42)</f>
        <v>0</v>
      </c>
      <c r="K42" s="33" t="n">
        <f aca="false">'Jan 2027'!N42</f>
        <v>0</v>
      </c>
      <c r="L42" s="33" t="n">
        <f aca="false">IF(B42="",0,N(Students!G31))</f>
        <v>0</v>
      </c>
      <c r="M42" s="23"/>
      <c r="N42" s="24" t="n">
        <f aca="false">N(K42)+N(L42)-N(M42)</f>
        <v>0</v>
      </c>
      <c r="O42" s="33" t="n">
        <f aca="false">'Jan 2027'!R42</f>
        <v>0</v>
      </c>
      <c r="P42" s="33" t="n">
        <f aca="false">IF(B42="",0,N(Students!H31))</f>
        <v>0</v>
      </c>
      <c r="Q42" s="23"/>
      <c r="R42" s="24" t="n">
        <f aca="false">N(O42)+N(P42)-N(Q42)</f>
        <v>0</v>
      </c>
      <c r="S42" s="33" t="n">
        <f aca="false">'Jan 2027'!V42</f>
        <v>0</v>
      </c>
      <c r="T42" s="33" t="n">
        <f aca="false">IF(B42="",0,N(Students!I31))</f>
        <v>0</v>
      </c>
      <c r="U42" s="23"/>
      <c r="V42" s="24" t="n">
        <f aca="false">N(S42)+N(T42)-N(U42)</f>
        <v>0</v>
      </c>
      <c r="W42" s="33" t="n">
        <f aca="false">'Jan 2027'!Z42</f>
        <v>0</v>
      </c>
      <c r="X42" s="33" t="n">
        <f aca="false">IF(B42="",0,N(Students!J31))</f>
        <v>0</v>
      </c>
      <c r="Y42" s="23"/>
      <c r="Z42" s="24" t="n">
        <f aca="false">N(W42)+N(X42)-N(Y42)</f>
        <v>0</v>
      </c>
      <c r="AA42" s="33" t="n">
        <f aca="false">N(E42)+N(I42)+N(M42)+N(Q42)+N(U42)+N(Y42)</f>
        <v>0</v>
      </c>
      <c r="AB42" s="24" t="n">
        <f aca="false">F42+J42+N42+R42+V42+Z42</f>
        <v>0</v>
      </c>
      <c r="AC42" s="81" t="str">
        <f aca="false">IF(B42="","",IF(AB42&lt;=0,"Clear",IF(AA42&gt;0,"Partial","Due")))</f>
        <v/>
      </c>
    </row>
    <row r="43" customFormat="false" ht="15" hidden="false" customHeight="false" outlineLevel="0" collapsed="false">
      <c r="A43" s="25" t="n">
        <v>28</v>
      </c>
      <c r="B43" s="82" t="str">
        <f aca="false">IF(Students!B32="","",Students!B32)</f>
        <v/>
      </c>
      <c r="C43" s="37" t="n">
        <f aca="false">'Jan 2027'!F43</f>
        <v>0</v>
      </c>
      <c r="D43" s="37" t="n">
        <f aca="false">IF(B43="",0,N(Students!E32))</f>
        <v>0</v>
      </c>
      <c r="E43" s="23"/>
      <c r="F43" s="26" t="n">
        <f aca="false">N(C43)+N(D43)-N(E43)</f>
        <v>0</v>
      </c>
      <c r="G43" s="37" t="n">
        <f aca="false">'Jan 2027'!J43</f>
        <v>0</v>
      </c>
      <c r="H43" s="37" t="n">
        <f aca="false">IF(B43="",0,N(Students!F32))</f>
        <v>0</v>
      </c>
      <c r="I43" s="23"/>
      <c r="J43" s="26" t="n">
        <f aca="false">N(G43)+N(H43)-N(I43)</f>
        <v>0</v>
      </c>
      <c r="K43" s="37" t="n">
        <f aca="false">'Jan 2027'!N43</f>
        <v>0</v>
      </c>
      <c r="L43" s="37" t="n">
        <f aca="false">IF(B43="",0,N(Students!G32))</f>
        <v>0</v>
      </c>
      <c r="M43" s="23"/>
      <c r="N43" s="26" t="n">
        <f aca="false">N(K43)+N(L43)-N(M43)</f>
        <v>0</v>
      </c>
      <c r="O43" s="37" t="n">
        <f aca="false">'Jan 2027'!R43</f>
        <v>0</v>
      </c>
      <c r="P43" s="37" t="n">
        <f aca="false">IF(B43="",0,N(Students!H32))</f>
        <v>0</v>
      </c>
      <c r="Q43" s="23"/>
      <c r="R43" s="26" t="n">
        <f aca="false">N(O43)+N(P43)-N(Q43)</f>
        <v>0</v>
      </c>
      <c r="S43" s="37" t="n">
        <f aca="false">'Jan 2027'!V43</f>
        <v>0</v>
      </c>
      <c r="T43" s="37" t="n">
        <f aca="false">IF(B43="",0,N(Students!I32))</f>
        <v>0</v>
      </c>
      <c r="U43" s="23"/>
      <c r="V43" s="26" t="n">
        <f aca="false">N(S43)+N(T43)-N(U43)</f>
        <v>0</v>
      </c>
      <c r="W43" s="37" t="n">
        <f aca="false">'Jan 2027'!Z43</f>
        <v>0</v>
      </c>
      <c r="X43" s="37" t="n">
        <f aca="false">IF(B43="",0,N(Students!J32))</f>
        <v>0</v>
      </c>
      <c r="Y43" s="23"/>
      <c r="Z43" s="26" t="n">
        <f aca="false">N(W43)+N(X43)-N(Y43)</f>
        <v>0</v>
      </c>
      <c r="AA43" s="37" t="n">
        <f aca="false">N(E43)+N(I43)+N(M43)+N(Q43)+N(U43)+N(Y43)</f>
        <v>0</v>
      </c>
      <c r="AB43" s="26" t="n">
        <f aca="false">F43+J43+N43+R43+V43+Z43</f>
        <v>0</v>
      </c>
      <c r="AC43" s="83" t="str">
        <f aca="false">IF(B43="","",IF(AB43&lt;=0,"Clear",IF(AA43&gt;0,"Partial","Due")))</f>
        <v/>
      </c>
    </row>
    <row r="44" customFormat="false" ht="15" hidden="false" customHeight="false" outlineLevel="0" collapsed="false">
      <c r="A44" s="21" t="n">
        <v>29</v>
      </c>
      <c r="B44" s="46" t="str">
        <f aca="false">IF(Students!B33="","",Students!B33)</f>
        <v/>
      </c>
      <c r="C44" s="33" t="n">
        <f aca="false">'Jan 2027'!F44</f>
        <v>0</v>
      </c>
      <c r="D44" s="33" t="n">
        <f aca="false">IF(B44="",0,N(Students!E33))</f>
        <v>0</v>
      </c>
      <c r="E44" s="23"/>
      <c r="F44" s="24" t="n">
        <f aca="false">N(C44)+N(D44)-N(E44)</f>
        <v>0</v>
      </c>
      <c r="G44" s="33" t="n">
        <f aca="false">'Jan 2027'!J44</f>
        <v>0</v>
      </c>
      <c r="H44" s="33" t="n">
        <f aca="false">IF(B44="",0,N(Students!F33))</f>
        <v>0</v>
      </c>
      <c r="I44" s="23"/>
      <c r="J44" s="24" t="n">
        <f aca="false">N(G44)+N(H44)-N(I44)</f>
        <v>0</v>
      </c>
      <c r="K44" s="33" t="n">
        <f aca="false">'Jan 2027'!N44</f>
        <v>0</v>
      </c>
      <c r="L44" s="33" t="n">
        <f aca="false">IF(B44="",0,N(Students!G33))</f>
        <v>0</v>
      </c>
      <c r="M44" s="23"/>
      <c r="N44" s="24" t="n">
        <f aca="false">N(K44)+N(L44)-N(M44)</f>
        <v>0</v>
      </c>
      <c r="O44" s="33" t="n">
        <f aca="false">'Jan 2027'!R44</f>
        <v>0</v>
      </c>
      <c r="P44" s="33" t="n">
        <f aca="false">IF(B44="",0,N(Students!H33))</f>
        <v>0</v>
      </c>
      <c r="Q44" s="23"/>
      <c r="R44" s="24" t="n">
        <f aca="false">N(O44)+N(P44)-N(Q44)</f>
        <v>0</v>
      </c>
      <c r="S44" s="33" t="n">
        <f aca="false">'Jan 2027'!V44</f>
        <v>0</v>
      </c>
      <c r="T44" s="33" t="n">
        <f aca="false">IF(B44="",0,N(Students!I33))</f>
        <v>0</v>
      </c>
      <c r="U44" s="23"/>
      <c r="V44" s="24" t="n">
        <f aca="false">N(S44)+N(T44)-N(U44)</f>
        <v>0</v>
      </c>
      <c r="W44" s="33" t="n">
        <f aca="false">'Jan 2027'!Z44</f>
        <v>0</v>
      </c>
      <c r="X44" s="33" t="n">
        <f aca="false">IF(B44="",0,N(Students!J33))</f>
        <v>0</v>
      </c>
      <c r="Y44" s="23"/>
      <c r="Z44" s="24" t="n">
        <f aca="false">N(W44)+N(X44)-N(Y44)</f>
        <v>0</v>
      </c>
      <c r="AA44" s="33" t="n">
        <f aca="false">N(E44)+N(I44)+N(M44)+N(Q44)+N(U44)+N(Y44)</f>
        <v>0</v>
      </c>
      <c r="AB44" s="24" t="n">
        <f aca="false">F44+J44+N44+R44+V44+Z44</f>
        <v>0</v>
      </c>
      <c r="AC44" s="81" t="str">
        <f aca="false">IF(B44="","",IF(AB44&lt;=0,"Clear",IF(AA44&gt;0,"Partial","Due")))</f>
        <v/>
      </c>
    </row>
    <row r="45" customFormat="false" ht="15" hidden="false" customHeight="false" outlineLevel="0" collapsed="false">
      <c r="A45" s="25" t="n">
        <v>30</v>
      </c>
      <c r="B45" s="82" t="str">
        <f aca="false">IF(Students!B34="","",Students!B34)</f>
        <v/>
      </c>
      <c r="C45" s="37" t="n">
        <f aca="false">'Jan 2027'!F45</f>
        <v>0</v>
      </c>
      <c r="D45" s="37" t="n">
        <f aca="false">IF(B45="",0,N(Students!E34))</f>
        <v>0</v>
      </c>
      <c r="E45" s="23"/>
      <c r="F45" s="26" t="n">
        <f aca="false">N(C45)+N(D45)-N(E45)</f>
        <v>0</v>
      </c>
      <c r="G45" s="37" t="n">
        <f aca="false">'Jan 2027'!J45</f>
        <v>0</v>
      </c>
      <c r="H45" s="37" t="n">
        <f aca="false">IF(B45="",0,N(Students!F34))</f>
        <v>0</v>
      </c>
      <c r="I45" s="23"/>
      <c r="J45" s="26" t="n">
        <f aca="false">N(G45)+N(H45)-N(I45)</f>
        <v>0</v>
      </c>
      <c r="K45" s="37" t="n">
        <f aca="false">'Jan 2027'!N45</f>
        <v>0</v>
      </c>
      <c r="L45" s="37" t="n">
        <f aca="false">IF(B45="",0,N(Students!G34))</f>
        <v>0</v>
      </c>
      <c r="M45" s="23"/>
      <c r="N45" s="26" t="n">
        <f aca="false">N(K45)+N(L45)-N(M45)</f>
        <v>0</v>
      </c>
      <c r="O45" s="37" t="n">
        <f aca="false">'Jan 2027'!R45</f>
        <v>0</v>
      </c>
      <c r="P45" s="37" t="n">
        <f aca="false">IF(B45="",0,N(Students!H34))</f>
        <v>0</v>
      </c>
      <c r="Q45" s="23"/>
      <c r="R45" s="26" t="n">
        <f aca="false">N(O45)+N(P45)-N(Q45)</f>
        <v>0</v>
      </c>
      <c r="S45" s="37" t="n">
        <f aca="false">'Jan 2027'!V45</f>
        <v>0</v>
      </c>
      <c r="T45" s="37" t="n">
        <f aca="false">IF(B45="",0,N(Students!I34))</f>
        <v>0</v>
      </c>
      <c r="U45" s="23"/>
      <c r="V45" s="26" t="n">
        <f aca="false">N(S45)+N(T45)-N(U45)</f>
        <v>0</v>
      </c>
      <c r="W45" s="37" t="n">
        <f aca="false">'Jan 2027'!Z45</f>
        <v>0</v>
      </c>
      <c r="X45" s="37" t="n">
        <f aca="false">IF(B45="",0,N(Students!J34))</f>
        <v>0</v>
      </c>
      <c r="Y45" s="23"/>
      <c r="Z45" s="26" t="n">
        <f aca="false">N(W45)+N(X45)-N(Y45)</f>
        <v>0</v>
      </c>
      <c r="AA45" s="37" t="n">
        <f aca="false">N(E45)+N(I45)+N(M45)+N(Q45)+N(U45)+N(Y45)</f>
        <v>0</v>
      </c>
      <c r="AB45" s="26" t="n">
        <f aca="false">F45+J45+N45+R45+V45+Z45</f>
        <v>0</v>
      </c>
      <c r="AC45" s="83" t="str">
        <f aca="false">IF(B45="","",IF(AB45&lt;=0,"Clear",IF(AA45&gt;0,"Partial","Due")))</f>
        <v/>
      </c>
    </row>
    <row r="46" customFormat="false" ht="15" hidden="false" customHeight="false" outlineLevel="0" collapsed="false">
      <c r="A46" s="21" t="n">
        <v>31</v>
      </c>
      <c r="B46" s="46" t="str">
        <f aca="false">IF(Students!B35="","",Students!B35)</f>
        <v/>
      </c>
      <c r="C46" s="33" t="n">
        <f aca="false">'Jan 2027'!F46</f>
        <v>0</v>
      </c>
      <c r="D46" s="33" t="n">
        <f aca="false">IF(B46="",0,N(Students!E35))</f>
        <v>0</v>
      </c>
      <c r="E46" s="23"/>
      <c r="F46" s="24" t="n">
        <f aca="false">N(C46)+N(D46)-N(E46)</f>
        <v>0</v>
      </c>
      <c r="G46" s="33" t="n">
        <f aca="false">'Jan 2027'!J46</f>
        <v>0</v>
      </c>
      <c r="H46" s="33" t="n">
        <f aca="false">IF(B46="",0,N(Students!F35))</f>
        <v>0</v>
      </c>
      <c r="I46" s="23"/>
      <c r="J46" s="24" t="n">
        <f aca="false">N(G46)+N(H46)-N(I46)</f>
        <v>0</v>
      </c>
      <c r="K46" s="33" t="n">
        <f aca="false">'Jan 2027'!N46</f>
        <v>0</v>
      </c>
      <c r="L46" s="33" t="n">
        <f aca="false">IF(B46="",0,N(Students!G35))</f>
        <v>0</v>
      </c>
      <c r="M46" s="23"/>
      <c r="N46" s="24" t="n">
        <f aca="false">N(K46)+N(L46)-N(M46)</f>
        <v>0</v>
      </c>
      <c r="O46" s="33" t="n">
        <f aca="false">'Jan 2027'!R46</f>
        <v>0</v>
      </c>
      <c r="P46" s="33" t="n">
        <f aca="false">IF(B46="",0,N(Students!H35))</f>
        <v>0</v>
      </c>
      <c r="Q46" s="23"/>
      <c r="R46" s="24" t="n">
        <f aca="false">N(O46)+N(P46)-N(Q46)</f>
        <v>0</v>
      </c>
      <c r="S46" s="33" t="n">
        <f aca="false">'Jan 2027'!V46</f>
        <v>0</v>
      </c>
      <c r="T46" s="33" t="n">
        <f aca="false">IF(B46="",0,N(Students!I35))</f>
        <v>0</v>
      </c>
      <c r="U46" s="23"/>
      <c r="V46" s="24" t="n">
        <f aca="false">N(S46)+N(T46)-N(U46)</f>
        <v>0</v>
      </c>
      <c r="W46" s="33" t="n">
        <f aca="false">'Jan 2027'!Z46</f>
        <v>0</v>
      </c>
      <c r="X46" s="33" t="n">
        <f aca="false">IF(B46="",0,N(Students!J35))</f>
        <v>0</v>
      </c>
      <c r="Y46" s="23"/>
      <c r="Z46" s="24" t="n">
        <f aca="false">N(W46)+N(X46)-N(Y46)</f>
        <v>0</v>
      </c>
      <c r="AA46" s="33" t="n">
        <f aca="false">N(E46)+N(I46)+N(M46)+N(Q46)+N(U46)+N(Y46)</f>
        <v>0</v>
      </c>
      <c r="AB46" s="24" t="n">
        <f aca="false">F46+J46+N46+R46+V46+Z46</f>
        <v>0</v>
      </c>
      <c r="AC46" s="81" t="str">
        <f aca="false">IF(B46="","",IF(AB46&lt;=0,"Clear",IF(AA46&gt;0,"Partial","Due")))</f>
        <v/>
      </c>
    </row>
    <row r="47" customFormat="false" ht="15" hidden="false" customHeight="false" outlineLevel="0" collapsed="false">
      <c r="A47" s="25" t="n">
        <v>32</v>
      </c>
      <c r="B47" s="82" t="str">
        <f aca="false">IF(Students!B36="","",Students!B36)</f>
        <v/>
      </c>
      <c r="C47" s="37" t="n">
        <f aca="false">'Jan 2027'!F47</f>
        <v>0</v>
      </c>
      <c r="D47" s="37" t="n">
        <f aca="false">IF(B47="",0,N(Students!E36))</f>
        <v>0</v>
      </c>
      <c r="E47" s="23"/>
      <c r="F47" s="26" t="n">
        <f aca="false">N(C47)+N(D47)-N(E47)</f>
        <v>0</v>
      </c>
      <c r="G47" s="37" t="n">
        <f aca="false">'Jan 2027'!J47</f>
        <v>0</v>
      </c>
      <c r="H47" s="37" t="n">
        <f aca="false">IF(B47="",0,N(Students!F36))</f>
        <v>0</v>
      </c>
      <c r="I47" s="23"/>
      <c r="J47" s="26" t="n">
        <f aca="false">N(G47)+N(H47)-N(I47)</f>
        <v>0</v>
      </c>
      <c r="K47" s="37" t="n">
        <f aca="false">'Jan 2027'!N47</f>
        <v>0</v>
      </c>
      <c r="L47" s="37" t="n">
        <f aca="false">IF(B47="",0,N(Students!G36))</f>
        <v>0</v>
      </c>
      <c r="M47" s="23"/>
      <c r="N47" s="26" t="n">
        <f aca="false">N(K47)+N(L47)-N(M47)</f>
        <v>0</v>
      </c>
      <c r="O47" s="37" t="n">
        <f aca="false">'Jan 2027'!R47</f>
        <v>0</v>
      </c>
      <c r="P47" s="37" t="n">
        <f aca="false">IF(B47="",0,N(Students!H36))</f>
        <v>0</v>
      </c>
      <c r="Q47" s="23"/>
      <c r="R47" s="26" t="n">
        <f aca="false">N(O47)+N(P47)-N(Q47)</f>
        <v>0</v>
      </c>
      <c r="S47" s="37" t="n">
        <f aca="false">'Jan 2027'!V47</f>
        <v>0</v>
      </c>
      <c r="T47" s="37" t="n">
        <f aca="false">IF(B47="",0,N(Students!I36))</f>
        <v>0</v>
      </c>
      <c r="U47" s="23"/>
      <c r="V47" s="26" t="n">
        <f aca="false">N(S47)+N(T47)-N(U47)</f>
        <v>0</v>
      </c>
      <c r="W47" s="37" t="n">
        <f aca="false">'Jan 2027'!Z47</f>
        <v>0</v>
      </c>
      <c r="X47" s="37" t="n">
        <f aca="false">IF(B47="",0,N(Students!J36))</f>
        <v>0</v>
      </c>
      <c r="Y47" s="23"/>
      <c r="Z47" s="26" t="n">
        <f aca="false">N(W47)+N(X47)-N(Y47)</f>
        <v>0</v>
      </c>
      <c r="AA47" s="37" t="n">
        <f aca="false">N(E47)+N(I47)+N(M47)+N(Q47)+N(U47)+N(Y47)</f>
        <v>0</v>
      </c>
      <c r="AB47" s="26" t="n">
        <f aca="false">F47+J47+N47+R47+V47+Z47</f>
        <v>0</v>
      </c>
      <c r="AC47" s="83" t="str">
        <f aca="false">IF(B47="","",IF(AB47&lt;=0,"Clear",IF(AA47&gt;0,"Partial","Due")))</f>
        <v/>
      </c>
    </row>
    <row r="48" customFormat="false" ht="15" hidden="false" customHeight="false" outlineLevel="0" collapsed="false">
      <c r="A48" s="21" t="n">
        <v>33</v>
      </c>
      <c r="B48" s="46" t="str">
        <f aca="false">IF(Students!B37="","",Students!B37)</f>
        <v/>
      </c>
      <c r="C48" s="33" t="n">
        <f aca="false">'Jan 2027'!F48</f>
        <v>0</v>
      </c>
      <c r="D48" s="33" t="n">
        <f aca="false">IF(B48="",0,N(Students!E37))</f>
        <v>0</v>
      </c>
      <c r="E48" s="23"/>
      <c r="F48" s="24" t="n">
        <f aca="false">N(C48)+N(D48)-N(E48)</f>
        <v>0</v>
      </c>
      <c r="G48" s="33" t="n">
        <f aca="false">'Jan 2027'!J48</f>
        <v>0</v>
      </c>
      <c r="H48" s="33" t="n">
        <f aca="false">IF(B48="",0,N(Students!F37))</f>
        <v>0</v>
      </c>
      <c r="I48" s="23"/>
      <c r="J48" s="24" t="n">
        <f aca="false">N(G48)+N(H48)-N(I48)</f>
        <v>0</v>
      </c>
      <c r="K48" s="33" t="n">
        <f aca="false">'Jan 2027'!N48</f>
        <v>0</v>
      </c>
      <c r="L48" s="33" t="n">
        <f aca="false">IF(B48="",0,N(Students!G37))</f>
        <v>0</v>
      </c>
      <c r="M48" s="23"/>
      <c r="N48" s="24" t="n">
        <f aca="false">N(K48)+N(L48)-N(M48)</f>
        <v>0</v>
      </c>
      <c r="O48" s="33" t="n">
        <f aca="false">'Jan 2027'!R48</f>
        <v>0</v>
      </c>
      <c r="P48" s="33" t="n">
        <f aca="false">IF(B48="",0,N(Students!H37))</f>
        <v>0</v>
      </c>
      <c r="Q48" s="23"/>
      <c r="R48" s="24" t="n">
        <f aca="false">N(O48)+N(P48)-N(Q48)</f>
        <v>0</v>
      </c>
      <c r="S48" s="33" t="n">
        <f aca="false">'Jan 2027'!V48</f>
        <v>0</v>
      </c>
      <c r="T48" s="33" t="n">
        <f aca="false">IF(B48="",0,N(Students!I37))</f>
        <v>0</v>
      </c>
      <c r="U48" s="23"/>
      <c r="V48" s="24" t="n">
        <f aca="false">N(S48)+N(T48)-N(U48)</f>
        <v>0</v>
      </c>
      <c r="W48" s="33" t="n">
        <f aca="false">'Jan 2027'!Z48</f>
        <v>0</v>
      </c>
      <c r="X48" s="33" t="n">
        <f aca="false">IF(B48="",0,N(Students!J37))</f>
        <v>0</v>
      </c>
      <c r="Y48" s="23"/>
      <c r="Z48" s="24" t="n">
        <f aca="false">N(W48)+N(X48)-N(Y48)</f>
        <v>0</v>
      </c>
      <c r="AA48" s="33" t="n">
        <f aca="false">N(E48)+N(I48)+N(M48)+N(Q48)+N(U48)+N(Y48)</f>
        <v>0</v>
      </c>
      <c r="AB48" s="24" t="n">
        <f aca="false">F48+J48+N48+R48+V48+Z48</f>
        <v>0</v>
      </c>
      <c r="AC48" s="81" t="str">
        <f aca="false">IF(B48="","",IF(AB48&lt;=0,"Clear",IF(AA48&gt;0,"Partial","Due")))</f>
        <v/>
      </c>
    </row>
    <row r="49" customFormat="false" ht="15" hidden="false" customHeight="false" outlineLevel="0" collapsed="false">
      <c r="A49" s="25" t="n">
        <v>34</v>
      </c>
      <c r="B49" s="82" t="str">
        <f aca="false">IF(Students!B38="","",Students!B38)</f>
        <v/>
      </c>
      <c r="C49" s="37" t="n">
        <f aca="false">'Jan 2027'!F49</f>
        <v>0</v>
      </c>
      <c r="D49" s="37" t="n">
        <f aca="false">IF(B49="",0,N(Students!E38))</f>
        <v>0</v>
      </c>
      <c r="E49" s="23"/>
      <c r="F49" s="26" t="n">
        <f aca="false">N(C49)+N(D49)-N(E49)</f>
        <v>0</v>
      </c>
      <c r="G49" s="37" t="n">
        <f aca="false">'Jan 2027'!J49</f>
        <v>0</v>
      </c>
      <c r="H49" s="37" t="n">
        <f aca="false">IF(B49="",0,N(Students!F38))</f>
        <v>0</v>
      </c>
      <c r="I49" s="23"/>
      <c r="J49" s="26" t="n">
        <f aca="false">N(G49)+N(H49)-N(I49)</f>
        <v>0</v>
      </c>
      <c r="K49" s="37" t="n">
        <f aca="false">'Jan 2027'!N49</f>
        <v>0</v>
      </c>
      <c r="L49" s="37" t="n">
        <f aca="false">IF(B49="",0,N(Students!G38))</f>
        <v>0</v>
      </c>
      <c r="M49" s="23"/>
      <c r="N49" s="26" t="n">
        <f aca="false">N(K49)+N(L49)-N(M49)</f>
        <v>0</v>
      </c>
      <c r="O49" s="37" t="n">
        <f aca="false">'Jan 2027'!R49</f>
        <v>0</v>
      </c>
      <c r="P49" s="37" t="n">
        <f aca="false">IF(B49="",0,N(Students!H38))</f>
        <v>0</v>
      </c>
      <c r="Q49" s="23"/>
      <c r="R49" s="26" t="n">
        <f aca="false">N(O49)+N(P49)-N(Q49)</f>
        <v>0</v>
      </c>
      <c r="S49" s="37" t="n">
        <f aca="false">'Jan 2027'!V49</f>
        <v>0</v>
      </c>
      <c r="T49" s="37" t="n">
        <f aca="false">IF(B49="",0,N(Students!I38))</f>
        <v>0</v>
      </c>
      <c r="U49" s="23"/>
      <c r="V49" s="26" t="n">
        <f aca="false">N(S49)+N(T49)-N(U49)</f>
        <v>0</v>
      </c>
      <c r="W49" s="37" t="n">
        <f aca="false">'Jan 2027'!Z49</f>
        <v>0</v>
      </c>
      <c r="X49" s="37" t="n">
        <f aca="false">IF(B49="",0,N(Students!J38))</f>
        <v>0</v>
      </c>
      <c r="Y49" s="23"/>
      <c r="Z49" s="26" t="n">
        <f aca="false">N(W49)+N(X49)-N(Y49)</f>
        <v>0</v>
      </c>
      <c r="AA49" s="37" t="n">
        <f aca="false">N(E49)+N(I49)+N(M49)+N(Q49)+N(U49)+N(Y49)</f>
        <v>0</v>
      </c>
      <c r="AB49" s="26" t="n">
        <f aca="false">F49+J49+N49+R49+V49+Z49</f>
        <v>0</v>
      </c>
      <c r="AC49" s="83" t="str">
        <f aca="false">IF(B49="","",IF(AB49&lt;=0,"Clear",IF(AA49&gt;0,"Partial","Due")))</f>
        <v/>
      </c>
    </row>
    <row r="50" customFormat="false" ht="15" hidden="false" customHeight="false" outlineLevel="0" collapsed="false">
      <c r="A50" s="21" t="n">
        <v>35</v>
      </c>
      <c r="B50" s="46" t="str">
        <f aca="false">IF(Students!B39="","",Students!B39)</f>
        <v/>
      </c>
      <c r="C50" s="33" t="n">
        <f aca="false">'Jan 2027'!F50</f>
        <v>0</v>
      </c>
      <c r="D50" s="33" t="n">
        <f aca="false">IF(B50="",0,N(Students!E39))</f>
        <v>0</v>
      </c>
      <c r="E50" s="23"/>
      <c r="F50" s="24" t="n">
        <f aca="false">N(C50)+N(D50)-N(E50)</f>
        <v>0</v>
      </c>
      <c r="G50" s="33" t="n">
        <f aca="false">'Jan 2027'!J50</f>
        <v>0</v>
      </c>
      <c r="H50" s="33" t="n">
        <f aca="false">IF(B50="",0,N(Students!F39))</f>
        <v>0</v>
      </c>
      <c r="I50" s="23"/>
      <c r="J50" s="24" t="n">
        <f aca="false">N(G50)+N(H50)-N(I50)</f>
        <v>0</v>
      </c>
      <c r="K50" s="33" t="n">
        <f aca="false">'Jan 2027'!N50</f>
        <v>0</v>
      </c>
      <c r="L50" s="33" t="n">
        <f aca="false">IF(B50="",0,N(Students!G39))</f>
        <v>0</v>
      </c>
      <c r="M50" s="23"/>
      <c r="N50" s="24" t="n">
        <f aca="false">N(K50)+N(L50)-N(M50)</f>
        <v>0</v>
      </c>
      <c r="O50" s="33" t="n">
        <f aca="false">'Jan 2027'!R50</f>
        <v>0</v>
      </c>
      <c r="P50" s="33" t="n">
        <f aca="false">IF(B50="",0,N(Students!H39))</f>
        <v>0</v>
      </c>
      <c r="Q50" s="23"/>
      <c r="R50" s="24" t="n">
        <f aca="false">N(O50)+N(P50)-N(Q50)</f>
        <v>0</v>
      </c>
      <c r="S50" s="33" t="n">
        <f aca="false">'Jan 2027'!V50</f>
        <v>0</v>
      </c>
      <c r="T50" s="33" t="n">
        <f aca="false">IF(B50="",0,N(Students!I39))</f>
        <v>0</v>
      </c>
      <c r="U50" s="23"/>
      <c r="V50" s="24" t="n">
        <f aca="false">N(S50)+N(T50)-N(U50)</f>
        <v>0</v>
      </c>
      <c r="W50" s="33" t="n">
        <f aca="false">'Jan 2027'!Z50</f>
        <v>0</v>
      </c>
      <c r="X50" s="33" t="n">
        <f aca="false">IF(B50="",0,N(Students!J39))</f>
        <v>0</v>
      </c>
      <c r="Y50" s="23"/>
      <c r="Z50" s="24" t="n">
        <f aca="false">N(W50)+N(X50)-N(Y50)</f>
        <v>0</v>
      </c>
      <c r="AA50" s="33" t="n">
        <f aca="false">N(E50)+N(I50)+N(M50)+N(Q50)+N(U50)+N(Y50)</f>
        <v>0</v>
      </c>
      <c r="AB50" s="24" t="n">
        <f aca="false">F50+J50+N50+R50+V50+Z50</f>
        <v>0</v>
      </c>
      <c r="AC50" s="81" t="str">
        <f aca="false">IF(B50="","",IF(AB50&lt;=0,"Clear",IF(AA50&gt;0,"Partial","Due")))</f>
        <v/>
      </c>
    </row>
    <row r="51" customFormat="false" ht="15" hidden="false" customHeight="false" outlineLevel="0" collapsed="false">
      <c r="A51" s="25" t="n">
        <v>36</v>
      </c>
      <c r="B51" s="82" t="str">
        <f aca="false">IF(Students!B40="","",Students!B40)</f>
        <v/>
      </c>
      <c r="C51" s="37" t="n">
        <f aca="false">'Jan 2027'!F51</f>
        <v>0</v>
      </c>
      <c r="D51" s="37" t="n">
        <f aca="false">IF(B51="",0,N(Students!E40))</f>
        <v>0</v>
      </c>
      <c r="E51" s="23"/>
      <c r="F51" s="26" t="n">
        <f aca="false">N(C51)+N(D51)-N(E51)</f>
        <v>0</v>
      </c>
      <c r="G51" s="37" t="n">
        <f aca="false">'Jan 2027'!J51</f>
        <v>0</v>
      </c>
      <c r="H51" s="37" t="n">
        <f aca="false">IF(B51="",0,N(Students!F40))</f>
        <v>0</v>
      </c>
      <c r="I51" s="23"/>
      <c r="J51" s="26" t="n">
        <f aca="false">N(G51)+N(H51)-N(I51)</f>
        <v>0</v>
      </c>
      <c r="K51" s="37" t="n">
        <f aca="false">'Jan 2027'!N51</f>
        <v>0</v>
      </c>
      <c r="L51" s="37" t="n">
        <f aca="false">IF(B51="",0,N(Students!G40))</f>
        <v>0</v>
      </c>
      <c r="M51" s="23"/>
      <c r="N51" s="26" t="n">
        <f aca="false">N(K51)+N(L51)-N(M51)</f>
        <v>0</v>
      </c>
      <c r="O51" s="37" t="n">
        <f aca="false">'Jan 2027'!R51</f>
        <v>0</v>
      </c>
      <c r="P51" s="37" t="n">
        <f aca="false">IF(B51="",0,N(Students!H40))</f>
        <v>0</v>
      </c>
      <c r="Q51" s="23"/>
      <c r="R51" s="26" t="n">
        <f aca="false">N(O51)+N(P51)-N(Q51)</f>
        <v>0</v>
      </c>
      <c r="S51" s="37" t="n">
        <f aca="false">'Jan 2027'!V51</f>
        <v>0</v>
      </c>
      <c r="T51" s="37" t="n">
        <f aca="false">IF(B51="",0,N(Students!I40))</f>
        <v>0</v>
      </c>
      <c r="U51" s="23"/>
      <c r="V51" s="26" t="n">
        <f aca="false">N(S51)+N(T51)-N(U51)</f>
        <v>0</v>
      </c>
      <c r="W51" s="37" t="n">
        <f aca="false">'Jan 2027'!Z51</f>
        <v>0</v>
      </c>
      <c r="X51" s="37" t="n">
        <f aca="false">IF(B51="",0,N(Students!J40))</f>
        <v>0</v>
      </c>
      <c r="Y51" s="23"/>
      <c r="Z51" s="26" t="n">
        <f aca="false">N(W51)+N(X51)-N(Y51)</f>
        <v>0</v>
      </c>
      <c r="AA51" s="37" t="n">
        <f aca="false">N(E51)+N(I51)+N(M51)+N(Q51)+N(U51)+N(Y51)</f>
        <v>0</v>
      </c>
      <c r="AB51" s="26" t="n">
        <f aca="false">F51+J51+N51+R51+V51+Z51</f>
        <v>0</v>
      </c>
      <c r="AC51" s="83" t="str">
        <f aca="false">IF(B51="","",IF(AB51&lt;=0,"Clear",IF(AA51&gt;0,"Partial","Due")))</f>
        <v/>
      </c>
    </row>
    <row r="52" customFormat="false" ht="15" hidden="false" customHeight="false" outlineLevel="0" collapsed="false">
      <c r="A52" s="21" t="n">
        <v>37</v>
      </c>
      <c r="B52" s="46" t="str">
        <f aca="false">IF(Students!B41="","",Students!B41)</f>
        <v/>
      </c>
      <c r="C52" s="33" t="n">
        <f aca="false">'Jan 2027'!F52</f>
        <v>0</v>
      </c>
      <c r="D52" s="33" t="n">
        <f aca="false">IF(B52="",0,N(Students!E41))</f>
        <v>0</v>
      </c>
      <c r="E52" s="23"/>
      <c r="F52" s="24" t="n">
        <f aca="false">N(C52)+N(D52)-N(E52)</f>
        <v>0</v>
      </c>
      <c r="G52" s="33" t="n">
        <f aca="false">'Jan 2027'!J52</f>
        <v>0</v>
      </c>
      <c r="H52" s="33" t="n">
        <f aca="false">IF(B52="",0,N(Students!F41))</f>
        <v>0</v>
      </c>
      <c r="I52" s="23"/>
      <c r="J52" s="24" t="n">
        <f aca="false">N(G52)+N(H52)-N(I52)</f>
        <v>0</v>
      </c>
      <c r="K52" s="33" t="n">
        <f aca="false">'Jan 2027'!N52</f>
        <v>0</v>
      </c>
      <c r="L52" s="33" t="n">
        <f aca="false">IF(B52="",0,N(Students!G41))</f>
        <v>0</v>
      </c>
      <c r="M52" s="23"/>
      <c r="N52" s="24" t="n">
        <f aca="false">N(K52)+N(L52)-N(M52)</f>
        <v>0</v>
      </c>
      <c r="O52" s="33" t="n">
        <f aca="false">'Jan 2027'!R52</f>
        <v>0</v>
      </c>
      <c r="P52" s="33" t="n">
        <f aca="false">IF(B52="",0,N(Students!H41))</f>
        <v>0</v>
      </c>
      <c r="Q52" s="23"/>
      <c r="R52" s="24" t="n">
        <f aca="false">N(O52)+N(P52)-N(Q52)</f>
        <v>0</v>
      </c>
      <c r="S52" s="33" t="n">
        <f aca="false">'Jan 2027'!V52</f>
        <v>0</v>
      </c>
      <c r="T52" s="33" t="n">
        <f aca="false">IF(B52="",0,N(Students!I41))</f>
        <v>0</v>
      </c>
      <c r="U52" s="23"/>
      <c r="V52" s="24" t="n">
        <f aca="false">N(S52)+N(T52)-N(U52)</f>
        <v>0</v>
      </c>
      <c r="W52" s="33" t="n">
        <f aca="false">'Jan 2027'!Z52</f>
        <v>0</v>
      </c>
      <c r="X52" s="33" t="n">
        <f aca="false">IF(B52="",0,N(Students!J41))</f>
        <v>0</v>
      </c>
      <c r="Y52" s="23"/>
      <c r="Z52" s="24" t="n">
        <f aca="false">N(W52)+N(X52)-N(Y52)</f>
        <v>0</v>
      </c>
      <c r="AA52" s="33" t="n">
        <f aca="false">N(E52)+N(I52)+N(M52)+N(Q52)+N(U52)+N(Y52)</f>
        <v>0</v>
      </c>
      <c r="AB52" s="24" t="n">
        <f aca="false">F52+J52+N52+R52+V52+Z52</f>
        <v>0</v>
      </c>
      <c r="AC52" s="81" t="str">
        <f aca="false">IF(B52="","",IF(AB52&lt;=0,"Clear",IF(AA52&gt;0,"Partial","Due")))</f>
        <v/>
      </c>
    </row>
    <row r="53" customFormat="false" ht="15" hidden="false" customHeight="false" outlineLevel="0" collapsed="false">
      <c r="A53" s="25" t="n">
        <v>38</v>
      </c>
      <c r="B53" s="82" t="str">
        <f aca="false">IF(Students!B42="","",Students!B42)</f>
        <v/>
      </c>
      <c r="C53" s="37" t="n">
        <f aca="false">'Jan 2027'!F53</f>
        <v>0</v>
      </c>
      <c r="D53" s="37" t="n">
        <f aca="false">IF(B53="",0,N(Students!E42))</f>
        <v>0</v>
      </c>
      <c r="E53" s="23"/>
      <c r="F53" s="26" t="n">
        <f aca="false">N(C53)+N(D53)-N(E53)</f>
        <v>0</v>
      </c>
      <c r="G53" s="37" t="n">
        <f aca="false">'Jan 2027'!J53</f>
        <v>0</v>
      </c>
      <c r="H53" s="37" t="n">
        <f aca="false">IF(B53="",0,N(Students!F42))</f>
        <v>0</v>
      </c>
      <c r="I53" s="23"/>
      <c r="J53" s="26" t="n">
        <f aca="false">N(G53)+N(H53)-N(I53)</f>
        <v>0</v>
      </c>
      <c r="K53" s="37" t="n">
        <f aca="false">'Jan 2027'!N53</f>
        <v>0</v>
      </c>
      <c r="L53" s="37" t="n">
        <f aca="false">IF(B53="",0,N(Students!G42))</f>
        <v>0</v>
      </c>
      <c r="M53" s="23"/>
      <c r="N53" s="26" t="n">
        <f aca="false">N(K53)+N(L53)-N(M53)</f>
        <v>0</v>
      </c>
      <c r="O53" s="37" t="n">
        <f aca="false">'Jan 2027'!R53</f>
        <v>0</v>
      </c>
      <c r="P53" s="37" t="n">
        <f aca="false">IF(B53="",0,N(Students!H42))</f>
        <v>0</v>
      </c>
      <c r="Q53" s="23"/>
      <c r="R53" s="26" t="n">
        <f aca="false">N(O53)+N(P53)-N(Q53)</f>
        <v>0</v>
      </c>
      <c r="S53" s="37" t="n">
        <f aca="false">'Jan 2027'!V53</f>
        <v>0</v>
      </c>
      <c r="T53" s="37" t="n">
        <f aca="false">IF(B53="",0,N(Students!I42))</f>
        <v>0</v>
      </c>
      <c r="U53" s="23"/>
      <c r="V53" s="26" t="n">
        <f aca="false">N(S53)+N(T53)-N(U53)</f>
        <v>0</v>
      </c>
      <c r="W53" s="37" t="n">
        <f aca="false">'Jan 2027'!Z53</f>
        <v>0</v>
      </c>
      <c r="X53" s="37" t="n">
        <f aca="false">IF(B53="",0,N(Students!J42))</f>
        <v>0</v>
      </c>
      <c r="Y53" s="23"/>
      <c r="Z53" s="26" t="n">
        <f aca="false">N(W53)+N(X53)-N(Y53)</f>
        <v>0</v>
      </c>
      <c r="AA53" s="37" t="n">
        <f aca="false">N(E53)+N(I53)+N(M53)+N(Q53)+N(U53)+N(Y53)</f>
        <v>0</v>
      </c>
      <c r="AB53" s="26" t="n">
        <f aca="false">F53+J53+N53+R53+V53+Z53</f>
        <v>0</v>
      </c>
      <c r="AC53" s="83" t="str">
        <f aca="false">IF(B53="","",IF(AB53&lt;=0,"Clear",IF(AA53&gt;0,"Partial","Due")))</f>
        <v/>
      </c>
    </row>
    <row r="54" customFormat="false" ht="15" hidden="false" customHeight="false" outlineLevel="0" collapsed="false">
      <c r="A54" s="21" t="n">
        <v>39</v>
      </c>
      <c r="B54" s="46" t="str">
        <f aca="false">IF(Students!B43="","",Students!B43)</f>
        <v/>
      </c>
      <c r="C54" s="33" t="n">
        <f aca="false">'Jan 2027'!F54</f>
        <v>0</v>
      </c>
      <c r="D54" s="33" t="n">
        <f aca="false">IF(B54="",0,N(Students!E43))</f>
        <v>0</v>
      </c>
      <c r="E54" s="23"/>
      <c r="F54" s="24" t="n">
        <f aca="false">N(C54)+N(D54)-N(E54)</f>
        <v>0</v>
      </c>
      <c r="G54" s="33" t="n">
        <f aca="false">'Jan 2027'!J54</f>
        <v>0</v>
      </c>
      <c r="H54" s="33" t="n">
        <f aca="false">IF(B54="",0,N(Students!F43))</f>
        <v>0</v>
      </c>
      <c r="I54" s="23"/>
      <c r="J54" s="24" t="n">
        <f aca="false">N(G54)+N(H54)-N(I54)</f>
        <v>0</v>
      </c>
      <c r="K54" s="33" t="n">
        <f aca="false">'Jan 2027'!N54</f>
        <v>0</v>
      </c>
      <c r="L54" s="33" t="n">
        <f aca="false">IF(B54="",0,N(Students!G43))</f>
        <v>0</v>
      </c>
      <c r="M54" s="23"/>
      <c r="N54" s="24" t="n">
        <f aca="false">N(K54)+N(L54)-N(M54)</f>
        <v>0</v>
      </c>
      <c r="O54" s="33" t="n">
        <f aca="false">'Jan 2027'!R54</f>
        <v>0</v>
      </c>
      <c r="P54" s="33" t="n">
        <f aca="false">IF(B54="",0,N(Students!H43))</f>
        <v>0</v>
      </c>
      <c r="Q54" s="23"/>
      <c r="R54" s="24" t="n">
        <f aca="false">N(O54)+N(P54)-N(Q54)</f>
        <v>0</v>
      </c>
      <c r="S54" s="33" t="n">
        <f aca="false">'Jan 2027'!V54</f>
        <v>0</v>
      </c>
      <c r="T54" s="33" t="n">
        <f aca="false">IF(B54="",0,N(Students!I43))</f>
        <v>0</v>
      </c>
      <c r="U54" s="23"/>
      <c r="V54" s="24" t="n">
        <f aca="false">N(S54)+N(T54)-N(U54)</f>
        <v>0</v>
      </c>
      <c r="W54" s="33" t="n">
        <f aca="false">'Jan 2027'!Z54</f>
        <v>0</v>
      </c>
      <c r="X54" s="33" t="n">
        <f aca="false">IF(B54="",0,N(Students!J43))</f>
        <v>0</v>
      </c>
      <c r="Y54" s="23"/>
      <c r="Z54" s="24" t="n">
        <f aca="false">N(W54)+N(X54)-N(Y54)</f>
        <v>0</v>
      </c>
      <c r="AA54" s="33" t="n">
        <f aca="false">N(E54)+N(I54)+N(M54)+N(Q54)+N(U54)+N(Y54)</f>
        <v>0</v>
      </c>
      <c r="AB54" s="24" t="n">
        <f aca="false">F54+J54+N54+R54+V54+Z54</f>
        <v>0</v>
      </c>
      <c r="AC54" s="81" t="str">
        <f aca="false">IF(B54="","",IF(AB54&lt;=0,"Clear",IF(AA54&gt;0,"Partial","Due")))</f>
        <v/>
      </c>
    </row>
    <row r="55" customFormat="false" ht="15" hidden="false" customHeight="false" outlineLevel="0" collapsed="false">
      <c r="A55" s="25" t="n">
        <v>40</v>
      </c>
      <c r="B55" s="82" t="str">
        <f aca="false">IF(Students!B44="","",Students!B44)</f>
        <v/>
      </c>
      <c r="C55" s="37" t="n">
        <f aca="false">'Jan 2027'!F55</f>
        <v>0</v>
      </c>
      <c r="D55" s="37" t="n">
        <f aca="false">IF(B55="",0,N(Students!E44))</f>
        <v>0</v>
      </c>
      <c r="E55" s="23"/>
      <c r="F55" s="26" t="n">
        <f aca="false">N(C55)+N(D55)-N(E55)</f>
        <v>0</v>
      </c>
      <c r="G55" s="37" t="n">
        <f aca="false">'Jan 2027'!J55</f>
        <v>0</v>
      </c>
      <c r="H55" s="37" t="n">
        <f aca="false">IF(B55="",0,N(Students!F44))</f>
        <v>0</v>
      </c>
      <c r="I55" s="23"/>
      <c r="J55" s="26" t="n">
        <f aca="false">N(G55)+N(H55)-N(I55)</f>
        <v>0</v>
      </c>
      <c r="K55" s="37" t="n">
        <f aca="false">'Jan 2027'!N55</f>
        <v>0</v>
      </c>
      <c r="L55" s="37" t="n">
        <f aca="false">IF(B55="",0,N(Students!G44))</f>
        <v>0</v>
      </c>
      <c r="M55" s="23"/>
      <c r="N55" s="26" t="n">
        <f aca="false">N(K55)+N(L55)-N(M55)</f>
        <v>0</v>
      </c>
      <c r="O55" s="37" t="n">
        <f aca="false">'Jan 2027'!R55</f>
        <v>0</v>
      </c>
      <c r="P55" s="37" t="n">
        <f aca="false">IF(B55="",0,N(Students!H44))</f>
        <v>0</v>
      </c>
      <c r="Q55" s="23"/>
      <c r="R55" s="26" t="n">
        <f aca="false">N(O55)+N(P55)-N(Q55)</f>
        <v>0</v>
      </c>
      <c r="S55" s="37" t="n">
        <f aca="false">'Jan 2027'!V55</f>
        <v>0</v>
      </c>
      <c r="T55" s="37" t="n">
        <f aca="false">IF(B55="",0,N(Students!I44))</f>
        <v>0</v>
      </c>
      <c r="U55" s="23"/>
      <c r="V55" s="26" t="n">
        <f aca="false">N(S55)+N(T55)-N(U55)</f>
        <v>0</v>
      </c>
      <c r="W55" s="37" t="n">
        <f aca="false">'Jan 2027'!Z55</f>
        <v>0</v>
      </c>
      <c r="X55" s="37" t="n">
        <f aca="false">IF(B55="",0,N(Students!J44))</f>
        <v>0</v>
      </c>
      <c r="Y55" s="23"/>
      <c r="Z55" s="26" t="n">
        <f aca="false">N(W55)+N(X55)-N(Y55)</f>
        <v>0</v>
      </c>
      <c r="AA55" s="37" t="n">
        <f aca="false">N(E55)+N(I55)+N(M55)+N(Q55)+N(U55)+N(Y55)</f>
        <v>0</v>
      </c>
      <c r="AB55" s="26" t="n">
        <f aca="false">F55+J55+N55+R55+V55+Z55</f>
        <v>0</v>
      </c>
      <c r="AC55" s="83" t="str">
        <f aca="false">IF(B55="","",IF(AB55&lt;=0,"Clear",IF(AA55&gt;0,"Partial","Due")))</f>
        <v/>
      </c>
    </row>
    <row r="56" customFormat="false" ht="15" hidden="false" customHeight="false" outlineLevel="0" collapsed="false">
      <c r="A56" s="21" t="n">
        <v>41</v>
      </c>
      <c r="B56" s="46" t="str">
        <f aca="false">IF(Students!B45="","",Students!B45)</f>
        <v/>
      </c>
      <c r="C56" s="33" t="n">
        <f aca="false">'Jan 2027'!F56</f>
        <v>0</v>
      </c>
      <c r="D56" s="33" t="n">
        <f aca="false">IF(B56="",0,N(Students!E45))</f>
        <v>0</v>
      </c>
      <c r="E56" s="23"/>
      <c r="F56" s="24" t="n">
        <f aca="false">N(C56)+N(D56)-N(E56)</f>
        <v>0</v>
      </c>
      <c r="G56" s="33" t="n">
        <f aca="false">'Jan 2027'!J56</f>
        <v>0</v>
      </c>
      <c r="H56" s="33" t="n">
        <f aca="false">IF(B56="",0,N(Students!F45))</f>
        <v>0</v>
      </c>
      <c r="I56" s="23"/>
      <c r="J56" s="24" t="n">
        <f aca="false">N(G56)+N(H56)-N(I56)</f>
        <v>0</v>
      </c>
      <c r="K56" s="33" t="n">
        <f aca="false">'Jan 2027'!N56</f>
        <v>0</v>
      </c>
      <c r="L56" s="33" t="n">
        <f aca="false">IF(B56="",0,N(Students!G45))</f>
        <v>0</v>
      </c>
      <c r="M56" s="23"/>
      <c r="N56" s="24" t="n">
        <f aca="false">N(K56)+N(L56)-N(M56)</f>
        <v>0</v>
      </c>
      <c r="O56" s="33" t="n">
        <f aca="false">'Jan 2027'!R56</f>
        <v>0</v>
      </c>
      <c r="P56" s="33" t="n">
        <f aca="false">IF(B56="",0,N(Students!H45))</f>
        <v>0</v>
      </c>
      <c r="Q56" s="23"/>
      <c r="R56" s="24" t="n">
        <f aca="false">N(O56)+N(P56)-N(Q56)</f>
        <v>0</v>
      </c>
      <c r="S56" s="33" t="n">
        <f aca="false">'Jan 2027'!V56</f>
        <v>0</v>
      </c>
      <c r="T56" s="33" t="n">
        <f aca="false">IF(B56="",0,N(Students!I45))</f>
        <v>0</v>
      </c>
      <c r="U56" s="23"/>
      <c r="V56" s="24" t="n">
        <f aca="false">N(S56)+N(T56)-N(U56)</f>
        <v>0</v>
      </c>
      <c r="W56" s="33" t="n">
        <f aca="false">'Jan 2027'!Z56</f>
        <v>0</v>
      </c>
      <c r="X56" s="33" t="n">
        <f aca="false">IF(B56="",0,N(Students!J45))</f>
        <v>0</v>
      </c>
      <c r="Y56" s="23"/>
      <c r="Z56" s="24" t="n">
        <f aca="false">N(W56)+N(X56)-N(Y56)</f>
        <v>0</v>
      </c>
      <c r="AA56" s="33" t="n">
        <f aca="false">N(E56)+N(I56)+N(M56)+N(Q56)+N(U56)+N(Y56)</f>
        <v>0</v>
      </c>
      <c r="AB56" s="24" t="n">
        <f aca="false">F56+J56+N56+R56+V56+Z56</f>
        <v>0</v>
      </c>
      <c r="AC56" s="81" t="str">
        <f aca="false">IF(B56="","",IF(AB56&lt;=0,"Clear",IF(AA56&gt;0,"Partial","Due")))</f>
        <v/>
      </c>
    </row>
    <row r="57" customFormat="false" ht="15" hidden="false" customHeight="false" outlineLevel="0" collapsed="false">
      <c r="A57" s="25" t="n">
        <v>42</v>
      </c>
      <c r="B57" s="82" t="str">
        <f aca="false">IF(Students!B46="","",Students!B46)</f>
        <v/>
      </c>
      <c r="C57" s="37" t="n">
        <f aca="false">'Jan 2027'!F57</f>
        <v>0</v>
      </c>
      <c r="D57" s="37" t="n">
        <f aca="false">IF(B57="",0,N(Students!E46))</f>
        <v>0</v>
      </c>
      <c r="E57" s="23"/>
      <c r="F57" s="26" t="n">
        <f aca="false">N(C57)+N(D57)-N(E57)</f>
        <v>0</v>
      </c>
      <c r="G57" s="37" t="n">
        <f aca="false">'Jan 2027'!J57</f>
        <v>0</v>
      </c>
      <c r="H57" s="37" t="n">
        <f aca="false">IF(B57="",0,N(Students!F46))</f>
        <v>0</v>
      </c>
      <c r="I57" s="23"/>
      <c r="J57" s="26" t="n">
        <f aca="false">N(G57)+N(H57)-N(I57)</f>
        <v>0</v>
      </c>
      <c r="K57" s="37" t="n">
        <f aca="false">'Jan 2027'!N57</f>
        <v>0</v>
      </c>
      <c r="L57" s="37" t="n">
        <f aca="false">IF(B57="",0,N(Students!G46))</f>
        <v>0</v>
      </c>
      <c r="M57" s="23"/>
      <c r="N57" s="26" t="n">
        <f aca="false">N(K57)+N(L57)-N(M57)</f>
        <v>0</v>
      </c>
      <c r="O57" s="37" t="n">
        <f aca="false">'Jan 2027'!R57</f>
        <v>0</v>
      </c>
      <c r="P57" s="37" t="n">
        <f aca="false">IF(B57="",0,N(Students!H46))</f>
        <v>0</v>
      </c>
      <c r="Q57" s="23"/>
      <c r="R57" s="26" t="n">
        <f aca="false">N(O57)+N(P57)-N(Q57)</f>
        <v>0</v>
      </c>
      <c r="S57" s="37" t="n">
        <f aca="false">'Jan 2027'!V57</f>
        <v>0</v>
      </c>
      <c r="T57" s="37" t="n">
        <f aca="false">IF(B57="",0,N(Students!I46))</f>
        <v>0</v>
      </c>
      <c r="U57" s="23"/>
      <c r="V57" s="26" t="n">
        <f aca="false">N(S57)+N(T57)-N(U57)</f>
        <v>0</v>
      </c>
      <c r="W57" s="37" t="n">
        <f aca="false">'Jan 2027'!Z57</f>
        <v>0</v>
      </c>
      <c r="X57" s="37" t="n">
        <f aca="false">IF(B57="",0,N(Students!J46))</f>
        <v>0</v>
      </c>
      <c r="Y57" s="23"/>
      <c r="Z57" s="26" t="n">
        <f aca="false">N(W57)+N(X57)-N(Y57)</f>
        <v>0</v>
      </c>
      <c r="AA57" s="37" t="n">
        <f aca="false">N(E57)+N(I57)+N(M57)+N(Q57)+N(U57)+N(Y57)</f>
        <v>0</v>
      </c>
      <c r="AB57" s="26" t="n">
        <f aca="false">F57+J57+N57+R57+V57+Z57</f>
        <v>0</v>
      </c>
      <c r="AC57" s="83" t="str">
        <f aca="false">IF(B57="","",IF(AB57&lt;=0,"Clear",IF(AA57&gt;0,"Partial","Due")))</f>
        <v/>
      </c>
    </row>
    <row r="58" customFormat="false" ht="15" hidden="false" customHeight="false" outlineLevel="0" collapsed="false">
      <c r="A58" s="21" t="n">
        <v>43</v>
      </c>
      <c r="B58" s="46" t="str">
        <f aca="false">IF(Students!B47="","",Students!B47)</f>
        <v/>
      </c>
      <c r="C58" s="33" t="n">
        <f aca="false">'Jan 2027'!F58</f>
        <v>0</v>
      </c>
      <c r="D58" s="33" t="n">
        <f aca="false">IF(B58="",0,N(Students!E47))</f>
        <v>0</v>
      </c>
      <c r="E58" s="23"/>
      <c r="F58" s="24" t="n">
        <f aca="false">N(C58)+N(D58)-N(E58)</f>
        <v>0</v>
      </c>
      <c r="G58" s="33" t="n">
        <f aca="false">'Jan 2027'!J58</f>
        <v>0</v>
      </c>
      <c r="H58" s="33" t="n">
        <f aca="false">IF(B58="",0,N(Students!F47))</f>
        <v>0</v>
      </c>
      <c r="I58" s="23"/>
      <c r="J58" s="24" t="n">
        <f aca="false">N(G58)+N(H58)-N(I58)</f>
        <v>0</v>
      </c>
      <c r="K58" s="33" t="n">
        <f aca="false">'Jan 2027'!N58</f>
        <v>0</v>
      </c>
      <c r="L58" s="33" t="n">
        <f aca="false">IF(B58="",0,N(Students!G47))</f>
        <v>0</v>
      </c>
      <c r="M58" s="23"/>
      <c r="N58" s="24" t="n">
        <f aca="false">N(K58)+N(L58)-N(M58)</f>
        <v>0</v>
      </c>
      <c r="O58" s="33" t="n">
        <f aca="false">'Jan 2027'!R58</f>
        <v>0</v>
      </c>
      <c r="P58" s="33" t="n">
        <f aca="false">IF(B58="",0,N(Students!H47))</f>
        <v>0</v>
      </c>
      <c r="Q58" s="23"/>
      <c r="R58" s="24" t="n">
        <f aca="false">N(O58)+N(P58)-N(Q58)</f>
        <v>0</v>
      </c>
      <c r="S58" s="33" t="n">
        <f aca="false">'Jan 2027'!V58</f>
        <v>0</v>
      </c>
      <c r="T58" s="33" t="n">
        <f aca="false">IF(B58="",0,N(Students!I47))</f>
        <v>0</v>
      </c>
      <c r="U58" s="23"/>
      <c r="V58" s="24" t="n">
        <f aca="false">N(S58)+N(T58)-N(U58)</f>
        <v>0</v>
      </c>
      <c r="W58" s="33" t="n">
        <f aca="false">'Jan 2027'!Z58</f>
        <v>0</v>
      </c>
      <c r="X58" s="33" t="n">
        <f aca="false">IF(B58="",0,N(Students!J47))</f>
        <v>0</v>
      </c>
      <c r="Y58" s="23"/>
      <c r="Z58" s="24" t="n">
        <f aca="false">N(W58)+N(X58)-N(Y58)</f>
        <v>0</v>
      </c>
      <c r="AA58" s="33" t="n">
        <f aca="false">N(E58)+N(I58)+N(M58)+N(Q58)+N(U58)+N(Y58)</f>
        <v>0</v>
      </c>
      <c r="AB58" s="24" t="n">
        <f aca="false">F58+J58+N58+R58+V58+Z58</f>
        <v>0</v>
      </c>
      <c r="AC58" s="81" t="str">
        <f aca="false">IF(B58="","",IF(AB58&lt;=0,"Clear",IF(AA58&gt;0,"Partial","Due")))</f>
        <v/>
      </c>
    </row>
    <row r="59" customFormat="false" ht="15" hidden="false" customHeight="false" outlineLevel="0" collapsed="false">
      <c r="A59" s="25" t="n">
        <v>44</v>
      </c>
      <c r="B59" s="82" t="str">
        <f aca="false">IF(Students!B48="","",Students!B48)</f>
        <v/>
      </c>
      <c r="C59" s="37" t="n">
        <f aca="false">'Jan 2027'!F59</f>
        <v>0</v>
      </c>
      <c r="D59" s="37" t="n">
        <f aca="false">IF(B59="",0,N(Students!E48))</f>
        <v>0</v>
      </c>
      <c r="E59" s="23"/>
      <c r="F59" s="26" t="n">
        <f aca="false">N(C59)+N(D59)-N(E59)</f>
        <v>0</v>
      </c>
      <c r="G59" s="37" t="n">
        <f aca="false">'Jan 2027'!J59</f>
        <v>0</v>
      </c>
      <c r="H59" s="37" t="n">
        <f aca="false">IF(B59="",0,N(Students!F48))</f>
        <v>0</v>
      </c>
      <c r="I59" s="23"/>
      <c r="J59" s="26" t="n">
        <f aca="false">N(G59)+N(H59)-N(I59)</f>
        <v>0</v>
      </c>
      <c r="K59" s="37" t="n">
        <f aca="false">'Jan 2027'!N59</f>
        <v>0</v>
      </c>
      <c r="L59" s="37" t="n">
        <f aca="false">IF(B59="",0,N(Students!G48))</f>
        <v>0</v>
      </c>
      <c r="M59" s="23"/>
      <c r="N59" s="26" t="n">
        <f aca="false">N(K59)+N(L59)-N(M59)</f>
        <v>0</v>
      </c>
      <c r="O59" s="37" t="n">
        <f aca="false">'Jan 2027'!R59</f>
        <v>0</v>
      </c>
      <c r="P59" s="37" t="n">
        <f aca="false">IF(B59="",0,N(Students!H48))</f>
        <v>0</v>
      </c>
      <c r="Q59" s="23"/>
      <c r="R59" s="26" t="n">
        <f aca="false">N(O59)+N(P59)-N(Q59)</f>
        <v>0</v>
      </c>
      <c r="S59" s="37" t="n">
        <f aca="false">'Jan 2027'!V59</f>
        <v>0</v>
      </c>
      <c r="T59" s="37" t="n">
        <f aca="false">IF(B59="",0,N(Students!I48))</f>
        <v>0</v>
      </c>
      <c r="U59" s="23"/>
      <c r="V59" s="26" t="n">
        <f aca="false">N(S59)+N(T59)-N(U59)</f>
        <v>0</v>
      </c>
      <c r="W59" s="37" t="n">
        <f aca="false">'Jan 2027'!Z59</f>
        <v>0</v>
      </c>
      <c r="X59" s="37" t="n">
        <f aca="false">IF(B59="",0,N(Students!J48))</f>
        <v>0</v>
      </c>
      <c r="Y59" s="23"/>
      <c r="Z59" s="26" t="n">
        <f aca="false">N(W59)+N(X59)-N(Y59)</f>
        <v>0</v>
      </c>
      <c r="AA59" s="37" t="n">
        <f aca="false">N(E59)+N(I59)+N(M59)+N(Q59)+N(U59)+N(Y59)</f>
        <v>0</v>
      </c>
      <c r="AB59" s="26" t="n">
        <f aca="false">F59+J59+N59+R59+V59+Z59</f>
        <v>0</v>
      </c>
      <c r="AC59" s="83" t="str">
        <f aca="false">IF(B59="","",IF(AB59&lt;=0,"Clear",IF(AA59&gt;0,"Partial","Due")))</f>
        <v/>
      </c>
    </row>
    <row r="60" customFormat="false" ht="15" hidden="false" customHeight="false" outlineLevel="0" collapsed="false">
      <c r="A60" s="21" t="n">
        <v>45</v>
      </c>
      <c r="B60" s="46" t="str">
        <f aca="false">IF(Students!B49="","",Students!B49)</f>
        <v/>
      </c>
      <c r="C60" s="33" t="n">
        <f aca="false">'Jan 2027'!F60</f>
        <v>0</v>
      </c>
      <c r="D60" s="33" t="n">
        <f aca="false">IF(B60="",0,N(Students!E49))</f>
        <v>0</v>
      </c>
      <c r="E60" s="23"/>
      <c r="F60" s="24" t="n">
        <f aca="false">N(C60)+N(D60)-N(E60)</f>
        <v>0</v>
      </c>
      <c r="G60" s="33" t="n">
        <f aca="false">'Jan 2027'!J60</f>
        <v>0</v>
      </c>
      <c r="H60" s="33" t="n">
        <f aca="false">IF(B60="",0,N(Students!F49))</f>
        <v>0</v>
      </c>
      <c r="I60" s="23"/>
      <c r="J60" s="24" t="n">
        <f aca="false">N(G60)+N(H60)-N(I60)</f>
        <v>0</v>
      </c>
      <c r="K60" s="33" t="n">
        <f aca="false">'Jan 2027'!N60</f>
        <v>0</v>
      </c>
      <c r="L60" s="33" t="n">
        <f aca="false">IF(B60="",0,N(Students!G49))</f>
        <v>0</v>
      </c>
      <c r="M60" s="23"/>
      <c r="N60" s="24" t="n">
        <f aca="false">N(K60)+N(L60)-N(M60)</f>
        <v>0</v>
      </c>
      <c r="O60" s="33" t="n">
        <f aca="false">'Jan 2027'!R60</f>
        <v>0</v>
      </c>
      <c r="P60" s="33" t="n">
        <f aca="false">IF(B60="",0,N(Students!H49))</f>
        <v>0</v>
      </c>
      <c r="Q60" s="23"/>
      <c r="R60" s="24" t="n">
        <f aca="false">N(O60)+N(P60)-N(Q60)</f>
        <v>0</v>
      </c>
      <c r="S60" s="33" t="n">
        <f aca="false">'Jan 2027'!V60</f>
        <v>0</v>
      </c>
      <c r="T60" s="33" t="n">
        <f aca="false">IF(B60="",0,N(Students!I49))</f>
        <v>0</v>
      </c>
      <c r="U60" s="23"/>
      <c r="V60" s="24" t="n">
        <f aca="false">N(S60)+N(T60)-N(U60)</f>
        <v>0</v>
      </c>
      <c r="W60" s="33" t="n">
        <f aca="false">'Jan 2027'!Z60</f>
        <v>0</v>
      </c>
      <c r="X60" s="33" t="n">
        <f aca="false">IF(B60="",0,N(Students!J49))</f>
        <v>0</v>
      </c>
      <c r="Y60" s="23"/>
      <c r="Z60" s="24" t="n">
        <f aca="false">N(W60)+N(X60)-N(Y60)</f>
        <v>0</v>
      </c>
      <c r="AA60" s="33" t="n">
        <f aca="false">N(E60)+N(I60)+N(M60)+N(Q60)+N(U60)+N(Y60)</f>
        <v>0</v>
      </c>
      <c r="AB60" s="24" t="n">
        <f aca="false">F60+J60+N60+R60+V60+Z60</f>
        <v>0</v>
      </c>
      <c r="AC60" s="81" t="str">
        <f aca="false">IF(B60="","",IF(AB60&lt;=0,"Clear",IF(AA60&gt;0,"Partial","Due")))</f>
        <v/>
      </c>
    </row>
    <row r="61" customFormat="false" ht="15" hidden="false" customHeight="false" outlineLevel="0" collapsed="false">
      <c r="A61" s="25" t="n">
        <v>46</v>
      </c>
      <c r="B61" s="82" t="str">
        <f aca="false">IF(Students!B50="","",Students!B50)</f>
        <v/>
      </c>
      <c r="C61" s="37" t="n">
        <f aca="false">'Jan 2027'!F61</f>
        <v>0</v>
      </c>
      <c r="D61" s="37" t="n">
        <f aca="false">IF(B61="",0,N(Students!E50))</f>
        <v>0</v>
      </c>
      <c r="E61" s="23"/>
      <c r="F61" s="26" t="n">
        <f aca="false">N(C61)+N(D61)-N(E61)</f>
        <v>0</v>
      </c>
      <c r="G61" s="37" t="n">
        <f aca="false">'Jan 2027'!J61</f>
        <v>0</v>
      </c>
      <c r="H61" s="37" t="n">
        <f aca="false">IF(B61="",0,N(Students!F50))</f>
        <v>0</v>
      </c>
      <c r="I61" s="23"/>
      <c r="J61" s="26" t="n">
        <f aca="false">N(G61)+N(H61)-N(I61)</f>
        <v>0</v>
      </c>
      <c r="K61" s="37" t="n">
        <f aca="false">'Jan 2027'!N61</f>
        <v>0</v>
      </c>
      <c r="L61" s="37" t="n">
        <f aca="false">IF(B61="",0,N(Students!G50))</f>
        <v>0</v>
      </c>
      <c r="M61" s="23"/>
      <c r="N61" s="26" t="n">
        <f aca="false">N(K61)+N(L61)-N(M61)</f>
        <v>0</v>
      </c>
      <c r="O61" s="37" t="n">
        <f aca="false">'Jan 2027'!R61</f>
        <v>0</v>
      </c>
      <c r="P61" s="37" t="n">
        <f aca="false">IF(B61="",0,N(Students!H50))</f>
        <v>0</v>
      </c>
      <c r="Q61" s="23"/>
      <c r="R61" s="26" t="n">
        <f aca="false">N(O61)+N(P61)-N(Q61)</f>
        <v>0</v>
      </c>
      <c r="S61" s="37" t="n">
        <f aca="false">'Jan 2027'!V61</f>
        <v>0</v>
      </c>
      <c r="T61" s="37" t="n">
        <f aca="false">IF(B61="",0,N(Students!I50))</f>
        <v>0</v>
      </c>
      <c r="U61" s="23"/>
      <c r="V61" s="26" t="n">
        <f aca="false">N(S61)+N(T61)-N(U61)</f>
        <v>0</v>
      </c>
      <c r="W61" s="37" t="n">
        <f aca="false">'Jan 2027'!Z61</f>
        <v>0</v>
      </c>
      <c r="X61" s="37" t="n">
        <f aca="false">IF(B61="",0,N(Students!J50))</f>
        <v>0</v>
      </c>
      <c r="Y61" s="23"/>
      <c r="Z61" s="26" t="n">
        <f aca="false">N(W61)+N(X61)-N(Y61)</f>
        <v>0</v>
      </c>
      <c r="AA61" s="37" t="n">
        <f aca="false">N(E61)+N(I61)+N(M61)+N(Q61)+N(U61)+N(Y61)</f>
        <v>0</v>
      </c>
      <c r="AB61" s="26" t="n">
        <f aca="false">F61+J61+N61+R61+V61+Z61</f>
        <v>0</v>
      </c>
      <c r="AC61" s="83" t="str">
        <f aca="false">IF(B61="","",IF(AB61&lt;=0,"Clear",IF(AA61&gt;0,"Partial","Due")))</f>
        <v/>
      </c>
    </row>
    <row r="62" customFormat="false" ht="15" hidden="false" customHeight="false" outlineLevel="0" collapsed="false">
      <c r="A62" s="21" t="n">
        <v>47</v>
      </c>
      <c r="B62" s="46" t="str">
        <f aca="false">IF(Students!B51="","",Students!B51)</f>
        <v/>
      </c>
      <c r="C62" s="33" t="n">
        <f aca="false">'Jan 2027'!F62</f>
        <v>0</v>
      </c>
      <c r="D62" s="33" t="n">
        <f aca="false">IF(B62="",0,N(Students!E51))</f>
        <v>0</v>
      </c>
      <c r="E62" s="23"/>
      <c r="F62" s="24" t="n">
        <f aca="false">N(C62)+N(D62)-N(E62)</f>
        <v>0</v>
      </c>
      <c r="G62" s="33" t="n">
        <f aca="false">'Jan 2027'!J62</f>
        <v>0</v>
      </c>
      <c r="H62" s="33" t="n">
        <f aca="false">IF(B62="",0,N(Students!F51))</f>
        <v>0</v>
      </c>
      <c r="I62" s="23"/>
      <c r="J62" s="24" t="n">
        <f aca="false">N(G62)+N(H62)-N(I62)</f>
        <v>0</v>
      </c>
      <c r="K62" s="33" t="n">
        <f aca="false">'Jan 2027'!N62</f>
        <v>0</v>
      </c>
      <c r="L62" s="33" t="n">
        <f aca="false">IF(B62="",0,N(Students!G51))</f>
        <v>0</v>
      </c>
      <c r="M62" s="23"/>
      <c r="N62" s="24" t="n">
        <f aca="false">N(K62)+N(L62)-N(M62)</f>
        <v>0</v>
      </c>
      <c r="O62" s="33" t="n">
        <f aca="false">'Jan 2027'!R62</f>
        <v>0</v>
      </c>
      <c r="P62" s="33" t="n">
        <f aca="false">IF(B62="",0,N(Students!H51))</f>
        <v>0</v>
      </c>
      <c r="Q62" s="23"/>
      <c r="R62" s="24" t="n">
        <f aca="false">N(O62)+N(P62)-N(Q62)</f>
        <v>0</v>
      </c>
      <c r="S62" s="33" t="n">
        <f aca="false">'Jan 2027'!V62</f>
        <v>0</v>
      </c>
      <c r="T62" s="33" t="n">
        <f aca="false">IF(B62="",0,N(Students!I51))</f>
        <v>0</v>
      </c>
      <c r="U62" s="23"/>
      <c r="V62" s="24" t="n">
        <f aca="false">N(S62)+N(T62)-N(U62)</f>
        <v>0</v>
      </c>
      <c r="W62" s="33" t="n">
        <f aca="false">'Jan 2027'!Z62</f>
        <v>0</v>
      </c>
      <c r="X62" s="33" t="n">
        <f aca="false">IF(B62="",0,N(Students!J51))</f>
        <v>0</v>
      </c>
      <c r="Y62" s="23"/>
      <c r="Z62" s="24" t="n">
        <f aca="false">N(W62)+N(X62)-N(Y62)</f>
        <v>0</v>
      </c>
      <c r="AA62" s="33" t="n">
        <f aca="false">N(E62)+N(I62)+N(M62)+N(Q62)+N(U62)+N(Y62)</f>
        <v>0</v>
      </c>
      <c r="AB62" s="24" t="n">
        <f aca="false">F62+J62+N62+R62+V62+Z62</f>
        <v>0</v>
      </c>
      <c r="AC62" s="81" t="str">
        <f aca="false">IF(B62="","",IF(AB62&lt;=0,"Clear",IF(AA62&gt;0,"Partial","Due")))</f>
        <v/>
      </c>
    </row>
    <row r="63" customFormat="false" ht="15" hidden="false" customHeight="false" outlineLevel="0" collapsed="false">
      <c r="A63" s="25" t="n">
        <v>48</v>
      </c>
      <c r="B63" s="82" t="str">
        <f aca="false">IF(Students!B52="","",Students!B52)</f>
        <v/>
      </c>
      <c r="C63" s="37" t="n">
        <f aca="false">'Jan 2027'!F63</f>
        <v>0</v>
      </c>
      <c r="D63" s="37" t="n">
        <f aca="false">IF(B63="",0,N(Students!E52))</f>
        <v>0</v>
      </c>
      <c r="E63" s="23"/>
      <c r="F63" s="26" t="n">
        <f aca="false">N(C63)+N(D63)-N(E63)</f>
        <v>0</v>
      </c>
      <c r="G63" s="37" t="n">
        <f aca="false">'Jan 2027'!J63</f>
        <v>0</v>
      </c>
      <c r="H63" s="37" t="n">
        <f aca="false">IF(B63="",0,N(Students!F52))</f>
        <v>0</v>
      </c>
      <c r="I63" s="23"/>
      <c r="J63" s="26" t="n">
        <f aca="false">N(G63)+N(H63)-N(I63)</f>
        <v>0</v>
      </c>
      <c r="K63" s="37" t="n">
        <f aca="false">'Jan 2027'!N63</f>
        <v>0</v>
      </c>
      <c r="L63" s="37" t="n">
        <f aca="false">IF(B63="",0,N(Students!G52))</f>
        <v>0</v>
      </c>
      <c r="M63" s="23"/>
      <c r="N63" s="26" t="n">
        <f aca="false">N(K63)+N(L63)-N(M63)</f>
        <v>0</v>
      </c>
      <c r="O63" s="37" t="n">
        <f aca="false">'Jan 2027'!R63</f>
        <v>0</v>
      </c>
      <c r="P63" s="37" t="n">
        <f aca="false">IF(B63="",0,N(Students!H52))</f>
        <v>0</v>
      </c>
      <c r="Q63" s="23"/>
      <c r="R63" s="26" t="n">
        <f aca="false">N(O63)+N(P63)-N(Q63)</f>
        <v>0</v>
      </c>
      <c r="S63" s="37" t="n">
        <f aca="false">'Jan 2027'!V63</f>
        <v>0</v>
      </c>
      <c r="T63" s="37" t="n">
        <f aca="false">IF(B63="",0,N(Students!I52))</f>
        <v>0</v>
      </c>
      <c r="U63" s="23"/>
      <c r="V63" s="26" t="n">
        <f aca="false">N(S63)+N(T63)-N(U63)</f>
        <v>0</v>
      </c>
      <c r="W63" s="37" t="n">
        <f aca="false">'Jan 2027'!Z63</f>
        <v>0</v>
      </c>
      <c r="X63" s="37" t="n">
        <f aca="false">IF(B63="",0,N(Students!J52))</f>
        <v>0</v>
      </c>
      <c r="Y63" s="23"/>
      <c r="Z63" s="26" t="n">
        <f aca="false">N(W63)+N(X63)-N(Y63)</f>
        <v>0</v>
      </c>
      <c r="AA63" s="37" t="n">
        <f aca="false">N(E63)+N(I63)+N(M63)+N(Q63)+N(U63)+N(Y63)</f>
        <v>0</v>
      </c>
      <c r="AB63" s="26" t="n">
        <f aca="false">F63+J63+N63+R63+V63+Z63</f>
        <v>0</v>
      </c>
      <c r="AC63" s="83" t="str">
        <f aca="false">IF(B63="","",IF(AB63&lt;=0,"Clear",IF(AA63&gt;0,"Partial","Due")))</f>
        <v/>
      </c>
    </row>
    <row r="64" customFormat="false" ht="15" hidden="false" customHeight="false" outlineLevel="0" collapsed="false">
      <c r="A64" s="21" t="n">
        <v>49</v>
      </c>
      <c r="B64" s="46" t="str">
        <f aca="false">IF(Students!B53="","",Students!B53)</f>
        <v/>
      </c>
      <c r="C64" s="33" t="n">
        <f aca="false">'Jan 2027'!F64</f>
        <v>0</v>
      </c>
      <c r="D64" s="33" t="n">
        <f aca="false">IF(B64="",0,N(Students!E53))</f>
        <v>0</v>
      </c>
      <c r="E64" s="23"/>
      <c r="F64" s="24" t="n">
        <f aca="false">N(C64)+N(D64)-N(E64)</f>
        <v>0</v>
      </c>
      <c r="G64" s="33" t="n">
        <f aca="false">'Jan 2027'!J64</f>
        <v>0</v>
      </c>
      <c r="H64" s="33" t="n">
        <f aca="false">IF(B64="",0,N(Students!F53))</f>
        <v>0</v>
      </c>
      <c r="I64" s="23"/>
      <c r="J64" s="24" t="n">
        <f aca="false">N(G64)+N(H64)-N(I64)</f>
        <v>0</v>
      </c>
      <c r="K64" s="33" t="n">
        <f aca="false">'Jan 2027'!N64</f>
        <v>0</v>
      </c>
      <c r="L64" s="33" t="n">
        <f aca="false">IF(B64="",0,N(Students!G53))</f>
        <v>0</v>
      </c>
      <c r="M64" s="23"/>
      <c r="N64" s="24" t="n">
        <f aca="false">N(K64)+N(L64)-N(M64)</f>
        <v>0</v>
      </c>
      <c r="O64" s="33" t="n">
        <f aca="false">'Jan 2027'!R64</f>
        <v>0</v>
      </c>
      <c r="P64" s="33" t="n">
        <f aca="false">IF(B64="",0,N(Students!H53))</f>
        <v>0</v>
      </c>
      <c r="Q64" s="23"/>
      <c r="R64" s="24" t="n">
        <f aca="false">N(O64)+N(P64)-N(Q64)</f>
        <v>0</v>
      </c>
      <c r="S64" s="33" t="n">
        <f aca="false">'Jan 2027'!V64</f>
        <v>0</v>
      </c>
      <c r="T64" s="33" t="n">
        <f aca="false">IF(B64="",0,N(Students!I53))</f>
        <v>0</v>
      </c>
      <c r="U64" s="23"/>
      <c r="V64" s="24" t="n">
        <f aca="false">N(S64)+N(T64)-N(U64)</f>
        <v>0</v>
      </c>
      <c r="W64" s="33" t="n">
        <f aca="false">'Jan 2027'!Z64</f>
        <v>0</v>
      </c>
      <c r="X64" s="33" t="n">
        <f aca="false">IF(B64="",0,N(Students!J53))</f>
        <v>0</v>
      </c>
      <c r="Y64" s="23"/>
      <c r="Z64" s="24" t="n">
        <f aca="false">N(W64)+N(X64)-N(Y64)</f>
        <v>0</v>
      </c>
      <c r="AA64" s="33" t="n">
        <f aca="false">N(E64)+N(I64)+N(M64)+N(Q64)+N(U64)+N(Y64)</f>
        <v>0</v>
      </c>
      <c r="AB64" s="24" t="n">
        <f aca="false">F64+J64+N64+R64+V64+Z64</f>
        <v>0</v>
      </c>
      <c r="AC64" s="81" t="str">
        <f aca="false">IF(B64="","",IF(AB64&lt;=0,"Clear",IF(AA64&gt;0,"Partial","Due")))</f>
        <v/>
      </c>
    </row>
    <row r="65" customFormat="false" ht="15" hidden="false" customHeight="false" outlineLevel="0" collapsed="false">
      <c r="A65" s="25" t="n">
        <v>50</v>
      </c>
      <c r="B65" s="82" t="str">
        <f aca="false">IF(Students!B54="","",Students!B54)</f>
        <v/>
      </c>
      <c r="C65" s="37" t="n">
        <f aca="false">'Jan 2027'!F65</f>
        <v>0</v>
      </c>
      <c r="D65" s="37" t="n">
        <f aca="false">IF(B65="",0,N(Students!E54))</f>
        <v>0</v>
      </c>
      <c r="E65" s="23"/>
      <c r="F65" s="26" t="n">
        <f aca="false">N(C65)+N(D65)-N(E65)</f>
        <v>0</v>
      </c>
      <c r="G65" s="37" t="n">
        <f aca="false">'Jan 2027'!J65</f>
        <v>0</v>
      </c>
      <c r="H65" s="37" t="n">
        <f aca="false">IF(B65="",0,N(Students!F54))</f>
        <v>0</v>
      </c>
      <c r="I65" s="23"/>
      <c r="J65" s="26" t="n">
        <f aca="false">N(G65)+N(H65)-N(I65)</f>
        <v>0</v>
      </c>
      <c r="K65" s="37" t="n">
        <f aca="false">'Jan 2027'!N65</f>
        <v>0</v>
      </c>
      <c r="L65" s="37" t="n">
        <f aca="false">IF(B65="",0,N(Students!G54))</f>
        <v>0</v>
      </c>
      <c r="M65" s="23"/>
      <c r="N65" s="26" t="n">
        <f aca="false">N(K65)+N(L65)-N(M65)</f>
        <v>0</v>
      </c>
      <c r="O65" s="37" t="n">
        <f aca="false">'Jan 2027'!R65</f>
        <v>0</v>
      </c>
      <c r="P65" s="37" t="n">
        <f aca="false">IF(B65="",0,N(Students!H54))</f>
        <v>0</v>
      </c>
      <c r="Q65" s="23"/>
      <c r="R65" s="26" t="n">
        <f aca="false">N(O65)+N(P65)-N(Q65)</f>
        <v>0</v>
      </c>
      <c r="S65" s="37" t="n">
        <f aca="false">'Jan 2027'!V65</f>
        <v>0</v>
      </c>
      <c r="T65" s="37" t="n">
        <f aca="false">IF(B65="",0,N(Students!I54))</f>
        <v>0</v>
      </c>
      <c r="U65" s="23"/>
      <c r="V65" s="26" t="n">
        <f aca="false">N(S65)+N(T65)-N(U65)</f>
        <v>0</v>
      </c>
      <c r="W65" s="37" t="n">
        <f aca="false">'Jan 2027'!Z65</f>
        <v>0</v>
      </c>
      <c r="X65" s="37" t="n">
        <f aca="false">IF(B65="",0,N(Students!J54))</f>
        <v>0</v>
      </c>
      <c r="Y65" s="23"/>
      <c r="Z65" s="26" t="n">
        <f aca="false">N(W65)+N(X65)-N(Y65)</f>
        <v>0</v>
      </c>
      <c r="AA65" s="37" t="n">
        <f aca="false">N(E65)+N(I65)+N(M65)+N(Q65)+N(U65)+N(Y65)</f>
        <v>0</v>
      </c>
      <c r="AB65" s="26" t="n">
        <f aca="false">F65+J65+N65+R65+V65+Z65</f>
        <v>0</v>
      </c>
      <c r="AC65" s="83" t="str">
        <f aca="false">IF(B65="","",IF(AB65&lt;=0,"Clear",IF(AA65&gt;0,"Partial","Due")))</f>
        <v/>
      </c>
    </row>
    <row r="66" customFormat="false" ht="15" hidden="false" customHeight="false" outlineLevel="0" collapsed="false">
      <c r="A66" s="21" t="n">
        <v>51</v>
      </c>
      <c r="B66" s="46" t="str">
        <f aca="false">IF(Students!B55="","",Students!B55)</f>
        <v/>
      </c>
      <c r="C66" s="33" t="n">
        <f aca="false">'Jan 2027'!F66</f>
        <v>0</v>
      </c>
      <c r="D66" s="33" t="n">
        <f aca="false">IF(B66="",0,N(Students!E55))</f>
        <v>0</v>
      </c>
      <c r="E66" s="23"/>
      <c r="F66" s="24" t="n">
        <f aca="false">N(C66)+N(D66)-N(E66)</f>
        <v>0</v>
      </c>
      <c r="G66" s="33" t="n">
        <f aca="false">'Jan 2027'!J66</f>
        <v>0</v>
      </c>
      <c r="H66" s="33" t="n">
        <f aca="false">IF(B66="",0,N(Students!F55))</f>
        <v>0</v>
      </c>
      <c r="I66" s="23"/>
      <c r="J66" s="24" t="n">
        <f aca="false">N(G66)+N(H66)-N(I66)</f>
        <v>0</v>
      </c>
      <c r="K66" s="33" t="n">
        <f aca="false">'Jan 2027'!N66</f>
        <v>0</v>
      </c>
      <c r="L66" s="33" t="n">
        <f aca="false">IF(B66="",0,N(Students!G55))</f>
        <v>0</v>
      </c>
      <c r="M66" s="23"/>
      <c r="N66" s="24" t="n">
        <f aca="false">N(K66)+N(L66)-N(M66)</f>
        <v>0</v>
      </c>
      <c r="O66" s="33" t="n">
        <f aca="false">'Jan 2027'!R66</f>
        <v>0</v>
      </c>
      <c r="P66" s="33" t="n">
        <f aca="false">IF(B66="",0,N(Students!H55))</f>
        <v>0</v>
      </c>
      <c r="Q66" s="23"/>
      <c r="R66" s="24" t="n">
        <f aca="false">N(O66)+N(P66)-N(Q66)</f>
        <v>0</v>
      </c>
      <c r="S66" s="33" t="n">
        <f aca="false">'Jan 2027'!V66</f>
        <v>0</v>
      </c>
      <c r="T66" s="33" t="n">
        <f aca="false">IF(B66="",0,N(Students!I55))</f>
        <v>0</v>
      </c>
      <c r="U66" s="23"/>
      <c r="V66" s="24" t="n">
        <f aca="false">N(S66)+N(T66)-N(U66)</f>
        <v>0</v>
      </c>
      <c r="W66" s="33" t="n">
        <f aca="false">'Jan 2027'!Z66</f>
        <v>0</v>
      </c>
      <c r="X66" s="33" t="n">
        <f aca="false">IF(B66="",0,N(Students!J55))</f>
        <v>0</v>
      </c>
      <c r="Y66" s="23"/>
      <c r="Z66" s="24" t="n">
        <f aca="false">N(W66)+N(X66)-N(Y66)</f>
        <v>0</v>
      </c>
      <c r="AA66" s="33" t="n">
        <f aca="false">N(E66)+N(I66)+N(M66)+N(Q66)+N(U66)+N(Y66)</f>
        <v>0</v>
      </c>
      <c r="AB66" s="24" t="n">
        <f aca="false">F66+J66+N66+R66+V66+Z66</f>
        <v>0</v>
      </c>
      <c r="AC66" s="81" t="str">
        <f aca="false">IF(B66="","",IF(AB66&lt;=0,"Clear",IF(AA66&gt;0,"Partial","Due")))</f>
        <v/>
      </c>
    </row>
    <row r="67" customFormat="false" ht="15" hidden="false" customHeight="false" outlineLevel="0" collapsed="false">
      <c r="A67" s="25" t="n">
        <v>52</v>
      </c>
      <c r="B67" s="82" t="str">
        <f aca="false">IF(Students!B56="","",Students!B56)</f>
        <v/>
      </c>
      <c r="C67" s="37" t="n">
        <f aca="false">'Jan 2027'!F67</f>
        <v>0</v>
      </c>
      <c r="D67" s="37" t="n">
        <f aca="false">IF(B67="",0,N(Students!E56))</f>
        <v>0</v>
      </c>
      <c r="E67" s="23"/>
      <c r="F67" s="26" t="n">
        <f aca="false">N(C67)+N(D67)-N(E67)</f>
        <v>0</v>
      </c>
      <c r="G67" s="37" t="n">
        <f aca="false">'Jan 2027'!J67</f>
        <v>0</v>
      </c>
      <c r="H67" s="37" t="n">
        <f aca="false">IF(B67="",0,N(Students!F56))</f>
        <v>0</v>
      </c>
      <c r="I67" s="23"/>
      <c r="J67" s="26" t="n">
        <f aca="false">N(G67)+N(H67)-N(I67)</f>
        <v>0</v>
      </c>
      <c r="K67" s="37" t="n">
        <f aca="false">'Jan 2027'!N67</f>
        <v>0</v>
      </c>
      <c r="L67" s="37" t="n">
        <f aca="false">IF(B67="",0,N(Students!G56))</f>
        <v>0</v>
      </c>
      <c r="M67" s="23"/>
      <c r="N67" s="26" t="n">
        <f aca="false">N(K67)+N(L67)-N(M67)</f>
        <v>0</v>
      </c>
      <c r="O67" s="37" t="n">
        <f aca="false">'Jan 2027'!R67</f>
        <v>0</v>
      </c>
      <c r="P67" s="37" t="n">
        <f aca="false">IF(B67="",0,N(Students!H56))</f>
        <v>0</v>
      </c>
      <c r="Q67" s="23"/>
      <c r="R67" s="26" t="n">
        <f aca="false">N(O67)+N(P67)-N(Q67)</f>
        <v>0</v>
      </c>
      <c r="S67" s="37" t="n">
        <f aca="false">'Jan 2027'!V67</f>
        <v>0</v>
      </c>
      <c r="T67" s="37" t="n">
        <f aca="false">IF(B67="",0,N(Students!I56))</f>
        <v>0</v>
      </c>
      <c r="U67" s="23"/>
      <c r="V67" s="26" t="n">
        <f aca="false">N(S67)+N(T67)-N(U67)</f>
        <v>0</v>
      </c>
      <c r="W67" s="37" t="n">
        <f aca="false">'Jan 2027'!Z67</f>
        <v>0</v>
      </c>
      <c r="X67" s="37" t="n">
        <f aca="false">IF(B67="",0,N(Students!J56))</f>
        <v>0</v>
      </c>
      <c r="Y67" s="23"/>
      <c r="Z67" s="26" t="n">
        <f aca="false">N(W67)+N(X67)-N(Y67)</f>
        <v>0</v>
      </c>
      <c r="AA67" s="37" t="n">
        <f aca="false">N(E67)+N(I67)+N(M67)+N(Q67)+N(U67)+N(Y67)</f>
        <v>0</v>
      </c>
      <c r="AB67" s="26" t="n">
        <f aca="false">F67+J67+N67+R67+V67+Z67</f>
        <v>0</v>
      </c>
      <c r="AC67" s="83" t="str">
        <f aca="false">IF(B67="","",IF(AB67&lt;=0,"Clear",IF(AA67&gt;0,"Partial","Due")))</f>
        <v/>
      </c>
    </row>
    <row r="68" customFormat="false" ht="15" hidden="false" customHeight="false" outlineLevel="0" collapsed="false">
      <c r="A68" s="21" t="n">
        <v>53</v>
      </c>
      <c r="B68" s="46" t="str">
        <f aca="false">IF(Students!B57="","",Students!B57)</f>
        <v/>
      </c>
      <c r="C68" s="33" t="n">
        <f aca="false">'Jan 2027'!F68</f>
        <v>0</v>
      </c>
      <c r="D68" s="33" t="n">
        <f aca="false">IF(B68="",0,N(Students!E57))</f>
        <v>0</v>
      </c>
      <c r="E68" s="23"/>
      <c r="F68" s="24" t="n">
        <f aca="false">N(C68)+N(D68)-N(E68)</f>
        <v>0</v>
      </c>
      <c r="G68" s="33" t="n">
        <f aca="false">'Jan 2027'!J68</f>
        <v>0</v>
      </c>
      <c r="H68" s="33" t="n">
        <f aca="false">IF(B68="",0,N(Students!F57))</f>
        <v>0</v>
      </c>
      <c r="I68" s="23"/>
      <c r="J68" s="24" t="n">
        <f aca="false">N(G68)+N(H68)-N(I68)</f>
        <v>0</v>
      </c>
      <c r="K68" s="33" t="n">
        <f aca="false">'Jan 2027'!N68</f>
        <v>0</v>
      </c>
      <c r="L68" s="33" t="n">
        <f aca="false">IF(B68="",0,N(Students!G57))</f>
        <v>0</v>
      </c>
      <c r="M68" s="23"/>
      <c r="N68" s="24" t="n">
        <f aca="false">N(K68)+N(L68)-N(M68)</f>
        <v>0</v>
      </c>
      <c r="O68" s="33" t="n">
        <f aca="false">'Jan 2027'!R68</f>
        <v>0</v>
      </c>
      <c r="P68" s="33" t="n">
        <f aca="false">IF(B68="",0,N(Students!H57))</f>
        <v>0</v>
      </c>
      <c r="Q68" s="23"/>
      <c r="R68" s="24" t="n">
        <f aca="false">N(O68)+N(P68)-N(Q68)</f>
        <v>0</v>
      </c>
      <c r="S68" s="33" t="n">
        <f aca="false">'Jan 2027'!V68</f>
        <v>0</v>
      </c>
      <c r="T68" s="33" t="n">
        <f aca="false">IF(B68="",0,N(Students!I57))</f>
        <v>0</v>
      </c>
      <c r="U68" s="23"/>
      <c r="V68" s="24" t="n">
        <f aca="false">N(S68)+N(T68)-N(U68)</f>
        <v>0</v>
      </c>
      <c r="W68" s="33" t="n">
        <f aca="false">'Jan 2027'!Z68</f>
        <v>0</v>
      </c>
      <c r="X68" s="33" t="n">
        <f aca="false">IF(B68="",0,N(Students!J57))</f>
        <v>0</v>
      </c>
      <c r="Y68" s="23"/>
      <c r="Z68" s="24" t="n">
        <f aca="false">N(W68)+N(X68)-N(Y68)</f>
        <v>0</v>
      </c>
      <c r="AA68" s="33" t="n">
        <f aca="false">N(E68)+N(I68)+N(M68)+N(Q68)+N(U68)+N(Y68)</f>
        <v>0</v>
      </c>
      <c r="AB68" s="24" t="n">
        <f aca="false">F68+J68+N68+R68+V68+Z68</f>
        <v>0</v>
      </c>
      <c r="AC68" s="81" t="str">
        <f aca="false">IF(B68="","",IF(AB68&lt;=0,"Clear",IF(AA68&gt;0,"Partial","Due")))</f>
        <v/>
      </c>
    </row>
    <row r="69" customFormat="false" ht="15" hidden="false" customHeight="false" outlineLevel="0" collapsed="false">
      <c r="A69" s="25" t="n">
        <v>54</v>
      </c>
      <c r="B69" s="82" t="str">
        <f aca="false">IF(Students!B58="","",Students!B58)</f>
        <v/>
      </c>
      <c r="C69" s="37" t="n">
        <f aca="false">'Jan 2027'!F69</f>
        <v>0</v>
      </c>
      <c r="D69" s="37" t="n">
        <f aca="false">IF(B69="",0,N(Students!E58))</f>
        <v>0</v>
      </c>
      <c r="E69" s="23"/>
      <c r="F69" s="26" t="n">
        <f aca="false">N(C69)+N(D69)-N(E69)</f>
        <v>0</v>
      </c>
      <c r="G69" s="37" t="n">
        <f aca="false">'Jan 2027'!J69</f>
        <v>0</v>
      </c>
      <c r="H69" s="37" t="n">
        <f aca="false">IF(B69="",0,N(Students!F58))</f>
        <v>0</v>
      </c>
      <c r="I69" s="23"/>
      <c r="J69" s="26" t="n">
        <f aca="false">N(G69)+N(H69)-N(I69)</f>
        <v>0</v>
      </c>
      <c r="K69" s="37" t="n">
        <f aca="false">'Jan 2027'!N69</f>
        <v>0</v>
      </c>
      <c r="L69" s="37" t="n">
        <f aca="false">IF(B69="",0,N(Students!G58))</f>
        <v>0</v>
      </c>
      <c r="M69" s="23"/>
      <c r="N69" s="26" t="n">
        <f aca="false">N(K69)+N(L69)-N(M69)</f>
        <v>0</v>
      </c>
      <c r="O69" s="37" t="n">
        <f aca="false">'Jan 2027'!R69</f>
        <v>0</v>
      </c>
      <c r="P69" s="37" t="n">
        <f aca="false">IF(B69="",0,N(Students!H58))</f>
        <v>0</v>
      </c>
      <c r="Q69" s="23"/>
      <c r="R69" s="26" t="n">
        <f aca="false">N(O69)+N(P69)-N(Q69)</f>
        <v>0</v>
      </c>
      <c r="S69" s="37" t="n">
        <f aca="false">'Jan 2027'!V69</f>
        <v>0</v>
      </c>
      <c r="T69" s="37" t="n">
        <f aca="false">IF(B69="",0,N(Students!I58))</f>
        <v>0</v>
      </c>
      <c r="U69" s="23"/>
      <c r="V69" s="26" t="n">
        <f aca="false">N(S69)+N(T69)-N(U69)</f>
        <v>0</v>
      </c>
      <c r="W69" s="37" t="n">
        <f aca="false">'Jan 2027'!Z69</f>
        <v>0</v>
      </c>
      <c r="X69" s="37" t="n">
        <f aca="false">IF(B69="",0,N(Students!J58))</f>
        <v>0</v>
      </c>
      <c r="Y69" s="23"/>
      <c r="Z69" s="26" t="n">
        <f aca="false">N(W69)+N(X69)-N(Y69)</f>
        <v>0</v>
      </c>
      <c r="AA69" s="37" t="n">
        <f aca="false">N(E69)+N(I69)+N(M69)+N(Q69)+N(U69)+N(Y69)</f>
        <v>0</v>
      </c>
      <c r="AB69" s="26" t="n">
        <f aca="false">F69+J69+N69+R69+V69+Z69</f>
        <v>0</v>
      </c>
      <c r="AC69" s="83" t="str">
        <f aca="false">IF(B69="","",IF(AB69&lt;=0,"Clear",IF(AA69&gt;0,"Partial","Due")))</f>
        <v/>
      </c>
    </row>
    <row r="70" customFormat="false" ht="15" hidden="false" customHeight="false" outlineLevel="0" collapsed="false">
      <c r="A70" s="21" t="n">
        <v>55</v>
      </c>
      <c r="B70" s="46" t="str">
        <f aca="false">IF(Students!B59="","",Students!B59)</f>
        <v/>
      </c>
      <c r="C70" s="33" t="n">
        <f aca="false">'Jan 2027'!F70</f>
        <v>0</v>
      </c>
      <c r="D70" s="33" t="n">
        <f aca="false">IF(B70="",0,N(Students!E59))</f>
        <v>0</v>
      </c>
      <c r="E70" s="23"/>
      <c r="F70" s="24" t="n">
        <f aca="false">N(C70)+N(D70)-N(E70)</f>
        <v>0</v>
      </c>
      <c r="G70" s="33" t="n">
        <f aca="false">'Jan 2027'!J70</f>
        <v>0</v>
      </c>
      <c r="H70" s="33" t="n">
        <f aca="false">IF(B70="",0,N(Students!F59))</f>
        <v>0</v>
      </c>
      <c r="I70" s="23"/>
      <c r="J70" s="24" t="n">
        <f aca="false">N(G70)+N(H70)-N(I70)</f>
        <v>0</v>
      </c>
      <c r="K70" s="33" t="n">
        <f aca="false">'Jan 2027'!N70</f>
        <v>0</v>
      </c>
      <c r="L70" s="33" t="n">
        <f aca="false">IF(B70="",0,N(Students!G59))</f>
        <v>0</v>
      </c>
      <c r="M70" s="23"/>
      <c r="N70" s="24" t="n">
        <f aca="false">N(K70)+N(L70)-N(M70)</f>
        <v>0</v>
      </c>
      <c r="O70" s="33" t="n">
        <f aca="false">'Jan 2027'!R70</f>
        <v>0</v>
      </c>
      <c r="P70" s="33" t="n">
        <f aca="false">IF(B70="",0,N(Students!H59))</f>
        <v>0</v>
      </c>
      <c r="Q70" s="23"/>
      <c r="R70" s="24" t="n">
        <f aca="false">N(O70)+N(P70)-N(Q70)</f>
        <v>0</v>
      </c>
      <c r="S70" s="33" t="n">
        <f aca="false">'Jan 2027'!V70</f>
        <v>0</v>
      </c>
      <c r="T70" s="33" t="n">
        <f aca="false">IF(B70="",0,N(Students!I59))</f>
        <v>0</v>
      </c>
      <c r="U70" s="23"/>
      <c r="V70" s="24" t="n">
        <f aca="false">N(S70)+N(T70)-N(U70)</f>
        <v>0</v>
      </c>
      <c r="W70" s="33" t="n">
        <f aca="false">'Jan 2027'!Z70</f>
        <v>0</v>
      </c>
      <c r="X70" s="33" t="n">
        <f aca="false">IF(B70="",0,N(Students!J59))</f>
        <v>0</v>
      </c>
      <c r="Y70" s="23"/>
      <c r="Z70" s="24" t="n">
        <f aca="false">N(W70)+N(X70)-N(Y70)</f>
        <v>0</v>
      </c>
      <c r="AA70" s="33" t="n">
        <f aca="false">N(E70)+N(I70)+N(M70)+N(Q70)+N(U70)+N(Y70)</f>
        <v>0</v>
      </c>
      <c r="AB70" s="24" t="n">
        <f aca="false">F70+J70+N70+R70+V70+Z70</f>
        <v>0</v>
      </c>
      <c r="AC70" s="81" t="str">
        <f aca="false">IF(B70="","",IF(AB70&lt;=0,"Clear",IF(AA70&gt;0,"Partial","Due")))</f>
        <v/>
      </c>
    </row>
    <row r="71" customFormat="false" ht="15" hidden="false" customHeight="false" outlineLevel="0" collapsed="false">
      <c r="A71" s="25" t="n">
        <v>56</v>
      </c>
      <c r="B71" s="82" t="str">
        <f aca="false">IF(Students!B60="","",Students!B60)</f>
        <v/>
      </c>
      <c r="C71" s="37" t="n">
        <f aca="false">'Jan 2027'!F71</f>
        <v>0</v>
      </c>
      <c r="D71" s="37" t="n">
        <f aca="false">IF(B71="",0,N(Students!E60))</f>
        <v>0</v>
      </c>
      <c r="E71" s="23"/>
      <c r="F71" s="26" t="n">
        <f aca="false">N(C71)+N(D71)-N(E71)</f>
        <v>0</v>
      </c>
      <c r="G71" s="37" t="n">
        <f aca="false">'Jan 2027'!J71</f>
        <v>0</v>
      </c>
      <c r="H71" s="37" t="n">
        <f aca="false">IF(B71="",0,N(Students!F60))</f>
        <v>0</v>
      </c>
      <c r="I71" s="23"/>
      <c r="J71" s="26" t="n">
        <f aca="false">N(G71)+N(H71)-N(I71)</f>
        <v>0</v>
      </c>
      <c r="K71" s="37" t="n">
        <f aca="false">'Jan 2027'!N71</f>
        <v>0</v>
      </c>
      <c r="L71" s="37" t="n">
        <f aca="false">IF(B71="",0,N(Students!G60))</f>
        <v>0</v>
      </c>
      <c r="M71" s="23"/>
      <c r="N71" s="26" t="n">
        <f aca="false">N(K71)+N(L71)-N(M71)</f>
        <v>0</v>
      </c>
      <c r="O71" s="37" t="n">
        <f aca="false">'Jan 2027'!R71</f>
        <v>0</v>
      </c>
      <c r="P71" s="37" t="n">
        <f aca="false">IF(B71="",0,N(Students!H60))</f>
        <v>0</v>
      </c>
      <c r="Q71" s="23"/>
      <c r="R71" s="26" t="n">
        <f aca="false">N(O71)+N(P71)-N(Q71)</f>
        <v>0</v>
      </c>
      <c r="S71" s="37" t="n">
        <f aca="false">'Jan 2027'!V71</f>
        <v>0</v>
      </c>
      <c r="T71" s="37" t="n">
        <f aca="false">IF(B71="",0,N(Students!I60))</f>
        <v>0</v>
      </c>
      <c r="U71" s="23"/>
      <c r="V71" s="26" t="n">
        <f aca="false">N(S71)+N(T71)-N(U71)</f>
        <v>0</v>
      </c>
      <c r="W71" s="37" t="n">
        <f aca="false">'Jan 2027'!Z71</f>
        <v>0</v>
      </c>
      <c r="X71" s="37" t="n">
        <f aca="false">IF(B71="",0,N(Students!J60))</f>
        <v>0</v>
      </c>
      <c r="Y71" s="23"/>
      <c r="Z71" s="26" t="n">
        <f aca="false">N(W71)+N(X71)-N(Y71)</f>
        <v>0</v>
      </c>
      <c r="AA71" s="37" t="n">
        <f aca="false">N(E71)+N(I71)+N(M71)+N(Q71)+N(U71)+N(Y71)</f>
        <v>0</v>
      </c>
      <c r="AB71" s="26" t="n">
        <f aca="false">F71+J71+N71+R71+V71+Z71</f>
        <v>0</v>
      </c>
      <c r="AC71" s="83" t="str">
        <f aca="false">IF(B71="","",IF(AB71&lt;=0,"Clear",IF(AA71&gt;0,"Partial","Due")))</f>
        <v/>
      </c>
    </row>
    <row r="72" customFormat="false" ht="15" hidden="false" customHeight="false" outlineLevel="0" collapsed="false">
      <c r="A72" s="21" t="n">
        <v>57</v>
      </c>
      <c r="B72" s="46" t="str">
        <f aca="false">IF(Students!B61="","",Students!B61)</f>
        <v/>
      </c>
      <c r="C72" s="33" t="n">
        <f aca="false">'Jan 2027'!F72</f>
        <v>0</v>
      </c>
      <c r="D72" s="33" t="n">
        <f aca="false">IF(B72="",0,N(Students!E61))</f>
        <v>0</v>
      </c>
      <c r="E72" s="23"/>
      <c r="F72" s="24" t="n">
        <f aca="false">N(C72)+N(D72)-N(E72)</f>
        <v>0</v>
      </c>
      <c r="G72" s="33" t="n">
        <f aca="false">'Jan 2027'!J72</f>
        <v>0</v>
      </c>
      <c r="H72" s="33" t="n">
        <f aca="false">IF(B72="",0,N(Students!F61))</f>
        <v>0</v>
      </c>
      <c r="I72" s="23"/>
      <c r="J72" s="24" t="n">
        <f aca="false">N(G72)+N(H72)-N(I72)</f>
        <v>0</v>
      </c>
      <c r="K72" s="33" t="n">
        <f aca="false">'Jan 2027'!N72</f>
        <v>0</v>
      </c>
      <c r="L72" s="33" t="n">
        <f aca="false">IF(B72="",0,N(Students!G61))</f>
        <v>0</v>
      </c>
      <c r="M72" s="23"/>
      <c r="N72" s="24" t="n">
        <f aca="false">N(K72)+N(L72)-N(M72)</f>
        <v>0</v>
      </c>
      <c r="O72" s="33" t="n">
        <f aca="false">'Jan 2027'!R72</f>
        <v>0</v>
      </c>
      <c r="P72" s="33" t="n">
        <f aca="false">IF(B72="",0,N(Students!H61))</f>
        <v>0</v>
      </c>
      <c r="Q72" s="23"/>
      <c r="R72" s="24" t="n">
        <f aca="false">N(O72)+N(P72)-N(Q72)</f>
        <v>0</v>
      </c>
      <c r="S72" s="33" t="n">
        <f aca="false">'Jan 2027'!V72</f>
        <v>0</v>
      </c>
      <c r="T72" s="33" t="n">
        <f aca="false">IF(B72="",0,N(Students!I61))</f>
        <v>0</v>
      </c>
      <c r="U72" s="23"/>
      <c r="V72" s="24" t="n">
        <f aca="false">N(S72)+N(T72)-N(U72)</f>
        <v>0</v>
      </c>
      <c r="W72" s="33" t="n">
        <f aca="false">'Jan 2027'!Z72</f>
        <v>0</v>
      </c>
      <c r="X72" s="33" t="n">
        <f aca="false">IF(B72="",0,N(Students!J61))</f>
        <v>0</v>
      </c>
      <c r="Y72" s="23"/>
      <c r="Z72" s="24" t="n">
        <f aca="false">N(W72)+N(X72)-N(Y72)</f>
        <v>0</v>
      </c>
      <c r="AA72" s="33" t="n">
        <f aca="false">N(E72)+N(I72)+N(M72)+N(Q72)+N(U72)+N(Y72)</f>
        <v>0</v>
      </c>
      <c r="AB72" s="24" t="n">
        <f aca="false">F72+J72+N72+R72+V72+Z72</f>
        <v>0</v>
      </c>
      <c r="AC72" s="81" t="str">
        <f aca="false">IF(B72="","",IF(AB72&lt;=0,"Clear",IF(AA72&gt;0,"Partial","Due")))</f>
        <v/>
      </c>
    </row>
    <row r="73" customFormat="false" ht="15" hidden="false" customHeight="false" outlineLevel="0" collapsed="false">
      <c r="A73" s="25" t="n">
        <v>58</v>
      </c>
      <c r="B73" s="82" t="str">
        <f aca="false">IF(Students!B62="","",Students!B62)</f>
        <v/>
      </c>
      <c r="C73" s="37" t="n">
        <f aca="false">'Jan 2027'!F73</f>
        <v>0</v>
      </c>
      <c r="D73" s="37" t="n">
        <f aca="false">IF(B73="",0,N(Students!E62))</f>
        <v>0</v>
      </c>
      <c r="E73" s="23"/>
      <c r="F73" s="26" t="n">
        <f aca="false">N(C73)+N(D73)-N(E73)</f>
        <v>0</v>
      </c>
      <c r="G73" s="37" t="n">
        <f aca="false">'Jan 2027'!J73</f>
        <v>0</v>
      </c>
      <c r="H73" s="37" t="n">
        <f aca="false">IF(B73="",0,N(Students!F62))</f>
        <v>0</v>
      </c>
      <c r="I73" s="23"/>
      <c r="J73" s="26" t="n">
        <f aca="false">N(G73)+N(H73)-N(I73)</f>
        <v>0</v>
      </c>
      <c r="K73" s="37" t="n">
        <f aca="false">'Jan 2027'!N73</f>
        <v>0</v>
      </c>
      <c r="L73" s="37" t="n">
        <f aca="false">IF(B73="",0,N(Students!G62))</f>
        <v>0</v>
      </c>
      <c r="M73" s="23"/>
      <c r="N73" s="26" t="n">
        <f aca="false">N(K73)+N(L73)-N(M73)</f>
        <v>0</v>
      </c>
      <c r="O73" s="37" t="n">
        <f aca="false">'Jan 2027'!R73</f>
        <v>0</v>
      </c>
      <c r="P73" s="37" t="n">
        <f aca="false">IF(B73="",0,N(Students!H62))</f>
        <v>0</v>
      </c>
      <c r="Q73" s="23"/>
      <c r="R73" s="26" t="n">
        <f aca="false">N(O73)+N(P73)-N(Q73)</f>
        <v>0</v>
      </c>
      <c r="S73" s="37" t="n">
        <f aca="false">'Jan 2027'!V73</f>
        <v>0</v>
      </c>
      <c r="T73" s="37" t="n">
        <f aca="false">IF(B73="",0,N(Students!I62))</f>
        <v>0</v>
      </c>
      <c r="U73" s="23"/>
      <c r="V73" s="26" t="n">
        <f aca="false">N(S73)+N(T73)-N(U73)</f>
        <v>0</v>
      </c>
      <c r="W73" s="37" t="n">
        <f aca="false">'Jan 2027'!Z73</f>
        <v>0</v>
      </c>
      <c r="X73" s="37" t="n">
        <f aca="false">IF(B73="",0,N(Students!J62))</f>
        <v>0</v>
      </c>
      <c r="Y73" s="23"/>
      <c r="Z73" s="26" t="n">
        <f aca="false">N(W73)+N(X73)-N(Y73)</f>
        <v>0</v>
      </c>
      <c r="AA73" s="37" t="n">
        <f aca="false">N(E73)+N(I73)+N(M73)+N(Q73)+N(U73)+N(Y73)</f>
        <v>0</v>
      </c>
      <c r="AB73" s="26" t="n">
        <f aca="false">F73+J73+N73+R73+V73+Z73</f>
        <v>0</v>
      </c>
      <c r="AC73" s="83" t="str">
        <f aca="false">IF(B73="","",IF(AB73&lt;=0,"Clear",IF(AA73&gt;0,"Partial","Due")))</f>
        <v/>
      </c>
    </row>
    <row r="74" customFormat="false" ht="15" hidden="false" customHeight="false" outlineLevel="0" collapsed="false">
      <c r="A74" s="21" t="n">
        <v>59</v>
      </c>
      <c r="B74" s="46" t="str">
        <f aca="false">IF(Students!B63="","",Students!B63)</f>
        <v/>
      </c>
      <c r="C74" s="33" t="n">
        <f aca="false">'Jan 2027'!F74</f>
        <v>0</v>
      </c>
      <c r="D74" s="33" t="n">
        <f aca="false">IF(B74="",0,N(Students!E63))</f>
        <v>0</v>
      </c>
      <c r="E74" s="23"/>
      <c r="F74" s="24" t="n">
        <f aca="false">N(C74)+N(D74)-N(E74)</f>
        <v>0</v>
      </c>
      <c r="G74" s="33" t="n">
        <f aca="false">'Jan 2027'!J74</f>
        <v>0</v>
      </c>
      <c r="H74" s="33" t="n">
        <f aca="false">IF(B74="",0,N(Students!F63))</f>
        <v>0</v>
      </c>
      <c r="I74" s="23"/>
      <c r="J74" s="24" t="n">
        <f aca="false">N(G74)+N(H74)-N(I74)</f>
        <v>0</v>
      </c>
      <c r="K74" s="33" t="n">
        <f aca="false">'Jan 2027'!N74</f>
        <v>0</v>
      </c>
      <c r="L74" s="33" t="n">
        <f aca="false">IF(B74="",0,N(Students!G63))</f>
        <v>0</v>
      </c>
      <c r="M74" s="23"/>
      <c r="N74" s="24" t="n">
        <f aca="false">N(K74)+N(L74)-N(M74)</f>
        <v>0</v>
      </c>
      <c r="O74" s="33" t="n">
        <f aca="false">'Jan 2027'!R74</f>
        <v>0</v>
      </c>
      <c r="P74" s="33" t="n">
        <f aca="false">IF(B74="",0,N(Students!H63))</f>
        <v>0</v>
      </c>
      <c r="Q74" s="23"/>
      <c r="R74" s="24" t="n">
        <f aca="false">N(O74)+N(P74)-N(Q74)</f>
        <v>0</v>
      </c>
      <c r="S74" s="33" t="n">
        <f aca="false">'Jan 2027'!V74</f>
        <v>0</v>
      </c>
      <c r="T74" s="33" t="n">
        <f aca="false">IF(B74="",0,N(Students!I63))</f>
        <v>0</v>
      </c>
      <c r="U74" s="23"/>
      <c r="V74" s="24" t="n">
        <f aca="false">N(S74)+N(T74)-N(U74)</f>
        <v>0</v>
      </c>
      <c r="W74" s="33" t="n">
        <f aca="false">'Jan 2027'!Z74</f>
        <v>0</v>
      </c>
      <c r="X74" s="33" t="n">
        <f aca="false">IF(B74="",0,N(Students!J63))</f>
        <v>0</v>
      </c>
      <c r="Y74" s="23"/>
      <c r="Z74" s="24" t="n">
        <f aca="false">N(W74)+N(X74)-N(Y74)</f>
        <v>0</v>
      </c>
      <c r="AA74" s="33" t="n">
        <f aca="false">N(E74)+N(I74)+N(M74)+N(Q74)+N(U74)+N(Y74)</f>
        <v>0</v>
      </c>
      <c r="AB74" s="24" t="n">
        <f aca="false">F74+J74+N74+R74+V74+Z74</f>
        <v>0</v>
      </c>
      <c r="AC74" s="81" t="str">
        <f aca="false">IF(B74="","",IF(AB74&lt;=0,"Clear",IF(AA74&gt;0,"Partial","Due")))</f>
        <v/>
      </c>
    </row>
    <row r="75" customFormat="false" ht="15" hidden="false" customHeight="false" outlineLevel="0" collapsed="false">
      <c r="A75" s="25" t="n">
        <v>60</v>
      </c>
      <c r="B75" s="82" t="str">
        <f aca="false">IF(Students!B64="","",Students!B64)</f>
        <v/>
      </c>
      <c r="C75" s="37" t="n">
        <f aca="false">'Jan 2027'!F75</f>
        <v>0</v>
      </c>
      <c r="D75" s="37" t="n">
        <f aca="false">IF(B75="",0,N(Students!E64))</f>
        <v>0</v>
      </c>
      <c r="E75" s="23"/>
      <c r="F75" s="26" t="n">
        <f aca="false">N(C75)+N(D75)-N(E75)</f>
        <v>0</v>
      </c>
      <c r="G75" s="37" t="n">
        <f aca="false">'Jan 2027'!J75</f>
        <v>0</v>
      </c>
      <c r="H75" s="37" t="n">
        <f aca="false">IF(B75="",0,N(Students!F64))</f>
        <v>0</v>
      </c>
      <c r="I75" s="23"/>
      <c r="J75" s="26" t="n">
        <f aca="false">N(G75)+N(H75)-N(I75)</f>
        <v>0</v>
      </c>
      <c r="K75" s="37" t="n">
        <f aca="false">'Jan 2027'!N75</f>
        <v>0</v>
      </c>
      <c r="L75" s="37" t="n">
        <f aca="false">IF(B75="",0,N(Students!G64))</f>
        <v>0</v>
      </c>
      <c r="M75" s="23"/>
      <c r="N75" s="26" t="n">
        <f aca="false">N(K75)+N(L75)-N(M75)</f>
        <v>0</v>
      </c>
      <c r="O75" s="37" t="n">
        <f aca="false">'Jan 2027'!R75</f>
        <v>0</v>
      </c>
      <c r="P75" s="37" t="n">
        <f aca="false">IF(B75="",0,N(Students!H64))</f>
        <v>0</v>
      </c>
      <c r="Q75" s="23"/>
      <c r="R75" s="26" t="n">
        <f aca="false">N(O75)+N(P75)-N(Q75)</f>
        <v>0</v>
      </c>
      <c r="S75" s="37" t="n">
        <f aca="false">'Jan 2027'!V75</f>
        <v>0</v>
      </c>
      <c r="T75" s="37" t="n">
        <f aca="false">IF(B75="",0,N(Students!I64))</f>
        <v>0</v>
      </c>
      <c r="U75" s="23"/>
      <c r="V75" s="26" t="n">
        <f aca="false">N(S75)+N(T75)-N(U75)</f>
        <v>0</v>
      </c>
      <c r="W75" s="37" t="n">
        <f aca="false">'Jan 2027'!Z75</f>
        <v>0</v>
      </c>
      <c r="X75" s="37" t="n">
        <f aca="false">IF(B75="",0,N(Students!J64))</f>
        <v>0</v>
      </c>
      <c r="Y75" s="23"/>
      <c r="Z75" s="26" t="n">
        <f aca="false">N(W75)+N(X75)-N(Y75)</f>
        <v>0</v>
      </c>
      <c r="AA75" s="37" t="n">
        <f aca="false">N(E75)+N(I75)+N(M75)+N(Q75)+N(U75)+N(Y75)</f>
        <v>0</v>
      </c>
      <c r="AB75" s="26" t="n">
        <f aca="false">F75+J75+N75+R75+V75+Z75</f>
        <v>0</v>
      </c>
      <c r="AC75" s="83" t="str">
        <f aca="false">IF(B75="","",IF(AB75&lt;=0,"Clear",IF(AA75&gt;0,"Partial","Due")))</f>
        <v/>
      </c>
    </row>
    <row r="76" customFormat="false" ht="15" hidden="false" customHeight="false" outlineLevel="0" collapsed="false">
      <c r="A76" s="21" t="n">
        <v>61</v>
      </c>
      <c r="B76" s="46" t="str">
        <f aca="false">IF(Students!B65="","",Students!B65)</f>
        <v/>
      </c>
      <c r="C76" s="33" t="n">
        <f aca="false">'Jan 2027'!F76</f>
        <v>0</v>
      </c>
      <c r="D76" s="33" t="n">
        <f aca="false">IF(B76="",0,N(Students!E65))</f>
        <v>0</v>
      </c>
      <c r="E76" s="23"/>
      <c r="F76" s="24" t="n">
        <f aca="false">N(C76)+N(D76)-N(E76)</f>
        <v>0</v>
      </c>
      <c r="G76" s="33" t="n">
        <f aca="false">'Jan 2027'!J76</f>
        <v>0</v>
      </c>
      <c r="H76" s="33" t="n">
        <f aca="false">IF(B76="",0,N(Students!F65))</f>
        <v>0</v>
      </c>
      <c r="I76" s="23"/>
      <c r="J76" s="24" t="n">
        <f aca="false">N(G76)+N(H76)-N(I76)</f>
        <v>0</v>
      </c>
      <c r="K76" s="33" t="n">
        <f aca="false">'Jan 2027'!N76</f>
        <v>0</v>
      </c>
      <c r="L76" s="33" t="n">
        <f aca="false">IF(B76="",0,N(Students!G65))</f>
        <v>0</v>
      </c>
      <c r="M76" s="23"/>
      <c r="N76" s="24" t="n">
        <f aca="false">N(K76)+N(L76)-N(M76)</f>
        <v>0</v>
      </c>
      <c r="O76" s="33" t="n">
        <f aca="false">'Jan 2027'!R76</f>
        <v>0</v>
      </c>
      <c r="P76" s="33" t="n">
        <f aca="false">IF(B76="",0,N(Students!H65))</f>
        <v>0</v>
      </c>
      <c r="Q76" s="23"/>
      <c r="R76" s="24" t="n">
        <f aca="false">N(O76)+N(P76)-N(Q76)</f>
        <v>0</v>
      </c>
      <c r="S76" s="33" t="n">
        <f aca="false">'Jan 2027'!V76</f>
        <v>0</v>
      </c>
      <c r="T76" s="33" t="n">
        <f aca="false">IF(B76="",0,N(Students!I65))</f>
        <v>0</v>
      </c>
      <c r="U76" s="23"/>
      <c r="V76" s="24" t="n">
        <f aca="false">N(S76)+N(T76)-N(U76)</f>
        <v>0</v>
      </c>
      <c r="W76" s="33" t="n">
        <f aca="false">'Jan 2027'!Z76</f>
        <v>0</v>
      </c>
      <c r="X76" s="33" t="n">
        <f aca="false">IF(B76="",0,N(Students!J65))</f>
        <v>0</v>
      </c>
      <c r="Y76" s="23"/>
      <c r="Z76" s="24" t="n">
        <f aca="false">N(W76)+N(X76)-N(Y76)</f>
        <v>0</v>
      </c>
      <c r="AA76" s="33" t="n">
        <f aca="false">N(E76)+N(I76)+N(M76)+N(Q76)+N(U76)+N(Y76)</f>
        <v>0</v>
      </c>
      <c r="AB76" s="24" t="n">
        <f aca="false">F76+J76+N76+R76+V76+Z76</f>
        <v>0</v>
      </c>
      <c r="AC76" s="81" t="str">
        <f aca="false">IF(B76="","",IF(AB76&lt;=0,"Clear",IF(AA76&gt;0,"Partial","Due")))</f>
        <v/>
      </c>
    </row>
    <row r="77" customFormat="false" ht="15" hidden="false" customHeight="false" outlineLevel="0" collapsed="false">
      <c r="A77" s="25" t="n">
        <v>62</v>
      </c>
      <c r="B77" s="82" t="str">
        <f aca="false">IF(Students!B66="","",Students!B66)</f>
        <v/>
      </c>
      <c r="C77" s="37" t="n">
        <f aca="false">'Jan 2027'!F77</f>
        <v>0</v>
      </c>
      <c r="D77" s="37" t="n">
        <f aca="false">IF(B77="",0,N(Students!E66))</f>
        <v>0</v>
      </c>
      <c r="E77" s="23"/>
      <c r="F77" s="26" t="n">
        <f aca="false">N(C77)+N(D77)-N(E77)</f>
        <v>0</v>
      </c>
      <c r="G77" s="37" t="n">
        <f aca="false">'Jan 2027'!J77</f>
        <v>0</v>
      </c>
      <c r="H77" s="37" t="n">
        <f aca="false">IF(B77="",0,N(Students!F66))</f>
        <v>0</v>
      </c>
      <c r="I77" s="23"/>
      <c r="J77" s="26" t="n">
        <f aca="false">N(G77)+N(H77)-N(I77)</f>
        <v>0</v>
      </c>
      <c r="K77" s="37" t="n">
        <f aca="false">'Jan 2027'!N77</f>
        <v>0</v>
      </c>
      <c r="L77" s="37" t="n">
        <f aca="false">IF(B77="",0,N(Students!G66))</f>
        <v>0</v>
      </c>
      <c r="M77" s="23"/>
      <c r="N77" s="26" t="n">
        <f aca="false">N(K77)+N(L77)-N(M77)</f>
        <v>0</v>
      </c>
      <c r="O77" s="37" t="n">
        <f aca="false">'Jan 2027'!R77</f>
        <v>0</v>
      </c>
      <c r="P77" s="37" t="n">
        <f aca="false">IF(B77="",0,N(Students!H66))</f>
        <v>0</v>
      </c>
      <c r="Q77" s="23"/>
      <c r="R77" s="26" t="n">
        <f aca="false">N(O77)+N(P77)-N(Q77)</f>
        <v>0</v>
      </c>
      <c r="S77" s="37" t="n">
        <f aca="false">'Jan 2027'!V77</f>
        <v>0</v>
      </c>
      <c r="T77" s="37" t="n">
        <f aca="false">IF(B77="",0,N(Students!I66))</f>
        <v>0</v>
      </c>
      <c r="U77" s="23"/>
      <c r="V77" s="26" t="n">
        <f aca="false">N(S77)+N(T77)-N(U77)</f>
        <v>0</v>
      </c>
      <c r="W77" s="37" t="n">
        <f aca="false">'Jan 2027'!Z77</f>
        <v>0</v>
      </c>
      <c r="X77" s="37" t="n">
        <f aca="false">IF(B77="",0,N(Students!J66))</f>
        <v>0</v>
      </c>
      <c r="Y77" s="23"/>
      <c r="Z77" s="26" t="n">
        <f aca="false">N(W77)+N(X77)-N(Y77)</f>
        <v>0</v>
      </c>
      <c r="AA77" s="37" t="n">
        <f aca="false">N(E77)+N(I77)+N(M77)+N(Q77)+N(U77)+N(Y77)</f>
        <v>0</v>
      </c>
      <c r="AB77" s="26" t="n">
        <f aca="false">F77+J77+N77+R77+V77+Z77</f>
        <v>0</v>
      </c>
      <c r="AC77" s="83" t="str">
        <f aca="false">IF(B77="","",IF(AB77&lt;=0,"Clear",IF(AA77&gt;0,"Partial","Due")))</f>
        <v/>
      </c>
    </row>
    <row r="78" customFormat="false" ht="15" hidden="false" customHeight="false" outlineLevel="0" collapsed="false">
      <c r="A78" s="21" t="n">
        <v>63</v>
      </c>
      <c r="B78" s="46" t="str">
        <f aca="false">IF(Students!B67="","",Students!B67)</f>
        <v/>
      </c>
      <c r="C78" s="33" t="n">
        <f aca="false">'Jan 2027'!F78</f>
        <v>0</v>
      </c>
      <c r="D78" s="33" t="n">
        <f aca="false">IF(B78="",0,N(Students!E67))</f>
        <v>0</v>
      </c>
      <c r="E78" s="23"/>
      <c r="F78" s="24" t="n">
        <f aca="false">N(C78)+N(D78)-N(E78)</f>
        <v>0</v>
      </c>
      <c r="G78" s="33" t="n">
        <f aca="false">'Jan 2027'!J78</f>
        <v>0</v>
      </c>
      <c r="H78" s="33" t="n">
        <f aca="false">IF(B78="",0,N(Students!F67))</f>
        <v>0</v>
      </c>
      <c r="I78" s="23"/>
      <c r="J78" s="24" t="n">
        <f aca="false">N(G78)+N(H78)-N(I78)</f>
        <v>0</v>
      </c>
      <c r="K78" s="33" t="n">
        <f aca="false">'Jan 2027'!N78</f>
        <v>0</v>
      </c>
      <c r="L78" s="33" t="n">
        <f aca="false">IF(B78="",0,N(Students!G67))</f>
        <v>0</v>
      </c>
      <c r="M78" s="23"/>
      <c r="N78" s="24" t="n">
        <f aca="false">N(K78)+N(L78)-N(M78)</f>
        <v>0</v>
      </c>
      <c r="O78" s="33" t="n">
        <f aca="false">'Jan 2027'!R78</f>
        <v>0</v>
      </c>
      <c r="P78" s="33" t="n">
        <f aca="false">IF(B78="",0,N(Students!H67))</f>
        <v>0</v>
      </c>
      <c r="Q78" s="23"/>
      <c r="R78" s="24" t="n">
        <f aca="false">N(O78)+N(P78)-N(Q78)</f>
        <v>0</v>
      </c>
      <c r="S78" s="33" t="n">
        <f aca="false">'Jan 2027'!V78</f>
        <v>0</v>
      </c>
      <c r="T78" s="33" t="n">
        <f aca="false">IF(B78="",0,N(Students!I67))</f>
        <v>0</v>
      </c>
      <c r="U78" s="23"/>
      <c r="V78" s="24" t="n">
        <f aca="false">N(S78)+N(T78)-N(U78)</f>
        <v>0</v>
      </c>
      <c r="W78" s="33" t="n">
        <f aca="false">'Jan 2027'!Z78</f>
        <v>0</v>
      </c>
      <c r="X78" s="33" t="n">
        <f aca="false">IF(B78="",0,N(Students!J67))</f>
        <v>0</v>
      </c>
      <c r="Y78" s="23"/>
      <c r="Z78" s="24" t="n">
        <f aca="false">N(W78)+N(X78)-N(Y78)</f>
        <v>0</v>
      </c>
      <c r="AA78" s="33" t="n">
        <f aca="false">N(E78)+N(I78)+N(M78)+N(Q78)+N(U78)+N(Y78)</f>
        <v>0</v>
      </c>
      <c r="AB78" s="24" t="n">
        <f aca="false">F78+J78+N78+R78+V78+Z78</f>
        <v>0</v>
      </c>
      <c r="AC78" s="81" t="str">
        <f aca="false">IF(B78="","",IF(AB78&lt;=0,"Clear",IF(AA78&gt;0,"Partial","Due")))</f>
        <v/>
      </c>
    </row>
    <row r="79" customFormat="false" ht="15" hidden="false" customHeight="false" outlineLevel="0" collapsed="false">
      <c r="A79" s="25" t="n">
        <v>64</v>
      </c>
      <c r="B79" s="82" t="str">
        <f aca="false">IF(Students!B68="","",Students!B68)</f>
        <v/>
      </c>
      <c r="C79" s="37" t="n">
        <f aca="false">'Jan 2027'!F79</f>
        <v>0</v>
      </c>
      <c r="D79" s="37" t="n">
        <f aca="false">IF(B79="",0,N(Students!E68))</f>
        <v>0</v>
      </c>
      <c r="E79" s="23"/>
      <c r="F79" s="26" t="n">
        <f aca="false">N(C79)+N(D79)-N(E79)</f>
        <v>0</v>
      </c>
      <c r="G79" s="37" t="n">
        <f aca="false">'Jan 2027'!J79</f>
        <v>0</v>
      </c>
      <c r="H79" s="37" t="n">
        <f aca="false">IF(B79="",0,N(Students!F68))</f>
        <v>0</v>
      </c>
      <c r="I79" s="23"/>
      <c r="J79" s="26" t="n">
        <f aca="false">N(G79)+N(H79)-N(I79)</f>
        <v>0</v>
      </c>
      <c r="K79" s="37" t="n">
        <f aca="false">'Jan 2027'!N79</f>
        <v>0</v>
      </c>
      <c r="L79" s="37" t="n">
        <f aca="false">IF(B79="",0,N(Students!G68))</f>
        <v>0</v>
      </c>
      <c r="M79" s="23"/>
      <c r="N79" s="26" t="n">
        <f aca="false">N(K79)+N(L79)-N(M79)</f>
        <v>0</v>
      </c>
      <c r="O79" s="37" t="n">
        <f aca="false">'Jan 2027'!R79</f>
        <v>0</v>
      </c>
      <c r="P79" s="37" t="n">
        <f aca="false">IF(B79="",0,N(Students!H68))</f>
        <v>0</v>
      </c>
      <c r="Q79" s="23"/>
      <c r="R79" s="26" t="n">
        <f aca="false">N(O79)+N(P79)-N(Q79)</f>
        <v>0</v>
      </c>
      <c r="S79" s="37" t="n">
        <f aca="false">'Jan 2027'!V79</f>
        <v>0</v>
      </c>
      <c r="T79" s="37" t="n">
        <f aca="false">IF(B79="",0,N(Students!I68))</f>
        <v>0</v>
      </c>
      <c r="U79" s="23"/>
      <c r="V79" s="26" t="n">
        <f aca="false">N(S79)+N(T79)-N(U79)</f>
        <v>0</v>
      </c>
      <c r="W79" s="37" t="n">
        <f aca="false">'Jan 2027'!Z79</f>
        <v>0</v>
      </c>
      <c r="X79" s="37" t="n">
        <f aca="false">IF(B79="",0,N(Students!J68))</f>
        <v>0</v>
      </c>
      <c r="Y79" s="23"/>
      <c r="Z79" s="26" t="n">
        <f aca="false">N(W79)+N(X79)-N(Y79)</f>
        <v>0</v>
      </c>
      <c r="AA79" s="37" t="n">
        <f aca="false">N(E79)+N(I79)+N(M79)+N(Q79)+N(U79)+N(Y79)</f>
        <v>0</v>
      </c>
      <c r="AB79" s="26" t="n">
        <f aca="false">F79+J79+N79+R79+V79+Z79</f>
        <v>0</v>
      </c>
      <c r="AC79" s="83" t="str">
        <f aca="false">IF(B79="","",IF(AB79&lt;=0,"Clear",IF(AA79&gt;0,"Partial","Due")))</f>
        <v/>
      </c>
    </row>
    <row r="80" customFormat="false" ht="15" hidden="false" customHeight="false" outlineLevel="0" collapsed="false">
      <c r="A80" s="21" t="n">
        <v>65</v>
      </c>
      <c r="B80" s="46" t="str">
        <f aca="false">IF(Students!B69="","",Students!B69)</f>
        <v/>
      </c>
      <c r="C80" s="33" t="n">
        <f aca="false">'Jan 2027'!F80</f>
        <v>0</v>
      </c>
      <c r="D80" s="33" t="n">
        <f aca="false">IF(B80="",0,N(Students!E69))</f>
        <v>0</v>
      </c>
      <c r="E80" s="23"/>
      <c r="F80" s="24" t="n">
        <f aca="false">N(C80)+N(D80)-N(E80)</f>
        <v>0</v>
      </c>
      <c r="G80" s="33" t="n">
        <f aca="false">'Jan 2027'!J80</f>
        <v>0</v>
      </c>
      <c r="H80" s="33" t="n">
        <f aca="false">IF(B80="",0,N(Students!F69))</f>
        <v>0</v>
      </c>
      <c r="I80" s="23"/>
      <c r="J80" s="24" t="n">
        <f aca="false">N(G80)+N(H80)-N(I80)</f>
        <v>0</v>
      </c>
      <c r="K80" s="33" t="n">
        <f aca="false">'Jan 2027'!N80</f>
        <v>0</v>
      </c>
      <c r="L80" s="33" t="n">
        <f aca="false">IF(B80="",0,N(Students!G69))</f>
        <v>0</v>
      </c>
      <c r="M80" s="23"/>
      <c r="N80" s="24" t="n">
        <f aca="false">N(K80)+N(L80)-N(M80)</f>
        <v>0</v>
      </c>
      <c r="O80" s="33" t="n">
        <f aca="false">'Jan 2027'!R80</f>
        <v>0</v>
      </c>
      <c r="P80" s="33" t="n">
        <f aca="false">IF(B80="",0,N(Students!H69))</f>
        <v>0</v>
      </c>
      <c r="Q80" s="23"/>
      <c r="R80" s="24" t="n">
        <f aca="false">N(O80)+N(P80)-N(Q80)</f>
        <v>0</v>
      </c>
      <c r="S80" s="33" t="n">
        <f aca="false">'Jan 2027'!V80</f>
        <v>0</v>
      </c>
      <c r="T80" s="33" t="n">
        <f aca="false">IF(B80="",0,N(Students!I69))</f>
        <v>0</v>
      </c>
      <c r="U80" s="23"/>
      <c r="V80" s="24" t="n">
        <f aca="false">N(S80)+N(T80)-N(U80)</f>
        <v>0</v>
      </c>
      <c r="W80" s="33" t="n">
        <f aca="false">'Jan 2027'!Z80</f>
        <v>0</v>
      </c>
      <c r="X80" s="33" t="n">
        <f aca="false">IF(B80="",0,N(Students!J69))</f>
        <v>0</v>
      </c>
      <c r="Y80" s="23"/>
      <c r="Z80" s="24" t="n">
        <f aca="false">N(W80)+N(X80)-N(Y80)</f>
        <v>0</v>
      </c>
      <c r="AA80" s="33" t="n">
        <f aca="false">N(E80)+N(I80)+N(M80)+N(Q80)+N(U80)+N(Y80)</f>
        <v>0</v>
      </c>
      <c r="AB80" s="24" t="n">
        <f aca="false">F80+J80+N80+R80+V80+Z80</f>
        <v>0</v>
      </c>
      <c r="AC80" s="81" t="str">
        <f aca="false">IF(B80="","",IF(AB80&lt;=0,"Clear",IF(AA80&gt;0,"Partial","Due")))</f>
        <v/>
      </c>
    </row>
    <row r="81" customFormat="false" ht="15" hidden="false" customHeight="false" outlineLevel="0" collapsed="false">
      <c r="A81" s="25" t="n">
        <v>66</v>
      </c>
      <c r="B81" s="82" t="str">
        <f aca="false">IF(Students!B70="","",Students!B70)</f>
        <v/>
      </c>
      <c r="C81" s="37" t="n">
        <f aca="false">'Jan 2027'!F81</f>
        <v>0</v>
      </c>
      <c r="D81" s="37" t="n">
        <f aca="false">IF(B81="",0,N(Students!E70))</f>
        <v>0</v>
      </c>
      <c r="E81" s="23"/>
      <c r="F81" s="26" t="n">
        <f aca="false">N(C81)+N(D81)-N(E81)</f>
        <v>0</v>
      </c>
      <c r="G81" s="37" t="n">
        <f aca="false">'Jan 2027'!J81</f>
        <v>0</v>
      </c>
      <c r="H81" s="37" t="n">
        <f aca="false">IF(B81="",0,N(Students!F70))</f>
        <v>0</v>
      </c>
      <c r="I81" s="23"/>
      <c r="J81" s="26" t="n">
        <f aca="false">N(G81)+N(H81)-N(I81)</f>
        <v>0</v>
      </c>
      <c r="K81" s="37" t="n">
        <f aca="false">'Jan 2027'!N81</f>
        <v>0</v>
      </c>
      <c r="L81" s="37" t="n">
        <f aca="false">IF(B81="",0,N(Students!G70))</f>
        <v>0</v>
      </c>
      <c r="M81" s="23"/>
      <c r="N81" s="26" t="n">
        <f aca="false">N(K81)+N(L81)-N(M81)</f>
        <v>0</v>
      </c>
      <c r="O81" s="37" t="n">
        <f aca="false">'Jan 2027'!R81</f>
        <v>0</v>
      </c>
      <c r="P81" s="37" t="n">
        <f aca="false">IF(B81="",0,N(Students!H70))</f>
        <v>0</v>
      </c>
      <c r="Q81" s="23"/>
      <c r="R81" s="26" t="n">
        <f aca="false">N(O81)+N(P81)-N(Q81)</f>
        <v>0</v>
      </c>
      <c r="S81" s="37" t="n">
        <f aca="false">'Jan 2027'!V81</f>
        <v>0</v>
      </c>
      <c r="T81" s="37" t="n">
        <f aca="false">IF(B81="",0,N(Students!I70))</f>
        <v>0</v>
      </c>
      <c r="U81" s="23"/>
      <c r="V81" s="26" t="n">
        <f aca="false">N(S81)+N(T81)-N(U81)</f>
        <v>0</v>
      </c>
      <c r="W81" s="37" t="n">
        <f aca="false">'Jan 2027'!Z81</f>
        <v>0</v>
      </c>
      <c r="X81" s="37" t="n">
        <f aca="false">IF(B81="",0,N(Students!J70))</f>
        <v>0</v>
      </c>
      <c r="Y81" s="23"/>
      <c r="Z81" s="26" t="n">
        <f aca="false">N(W81)+N(X81)-N(Y81)</f>
        <v>0</v>
      </c>
      <c r="AA81" s="37" t="n">
        <f aca="false">N(E81)+N(I81)+N(M81)+N(Q81)+N(U81)+N(Y81)</f>
        <v>0</v>
      </c>
      <c r="AB81" s="26" t="n">
        <f aca="false">F81+J81+N81+R81+V81+Z81</f>
        <v>0</v>
      </c>
      <c r="AC81" s="83" t="str">
        <f aca="false">IF(B81="","",IF(AB81&lt;=0,"Clear",IF(AA81&gt;0,"Partial","Due")))</f>
        <v/>
      </c>
    </row>
    <row r="82" customFormat="false" ht="15" hidden="false" customHeight="false" outlineLevel="0" collapsed="false">
      <c r="A82" s="21" t="n">
        <v>67</v>
      </c>
      <c r="B82" s="46" t="str">
        <f aca="false">IF(Students!B71="","",Students!B71)</f>
        <v/>
      </c>
      <c r="C82" s="33" t="n">
        <f aca="false">'Jan 2027'!F82</f>
        <v>0</v>
      </c>
      <c r="D82" s="33" t="n">
        <f aca="false">IF(B82="",0,N(Students!E71))</f>
        <v>0</v>
      </c>
      <c r="E82" s="23"/>
      <c r="F82" s="24" t="n">
        <f aca="false">N(C82)+N(D82)-N(E82)</f>
        <v>0</v>
      </c>
      <c r="G82" s="33" t="n">
        <f aca="false">'Jan 2027'!J82</f>
        <v>0</v>
      </c>
      <c r="H82" s="33" t="n">
        <f aca="false">IF(B82="",0,N(Students!F71))</f>
        <v>0</v>
      </c>
      <c r="I82" s="23"/>
      <c r="J82" s="24" t="n">
        <f aca="false">N(G82)+N(H82)-N(I82)</f>
        <v>0</v>
      </c>
      <c r="K82" s="33" t="n">
        <f aca="false">'Jan 2027'!N82</f>
        <v>0</v>
      </c>
      <c r="L82" s="33" t="n">
        <f aca="false">IF(B82="",0,N(Students!G71))</f>
        <v>0</v>
      </c>
      <c r="M82" s="23"/>
      <c r="N82" s="24" t="n">
        <f aca="false">N(K82)+N(L82)-N(M82)</f>
        <v>0</v>
      </c>
      <c r="O82" s="33" t="n">
        <f aca="false">'Jan 2027'!R82</f>
        <v>0</v>
      </c>
      <c r="P82" s="33" t="n">
        <f aca="false">IF(B82="",0,N(Students!H71))</f>
        <v>0</v>
      </c>
      <c r="Q82" s="23"/>
      <c r="R82" s="24" t="n">
        <f aca="false">N(O82)+N(P82)-N(Q82)</f>
        <v>0</v>
      </c>
      <c r="S82" s="33" t="n">
        <f aca="false">'Jan 2027'!V82</f>
        <v>0</v>
      </c>
      <c r="T82" s="33" t="n">
        <f aca="false">IF(B82="",0,N(Students!I71))</f>
        <v>0</v>
      </c>
      <c r="U82" s="23"/>
      <c r="V82" s="24" t="n">
        <f aca="false">N(S82)+N(T82)-N(U82)</f>
        <v>0</v>
      </c>
      <c r="W82" s="33" t="n">
        <f aca="false">'Jan 2027'!Z82</f>
        <v>0</v>
      </c>
      <c r="X82" s="33" t="n">
        <f aca="false">IF(B82="",0,N(Students!J71))</f>
        <v>0</v>
      </c>
      <c r="Y82" s="23"/>
      <c r="Z82" s="24" t="n">
        <f aca="false">N(W82)+N(X82)-N(Y82)</f>
        <v>0</v>
      </c>
      <c r="AA82" s="33" t="n">
        <f aca="false">N(E82)+N(I82)+N(M82)+N(Q82)+N(U82)+N(Y82)</f>
        <v>0</v>
      </c>
      <c r="AB82" s="24" t="n">
        <f aca="false">F82+J82+N82+R82+V82+Z82</f>
        <v>0</v>
      </c>
      <c r="AC82" s="81" t="str">
        <f aca="false">IF(B82="","",IF(AB82&lt;=0,"Clear",IF(AA82&gt;0,"Partial","Due")))</f>
        <v/>
      </c>
    </row>
    <row r="83" customFormat="false" ht="15" hidden="false" customHeight="false" outlineLevel="0" collapsed="false">
      <c r="A83" s="25" t="n">
        <v>68</v>
      </c>
      <c r="B83" s="82" t="str">
        <f aca="false">IF(Students!B72="","",Students!B72)</f>
        <v/>
      </c>
      <c r="C83" s="37" t="n">
        <f aca="false">'Jan 2027'!F83</f>
        <v>0</v>
      </c>
      <c r="D83" s="37" t="n">
        <f aca="false">IF(B83="",0,N(Students!E72))</f>
        <v>0</v>
      </c>
      <c r="E83" s="23"/>
      <c r="F83" s="26" t="n">
        <f aca="false">N(C83)+N(D83)-N(E83)</f>
        <v>0</v>
      </c>
      <c r="G83" s="37" t="n">
        <f aca="false">'Jan 2027'!J83</f>
        <v>0</v>
      </c>
      <c r="H83" s="37" t="n">
        <f aca="false">IF(B83="",0,N(Students!F72))</f>
        <v>0</v>
      </c>
      <c r="I83" s="23"/>
      <c r="J83" s="26" t="n">
        <f aca="false">N(G83)+N(H83)-N(I83)</f>
        <v>0</v>
      </c>
      <c r="K83" s="37" t="n">
        <f aca="false">'Jan 2027'!N83</f>
        <v>0</v>
      </c>
      <c r="L83" s="37" t="n">
        <f aca="false">IF(B83="",0,N(Students!G72))</f>
        <v>0</v>
      </c>
      <c r="M83" s="23"/>
      <c r="N83" s="26" t="n">
        <f aca="false">N(K83)+N(L83)-N(M83)</f>
        <v>0</v>
      </c>
      <c r="O83" s="37" t="n">
        <f aca="false">'Jan 2027'!R83</f>
        <v>0</v>
      </c>
      <c r="P83" s="37" t="n">
        <f aca="false">IF(B83="",0,N(Students!H72))</f>
        <v>0</v>
      </c>
      <c r="Q83" s="23"/>
      <c r="R83" s="26" t="n">
        <f aca="false">N(O83)+N(P83)-N(Q83)</f>
        <v>0</v>
      </c>
      <c r="S83" s="37" t="n">
        <f aca="false">'Jan 2027'!V83</f>
        <v>0</v>
      </c>
      <c r="T83" s="37" t="n">
        <f aca="false">IF(B83="",0,N(Students!I72))</f>
        <v>0</v>
      </c>
      <c r="U83" s="23"/>
      <c r="V83" s="26" t="n">
        <f aca="false">N(S83)+N(T83)-N(U83)</f>
        <v>0</v>
      </c>
      <c r="W83" s="37" t="n">
        <f aca="false">'Jan 2027'!Z83</f>
        <v>0</v>
      </c>
      <c r="X83" s="37" t="n">
        <f aca="false">IF(B83="",0,N(Students!J72))</f>
        <v>0</v>
      </c>
      <c r="Y83" s="23"/>
      <c r="Z83" s="26" t="n">
        <f aca="false">N(W83)+N(X83)-N(Y83)</f>
        <v>0</v>
      </c>
      <c r="AA83" s="37" t="n">
        <f aca="false">N(E83)+N(I83)+N(M83)+N(Q83)+N(U83)+N(Y83)</f>
        <v>0</v>
      </c>
      <c r="AB83" s="26" t="n">
        <f aca="false">F83+J83+N83+R83+V83+Z83</f>
        <v>0</v>
      </c>
      <c r="AC83" s="83" t="str">
        <f aca="false">IF(B83="","",IF(AB83&lt;=0,"Clear",IF(AA83&gt;0,"Partial","Due")))</f>
        <v/>
      </c>
    </row>
    <row r="84" customFormat="false" ht="15" hidden="false" customHeight="false" outlineLevel="0" collapsed="false">
      <c r="A84" s="21" t="n">
        <v>69</v>
      </c>
      <c r="B84" s="46" t="str">
        <f aca="false">IF(Students!B73="","",Students!B73)</f>
        <v/>
      </c>
      <c r="C84" s="33" t="n">
        <f aca="false">'Jan 2027'!F84</f>
        <v>0</v>
      </c>
      <c r="D84" s="33" t="n">
        <f aca="false">IF(B84="",0,N(Students!E73))</f>
        <v>0</v>
      </c>
      <c r="E84" s="23"/>
      <c r="F84" s="24" t="n">
        <f aca="false">N(C84)+N(D84)-N(E84)</f>
        <v>0</v>
      </c>
      <c r="G84" s="33" t="n">
        <f aca="false">'Jan 2027'!J84</f>
        <v>0</v>
      </c>
      <c r="H84" s="33" t="n">
        <f aca="false">IF(B84="",0,N(Students!F73))</f>
        <v>0</v>
      </c>
      <c r="I84" s="23"/>
      <c r="J84" s="24" t="n">
        <f aca="false">N(G84)+N(H84)-N(I84)</f>
        <v>0</v>
      </c>
      <c r="K84" s="33" t="n">
        <f aca="false">'Jan 2027'!N84</f>
        <v>0</v>
      </c>
      <c r="L84" s="33" t="n">
        <f aca="false">IF(B84="",0,N(Students!G73))</f>
        <v>0</v>
      </c>
      <c r="M84" s="23"/>
      <c r="N84" s="24" t="n">
        <f aca="false">N(K84)+N(L84)-N(M84)</f>
        <v>0</v>
      </c>
      <c r="O84" s="33" t="n">
        <f aca="false">'Jan 2027'!R84</f>
        <v>0</v>
      </c>
      <c r="P84" s="33" t="n">
        <f aca="false">IF(B84="",0,N(Students!H73))</f>
        <v>0</v>
      </c>
      <c r="Q84" s="23"/>
      <c r="R84" s="24" t="n">
        <f aca="false">N(O84)+N(P84)-N(Q84)</f>
        <v>0</v>
      </c>
      <c r="S84" s="33" t="n">
        <f aca="false">'Jan 2027'!V84</f>
        <v>0</v>
      </c>
      <c r="T84" s="33" t="n">
        <f aca="false">IF(B84="",0,N(Students!I73))</f>
        <v>0</v>
      </c>
      <c r="U84" s="23"/>
      <c r="V84" s="24" t="n">
        <f aca="false">N(S84)+N(T84)-N(U84)</f>
        <v>0</v>
      </c>
      <c r="W84" s="33" t="n">
        <f aca="false">'Jan 2027'!Z84</f>
        <v>0</v>
      </c>
      <c r="X84" s="33" t="n">
        <f aca="false">IF(B84="",0,N(Students!J73))</f>
        <v>0</v>
      </c>
      <c r="Y84" s="23"/>
      <c r="Z84" s="24" t="n">
        <f aca="false">N(W84)+N(X84)-N(Y84)</f>
        <v>0</v>
      </c>
      <c r="AA84" s="33" t="n">
        <f aca="false">N(E84)+N(I84)+N(M84)+N(Q84)+N(U84)+N(Y84)</f>
        <v>0</v>
      </c>
      <c r="AB84" s="24" t="n">
        <f aca="false">F84+J84+N84+R84+V84+Z84</f>
        <v>0</v>
      </c>
      <c r="AC84" s="81" t="str">
        <f aca="false">IF(B84="","",IF(AB84&lt;=0,"Clear",IF(AA84&gt;0,"Partial","Due")))</f>
        <v/>
      </c>
    </row>
    <row r="85" customFormat="false" ht="15" hidden="false" customHeight="false" outlineLevel="0" collapsed="false">
      <c r="A85" s="25" t="n">
        <v>70</v>
      </c>
      <c r="B85" s="82" t="str">
        <f aca="false">IF(Students!B74="","",Students!B74)</f>
        <v/>
      </c>
      <c r="C85" s="37" t="n">
        <f aca="false">'Jan 2027'!F85</f>
        <v>0</v>
      </c>
      <c r="D85" s="37" t="n">
        <f aca="false">IF(B85="",0,N(Students!E74))</f>
        <v>0</v>
      </c>
      <c r="E85" s="23"/>
      <c r="F85" s="26" t="n">
        <f aca="false">N(C85)+N(D85)-N(E85)</f>
        <v>0</v>
      </c>
      <c r="G85" s="37" t="n">
        <f aca="false">'Jan 2027'!J85</f>
        <v>0</v>
      </c>
      <c r="H85" s="37" t="n">
        <f aca="false">IF(B85="",0,N(Students!F74))</f>
        <v>0</v>
      </c>
      <c r="I85" s="23"/>
      <c r="J85" s="26" t="n">
        <f aca="false">N(G85)+N(H85)-N(I85)</f>
        <v>0</v>
      </c>
      <c r="K85" s="37" t="n">
        <f aca="false">'Jan 2027'!N85</f>
        <v>0</v>
      </c>
      <c r="L85" s="37" t="n">
        <f aca="false">IF(B85="",0,N(Students!G74))</f>
        <v>0</v>
      </c>
      <c r="M85" s="23"/>
      <c r="N85" s="26" t="n">
        <f aca="false">N(K85)+N(L85)-N(M85)</f>
        <v>0</v>
      </c>
      <c r="O85" s="37" t="n">
        <f aca="false">'Jan 2027'!R85</f>
        <v>0</v>
      </c>
      <c r="P85" s="37" t="n">
        <f aca="false">IF(B85="",0,N(Students!H74))</f>
        <v>0</v>
      </c>
      <c r="Q85" s="23"/>
      <c r="R85" s="26" t="n">
        <f aca="false">N(O85)+N(P85)-N(Q85)</f>
        <v>0</v>
      </c>
      <c r="S85" s="37" t="n">
        <f aca="false">'Jan 2027'!V85</f>
        <v>0</v>
      </c>
      <c r="T85" s="37" t="n">
        <f aca="false">IF(B85="",0,N(Students!I74))</f>
        <v>0</v>
      </c>
      <c r="U85" s="23"/>
      <c r="V85" s="26" t="n">
        <f aca="false">N(S85)+N(T85)-N(U85)</f>
        <v>0</v>
      </c>
      <c r="W85" s="37" t="n">
        <f aca="false">'Jan 2027'!Z85</f>
        <v>0</v>
      </c>
      <c r="X85" s="37" t="n">
        <f aca="false">IF(B85="",0,N(Students!J74))</f>
        <v>0</v>
      </c>
      <c r="Y85" s="23"/>
      <c r="Z85" s="26" t="n">
        <f aca="false">N(W85)+N(X85)-N(Y85)</f>
        <v>0</v>
      </c>
      <c r="AA85" s="37" t="n">
        <f aca="false">N(E85)+N(I85)+N(M85)+N(Q85)+N(U85)+N(Y85)</f>
        <v>0</v>
      </c>
      <c r="AB85" s="26" t="n">
        <f aca="false">F85+J85+N85+R85+V85+Z85</f>
        <v>0</v>
      </c>
      <c r="AC85" s="83" t="str">
        <f aca="false">IF(B85="","",IF(AB85&lt;=0,"Clear",IF(AA85&gt;0,"Partial","Due")))</f>
        <v/>
      </c>
    </row>
    <row r="86" customFormat="false" ht="15" hidden="false" customHeight="false" outlineLevel="0" collapsed="false">
      <c r="A86" s="21" t="n">
        <v>71</v>
      </c>
      <c r="B86" s="46" t="str">
        <f aca="false">IF(Students!B75="","",Students!B75)</f>
        <v/>
      </c>
      <c r="C86" s="33" t="n">
        <f aca="false">'Jan 2027'!F86</f>
        <v>0</v>
      </c>
      <c r="D86" s="33" t="n">
        <f aca="false">IF(B86="",0,N(Students!E75))</f>
        <v>0</v>
      </c>
      <c r="E86" s="23"/>
      <c r="F86" s="24" t="n">
        <f aca="false">N(C86)+N(D86)-N(E86)</f>
        <v>0</v>
      </c>
      <c r="G86" s="33" t="n">
        <f aca="false">'Jan 2027'!J86</f>
        <v>0</v>
      </c>
      <c r="H86" s="33" t="n">
        <f aca="false">IF(B86="",0,N(Students!F75))</f>
        <v>0</v>
      </c>
      <c r="I86" s="23"/>
      <c r="J86" s="24" t="n">
        <f aca="false">N(G86)+N(H86)-N(I86)</f>
        <v>0</v>
      </c>
      <c r="K86" s="33" t="n">
        <f aca="false">'Jan 2027'!N86</f>
        <v>0</v>
      </c>
      <c r="L86" s="33" t="n">
        <f aca="false">IF(B86="",0,N(Students!G75))</f>
        <v>0</v>
      </c>
      <c r="M86" s="23"/>
      <c r="N86" s="24" t="n">
        <f aca="false">N(K86)+N(L86)-N(M86)</f>
        <v>0</v>
      </c>
      <c r="O86" s="33" t="n">
        <f aca="false">'Jan 2027'!R86</f>
        <v>0</v>
      </c>
      <c r="P86" s="33" t="n">
        <f aca="false">IF(B86="",0,N(Students!H75))</f>
        <v>0</v>
      </c>
      <c r="Q86" s="23"/>
      <c r="R86" s="24" t="n">
        <f aca="false">N(O86)+N(P86)-N(Q86)</f>
        <v>0</v>
      </c>
      <c r="S86" s="33" t="n">
        <f aca="false">'Jan 2027'!V86</f>
        <v>0</v>
      </c>
      <c r="T86" s="33" t="n">
        <f aca="false">IF(B86="",0,N(Students!I75))</f>
        <v>0</v>
      </c>
      <c r="U86" s="23"/>
      <c r="V86" s="24" t="n">
        <f aca="false">N(S86)+N(T86)-N(U86)</f>
        <v>0</v>
      </c>
      <c r="W86" s="33" t="n">
        <f aca="false">'Jan 2027'!Z86</f>
        <v>0</v>
      </c>
      <c r="X86" s="33" t="n">
        <f aca="false">IF(B86="",0,N(Students!J75))</f>
        <v>0</v>
      </c>
      <c r="Y86" s="23"/>
      <c r="Z86" s="24" t="n">
        <f aca="false">N(W86)+N(X86)-N(Y86)</f>
        <v>0</v>
      </c>
      <c r="AA86" s="33" t="n">
        <f aca="false">N(E86)+N(I86)+N(M86)+N(Q86)+N(U86)+N(Y86)</f>
        <v>0</v>
      </c>
      <c r="AB86" s="24" t="n">
        <f aca="false">F86+J86+N86+R86+V86+Z86</f>
        <v>0</v>
      </c>
      <c r="AC86" s="81" t="str">
        <f aca="false">IF(B86="","",IF(AB86&lt;=0,"Clear",IF(AA86&gt;0,"Partial","Due")))</f>
        <v/>
      </c>
    </row>
    <row r="87" customFormat="false" ht="15" hidden="false" customHeight="false" outlineLevel="0" collapsed="false">
      <c r="A87" s="25" t="n">
        <v>72</v>
      </c>
      <c r="B87" s="82" t="str">
        <f aca="false">IF(Students!B76="","",Students!B76)</f>
        <v/>
      </c>
      <c r="C87" s="37" t="n">
        <f aca="false">'Jan 2027'!F87</f>
        <v>0</v>
      </c>
      <c r="D87" s="37" t="n">
        <f aca="false">IF(B87="",0,N(Students!E76))</f>
        <v>0</v>
      </c>
      <c r="E87" s="23"/>
      <c r="F87" s="26" t="n">
        <f aca="false">N(C87)+N(D87)-N(E87)</f>
        <v>0</v>
      </c>
      <c r="G87" s="37" t="n">
        <f aca="false">'Jan 2027'!J87</f>
        <v>0</v>
      </c>
      <c r="H87" s="37" t="n">
        <f aca="false">IF(B87="",0,N(Students!F76))</f>
        <v>0</v>
      </c>
      <c r="I87" s="23"/>
      <c r="J87" s="26" t="n">
        <f aca="false">N(G87)+N(H87)-N(I87)</f>
        <v>0</v>
      </c>
      <c r="K87" s="37" t="n">
        <f aca="false">'Jan 2027'!N87</f>
        <v>0</v>
      </c>
      <c r="L87" s="37" t="n">
        <f aca="false">IF(B87="",0,N(Students!G76))</f>
        <v>0</v>
      </c>
      <c r="M87" s="23"/>
      <c r="N87" s="26" t="n">
        <f aca="false">N(K87)+N(L87)-N(M87)</f>
        <v>0</v>
      </c>
      <c r="O87" s="37" t="n">
        <f aca="false">'Jan 2027'!R87</f>
        <v>0</v>
      </c>
      <c r="P87" s="37" t="n">
        <f aca="false">IF(B87="",0,N(Students!H76))</f>
        <v>0</v>
      </c>
      <c r="Q87" s="23"/>
      <c r="R87" s="26" t="n">
        <f aca="false">N(O87)+N(P87)-N(Q87)</f>
        <v>0</v>
      </c>
      <c r="S87" s="37" t="n">
        <f aca="false">'Jan 2027'!V87</f>
        <v>0</v>
      </c>
      <c r="T87" s="37" t="n">
        <f aca="false">IF(B87="",0,N(Students!I76))</f>
        <v>0</v>
      </c>
      <c r="U87" s="23"/>
      <c r="V87" s="26" t="n">
        <f aca="false">N(S87)+N(T87)-N(U87)</f>
        <v>0</v>
      </c>
      <c r="W87" s="37" t="n">
        <f aca="false">'Jan 2027'!Z87</f>
        <v>0</v>
      </c>
      <c r="X87" s="37" t="n">
        <f aca="false">IF(B87="",0,N(Students!J76))</f>
        <v>0</v>
      </c>
      <c r="Y87" s="23"/>
      <c r="Z87" s="26" t="n">
        <f aca="false">N(W87)+N(X87)-N(Y87)</f>
        <v>0</v>
      </c>
      <c r="AA87" s="37" t="n">
        <f aca="false">N(E87)+N(I87)+N(M87)+N(Q87)+N(U87)+N(Y87)</f>
        <v>0</v>
      </c>
      <c r="AB87" s="26" t="n">
        <f aca="false">F87+J87+N87+R87+V87+Z87</f>
        <v>0</v>
      </c>
      <c r="AC87" s="83" t="str">
        <f aca="false">IF(B87="","",IF(AB87&lt;=0,"Clear",IF(AA87&gt;0,"Partial","Due")))</f>
        <v/>
      </c>
    </row>
    <row r="88" customFormat="false" ht="15" hidden="false" customHeight="false" outlineLevel="0" collapsed="false">
      <c r="A88" s="21" t="n">
        <v>73</v>
      </c>
      <c r="B88" s="46" t="str">
        <f aca="false">IF(Students!B77="","",Students!B77)</f>
        <v/>
      </c>
      <c r="C88" s="33" t="n">
        <f aca="false">'Jan 2027'!F88</f>
        <v>0</v>
      </c>
      <c r="D88" s="33" t="n">
        <f aca="false">IF(B88="",0,N(Students!E77))</f>
        <v>0</v>
      </c>
      <c r="E88" s="23"/>
      <c r="F88" s="24" t="n">
        <f aca="false">N(C88)+N(D88)-N(E88)</f>
        <v>0</v>
      </c>
      <c r="G88" s="33" t="n">
        <f aca="false">'Jan 2027'!J88</f>
        <v>0</v>
      </c>
      <c r="H88" s="33" t="n">
        <f aca="false">IF(B88="",0,N(Students!F77))</f>
        <v>0</v>
      </c>
      <c r="I88" s="23"/>
      <c r="J88" s="24" t="n">
        <f aca="false">N(G88)+N(H88)-N(I88)</f>
        <v>0</v>
      </c>
      <c r="K88" s="33" t="n">
        <f aca="false">'Jan 2027'!N88</f>
        <v>0</v>
      </c>
      <c r="L88" s="33" t="n">
        <f aca="false">IF(B88="",0,N(Students!G77))</f>
        <v>0</v>
      </c>
      <c r="M88" s="23"/>
      <c r="N88" s="24" t="n">
        <f aca="false">N(K88)+N(L88)-N(M88)</f>
        <v>0</v>
      </c>
      <c r="O88" s="33" t="n">
        <f aca="false">'Jan 2027'!R88</f>
        <v>0</v>
      </c>
      <c r="P88" s="33" t="n">
        <f aca="false">IF(B88="",0,N(Students!H77))</f>
        <v>0</v>
      </c>
      <c r="Q88" s="23"/>
      <c r="R88" s="24" t="n">
        <f aca="false">N(O88)+N(P88)-N(Q88)</f>
        <v>0</v>
      </c>
      <c r="S88" s="33" t="n">
        <f aca="false">'Jan 2027'!V88</f>
        <v>0</v>
      </c>
      <c r="T88" s="33" t="n">
        <f aca="false">IF(B88="",0,N(Students!I77))</f>
        <v>0</v>
      </c>
      <c r="U88" s="23"/>
      <c r="V88" s="24" t="n">
        <f aca="false">N(S88)+N(T88)-N(U88)</f>
        <v>0</v>
      </c>
      <c r="W88" s="33" t="n">
        <f aca="false">'Jan 2027'!Z88</f>
        <v>0</v>
      </c>
      <c r="X88" s="33" t="n">
        <f aca="false">IF(B88="",0,N(Students!J77))</f>
        <v>0</v>
      </c>
      <c r="Y88" s="23"/>
      <c r="Z88" s="24" t="n">
        <f aca="false">N(W88)+N(X88)-N(Y88)</f>
        <v>0</v>
      </c>
      <c r="AA88" s="33" t="n">
        <f aca="false">N(E88)+N(I88)+N(M88)+N(Q88)+N(U88)+N(Y88)</f>
        <v>0</v>
      </c>
      <c r="AB88" s="24" t="n">
        <f aca="false">F88+J88+N88+R88+V88+Z88</f>
        <v>0</v>
      </c>
      <c r="AC88" s="81" t="str">
        <f aca="false">IF(B88="","",IF(AB88&lt;=0,"Clear",IF(AA88&gt;0,"Partial","Due")))</f>
        <v/>
      </c>
    </row>
    <row r="89" customFormat="false" ht="15" hidden="false" customHeight="false" outlineLevel="0" collapsed="false">
      <c r="A89" s="25" t="n">
        <v>74</v>
      </c>
      <c r="B89" s="82" t="str">
        <f aca="false">IF(Students!B78="","",Students!B78)</f>
        <v/>
      </c>
      <c r="C89" s="37" t="n">
        <f aca="false">'Jan 2027'!F89</f>
        <v>0</v>
      </c>
      <c r="D89" s="37" t="n">
        <f aca="false">IF(B89="",0,N(Students!E78))</f>
        <v>0</v>
      </c>
      <c r="E89" s="23"/>
      <c r="F89" s="26" t="n">
        <f aca="false">N(C89)+N(D89)-N(E89)</f>
        <v>0</v>
      </c>
      <c r="G89" s="37" t="n">
        <f aca="false">'Jan 2027'!J89</f>
        <v>0</v>
      </c>
      <c r="H89" s="37" t="n">
        <f aca="false">IF(B89="",0,N(Students!F78))</f>
        <v>0</v>
      </c>
      <c r="I89" s="23"/>
      <c r="J89" s="26" t="n">
        <f aca="false">N(G89)+N(H89)-N(I89)</f>
        <v>0</v>
      </c>
      <c r="K89" s="37" t="n">
        <f aca="false">'Jan 2027'!N89</f>
        <v>0</v>
      </c>
      <c r="L89" s="37" t="n">
        <f aca="false">IF(B89="",0,N(Students!G78))</f>
        <v>0</v>
      </c>
      <c r="M89" s="23"/>
      <c r="N89" s="26" t="n">
        <f aca="false">N(K89)+N(L89)-N(M89)</f>
        <v>0</v>
      </c>
      <c r="O89" s="37" t="n">
        <f aca="false">'Jan 2027'!R89</f>
        <v>0</v>
      </c>
      <c r="P89" s="37" t="n">
        <f aca="false">IF(B89="",0,N(Students!H78))</f>
        <v>0</v>
      </c>
      <c r="Q89" s="23"/>
      <c r="R89" s="26" t="n">
        <f aca="false">N(O89)+N(P89)-N(Q89)</f>
        <v>0</v>
      </c>
      <c r="S89" s="37" t="n">
        <f aca="false">'Jan 2027'!V89</f>
        <v>0</v>
      </c>
      <c r="T89" s="37" t="n">
        <f aca="false">IF(B89="",0,N(Students!I78))</f>
        <v>0</v>
      </c>
      <c r="U89" s="23"/>
      <c r="V89" s="26" t="n">
        <f aca="false">N(S89)+N(T89)-N(U89)</f>
        <v>0</v>
      </c>
      <c r="W89" s="37" t="n">
        <f aca="false">'Jan 2027'!Z89</f>
        <v>0</v>
      </c>
      <c r="X89" s="37" t="n">
        <f aca="false">IF(B89="",0,N(Students!J78))</f>
        <v>0</v>
      </c>
      <c r="Y89" s="23"/>
      <c r="Z89" s="26" t="n">
        <f aca="false">N(W89)+N(X89)-N(Y89)</f>
        <v>0</v>
      </c>
      <c r="AA89" s="37" t="n">
        <f aca="false">N(E89)+N(I89)+N(M89)+N(Q89)+N(U89)+N(Y89)</f>
        <v>0</v>
      </c>
      <c r="AB89" s="26" t="n">
        <f aca="false">F89+J89+N89+R89+V89+Z89</f>
        <v>0</v>
      </c>
      <c r="AC89" s="83" t="str">
        <f aca="false">IF(B89="","",IF(AB89&lt;=0,"Clear",IF(AA89&gt;0,"Partial","Due")))</f>
        <v/>
      </c>
    </row>
    <row r="90" customFormat="false" ht="15" hidden="false" customHeight="false" outlineLevel="0" collapsed="false">
      <c r="A90" s="21" t="n">
        <v>75</v>
      </c>
      <c r="B90" s="46" t="str">
        <f aca="false">IF(Students!B79="","",Students!B79)</f>
        <v/>
      </c>
      <c r="C90" s="33" t="n">
        <f aca="false">'Jan 2027'!F90</f>
        <v>0</v>
      </c>
      <c r="D90" s="33" t="n">
        <f aca="false">IF(B90="",0,N(Students!E79))</f>
        <v>0</v>
      </c>
      <c r="E90" s="23"/>
      <c r="F90" s="24" t="n">
        <f aca="false">N(C90)+N(D90)-N(E90)</f>
        <v>0</v>
      </c>
      <c r="G90" s="33" t="n">
        <f aca="false">'Jan 2027'!J90</f>
        <v>0</v>
      </c>
      <c r="H90" s="33" t="n">
        <f aca="false">IF(B90="",0,N(Students!F79))</f>
        <v>0</v>
      </c>
      <c r="I90" s="23"/>
      <c r="J90" s="24" t="n">
        <f aca="false">N(G90)+N(H90)-N(I90)</f>
        <v>0</v>
      </c>
      <c r="K90" s="33" t="n">
        <f aca="false">'Jan 2027'!N90</f>
        <v>0</v>
      </c>
      <c r="L90" s="33" t="n">
        <f aca="false">IF(B90="",0,N(Students!G79))</f>
        <v>0</v>
      </c>
      <c r="M90" s="23"/>
      <c r="N90" s="24" t="n">
        <f aca="false">N(K90)+N(L90)-N(M90)</f>
        <v>0</v>
      </c>
      <c r="O90" s="33" t="n">
        <f aca="false">'Jan 2027'!R90</f>
        <v>0</v>
      </c>
      <c r="P90" s="33" t="n">
        <f aca="false">IF(B90="",0,N(Students!H79))</f>
        <v>0</v>
      </c>
      <c r="Q90" s="23"/>
      <c r="R90" s="24" t="n">
        <f aca="false">N(O90)+N(P90)-N(Q90)</f>
        <v>0</v>
      </c>
      <c r="S90" s="33" t="n">
        <f aca="false">'Jan 2027'!V90</f>
        <v>0</v>
      </c>
      <c r="T90" s="33" t="n">
        <f aca="false">IF(B90="",0,N(Students!I79))</f>
        <v>0</v>
      </c>
      <c r="U90" s="23"/>
      <c r="V90" s="24" t="n">
        <f aca="false">N(S90)+N(T90)-N(U90)</f>
        <v>0</v>
      </c>
      <c r="W90" s="33" t="n">
        <f aca="false">'Jan 2027'!Z90</f>
        <v>0</v>
      </c>
      <c r="X90" s="33" t="n">
        <f aca="false">IF(B90="",0,N(Students!J79))</f>
        <v>0</v>
      </c>
      <c r="Y90" s="23"/>
      <c r="Z90" s="24" t="n">
        <f aca="false">N(W90)+N(X90)-N(Y90)</f>
        <v>0</v>
      </c>
      <c r="AA90" s="33" t="n">
        <f aca="false">N(E90)+N(I90)+N(M90)+N(Q90)+N(U90)+N(Y90)</f>
        <v>0</v>
      </c>
      <c r="AB90" s="24" t="n">
        <f aca="false">F90+J90+N90+R90+V90+Z90</f>
        <v>0</v>
      </c>
      <c r="AC90" s="81" t="str">
        <f aca="false">IF(B90="","",IF(AB90&lt;=0,"Clear",IF(AA90&gt;0,"Partial","Due")))</f>
        <v/>
      </c>
    </row>
    <row r="91" customFormat="false" ht="15" hidden="false" customHeight="false" outlineLevel="0" collapsed="false">
      <c r="A91" s="25" t="n">
        <v>76</v>
      </c>
      <c r="B91" s="82" t="str">
        <f aca="false">IF(Students!B80="","",Students!B80)</f>
        <v/>
      </c>
      <c r="C91" s="37" t="n">
        <f aca="false">'Jan 2027'!F91</f>
        <v>0</v>
      </c>
      <c r="D91" s="37" t="n">
        <f aca="false">IF(B91="",0,N(Students!E80))</f>
        <v>0</v>
      </c>
      <c r="E91" s="23"/>
      <c r="F91" s="26" t="n">
        <f aca="false">N(C91)+N(D91)-N(E91)</f>
        <v>0</v>
      </c>
      <c r="G91" s="37" t="n">
        <f aca="false">'Jan 2027'!J91</f>
        <v>0</v>
      </c>
      <c r="H91" s="37" t="n">
        <f aca="false">IF(B91="",0,N(Students!F80))</f>
        <v>0</v>
      </c>
      <c r="I91" s="23"/>
      <c r="J91" s="26" t="n">
        <f aca="false">N(G91)+N(H91)-N(I91)</f>
        <v>0</v>
      </c>
      <c r="K91" s="37" t="n">
        <f aca="false">'Jan 2027'!N91</f>
        <v>0</v>
      </c>
      <c r="L91" s="37" t="n">
        <f aca="false">IF(B91="",0,N(Students!G80))</f>
        <v>0</v>
      </c>
      <c r="M91" s="23"/>
      <c r="N91" s="26" t="n">
        <f aca="false">N(K91)+N(L91)-N(M91)</f>
        <v>0</v>
      </c>
      <c r="O91" s="37" t="n">
        <f aca="false">'Jan 2027'!R91</f>
        <v>0</v>
      </c>
      <c r="P91" s="37" t="n">
        <f aca="false">IF(B91="",0,N(Students!H80))</f>
        <v>0</v>
      </c>
      <c r="Q91" s="23"/>
      <c r="R91" s="26" t="n">
        <f aca="false">N(O91)+N(P91)-N(Q91)</f>
        <v>0</v>
      </c>
      <c r="S91" s="37" t="n">
        <f aca="false">'Jan 2027'!V91</f>
        <v>0</v>
      </c>
      <c r="T91" s="37" t="n">
        <f aca="false">IF(B91="",0,N(Students!I80))</f>
        <v>0</v>
      </c>
      <c r="U91" s="23"/>
      <c r="V91" s="26" t="n">
        <f aca="false">N(S91)+N(T91)-N(U91)</f>
        <v>0</v>
      </c>
      <c r="W91" s="37" t="n">
        <f aca="false">'Jan 2027'!Z91</f>
        <v>0</v>
      </c>
      <c r="X91" s="37" t="n">
        <f aca="false">IF(B91="",0,N(Students!J80))</f>
        <v>0</v>
      </c>
      <c r="Y91" s="23"/>
      <c r="Z91" s="26" t="n">
        <f aca="false">N(W91)+N(X91)-N(Y91)</f>
        <v>0</v>
      </c>
      <c r="AA91" s="37" t="n">
        <f aca="false">N(E91)+N(I91)+N(M91)+N(Q91)+N(U91)+N(Y91)</f>
        <v>0</v>
      </c>
      <c r="AB91" s="26" t="n">
        <f aca="false">F91+J91+N91+R91+V91+Z91</f>
        <v>0</v>
      </c>
      <c r="AC91" s="83" t="str">
        <f aca="false">IF(B91="","",IF(AB91&lt;=0,"Clear",IF(AA91&gt;0,"Partial","Due")))</f>
        <v/>
      </c>
    </row>
    <row r="92" customFormat="false" ht="15" hidden="false" customHeight="false" outlineLevel="0" collapsed="false">
      <c r="A92" s="21" t="n">
        <v>77</v>
      </c>
      <c r="B92" s="46" t="str">
        <f aca="false">IF(Students!B81="","",Students!B81)</f>
        <v/>
      </c>
      <c r="C92" s="33" t="n">
        <f aca="false">'Jan 2027'!F92</f>
        <v>0</v>
      </c>
      <c r="D92" s="33" t="n">
        <f aca="false">IF(B92="",0,N(Students!E81))</f>
        <v>0</v>
      </c>
      <c r="E92" s="23"/>
      <c r="F92" s="24" t="n">
        <f aca="false">N(C92)+N(D92)-N(E92)</f>
        <v>0</v>
      </c>
      <c r="G92" s="33" t="n">
        <f aca="false">'Jan 2027'!J92</f>
        <v>0</v>
      </c>
      <c r="H92" s="33" t="n">
        <f aca="false">IF(B92="",0,N(Students!F81))</f>
        <v>0</v>
      </c>
      <c r="I92" s="23"/>
      <c r="J92" s="24" t="n">
        <f aca="false">N(G92)+N(H92)-N(I92)</f>
        <v>0</v>
      </c>
      <c r="K92" s="33" t="n">
        <f aca="false">'Jan 2027'!N92</f>
        <v>0</v>
      </c>
      <c r="L92" s="33" t="n">
        <f aca="false">IF(B92="",0,N(Students!G81))</f>
        <v>0</v>
      </c>
      <c r="M92" s="23"/>
      <c r="N92" s="24" t="n">
        <f aca="false">N(K92)+N(L92)-N(M92)</f>
        <v>0</v>
      </c>
      <c r="O92" s="33" t="n">
        <f aca="false">'Jan 2027'!R92</f>
        <v>0</v>
      </c>
      <c r="P92" s="33" t="n">
        <f aca="false">IF(B92="",0,N(Students!H81))</f>
        <v>0</v>
      </c>
      <c r="Q92" s="23"/>
      <c r="R92" s="24" t="n">
        <f aca="false">N(O92)+N(P92)-N(Q92)</f>
        <v>0</v>
      </c>
      <c r="S92" s="33" t="n">
        <f aca="false">'Jan 2027'!V92</f>
        <v>0</v>
      </c>
      <c r="T92" s="33" t="n">
        <f aca="false">IF(B92="",0,N(Students!I81))</f>
        <v>0</v>
      </c>
      <c r="U92" s="23"/>
      <c r="V92" s="24" t="n">
        <f aca="false">N(S92)+N(T92)-N(U92)</f>
        <v>0</v>
      </c>
      <c r="W92" s="33" t="n">
        <f aca="false">'Jan 2027'!Z92</f>
        <v>0</v>
      </c>
      <c r="X92" s="33" t="n">
        <f aca="false">IF(B92="",0,N(Students!J81))</f>
        <v>0</v>
      </c>
      <c r="Y92" s="23"/>
      <c r="Z92" s="24" t="n">
        <f aca="false">N(W92)+N(X92)-N(Y92)</f>
        <v>0</v>
      </c>
      <c r="AA92" s="33" t="n">
        <f aca="false">N(E92)+N(I92)+N(M92)+N(Q92)+N(U92)+N(Y92)</f>
        <v>0</v>
      </c>
      <c r="AB92" s="24" t="n">
        <f aca="false">F92+J92+N92+R92+V92+Z92</f>
        <v>0</v>
      </c>
      <c r="AC92" s="81" t="str">
        <f aca="false">IF(B92="","",IF(AB92&lt;=0,"Clear",IF(AA92&gt;0,"Partial","Due")))</f>
        <v/>
      </c>
    </row>
    <row r="93" customFormat="false" ht="15" hidden="false" customHeight="false" outlineLevel="0" collapsed="false">
      <c r="A93" s="25" t="n">
        <v>78</v>
      </c>
      <c r="B93" s="82" t="str">
        <f aca="false">IF(Students!B82="","",Students!B82)</f>
        <v/>
      </c>
      <c r="C93" s="37" t="n">
        <f aca="false">'Jan 2027'!F93</f>
        <v>0</v>
      </c>
      <c r="D93" s="37" t="n">
        <f aca="false">IF(B93="",0,N(Students!E82))</f>
        <v>0</v>
      </c>
      <c r="E93" s="23"/>
      <c r="F93" s="26" t="n">
        <f aca="false">N(C93)+N(D93)-N(E93)</f>
        <v>0</v>
      </c>
      <c r="G93" s="37" t="n">
        <f aca="false">'Jan 2027'!J93</f>
        <v>0</v>
      </c>
      <c r="H93" s="37" t="n">
        <f aca="false">IF(B93="",0,N(Students!F82))</f>
        <v>0</v>
      </c>
      <c r="I93" s="23"/>
      <c r="J93" s="26" t="n">
        <f aca="false">N(G93)+N(H93)-N(I93)</f>
        <v>0</v>
      </c>
      <c r="K93" s="37" t="n">
        <f aca="false">'Jan 2027'!N93</f>
        <v>0</v>
      </c>
      <c r="L93" s="37" t="n">
        <f aca="false">IF(B93="",0,N(Students!G82))</f>
        <v>0</v>
      </c>
      <c r="M93" s="23"/>
      <c r="N93" s="26" t="n">
        <f aca="false">N(K93)+N(L93)-N(M93)</f>
        <v>0</v>
      </c>
      <c r="O93" s="37" t="n">
        <f aca="false">'Jan 2027'!R93</f>
        <v>0</v>
      </c>
      <c r="P93" s="37" t="n">
        <f aca="false">IF(B93="",0,N(Students!H82))</f>
        <v>0</v>
      </c>
      <c r="Q93" s="23"/>
      <c r="R93" s="26" t="n">
        <f aca="false">N(O93)+N(P93)-N(Q93)</f>
        <v>0</v>
      </c>
      <c r="S93" s="37" t="n">
        <f aca="false">'Jan 2027'!V93</f>
        <v>0</v>
      </c>
      <c r="T93" s="37" t="n">
        <f aca="false">IF(B93="",0,N(Students!I82))</f>
        <v>0</v>
      </c>
      <c r="U93" s="23"/>
      <c r="V93" s="26" t="n">
        <f aca="false">N(S93)+N(T93)-N(U93)</f>
        <v>0</v>
      </c>
      <c r="W93" s="37" t="n">
        <f aca="false">'Jan 2027'!Z93</f>
        <v>0</v>
      </c>
      <c r="X93" s="37" t="n">
        <f aca="false">IF(B93="",0,N(Students!J82))</f>
        <v>0</v>
      </c>
      <c r="Y93" s="23"/>
      <c r="Z93" s="26" t="n">
        <f aca="false">N(W93)+N(X93)-N(Y93)</f>
        <v>0</v>
      </c>
      <c r="AA93" s="37" t="n">
        <f aca="false">N(E93)+N(I93)+N(M93)+N(Q93)+N(U93)+N(Y93)</f>
        <v>0</v>
      </c>
      <c r="AB93" s="26" t="n">
        <f aca="false">F93+J93+N93+R93+V93+Z93</f>
        <v>0</v>
      </c>
      <c r="AC93" s="83" t="str">
        <f aca="false">IF(B93="","",IF(AB93&lt;=0,"Clear",IF(AA93&gt;0,"Partial","Due")))</f>
        <v/>
      </c>
    </row>
    <row r="94" customFormat="false" ht="15" hidden="false" customHeight="false" outlineLevel="0" collapsed="false">
      <c r="A94" s="21" t="n">
        <v>79</v>
      </c>
      <c r="B94" s="46" t="str">
        <f aca="false">IF(Students!B83="","",Students!B83)</f>
        <v/>
      </c>
      <c r="C94" s="33" t="n">
        <f aca="false">'Jan 2027'!F94</f>
        <v>0</v>
      </c>
      <c r="D94" s="33" t="n">
        <f aca="false">IF(B94="",0,N(Students!E83))</f>
        <v>0</v>
      </c>
      <c r="E94" s="23"/>
      <c r="F94" s="24" t="n">
        <f aca="false">N(C94)+N(D94)-N(E94)</f>
        <v>0</v>
      </c>
      <c r="G94" s="33" t="n">
        <f aca="false">'Jan 2027'!J94</f>
        <v>0</v>
      </c>
      <c r="H94" s="33" t="n">
        <f aca="false">IF(B94="",0,N(Students!F83))</f>
        <v>0</v>
      </c>
      <c r="I94" s="23"/>
      <c r="J94" s="24" t="n">
        <f aca="false">N(G94)+N(H94)-N(I94)</f>
        <v>0</v>
      </c>
      <c r="K94" s="33" t="n">
        <f aca="false">'Jan 2027'!N94</f>
        <v>0</v>
      </c>
      <c r="L94" s="33" t="n">
        <f aca="false">IF(B94="",0,N(Students!G83))</f>
        <v>0</v>
      </c>
      <c r="M94" s="23"/>
      <c r="N94" s="24" t="n">
        <f aca="false">N(K94)+N(L94)-N(M94)</f>
        <v>0</v>
      </c>
      <c r="O94" s="33" t="n">
        <f aca="false">'Jan 2027'!R94</f>
        <v>0</v>
      </c>
      <c r="P94" s="33" t="n">
        <f aca="false">IF(B94="",0,N(Students!H83))</f>
        <v>0</v>
      </c>
      <c r="Q94" s="23"/>
      <c r="R94" s="24" t="n">
        <f aca="false">N(O94)+N(P94)-N(Q94)</f>
        <v>0</v>
      </c>
      <c r="S94" s="33" t="n">
        <f aca="false">'Jan 2027'!V94</f>
        <v>0</v>
      </c>
      <c r="T94" s="33" t="n">
        <f aca="false">IF(B94="",0,N(Students!I83))</f>
        <v>0</v>
      </c>
      <c r="U94" s="23"/>
      <c r="V94" s="24" t="n">
        <f aca="false">N(S94)+N(T94)-N(U94)</f>
        <v>0</v>
      </c>
      <c r="W94" s="33" t="n">
        <f aca="false">'Jan 2027'!Z94</f>
        <v>0</v>
      </c>
      <c r="X94" s="33" t="n">
        <f aca="false">IF(B94="",0,N(Students!J83))</f>
        <v>0</v>
      </c>
      <c r="Y94" s="23"/>
      <c r="Z94" s="24" t="n">
        <f aca="false">N(W94)+N(X94)-N(Y94)</f>
        <v>0</v>
      </c>
      <c r="AA94" s="33" t="n">
        <f aca="false">N(E94)+N(I94)+N(M94)+N(Q94)+N(U94)+N(Y94)</f>
        <v>0</v>
      </c>
      <c r="AB94" s="24" t="n">
        <f aca="false">F94+J94+N94+R94+V94+Z94</f>
        <v>0</v>
      </c>
      <c r="AC94" s="81" t="str">
        <f aca="false">IF(B94="","",IF(AB94&lt;=0,"Clear",IF(AA94&gt;0,"Partial","Due")))</f>
        <v/>
      </c>
    </row>
    <row r="95" customFormat="false" ht="15" hidden="false" customHeight="false" outlineLevel="0" collapsed="false">
      <c r="A95" s="25" t="n">
        <v>80</v>
      </c>
      <c r="B95" s="82" t="str">
        <f aca="false">IF(Students!B84="","",Students!B84)</f>
        <v/>
      </c>
      <c r="C95" s="37" t="n">
        <f aca="false">'Jan 2027'!F95</f>
        <v>0</v>
      </c>
      <c r="D95" s="37" t="n">
        <f aca="false">IF(B95="",0,N(Students!E84))</f>
        <v>0</v>
      </c>
      <c r="E95" s="23"/>
      <c r="F95" s="26" t="n">
        <f aca="false">N(C95)+N(D95)-N(E95)</f>
        <v>0</v>
      </c>
      <c r="G95" s="37" t="n">
        <f aca="false">'Jan 2027'!J95</f>
        <v>0</v>
      </c>
      <c r="H95" s="37" t="n">
        <f aca="false">IF(B95="",0,N(Students!F84))</f>
        <v>0</v>
      </c>
      <c r="I95" s="23"/>
      <c r="J95" s="26" t="n">
        <f aca="false">N(G95)+N(H95)-N(I95)</f>
        <v>0</v>
      </c>
      <c r="K95" s="37" t="n">
        <f aca="false">'Jan 2027'!N95</f>
        <v>0</v>
      </c>
      <c r="L95" s="37" t="n">
        <f aca="false">IF(B95="",0,N(Students!G84))</f>
        <v>0</v>
      </c>
      <c r="M95" s="23"/>
      <c r="N95" s="26" t="n">
        <f aca="false">N(K95)+N(L95)-N(M95)</f>
        <v>0</v>
      </c>
      <c r="O95" s="37" t="n">
        <f aca="false">'Jan 2027'!R95</f>
        <v>0</v>
      </c>
      <c r="P95" s="37" t="n">
        <f aca="false">IF(B95="",0,N(Students!H84))</f>
        <v>0</v>
      </c>
      <c r="Q95" s="23"/>
      <c r="R95" s="26" t="n">
        <f aca="false">N(O95)+N(P95)-N(Q95)</f>
        <v>0</v>
      </c>
      <c r="S95" s="37" t="n">
        <f aca="false">'Jan 2027'!V95</f>
        <v>0</v>
      </c>
      <c r="T95" s="37" t="n">
        <f aca="false">IF(B95="",0,N(Students!I84))</f>
        <v>0</v>
      </c>
      <c r="U95" s="23"/>
      <c r="V95" s="26" t="n">
        <f aca="false">N(S95)+N(T95)-N(U95)</f>
        <v>0</v>
      </c>
      <c r="W95" s="37" t="n">
        <f aca="false">'Jan 2027'!Z95</f>
        <v>0</v>
      </c>
      <c r="X95" s="37" t="n">
        <f aca="false">IF(B95="",0,N(Students!J84))</f>
        <v>0</v>
      </c>
      <c r="Y95" s="23"/>
      <c r="Z95" s="26" t="n">
        <f aca="false">N(W95)+N(X95)-N(Y95)</f>
        <v>0</v>
      </c>
      <c r="AA95" s="37" t="n">
        <f aca="false">N(E95)+N(I95)+N(M95)+N(Q95)+N(U95)+N(Y95)</f>
        <v>0</v>
      </c>
      <c r="AB95" s="26" t="n">
        <f aca="false">F95+J95+N95+R95+V95+Z95</f>
        <v>0</v>
      </c>
      <c r="AC95" s="83" t="str">
        <f aca="false">IF(B95="","",IF(AB95&lt;=0,"Clear",IF(AA95&gt;0,"Partial","Due")))</f>
        <v/>
      </c>
    </row>
    <row r="96" customFormat="false" ht="15" hidden="false" customHeight="false" outlineLevel="0" collapsed="false">
      <c r="A96" s="21" t="n">
        <v>81</v>
      </c>
      <c r="B96" s="46" t="str">
        <f aca="false">IF(Students!B85="","",Students!B85)</f>
        <v/>
      </c>
      <c r="C96" s="33" t="n">
        <f aca="false">'Jan 2027'!F96</f>
        <v>0</v>
      </c>
      <c r="D96" s="33" t="n">
        <f aca="false">IF(B96="",0,N(Students!E85))</f>
        <v>0</v>
      </c>
      <c r="E96" s="23"/>
      <c r="F96" s="24" t="n">
        <f aca="false">N(C96)+N(D96)-N(E96)</f>
        <v>0</v>
      </c>
      <c r="G96" s="33" t="n">
        <f aca="false">'Jan 2027'!J96</f>
        <v>0</v>
      </c>
      <c r="H96" s="33" t="n">
        <f aca="false">IF(B96="",0,N(Students!F85))</f>
        <v>0</v>
      </c>
      <c r="I96" s="23"/>
      <c r="J96" s="24" t="n">
        <f aca="false">N(G96)+N(H96)-N(I96)</f>
        <v>0</v>
      </c>
      <c r="K96" s="33" t="n">
        <f aca="false">'Jan 2027'!N96</f>
        <v>0</v>
      </c>
      <c r="L96" s="33" t="n">
        <f aca="false">IF(B96="",0,N(Students!G85))</f>
        <v>0</v>
      </c>
      <c r="M96" s="23"/>
      <c r="N96" s="24" t="n">
        <f aca="false">N(K96)+N(L96)-N(M96)</f>
        <v>0</v>
      </c>
      <c r="O96" s="33" t="n">
        <f aca="false">'Jan 2027'!R96</f>
        <v>0</v>
      </c>
      <c r="P96" s="33" t="n">
        <f aca="false">IF(B96="",0,N(Students!H85))</f>
        <v>0</v>
      </c>
      <c r="Q96" s="23"/>
      <c r="R96" s="24" t="n">
        <f aca="false">N(O96)+N(P96)-N(Q96)</f>
        <v>0</v>
      </c>
      <c r="S96" s="33" t="n">
        <f aca="false">'Jan 2027'!V96</f>
        <v>0</v>
      </c>
      <c r="T96" s="33" t="n">
        <f aca="false">IF(B96="",0,N(Students!I85))</f>
        <v>0</v>
      </c>
      <c r="U96" s="23"/>
      <c r="V96" s="24" t="n">
        <f aca="false">N(S96)+N(T96)-N(U96)</f>
        <v>0</v>
      </c>
      <c r="W96" s="33" t="n">
        <f aca="false">'Jan 2027'!Z96</f>
        <v>0</v>
      </c>
      <c r="X96" s="33" t="n">
        <f aca="false">IF(B96="",0,N(Students!J85))</f>
        <v>0</v>
      </c>
      <c r="Y96" s="23"/>
      <c r="Z96" s="24" t="n">
        <f aca="false">N(W96)+N(X96)-N(Y96)</f>
        <v>0</v>
      </c>
      <c r="AA96" s="33" t="n">
        <f aca="false">N(E96)+N(I96)+N(M96)+N(Q96)+N(U96)+N(Y96)</f>
        <v>0</v>
      </c>
      <c r="AB96" s="24" t="n">
        <f aca="false">F96+J96+N96+R96+V96+Z96</f>
        <v>0</v>
      </c>
      <c r="AC96" s="81" t="str">
        <f aca="false">IF(B96="","",IF(AB96&lt;=0,"Clear",IF(AA96&gt;0,"Partial","Due")))</f>
        <v/>
      </c>
    </row>
    <row r="97" customFormat="false" ht="15" hidden="false" customHeight="false" outlineLevel="0" collapsed="false">
      <c r="A97" s="25" t="n">
        <v>82</v>
      </c>
      <c r="B97" s="82" t="str">
        <f aca="false">IF(Students!B86="","",Students!B86)</f>
        <v/>
      </c>
      <c r="C97" s="37" t="n">
        <f aca="false">'Jan 2027'!F97</f>
        <v>0</v>
      </c>
      <c r="D97" s="37" t="n">
        <f aca="false">IF(B97="",0,N(Students!E86))</f>
        <v>0</v>
      </c>
      <c r="E97" s="23"/>
      <c r="F97" s="26" t="n">
        <f aca="false">N(C97)+N(D97)-N(E97)</f>
        <v>0</v>
      </c>
      <c r="G97" s="37" t="n">
        <f aca="false">'Jan 2027'!J97</f>
        <v>0</v>
      </c>
      <c r="H97" s="37" t="n">
        <f aca="false">IF(B97="",0,N(Students!F86))</f>
        <v>0</v>
      </c>
      <c r="I97" s="23"/>
      <c r="J97" s="26" t="n">
        <f aca="false">N(G97)+N(H97)-N(I97)</f>
        <v>0</v>
      </c>
      <c r="K97" s="37" t="n">
        <f aca="false">'Jan 2027'!N97</f>
        <v>0</v>
      </c>
      <c r="L97" s="37" t="n">
        <f aca="false">IF(B97="",0,N(Students!G86))</f>
        <v>0</v>
      </c>
      <c r="M97" s="23"/>
      <c r="N97" s="26" t="n">
        <f aca="false">N(K97)+N(L97)-N(M97)</f>
        <v>0</v>
      </c>
      <c r="O97" s="37" t="n">
        <f aca="false">'Jan 2027'!R97</f>
        <v>0</v>
      </c>
      <c r="P97" s="37" t="n">
        <f aca="false">IF(B97="",0,N(Students!H86))</f>
        <v>0</v>
      </c>
      <c r="Q97" s="23"/>
      <c r="R97" s="26" t="n">
        <f aca="false">N(O97)+N(P97)-N(Q97)</f>
        <v>0</v>
      </c>
      <c r="S97" s="37" t="n">
        <f aca="false">'Jan 2027'!V97</f>
        <v>0</v>
      </c>
      <c r="T97" s="37" t="n">
        <f aca="false">IF(B97="",0,N(Students!I86))</f>
        <v>0</v>
      </c>
      <c r="U97" s="23"/>
      <c r="V97" s="26" t="n">
        <f aca="false">N(S97)+N(T97)-N(U97)</f>
        <v>0</v>
      </c>
      <c r="W97" s="37" t="n">
        <f aca="false">'Jan 2027'!Z97</f>
        <v>0</v>
      </c>
      <c r="X97" s="37" t="n">
        <f aca="false">IF(B97="",0,N(Students!J86))</f>
        <v>0</v>
      </c>
      <c r="Y97" s="23"/>
      <c r="Z97" s="26" t="n">
        <f aca="false">N(W97)+N(X97)-N(Y97)</f>
        <v>0</v>
      </c>
      <c r="AA97" s="37" t="n">
        <f aca="false">N(E97)+N(I97)+N(M97)+N(Q97)+N(U97)+N(Y97)</f>
        <v>0</v>
      </c>
      <c r="AB97" s="26" t="n">
        <f aca="false">F97+J97+N97+R97+V97+Z97</f>
        <v>0</v>
      </c>
      <c r="AC97" s="83" t="str">
        <f aca="false">IF(B97="","",IF(AB97&lt;=0,"Clear",IF(AA97&gt;0,"Partial","Due")))</f>
        <v/>
      </c>
    </row>
    <row r="98" customFormat="false" ht="15" hidden="false" customHeight="false" outlineLevel="0" collapsed="false">
      <c r="A98" s="21" t="n">
        <v>83</v>
      </c>
      <c r="B98" s="46" t="str">
        <f aca="false">IF(Students!B87="","",Students!B87)</f>
        <v/>
      </c>
      <c r="C98" s="33" t="n">
        <f aca="false">'Jan 2027'!F98</f>
        <v>0</v>
      </c>
      <c r="D98" s="33" t="n">
        <f aca="false">IF(B98="",0,N(Students!E87))</f>
        <v>0</v>
      </c>
      <c r="E98" s="23"/>
      <c r="F98" s="24" t="n">
        <f aca="false">N(C98)+N(D98)-N(E98)</f>
        <v>0</v>
      </c>
      <c r="G98" s="33" t="n">
        <f aca="false">'Jan 2027'!J98</f>
        <v>0</v>
      </c>
      <c r="H98" s="33" t="n">
        <f aca="false">IF(B98="",0,N(Students!F87))</f>
        <v>0</v>
      </c>
      <c r="I98" s="23"/>
      <c r="J98" s="24" t="n">
        <f aca="false">N(G98)+N(H98)-N(I98)</f>
        <v>0</v>
      </c>
      <c r="K98" s="33" t="n">
        <f aca="false">'Jan 2027'!N98</f>
        <v>0</v>
      </c>
      <c r="L98" s="33" t="n">
        <f aca="false">IF(B98="",0,N(Students!G87))</f>
        <v>0</v>
      </c>
      <c r="M98" s="23"/>
      <c r="N98" s="24" t="n">
        <f aca="false">N(K98)+N(L98)-N(M98)</f>
        <v>0</v>
      </c>
      <c r="O98" s="33" t="n">
        <f aca="false">'Jan 2027'!R98</f>
        <v>0</v>
      </c>
      <c r="P98" s="33" t="n">
        <f aca="false">IF(B98="",0,N(Students!H87))</f>
        <v>0</v>
      </c>
      <c r="Q98" s="23"/>
      <c r="R98" s="24" t="n">
        <f aca="false">N(O98)+N(P98)-N(Q98)</f>
        <v>0</v>
      </c>
      <c r="S98" s="33" t="n">
        <f aca="false">'Jan 2027'!V98</f>
        <v>0</v>
      </c>
      <c r="T98" s="33" t="n">
        <f aca="false">IF(B98="",0,N(Students!I87))</f>
        <v>0</v>
      </c>
      <c r="U98" s="23"/>
      <c r="V98" s="24" t="n">
        <f aca="false">N(S98)+N(T98)-N(U98)</f>
        <v>0</v>
      </c>
      <c r="W98" s="33" t="n">
        <f aca="false">'Jan 2027'!Z98</f>
        <v>0</v>
      </c>
      <c r="X98" s="33" t="n">
        <f aca="false">IF(B98="",0,N(Students!J87))</f>
        <v>0</v>
      </c>
      <c r="Y98" s="23"/>
      <c r="Z98" s="24" t="n">
        <f aca="false">N(W98)+N(X98)-N(Y98)</f>
        <v>0</v>
      </c>
      <c r="AA98" s="33" t="n">
        <f aca="false">N(E98)+N(I98)+N(M98)+N(Q98)+N(U98)+N(Y98)</f>
        <v>0</v>
      </c>
      <c r="AB98" s="24" t="n">
        <f aca="false">F98+J98+N98+R98+V98+Z98</f>
        <v>0</v>
      </c>
      <c r="AC98" s="81" t="str">
        <f aca="false">IF(B98="","",IF(AB98&lt;=0,"Clear",IF(AA98&gt;0,"Partial","Due")))</f>
        <v/>
      </c>
    </row>
    <row r="99" customFormat="false" ht="15" hidden="false" customHeight="false" outlineLevel="0" collapsed="false">
      <c r="A99" s="25" t="n">
        <v>84</v>
      </c>
      <c r="B99" s="82" t="str">
        <f aca="false">IF(Students!B88="","",Students!B88)</f>
        <v/>
      </c>
      <c r="C99" s="37" t="n">
        <f aca="false">'Jan 2027'!F99</f>
        <v>0</v>
      </c>
      <c r="D99" s="37" t="n">
        <f aca="false">IF(B99="",0,N(Students!E88))</f>
        <v>0</v>
      </c>
      <c r="E99" s="23"/>
      <c r="F99" s="26" t="n">
        <f aca="false">N(C99)+N(D99)-N(E99)</f>
        <v>0</v>
      </c>
      <c r="G99" s="37" t="n">
        <f aca="false">'Jan 2027'!J99</f>
        <v>0</v>
      </c>
      <c r="H99" s="37" t="n">
        <f aca="false">IF(B99="",0,N(Students!F88))</f>
        <v>0</v>
      </c>
      <c r="I99" s="23"/>
      <c r="J99" s="26" t="n">
        <f aca="false">N(G99)+N(H99)-N(I99)</f>
        <v>0</v>
      </c>
      <c r="K99" s="37" t="n">
        <f aca="false">'Jan 2027'!N99</f>
        <v>0</v>
      </c>
      <c r="L99" s="37" t="n">
        <f aca="false">IF(B99="",0,N(Students!G88))</f>
        <v>0</v>
      </c>
      <c r="M99" s="23"/>
      <c r="N99" s="26" t="n">
        <f aca="false">N(K99)+N(L99)-N(M99)</f>
        <v>0</v>
      </c>
      <c r="O99" s="37" t="n">
        <f aca="false">'Jan 2027'!R99</f>
        <v>0</v>
      </c>
      <c r="P99" s="37" t="n">
        <f aca="false">IF(B99="",0,N(Students!H88))</f>
        <v>0</v>
      </c>
      <c r="Q99" s="23"/>
      <c r="R99" s="26" t="n">
        <f aca="false">N(O99)+N(P99)-N(Q99)</f>
        <v>0</v>
      </c>
      <c r="S99" s="37" t="n">
        <f aca="false">'Jan 2027'!V99</f>
        <v>0</v>
      </c>
      <c r="T99" s="37" t="n">
        <f aca="false">IF(B99="",0,N(Students!I88))</f>
        <v>0</v>
      </c>
      <c r="U99" s="23"/>
      <c r="V99" s="26" t="n">
        <f aca="false">N(S99)+N(T99)-N(U99)</f>
        <v>0</v>
      </c>
      <c r="W99" s="37" t="n">
        <f aca="false">'Jan 2027'!Z99</f>
        <v>0</v>
      </c>
      <c r="X99" s="37" t="n">
        <f aca="false">IF(B99="",0,N(Students!J88))</f>
        <v>0</v>
      </c>
      <c r="Y99" s="23"/>
      <c r="Z99" s="26" t="n">
        <f aca="false">N(W99)+N(X99)-N(Y99)</f>
        <v>0</v>
      </c>
      <c r="AA99" s="37" t="n">
        <f aca="false">N(E99)+N(I99)+N(M99)+N(Q99)+N(U99)+N(Y99)</f>
        <v>0</v>
      </c>
      <c r="AB99" s="26" t="n">
        <f aca="false">F99+J99+N99+R99+V99+Z99</f>
        <v>0</v>
      </c>
      <c r="AC99" s="83" t="str">
        <f aca="false">IF(B99="","",IF(AB99&lt;=0,"Clear",IF(AA99&gt;0,"Partial","Due")))</f>
        <v/>
      </c>
    </row>
    <row r="100" customFormat="false" ht="15" hidden="false" customHeight="false" outlineLevel="0" collapsed="false">
      <c r="A100" s="21" t="n">
        <v>85</v>
      </c>
      <c r="B100" s="46" t="str">
        <f aca="false">IF(Students!B89="","",Students!B89)</f>
        <v/>
      </c>
      <c r="C100" s="33" t="n">
        <f aca="false">'Jan 2027'!F100</f>
        <v>0</v>
      </c>
      <c r="D100" s="33" t="n">
        <f aca="false">IF(B100="",0,N(Students!E89))</f>
        <v>0</v>
      </c>
      <c r="E100" s="23"/>
      <c r="F100" s="24" t="n">
        <f aca="false">N(C100)+N(D100)-N(E100)</f>
        <v>0</v>
      </c>
      <c r="G100" s="33" t="n">
        <f aca="false">'Jan 2027'!J100</f>
        <v>0</v>
      </c>
      <c r="H100" s="33" t="n">
        <f aca="false">IF(B100="",0,N(Students!F89))</f>
        <v>0</v>
      </c>
      <c r="I100" s="23"/>
      <c r="J100" s="24" t="n">
        <f aca="false">N(G100)+N(H100)-N(I100)</f>
        <v>0</v>
      </c>
      <c r="K100" s="33" t="n">
        <f aca="false">'Jan 2027'!N100</f>
        <v>0</v>
      </c>
      <c r="L100" s="33" t="n">
        <f aca="false">IF(B100="",0,N(Students!G89))</f>
        <v>0</v>
      </c>
      <c r="M100" s="23"/>
      <c r="N100" s="24" t="n">
        <f aca="false">N(K100)+N(L100)-N(M100)</f>
        <v>0</v>
      </c>
      <c r="O100" s="33" t="n">
        <f aca="false">'Jan 2027'!R100</f>
        <v>0</v>
      </c>
      <c r="P100" s="33" t="n">
        <f aca="false">IF(B100="",0,N(Students!H89))</f>
        <v>0</v>
      </c>
      <c r="Q100" s="23"/>
      <c r="R100" s="24" t="n">
        <f aca="false">N(O100)+N(P100)-N(Q100)</f>
        <v>0</v>
      </c>
      <c r="S100" s="33" t="n">
        <f aca="false">'Jan 2027'!V100</f>
        <v>0</v>
      </c>
      <c r="T100" s="33" t="n">
        <f aca="false">IF(B100="",0,N(Students!I89))</f>
        <v>0</v>
      </c>
      <c r="U100" s="23"/>
      <c r="V100" s="24" t="n">
        <f aca="false">N(S100)+N(T100)-N(U100)</f>
        <v>0</v>
      </c>
      <c r="W100" s="33" t="n">
        <f aca="false">'Jan 2027'!Z100</f>
        <v>0</v>
      </c>
      <c r="X100" s="33" t="n">
        <f aca="false">IF(B100="",0,N(Students!J89))</f>
        <v>0</v>
      </c>
      <c r="Y100" s="23"/>
      <c r="Z100" s="24" t="n">
        <f aca="false">N(W100)+N(X100)-N(Y100)</f>
        <v>0</v>
      </c>
      <c r="AA100" s="33" t="n">
        <f aca="false">N(E100)+N(I100)+N(M100)+N(Q100)+N(U100)+N(Y100)</f>
        <v>0</v>
      </c>
      <c r="AB100" s="24" t="n">
        <f aca="false">F100+J100+N100+R100+V100+Z100</f>
        <v>0</v>
      </c>
      <c r="AC100" s="81" t="str">
        <f aca="false">IF(B100="","",IF(AB100&lt;=0,"Clear",IF(AA100&gt;0,"Partial","Due")))</f>
        <v/>
      </c>
    </row>
    <row r="101" customFormat="false" ht="15" hidden="false" customHeight="false" outlineLevel="0" collapsed="false">
      <c r="A101" s="25" t="n">
        <v>86</v>
      </c>
      <c r="B101" s="82" t="str">
        <f aca="false">IF(Students!B90="","",Students!B90)</f>
        <v/>
      </c>
      <c r="C101" s="37" t="n">
        <f aca="false">'Jan 2027'!F101</f>
        <v>0</v>
      </c>
      <c r="D101" s="37" t="n">
        <f aca="false">IF(B101="",0,N(Students!E90))</f>
        <v>0</v>
      </c>
      <c r="E101" s="23"/>
      <c r="F101" s="26" t="n">
        <f aca="false">N(C101)+N(D101)-N(E101)</f>
        <v>0</v>
      </c>
      <c r="G101" s="37" t="n">
        <f aca="false">'Jan 2027'!J101</f>
        <v>0</v>
      </c>
      <c r="H101" s="37" t="n">
        <f aca="false">IF(B101="",0,N(Students!F90))</f>
        <v>0</v>
      </c>
      <c r="I101" s="23"/>
      <c r="J101" s="26" t="n">
        <f aca="false">N(G101)+N(H101)-N(I101)</f>
        <v>0</v>
      </c>
      <c r="K101" s="37" t="n">
        <f aca="false">'Jan 2027'!N101</f>
        <v>0</v>
      </c>
      <c r="L101" s="37" t="n">
        <f aca="false">IF(B101="",0,N(Students!G90))</f>
        <v>0</v>
      </c>
      <c r="M101" s="23"/>
      <c r="N101" s="26" t="n">
        <f aca="false">N(K101)+N(L101)-N(M101)</f>
        <v>0</v>
      </c>
      <c r="O101" s="37" t="n">
        <f aca="false">'Jan 2027'!R101</f>
        <v>0</v>
      </c>
      <c r="P101" s="37" t="n">
        <f aca="false">IF(B101="",0,N(Students!H90))</f>
        <v>0</v>
      </c>
      <c r="Q101" s="23"/>
      <c r="R101" s="26" t="n">
        <f aca="false">N(O101)+N(P101)-N(Q101)</f>
        <v>0</v>
      </c>
      <c r="S101" s="37" t="n">
        <f aca="false">'Jan 2027'!V101</f>
        <v>0</v>
      </c>
      <c r="T101" s="37" t="n">
        <f aca="false">IF(B101="",0,N(Students!I90))</f>
        <v>0</v>
      </c>
      <c r="U101" s="23"/>
      <c r="V101" s="26" t="n">
        <f aca="false">N(S101)+N(T101)-N(U101)</f>
        <v>0</v>
      </c>
      <c r="W101" s="37" t="n">
        <f aca="false">'Jan 2027'!Z101</f>
        <v>0</v>
      </c>
      <c r="X101" s="37" t="n">
        <f aca="false">IF(B101="",0,N(Students!J90))</f>
        <v>0</v>
      </c>
      <c r="Y101" s="23"/>
      <c r="Z101" s="26" t="n">
        <f aca="false">N(W101)+N(X101)-N(Y101)</f>
        <v>0</v>
      </c>
      <c r="AA101" s="37" t="n">
        <f aca="false">N(E101)+N(I101)+N(M101)+N(Q101)+N(U101)+N(Y101)</f>
        <v>0</v>
      </c>
      <c r="AB101" s="26" t="n">
        <f aca="false">F101+J101+N101+R101+V101+Z101</f>
        <v>0</v>
      </c>
      <c r="AC101" s="83" t="str">
        <f aca="false">IF(B101="","",IF(AB101&lt;=0,"Clear",IF(AA101&gt;0,"Partial","Due")))</f>
        <v/>
      </c>
    </row>
    <row r="102" customFormat="false" ht="15" hidden="false" customHeight="false" outlineLevel="0" collapsed="false">
      <c r="A102" s="21" t="n">
        <v>87</v>
      </c>
      <c r="B102" s="46" t="str">
        <f aca="false">IF(Students!B91="","",Students!B91)</f>
        <v/>
      </c>
      <c r="C102" s="33" t="n">
        <f aca="false">'Jan 2027'!F102</f>
        <v>0</v>
      </c>
      <c r="D102" s="33" t="n">
        <f aca="false">IF(B102="",0,N(Students!E91))</f>
        <v>0</v>
      </c>
      <c r="E102" s="23"/>
      <c r="F102" s="24" t="n">
        <f aca="false">N(C102)+N(D102)-N(E102)</f>
        <v>0</v>
      </c>
      <c r="G102" s="33" t="n">
        <f aca="false">'Jan 2027'!J102</f>
        <v>0</v>
      </c>
      <c r="H102" s="33" t="n">
        <f aca="false">IF(B102="",0,N(Students!F91))</f>
        <v>0</v>
      </c>
      <c r="I102" s="23"/>
      <c r="J102" s="24" t="n">
        <f aca="false">N(G102)+N(H102)-N(I102)</f>
        <v>0</v>
      </c>
      <c r="K102" s="33" t="n">
        <f aca="false">'Jan 2027'!N102</f>
        <v>0</v>
      </c>
      <c r="L102" s="33" t="n">
        <f aca="false">IF(B102="",0,N(Students!G91))</f>
        <v>0</v>
      </c>
      <c r="M102" s="23"/>
      <c r="N102" s="24" t="n">
        <f aca="false">N(K102)+N(L102)-N(M102)</f>
        <v>0</v>
      </c>
      <c r="O102" s="33" t="n">
        <f aca="false">'Jan 2027'!R102</f>
        <v>0</v>
      </c>
      <c r="P102" s="33" t="n">
        <f aca="false">IF(B102="",0,N(Students!H91))</f>
        <v>0</v>
      </c>
      <c r="Q102" s="23"/>
      <c r="R102" s="24" t="n">
        <f aca="false">N(O102)+N(P102)-N(Q102)</f>
        <v>0</v>
      </c>
      <c r="S102" s="33" t="n">
        <f aca="false">'Jan 2027'!V102</f>
        <v>0</v>
      </c>
      <c r="T102" s="33" t="n">
        <f aca="false">IF(B102="",0,N(Students!I91))</f>
        <v>0</v>
      </c>
      <c r="U102" s="23"/>
      <c r="V102" s="24" t="n">
        <f aca="false">N(S102)+N(T102)-N(U102)</f>
        <v>0</v>
      </c>
      <c r="W102" s="33" t="n">
        <f aca="false">'Jan 2027'!Z102</f>
        <v>0</v>
      </c>
      <c r="X102" s="33" t="n">
        <f aca="false">IF(B102="",0,N(Students!J91))</f>
        <v>0</v>
      </c>
      <c r="Y102" s="23"/>
      <c r="Z102" s="24" t="n">
        <f aca="false">N(W102)+N(X102)-N(Y102)</f>
        <v>0</v>
      </c>
      <c r="AA102" s="33" t="n">
        <f aca="false">N(E102)+N(I102)+N(M102)+N(Q102)+N(U102)+N(Y102)</f>
        <v>0</v>
      </c>
      <c r="AB102" s="24" t="n">
        <f aca="false">F102+J102+N102+R102+V102+Z102</f>
        <v>0</v>
      </c>
      <c r="AC102" s="81" t="str">
        <f aca="false">IF(B102="","",IF(AB102&lt;=0,"Clear",IF(AA102&gt;0,"Partial","Due")))</f>
        <v/>
      </c>
    </row>
    <row r="103" customFormat="false" ht="15" hidden="false" customHeight="false" outlineLevel="0" collapsed="false">
      <c r="A103" s="25" t="n">
        <v>88</v>
      </c>
      <c r="B103" s="82" t="str">
        <f aca="false">IF(Students!B92="","",Students!B92)</f>
        <v/>
      </c>
      <c r="C103" s="37" t="n">
        <f aca="false">'Jan 2027'!F103</f>
        <v>0</v>
      </c>
      <c r="D103" s="37" t="n">
        <f aca="false">IF(B103="",0,N(Students!E92))</f>
        <v>0</v>
      </c>
      <c r="E103" s="23"/>
      <c r="F103" s="26" t="n">
        <f aca="false">N(C103)+N(D103)-N(E103)</f>
        <v>0</v>
      </c>
      <c r="G103" s="37" t="n">
        <f aca="false">'Jan 2027'!J103</f>
        <v>0</v>
      </c>
      <c r="H103" s="37" t="n">
        <f aca="false">IF(B103="",0,N(Students!F92))</f>
        <v>0</v>
      </c>
      <c r="I103" s="23"/>
      <c r="J103" s="26" t="n">
        <f aca="false">N(G103)+N(H103)-N(I103)</f>
        <v>0</v>
      </c>
      <c r="K103" s="37" t="n">
        <f aca="false">'Jan 2027'!N103</f>
        <v>0</v>
      </c>
      <c r="L103" s="37" t="n">
        <f aca="false">IF(B103="",0,N(Students!G92))</f>
        <v>0</v>
      </c>
      <c r="M103" s="23"/>
      <c r="N103" s="26" t="n">
        <f aca="false">N(K103)+N(L103)-N(M103)</f>
        <v>0</v>
      </c>
      <c r="O103" s="37" t="n">
        <f aca="false">'Jan 2027'!R103</f>
        <v>0</v>
      </c>
      <c r="P103" s="37" t="n">
        <f aca="false">IF(B103="",0,N(Students!H92))</f>
        <v>0</v>
      </c>
      <c r="Q103" s="23"/>
      <c r="R103" s="26" t="n">
        <f aca="false">N(O103)+N(P103)-N(Q103)</f>
        <v>0</v>
      </c>
      <c r="S103" s="37" t="n">
        <f aca="false">'Jan 2027'!V103</f>
        <v>0</v>
      </c>
      <c r="T103" s="37" t="n">
        <f aca="false">IF(B103="",0,N(Students!I92))</f>
        <v>0</v>
      </c>
      <c r="U103" s="23"/>
      <c r="V103" s="26" t="n">
        <f aca="false">N(S103)+N(T103)-N(U103)</f>
        <v>0</v>
      </c>
      <c r="W103" s="37" t="n">
        <f aca="false">'Jan 2027'!Z103</f>
        <v>0</v>
      </c>
      <c r="X103" s="37" t="n">
        <f aca="false">IF(B103="",0,N(Students!J92))</f>
        <v>0</v>
      </c>
      <c r="Y103" s="23"/>
      <c r="Z103" s="26" t="n">
        <f aca="false">N(W103)+N(X103)-N(Y103)</f>
        <v>0</v>
      </c>
      <c r="AA103" s="37" t="n">
        <f aca="false">N(E103)+N(I103)+N(M103)+N(Q103)+N(U103)+N(Y103)</f>
        <v>0</v>
      </c>
      <c r="AB103" s="26" t="n">
        <f aca="false">F103+J103+N103+R103+V103+Z103</f>
        <v>0</v>
      </c>
      <c r="AC103" s="83" t="str">
        <f aca="false">IF(B103="","",IF(AB103&lt;=0,"Clear",IF(AA103&gt;0,"Partial","Due")))</f>
        <v/>
      </c>
    </row>
    <row r="104" customFormat="false" ht="15" hidden="false" customHeight="false" outlineLevel="0" collapsed="false">
      <c r="A104" s="21" t="n">
        <v>89</v>
      </c>
      <c r="B104" s="46" t="str">
        <f aca="false">IF(Students!B93="","",Students!B93)</f>
        <v/>
      </c>
      <c r="C104" s="33" t="n">
        <f aca="false">'Jan 2027'!F104</f>
        <v>0</v>
      </c>
      <c r="D104" s="33" t="n">
        <f aca="false">IF(B104="",0,N(Students!E93))</f>
        <v>0</v>
      </c>
      <c r="E104" s="23"/>
      <c r="F104" s="24" t="n">
        <f aca="false">N(C104)+N(D104)-N(E104)</f>
        <v>0</v>
      </c>
      <c r="G104" s="33" t="n">
        <f aca="false">'Jan 2027'!J104</f>
        <v>0</v>
      </c>
      <c r="H104" s="33" t="n">
        <f aca="false">IF(B104="",0,N(Students!F93))</f>
        <v>0</v>
      </c>
      <c r="I104" s="23"/>
      <c r="J104" s="24" t="n">
        <f aca="false">N(G104)+N(H104)-N(I104)</f>
        <v>0</v>
      </c>
      <c r="K104" s="33" t="n">
        <f aca="false">'Jan 2027'!N104</f>
        <v>0</v>
      </c>
      <c r="L104" s="33" t="n">
        <f aca="false">IF(B104="",0,N(Students!G93))</f>
        <v>0</v>
      </c>
      <c r="M104" s="23"/>
      <c r="N104" s="24" t="n">
        <f aca="false">N(K104)+N(L104)-N(M104)</f>
        <v>0</v>
      </c>
      <c r="O104" s="33" t="n">
        <f aca="false">'Jan 2027'!R104</f>
        <v>0</v>
      </c>
      <c r="P104" s="33" t="n">
        <f aca="false">IF(B104="",0,N(Students!H93))</f>
        <v>0</v>
      </c>
      <c r="Q104" s="23"/>
      <c r="R104" s="24" t="n">
        <f aca="false">N(O104)+N(P104)-N(Q104)</f>
        <v>0</v>
      </c>
      <c r="S104" s="33" t="n">
        <f aca="false">'Jan 2027'!V104</f>
        <v>0</v>
      </c>
      <c r="T104" s="33" t="n">
        <f aca="false">IF(B104="",0,N(Students!I93))</f>
        <v>0</v>
      </c>
      <c r="U104" s="23"/>
      <c r="V104" s="24" t="n">
        <f aca="false">N(S104)+N(T104)-N(U104)</f>
        <v>0</v>
      </c>
      <c r="W104" s="33" t="n">
        <f aca="false">'Jan 2027'!Z104</f>
        <v>0</v>
      </c>
      <c r="X104" s="33" t="n">
        <f aca="false">IF(B104="",0,N(Students!J93))</f>
        <v>0</v>
      </c>
      <c r="Y104" s="23"/>
      <c r="Z104" s="24" t="n">
        <f aca="false">N(W104)+N(X104)-N(Y104)</f>
        <v>0</v>
      </c>
      <c r="AA104" s="33" t="n">
        <f aca="false">N(E104)+N(I104)+N(M104)+N(Q104)+N(U104)+N(Y104)</f>
        <v>0</v>
      </c>
      <c r="AB104" s="24" t="n">
        <f aca="false">F104+J104+N104+R104+V104+Z104</f>
        <v>0</v>
      </c>
      <c r="AC104" s="81" t="str">
        <f aca="false">IF(B104="","",IF(AB104&lt;=0,"Clear",IF(AA104&gt;0,"Partial","Due")))</f>
        <v/>
      </c>
    </row>
    <row r="105" customFormat="false" ht="15" hidden="false" customHeight="false" outlineLevel="0" collapsed="false">
      <c r="A105" s="25" t="n">
        <v>90</v>
      </c>
      <c r="B105" s="82" t="str">
        <f aca="false">IF(Students!B94="","",Students!B94)</f>
        <v/>
      </c>
      <c r="C105" s="37" t="n">
        <f aca="false">'Jan 2027'!F105</f>
        <v>0</v>
      </c>
      <c r="D105" s="37" t="n">
        <f aca="false">IF(B105="",0,N(Students!E94))</f>
        <v>0</v>
      </c>
      <c r="E105" s="23"/>
      <c r="F105" s="26" t="n">
        <f aca="false">N(C105)+N(D105)-N(E105)</f>
        <v>0</v>
      </c>
      <c r="G105" s="37" t="n">
        <f aca="false">'Jan 2027'!J105</f>
        <v>0</v>
      </c>
      <c r="H105" s="37" t="n">
        <f aca="false">IF(B105="",0,N(Students!F94))</f>
        <v>0</v>
      </c>
      <c r="I105" s="23"/>
      <c r="J105" s="26" t="n">
        <f aca="false">N(G105)+N(H105)-N(I105)</f>
        <v>0</v>
      </c>
      <c r="K105" s="37" t="n">
        <f aca="false">'Jan 2027'!N105</f>
        <v>0</v>
      </c>
      <c r="L105" s="37" t="n">
        <f aca="false">IF(B105="",0,N(Students!G94))</f>
        <v>0</v>
      </c>
      <c r="M105" s="23"/>
      <c r="N105" s="26" t="n">
        <f aca="false">N(K105)+N(L105)-N(M105)</f>
        <v>0</v>
      </c>
      <c r="O105" s="37" t="n">
        <f aca="false">'Jan 2027'!R105</f>
        <v>0</v>
      </c>
      <c r="P105" s="37" t="n">
        <f aca="false">IF(B105="",0,N(Students!H94))</f>
        <v>0</v>
      </c>
      <c r="Q105" s="23"/>
      <c r="R105" s="26" t="n">
        <f aca="false">N(O105)+N(P105)-N(Q105)</f>
        <v>0</v>
      </c>
      <c r="S105" s="37" t="n">
        <f aca="false">'Jan 2027'!V105</f>
        <v>0</v>
      </c>
      <c r="T105" s="37" t="n">
        <f aca="false">IF(B105="",0,N(Students!I94))</f>
        <v>0</v>
      </c>
      <c r="U105" s="23"/>
      <c r="V105" s="26" t="n">
        <f aca="false">N(S105)+N(T105)-N(U105)</f>
        <v>0</v>
      </c>
      <c r="W105" s="37" t="n">
        <f aca="false">'Jan 2027'!Z105</f>
        <v>0</v>
      </c>
      <c r="X105" s="37" t="n">
        <f aca="false">IF(B105="",0,N(Students!J94))</f>
        <v>0</v>
      </c>
      <c r="Y105" s="23"/>
      <c r="Z105" s="26" t="n">
        <f aca="false">N(W105)+N(X105)-N(Y105)</f>
        <v>0</v>
      </c>
      <c r="AA105" s="37" t="n">
        <f aca="false">N(E105)+N(I105)+N(M105)+N(Q105)+N(U105)+N(Y105)</f>
        <v>0</v>
      </c>
      <c r="AB105" s="26" t="n">
        <f aca="false">F105+J105+N105+R105+V105+Z105</f>
        <v>0</v>
      </c>
      <c r="AC105" s="83" t="str">
        <f aca="false">IF(B105="","",IF(AB105&lt;=0,"Clear",IF(AA105&gt;0,"Partial","Due")))</f>
        <v/>
      </c>
    </row>
    <row r="106" customFormat="false" ht="15" hidden="false" customHeight="false" outlineLevel="0" collapsed="false">
      <c r="A106" s="21" t="n">
        <v>91</v>
      </c>
      <c r="B106" s="46" t="str">
        <f aca="false">IF(Students!B95="","",Students!B95)</f>
        <v/>
      </c>
      <c r="C106" s="33" t="n">
        <f aca="false">'Jan 2027'!F106</f>
        <v>0</v>
      </c>
      <c r="D106" s="33" t="n">
        <f aca="false">IF(B106="",0,N(Students!E95))</f>
        <v>0</v>
      </c>
      <c r="E106" s="23"/>
      <c r="F106" s="24" t="n">
        <f aca="false">N(C106)+N(D106)-N(E106)</f>
        <v>0</v>
      </c>
      <c r="G106" s="33" t="n">
        <f aca="false">'Jan 2027'!J106</f>
        <v>0</v>
      </c>
      <c r="H106" s="33" t="n">
        <f aca="false">IF(B106="",0,N(Students!F95))</f>
        <v>0</v>
      </c>
      <c r="I106" s="23"/>
      <c r="J106" s="24" t="n">
        <f aca="false">N(G106)+N(H106)-N(I106)</f>
        <v>0</v>
      </c>
      <c r="K106" s="33" t="n">
        <f aca="false">'Jan 2027'!N106</f>
        <v>0</v>
      </c>
      <c r="L106" s="33" t="n">
        <f aca="false">IF(B106="",0,N(Students!G95))</f>
        <v>0</v>
      </c>
      <c r="M106" s="23"/>
      <c r="N106" s="24" t="n">
        <f aca="false">N(K106)+N(L106)-N(M106)</f>
        <v>0</v>
      </c>
      <c r="O106" s="33" t="n">
        <f aca="false">'Jan 2027'!R106</f>
        <v>0</v>
      </c>
      <c r="P106" s="33" t="n">
        <f aca="false">IF(B106="",0,N(Students!H95))</f>
        <v>0</v>
      </c>
      <c r="Q106" s="23"/>
      <c r="R106" s="24" t="n">
        <f aca="false">N(O106)+N(P106)-N(Q106)</f>
        <v>0</v>
      </c>
      <c r="S106" s="33" t="n">
        <f aca="false">'Jan 2027'!V106</f>
        <v>0</v>
      </c>
      <c r="T106" s="33" t="n">
        <f aca="false">IF(B106="",0,N(Students!I95))</f>
        <v>0</v>
      </c>
      <c r="U106" s="23"/>
      <c r="V106" s="24" t="n">
        <f aca="false">N(S106)+N(T106)-N(U106)</f>
        <v>0</v>
      </c>
      <c r="W106" s="33" t="n">
        <f aca="false">'Jan 2027'!Z106</f>
        <v>0</v>
      </c>
      <c r="X106" s="33" t="n">
        <f aca="false">IF(B106="",0,N(Students!J95))</f>
        <v>0</v>
      </c>
      <c r="Y106" s="23"/>
      <c r="Z106" s="24" t="n">
        <f aca="false">N(W106)+N(X106)-N(Y106)</f>
        <v>0</v>
      </c>
      <c r="AA106" s="33" t="n">
        <f aca="false">N(E106)+N(I106)+N(M106)+N(Q106)+N(U106)+N(Y106)</f>
        <v>0</v>
      </c>
      <c r="AB106" s="24" t="n">
        <f aca="false">F106+J106+N106+R106+V106+Z106</f>
        <v>0</v>
      </c>
      <c r="AC106" s="81" t="str">
        <f aca="false">IF(B106="","",IF(AB106&lt;=0,"Clear",IF(AA106&gt;0,"Partial","Due")))</f>
        <v/>
      </c>
    </row>
    <row r="107" customFormat="false" ht="15" hidden="false" customHeight="false" outlineLevel="0" collapsed="false">
      <c r="A107" s="25" t="n">
        <v>92</v>
      </c>
      <c r="B107" s="82" t="str">
        <f aca="false">IF(Students!B96="","",Students!B96)</f>
        <v/>
      </c>
      <c r="C107" s="37" t="n">
        <f aca="false">'Jan 2027'!F107</f>
        <v>0</v>
      </c>
      <c r="D107" s="37" t="n">
        <f aca="false">IF(B107="",0,N(Students!E96))</f>
        <v>0</v>
      </c>
      <c r="E107" s="23"/>
      <c r="F107" s="26" t="n">
        <f aca="false">N(C107)+N(D107)-N(E107)</f>
        <v>0</v>
      </c>
      <c r="G107" s="37" t="n">
        <f aca="false">'Jan 2027'!J107</f>
        <v>0</v>
      </c>
      <c r="H107" s="37" t="n">
        <f aca="false">IF(B107="",0,N(Students!F96))</f>
        <v>0</v>
      </c>
      <c r="I107" s="23"/>
      <c r="J107" s="26" t="n">
        <f aca="false">N(G107)+N(H107)-N(I107)</f>
        <v>0</v>
      </c>
      <c r="K107" s="37" t="n">
        <f aca="false">'Jan 2027'!N107</f>
        <v>0</v>
      </c>
      <c r="L107" s="37" t="n">
        <f aca="false">IF(B107="",0,N(Students!G96))</f>
        <v>0</v>
      </c>
      <c r="M107" s="23"/>
      <c r="N107" s="26" t="n">
        <f aca="false">N(K107)+N(L107)-N(M107)</f>
        <v>0</v>
      </c>
      <c r="O107" s="37" t="n">
        <f aca="false">'Jan 2027'!R107</f>
        <v>0</v>
      </c>
      <c r="P107" s="37" t="n">
        <f aca="false">IF(B107="",0,N(Students!H96))</f>
        <v>0</v>
      </c>
      <c r="Q107" s="23"/>
      <c r="R107" s="26" t="n">
        <f aca="false">N(O107)+N(P107)-N(Q107)</f>
        <v>0</v>
      </c>
      <c r="S107" s="37" t="n">
        <f aca="false">'Jan 2027'!V107</f>
        <v>0</v>
      </c>
      <c r="T107" s="37" t="n">
        <f aca="false">IF(B107="",0,N(Students!I96))</f>
        <v>0</v>
      </c>
      <c r="U107" s="23"/>
      <c r="V107" s="26" t="n">
        <f aca="false">N(S107)+N(T107)-N(U107)</f>
        <v>0</v>
      </c>
      <c r="W107" s="37" t="n">
        <f aca="false">'Jan 2027'!Z107</f>
        <v>0</v>
      </c>
      <c r="X107" s="37" t="n">
        <f aca="false">IF(B107="",0,N(Students!J96))</f>
        <v>0</v>
      </c>
      <c r="Y107" s="23"/>
      <c r="Z107" s="26" t="n">
        <f aca="false">N(W107)+N(X107)-N(Y107)</f>
        <v>0</v>
      </c>
      <c r="AA107" s="37" t="n">
        <f aca="false">N(E107)+N(I107)+N(M107)+N(Q107)+N(U107)+N(Y107)</f>
        <v>0</v>
      </c>
      <c r="AB107" s="26" t="n">
        <f aca="false">F107+J107+N107+R107+V107+Z107</f>
        <v>0</v>
      </c>
      <c r="AC107" s="83" t="str">
        <f aca="false">IF(B107="","",IF(AB107&lt;=0,"Clear",IF(AA107&gt;0,"Partial","Due")))</f>
        <v/>
      </c>
    </row>
    <row r="108" customFormat="false" ht="15" hidden="false" customHeight="false" outlineLevel="0" collapsed="false">
      <c r="A108" s="21" t="n">
        <v>93</v>
      </c>
      <c r="B108" s="46" t="str">
        <f aca="false">IF(Students!B97="","",Students!B97)</f>
        <v/>
      </c>
      <c r="C108" s="33" t="n">
        <f aca="false">'Jan 2027'!F108</f>
        <v>0</v>
      </c>
      <c r="D108" s="33" t="n">
        <f aca="false">IF(B108="",0,N(Students!E97))</f>
        <v>0</v>
      </c>
      <c r="E108" s="23"/>
      <c r="F108" s="24" t="n">
        <f aca="false">N(C108)+N(D108)-N(E108)</f>
        <v>0</v>
      </c>
      <c r="G108" s="33" t="n">
        <f aca="false">'Jan 2027'!J108</f>
        <v>0</v>
      </c>
      <c r="H108" s="33" t="n">
        <f aca="false">IF(B108="",0,N(Students!F97))</f>
        <v>0</v>
      </c>
      <c r="I108" s="23"/>
      <c r="J108" s="24" t="n">
        <f aca="false">N(G108)+N(H108)-N(I108)</f>
        <v>0</v>
      </c>
      <c r="K108" s="33" t="n">
        <f aca="false">'Jan 2027'!N108</f>
        <v>0</v>
      </c>
      <c r="L108" s="33" t="n">
        <f aca="false">IF(B108="",0,N(Students!G97))</f>
        <v>0</v>
      </c>
      <c r="M108" s="23"/>
      <c r="N108" s="24" t="n">
        <f aca="false">N(K108)+N(L108)-N(M108)</f>
        <v>0</v>
      </c>
      <c r="O108" s="33" t="n">
        <f aca="false">'Jan 2027'!R108</f>
        <v>0</v>
      </c>
      <c r="P108" s="33" t="n">
        <f aca="false">IF(B108="",0,N(Students!H97))</f>
        <v>0</v>
      </c>
      <c r="Q108" s="23"/>
      <c r="R108" s="24" t="n">
        <f aca="false">N(O108)+N(P108)-N(Q108)</f>
        <v>0</v>
      </c>
      <c r="S108" s="33" t="n">
        <f aca="false">'Jan 2027'!V108</f>
        <v>0</v>
      </c>
      <c r="T108" s="33" t="n">
        <f aca="false">IF(B108="",0,N(Students!I97))</f>
        <v>0</v>
      </c>
      <c r="U108" s="23"/>
      <c r="V108" s="24" t="n">
        <f aca="false">N(S108)+N(T108)-N(U108)</f>
        <v>0</v>
      </c>
      <c r="W108" s="33" t="n">
        <f aca="false">'Jan 2027'!Z108</f>
        <v>0</v>
      </c>
      <c r="X108" s="33" t="n">
        <f aca="false">IF(B108="",0,N(Students!J97))</f>
        <v>0</v>
      </c>
      <c r="Y108" s="23"/>
      <c r="Z108" s="24" t="n">
        <f aca="false">N(W108)+N(X108)-N(Y108)</f>
        <v>0</v>
      </c>
      <c r="AA108" s="33" t="n">
        <f aca="false">N(E108)+N(I108)+N(M108)+N(Q108)+N(U108)+N(Y108)</f>
        <v>0</v>
      </c>
      <c r="AB108" s="24" t="n">
        <f aca="false">F108+J108+N108+R108+V108+Z108</f>
        <v>0</v>
      </c>
      <c r="AC108" s="81" t="str">
        <f aca="false">IF(B108="","",IF(AB108&lt;=0,"Clear",IF(AA108&gt;0,"Partial","Due")))</f>
        <v/>
      </c>
    </row>
    <row r="109" customFormat="false" ht="15" hidden="false" customHeight="false" outlineLevel="0" collapsed="false">
      <c r="A109" s="25" t="n">
        <v>94</v>
      </c>
      <c r="B109" s="82" t="str">
        <f aca="false">IF(Students!B98="","",Students!B98)</f>
        <v/>
      </c>
      <c r="C109" s="37" t="n">
        <f aca="false">'Jan 2027'!F109</f>
        <v>0</v>
      </c>
      <c r="D109" s="37" t="n">
        <f aca="false">IF(B109="",0,N(Students!E98))</f>
        <v>0</v>
      </c>
      <c r="E109" s="23"/>
      <c r="F109" s="26" t="n">
        <f aca="false">N(C109)+N(D109)-N(E109)</f>
        <v>0</v>
      </c>
      <c r="G109" s="37" t="n">
        <f aca="false">'Jan 2027'!J109</f>
        <v>0</v>
      </c>
      <c r="H109" s="37" t="n">
        <f aca="false">IF(B109="",0,N(Students!F98))</f>
        <v>0</v>
      </c>
      <c r="I109" s="23"/>
      <c r="J109" s="26" t="n">
        <f aca="false">N(G109)+N(H109)-N(I109)</f>
        <v>0</v>
      </c>
      <c r="K109" s="37" t="n">
        <f aca="false">'Jan 2027'!N109</f>
        <v>0</v>
      </c>
      <c r="L109" s="37" t="n">
        <f aca="false">IF(B109="",0,N(Students!G98))</f>
        <v>0</v>
      </c>
      <c r="M109" s="23"/>
      <c r="N109" s="26" t="n">
        <f aca="false">N(K109)+N(L109)-N(M109)</f>
        <v>0</v>
      </c>
      <c r="O109" s="37" t="n">
        <f aca="false">'Jan 2027'!R109</f>
        <v>0</v>
      </c>
      <c r="P109" s="37" t="n">
        <f aca="false">IF(B109="",0,N(Students!H98))</f>
        <v>0</v>
      </c>
      <c r="Q109" s="23"/>
      <c r="R109" s="26" t="n">
        <f aca="false">N(O109)+N(P109)-N(Q109)</f>
        <v>0</v>
      </c>
      <c r="S109" s="37" t="n">
        <f aca="false">'Jan 2027'!V109</f>
        <v>0</v>
      </c>
      <c r="T109" s="37" t="n">
        <f aca="false">IF(B109="",0,N(Students!I98))</f>
        <v>0</v>
      </c>
      <c r="U109" s="23"/>
      <c r="V109" s="26" t="n">
        <f aca="false">N(S109)+N(T109)-N(U109)</f>
        <v>0</v>
      </c>
      <c r="W109" s="37" t="n">
        <f aca="false">'Jan 2027'!Z109</f>
        <v>0</v>
      </c>
      <c r="X109" s="37" t="n">
        <f aca="false">IF(B109="",0,N(Students!J98))</f>
        <v>0</v>
      </c>
      <c r="Y109" s="23"/>
      <c r="Z109" s="26" t="n">
        <f aca="false">N(W109)+N(X109)-N(Y109)</f>
        <v>0</v>
      </c>
      <c r="AA109" s="37" t="n">
        <f aca="false">N(E109)+N(I109)+N(M109)+N(Q109)+N(U109)+N(Y109)</f>
        <v>0</v>
      </c>
      <c r="AB109" s="26" t="n">
        <f aca="false">F109+J109+N109+R109+V109+Z109</f>
        <v>0</v>
      </c>
      <c r="AC109" s="83" t="str">
        <f aca="false">IF(B109="","",IF(AB109&lt;=0,"Clear",IF(AA109&gt;0,"Partial","Due")))</f>
        <v/>
      </c>
    </row>
    <row r="110" customFormat="false" ht="15" hidden="false" customHeight="false" outlineLevel="0" collapsed="false">
      <c r="A110" s="21" t="n">
        <v>95</v>
      </c>
      <c r="B110" s="46" t="str">
        <f aca="false">IF(Students!B99="","",Students!B99)</f>
        <v/>
      </c>
      <c r="C110" s="33" t="n">
        <f aca="false">'Jan 2027'!F110</f>
        <v>0</v>
      </c>
      <c r="D110" s="33" t="n">
        <f aca="false">IF(B110="",0,N(Students!E99))</f>
        <v>0</v>
      </c>
      <c r="E110" s="23"/>
      <c r="F110" s="24" t="n">
        <f aca="false">N(C110)+N(D110)-N(E110)</f>
        <v>0</v>
      </c>
      <c r="G110" s="33" t="n">
        <f aca="false">'Jan 2027'!J110</f>
        <v>0</v>
      </c>
      <c r="H110" s="33" t="n">
        <f aca="false">IF(B110="",0,N(Students!F99))</f>
        <v>0</v>
      </c>
      <c r="I110" s="23"/>
      <c r="J110" s="24" t="n">
        <f aca="false">N(G110)+N(H110)-N(I110)</f>
        <v>0</v>
      </c>
      <c r="K110" s="33" t="n">
        <f aca="false">'Jan 2027'!N110</f>
        <v>0</v>
      </c>
      <c r="L110" s="33" t="n">
        <f aca="false">IF(B110="",0,N(Students!G99))</f>
        <v>0</v>
      </c>
      <c r="M110" s="23"/>
      <c r="N110" s="24" t="n">
        <f aca="false">N(K110)+N(L110)-N(M110)</f>
        <v>0</v>
      </c>
      <c r="O110" s="33" t="n">
        <f aca="false">'Jan 2027'!R110</f>
        <v>0</v>
      </c>
      <c r="P110" s="33" t="n">
        <f aca="false">IF(B110="",0,N(Students!H99))</f>
        <v>0</v>
      </c>
      <c r="Q110" s="23"/>
      <c r="R110" s="24" t="n">
        <f aca="false">N(O110)+N(P110)-N(Q110)</f>
        <v>0</v>
      </c>
      <c r="S110" s="33" t="n">
        <f aca="false">'Jan 2027'!V110</f>
        <v>0</v>
      </c>
      <c r="T110" s="33" t="n">
        <f aca="false">IF(B110="",0,N(Students!I99))</f>
        <v>0</v>
      </c>
      <c r="U110" s="23"/>
      <c r="V110" s="24" t="n">
        <f aca="false">N(S110)+N(T110)-N(U110)</f>
        <v>0</v>
      </c>
      <c r="W110" s="33" t="n">
        <f aca="false">'Jan 2027'!Z110</f>
        <v>0</v>
      </c>
      <c r="X110" s="33" t="n">
        <f aca="false">IF(B110="",0,N(Students!J99))</f>
        <v>0</v>
      </c>
      <c r="Y110" s="23"/>
      <c r="Z110" s="24" t="n">
        <f aca="false">N(W110)+N(X110)-N(Y110)</f>
        <v>0</v>
      </c>
      <c r="AA110" s="33" t="n">
        <f aca="false">N(E110)+N(I110)+N(M110)+N(Q110)+N(U110)+N(Y110)</f>
        <v>0</v>
      </c>
      <c r="AB110" s="24" t="n">
        <f aca="false">F110+J110+N110+R110+V110+Z110</f>
        <v>0</v>
      </c>
      <c r="AC110" s="81" t="str">
        <f aca="false">IF(B110="","",IF(AB110&lt;=0,"Clear",IF(AA110&gt;0,"Partial","Due")))</f>
        <v/>
      </c>
    </row>
    <row r="111" customFormat="false" ht="15" hidden="false" customHeight="false" outlineLevel="0" collapsed="false">
      <c r="A111" s="25" t="n">
        <v>96</v>
      </c>
      <c r="B111" s="82" t="str">
        <f aca="false">IF(Students!B100="","",Students!B100)</f>
        <v/>
      </c>
      <c r="C111" s="37" t="n">
        <f aca="false">'Jan 2027'!F111</f>
        <v>0</v>
      </c>
      <c r="D111" s="37" t="n">
        <f aca="false">IF(B111="",0,N(Students!E100))</f>
        <v>0</v>
      </c>
      <c r="E111" s="23"/>
      <c r="F111" s="26" t="n">
        <f aca="false">N(C111)+N(D111)-N(E111)</f>
        <v>0</v>
      </c>
      <c r="G111" s="37" t="n">
        <f aca="false">'Jan 2027'!J111</f>
        <v>0</v>
      </c>
      <c r="H111" s="37" t="n">
        <f aca="false">IF(B111="",0,N(Students!F100))</f>
        <v>0</v>
      </c>
      <c r="I111" s="23"/>
      <c r="J111" s="26" t="n">
        <f aca="false">N(G111)+N(H111)-N(I111)</f>
        <v>0</v>
      </c>
      <c r="K111" s="37" t="n">
        <f aca="false">'Jan 2027'!N111</f>
        <v>0</v>
      </c>
      <c r="L111" s="37" t="n">
        <f aca="false">IF(B111="",0,N(Students!G100))</f>
        <v>0</v>
      </c>
      <c r="M111" s="23"/>
      <c r="N111" s="26" t="n">
        <f aca="false">N(K111)+N(L111)-N(M111)</f>
        <v>0</v>
      </c>
      <c r="O111" s="37" t="n">
        <f aca="false">'Jan 2027'!R111</f>
        <v>0</v>
      </c>
      <c r="P111" s="37" t="n">
        <f aca="false">IF(B111="",0,N(Students!H100))</f>
        <v>0</v>
      </c>
      <c r="Q111" s="23"/>
      <c r="R111" s="26" t="n">
        <f aca="false">N(O111)+N(P111)-N(Q111)</f>
        <v>0</v>
      </c>
      <c r="S111" s="37" t="n">
        <f aca="false">'Jan 2027'!V111</f>
        <v>0</v>
      </c>
      <c r="T111" s="37" t="n">
        <f aca="false">IF(B111="",0,N(Students!I100))</f>
        <v>0</v>
      </c>
      <c r="U111" s="23"/>
      <c r="V111" s="26" t="n">
        <f aca="false">N(S111)+N(T111)-N(U111)</f>
        <v>0</v>
      </c>
      <c r="W111" s="37" t="n">
        <f aca="false">'Jan 2027'!Z111</f>
        <v>0</v>
      </c>
      <c r="X111" s="37" t="n">
        <f aca="false">IF(B111="",0,N(Students!J100))</f>
        <v>0</v>
      </c>
      <c r="Y111" s="23"/>
      <c r="Z111" s="26" t="n">
        <f aca="false">N(W111)+N(X111)-N(Y111)</f>
        <v>0</v>
      </c>
      <c r="AA111" s="37" t="n">
        <f aca="false">N(E111)+N(I111)+N(M111)+N(Q111)+N(U111)+N(Y111)</f>
        <v>0</v>
      </c>
      <c r="AB111" s="26" t="n">
        <f aca="false">F111+J111+N111+R111+V111+Z111</f>
        <v>0</v>
      </c>
      <c r="AC111" s="83" t="str">
        <f aca="false">IF(B111="","",IF(AB111&lt;=0,"Clear",IF(AA111&gt;0,"Partial","Due")))</f>
        <v/>
      </c>
    </row>
    <row r="112" customFormat="false" ht="15" hidden="false" customHeight="false" outlineLevel="0" collapsed="false">
      <c r="A112" s="21" t="n">
        <v>97</v>
      </c>
      <c r="B112" s="46" t="str">
        <f aca="false">IF(Students!B101="","",Students!B101)</f>
        <v/>
      </c>
      <c r="C112" s="33" t="n">
        <f aca="false">'Jan 2027'!F112</f>
        <v>0</v>
      </c>
      <c r="D112" s="33" t="n">
        <f aca="false">IF(B112="",0,N(Students!E101))</f>
        <v>0</v>
      </c>
      <c r="E112" s="23"/>
      <c r="F112" s="24" t="n">
        <f aca="false">N(C112)+N(D112)-N(E112)</f>
        <v>0</v>
      </c>
      <c r="G112" s="33" t="n">
        <f aca="false">'Jan 2027'!J112</f>
        <v>0</v>
      </c>
      <c r="H112" s="33" t="n">
        <f aca="false">IF(B112="",0,N(Students!F101))</f>
        <v>0</v>
      </c>
      <c r="I112" s="23"/>
      <c r="J112" s="24" t="n">
        <f aca="false">N(G112)+N(H112)-N(I112)</f>
        <v>0</v>
      </c>
      <c r="K112" s="33" t="n">
        <f aca="false">'Jan 2027'!N112</f>
        <v>0</v>
      </c>
      <c r="L112" s="33" t="n">
        <f aca="false">IF(B112="",0,N(Students!G101))</f>
        <v>0</v>
      </c>
      <c r="M112" s="23"/>
      <c r="N112" s="24" t="n">
        <f aca="false">N(K112)+N(L112)-N(M112)</f>
        <v>0</v>
      </c>
      <c r="O112" s="33" t="n">
        <f aca="false">'Jan 2027'!R112</f>
        <v>0</v>
      </c>
      <c r="P112" s="33" t="n">
        <f aca="false">IF(B112="",0,N(Students!H101))</f>
        <v>0</v>
      </c>
      <c r="Q112" s="23"/>
      <c r="R112" s="24" t="n">
        <f aca="false">N(O112)+N(P112)-N(Q112)</f>
        <v>0</v>
      </c>
      <c r="S112" s="33" t="n">
        <f aca="false">'Jan 2027'!V112</f>
        <v>0</v>
      </c>
      <c r="T112" s="33" t="n">
        <f aca="false">IF(B112="",0,N(Students!I101))</f>
        <v>0</v>
      </c>
      <c r="U112" s="23"/>
      <c r="V112" s="24" t="n">
        <f aca="false">N(S112)+N(T112)-N(U112)</f>
        <v>0</v>
      </c>
      <c r="W112" s="33" t="n">
        <f aca="false">'Jan 2027'!Z112</f>
        <v>0</v>
      </c>
      <c r="X112" s="33" t="n">
        <f aca="false">IF(B112="",0,N(Students!J101))</f>
        <v>0</v>
      </c>
      <c r="Y112" s="23"/>
      <c r="Z112" s="24" t="n">
        <f aca="false">N(W112)+N(X112)-N(Y112)</f>
        <v>0</v>
      </c>
      <c r="AA112" s="33" t="n">
        <f aca="false">N(E112)+N(I112)+N(M112)+N(Q112)+N(U112)+N(Y112)</f>
        <v>0</v>
      </c>
      <c r="AB112" s="24" t="n">
        <f aca="false">F112+J112+N112+R112+V112+Z112</f>
        <v>0</v>
      </c>
      <c r="AC112" s="81" t="str">
        <f aca="false">IF(B112="","",IF(AB112&lt;=0,"Clear",IF(AA112&gt;0,"Partial","Due")))</f>
        <v/>
      </c>
    </row>
    <row r="113" customFormat="false" ht="15" hidden="false" customHeight="false" outlineLevel="0" collapsed="false">
      <c r="A113" s="25" t="n">
        <v>98</v>
      </c>
      <c r="B113" s="82" t="str">
        <f aca="false">IF(Students!B102="","",Students!B102)</f>
        <v/>
      </c>
      <c r="C113" s="37" t="n">
        <f aca="false">'Jan 2027'!F113</f>
        <v>0</v>
      </c>
      <c r="D113" s="37" t="n">
        <f aca="false">IF(B113="",0,N(Students!E102))</f>
        <v>0</v>
      </c>
      <c r="E113" s="23"/>
      <c r="F113" s="26" t="n">
        <f aca="false">N(C113)+N(D113)-N(E113)</f>
        <v>0</v>
      </c>
      <c r="G113" s="37" t="n">
        <f aca="false">'Jan 2027'!J113</f>
        <v>0</v>
      </c>
      <c r="H113" s="37" t="n">
        <f aca="false">IF(B113="",0,N(Students!F102))</f>
        <v>0</v>
      </c>
      <c r="I113" s="23"/>
      <c r="J113" s="26" t="n">
        <f aca="false">N(G113)+N(H113)-N(I113)</f>
        <v>0</v>
      </c>
      <c r="K113" s="37" t="n">
        <f aca="false">'Jan 2027'!N113</f>
        <v>0</v>
      </c>
      <c r="L113" s="37" t="n">
        <f aca="false">IF(B113="",0,N(Students!G102))</f>
        <v>0</v>
      </c>
      <c r="M113" s="23"/>
      <c r="N113" s="26" t="n">
        <f aca="false">N(K113)+N(L113)-N(M113)</f>
        <v>0</v>
      </c>
      <c r="O113" s="37" t="n">
        <f aca="false">'Jan 2027'!R113</f>
        <v>0</v>
      </c>
      <c r="P113" s="37" t="n">
        <f aca="false">IF(B113="",0,N(Students!H102))</f>
        <v>0</v>
      </c>
      <c r="Q113" s="23"/>
      <c r="R113" s="26" t="n">
        <f aca="false">N(O113)+N(P113)-N(Q113)</f>
        <v>0</v>
      </c>
      <c r="S113" s="37" t="n">
        <f aca="false">'Jan 2027'!V113</f>
        <v>0</v>
      </c>
      <c r="T113" s="37" t="n">
        <f aca="false">IF(B113="",0,N(Students!I102))</f>
        <v>0</v>
      </c>
      <c r="U113" s="23"/>
      <c r="V113" s="26" t="n">
        <f aca="false">N(S113)+N(T113)-N(U113)</f>
        <v>0</v>
      </c>
      <c r="W113" s="37" t="n">
        <f aca="false">'Jan 2027'!Z113</f>
        <v>0</v>
      </c>
      <c r="X113" s="37" t="n">
        <f aca="false">IF(B113="",0,N(Students!J102))</f>
        <v>0</v>
      </c>
      <c r="Y113" s="23"/>
      <c r="Z113" s="26" t="n">
        <f aca="false">N(W113)+N(X113)-N(Y113)</f>
        <v>0</v>
      </c>
      <c r="AA113" s="37" t="n">
        <f aca="false">N(E113)+N(I113)+N(M113)+N(Q113)+N(U113)+N(Y113)</f>
        <v>0</v>
      </c>
      <c r="AB113" s="26" t="n">
        <f aca="false">F113+J113+N113+R113+V113+Z113</f>
        <v>0</v>
      </c>
      <c r="AC113" s="83" t="str">
        <f aca="false">IF(B113="","",IF(AB113&lt;=0,"Clear",IF(AA113&gt;0,"Partial","Due")))</f>
        <v/>
      </c>
    </row>
    <row r="114" customFormat="false" ht="15" hidden="false" customHeight="false" outlineLevel="0" collapsed="false">
      <c r="A114" s="21" t="n">
        <v>99</v>
      </c>
      <c r="B114" s="46" t="str">
        <f aca="false">IF(Students!B103="","",Students!B103)</f>
        <v/>
      </c>
      <c r="C114" s="33" t="n">
        <f aca="false">'Jan 2027'!F114</f>
        <v>0</v>
      </c>
      <c r="D114" s="33" t="n">
        <f aca="false">IF(B114="",0,N(Students!E103))</f>
        <v>0</v>
      </c>
      <c r="E114" s="23"/>
      <c r="F114" s="24" t="n">
        <f aca="false">N(C114)+N(D114)-N(E114)</f>
        <v>0</v>
      </c>
      <c r="G114" s="33" t="n">
        <f aca="false">'Jan 2027'!J114</f>
        <v>0</v>
      </c>
      <c r="H114" s="33" t="n">
        <f aca="false">IF(B114="",0,N(Students!F103))</f>
        <v>0</v>
      </c>
      <c r="I114" s="23"/>
      <c r="J114" s="24" t="n">
        <f aca="false">N(G114)+N(H114)-N(I114)</f>
        <v>0</v>
      </c>
      <c r="K114" s="33" t="n">
        <f aca="false">'Jan 2027'!N114</f>
        <v>0</v>
      </c>
      <c r="L114" s="33" t="n">
        <f aca="false">IF(B114="",0,N(Students!G103))</f>
        <v>0</v>
      </c>
      <c r="M114" s="23"/>
      <c r="N114" s="24" t="n">
        <f aca="false">N(K114)+N(L114)-N(M114)</f>
        <v>0</v>
      </c>
      <c r="O114" s="33" t="n">
        <f aca="false">'Jan 2027'!R114</f>
        <v>0</v>
      </c>
      <c r="P114" s="33" t="n">
        <f aca="false">IF(B114="",0,N(Students!H103))</f>
        <v>0</v>
      </c>
      <c r="Q114" s="23"/>
      <c r="R114" s="24" t="n">
        <f aca="false">N(O114)+N(P114)-N(Q114)</f>
        <v>0</v>
      </c>
      <c r="S114" s="33" t="n">
        <f aca="false">'Jan 2027'!V114</f>
        <v>0</v>
      </c>
      <c r="T114" s="33" t="n">
        <f aca="false">IF(B114="",0,N(Students!I103))</f>
        <v>0</v>
      </c>
      <c r="U114" s="23"/>
      <c r="V114" s="24" t="n">
        <f aca="false">N(S114)+N(T114)-N(U114)</f>
        <v>0</v>
      </c>
      <c r="W114" s="33" t="n">
        <f aca="false">'Jan 2027'!Z114</f>
        <v>0</v>
      </c>
      <c r="X114" s="33" t="n">
        <f aca="false">IF(B114="",0,N(Students!J103))</f>
        <v>0</v>
      </c>
      <c r="Y114" s="23"/>
      <c r="Z114" s="24" t="n">
        <f aca="false">N(W114)+N(X114)-N(Y114)</f>
        <v>0</v>
      </c>
      <c r="AA114" s="33" t="n">
        <f aca="false">N(E114)+N(I114)+N(M114)+N(Q114)+N(U114)+N(Y114)</f>
        <v>0</v>
      </c>
      <c r="AB114" s="24" t="n">
        <f aca="false">F114+J114+N114+R114+V114+Z114</f>
        <v>0</v>
      </c>
      <c r="AC114" s="81" t="str">
        <f aca="false">IF(B114="","",IF(AB114&lt;=0,"Clear",IF(AA114&gt;0,"Partial","Due")))</f>
        <v/>
      </c>
    </row>
    <row r="115" customFormat="false" ht="15" hidden="false" customHeight="false" outlineLevel="0" collapsed="false">
      <c r="A115" s="25" t="n">
        <v>100</v>
      </c>
      <c r="B115" s="82" t="str">
        <f aca="false">IF(Students!B104="","",Students!B104)</f>
        <v/>
      </c>
      <c r="C115" s="37" t="n">
        <f aca="false">'Jan 2027'!F115</f>
        <v>0</v>
      </c>
      <c r="D115" s="37" t="n">
        <f aca="false">IF(B115="",0,N(Students!E104))</f>
        <v>0</v>
      </c>
      <c r="E115" s="23"/>
      <c r="F115" s="26" t="n">
        <f aca="false">N(C115)+N(D115)-N(E115)</f>
        <v>0</v>
      </c>
      <c r="G115" s="37" t="n">
        <f aca="false">'Jan 2027'!J115</f>
        <v>0</v>
      </c>
      <c r="H115" s="37" t="n">
        <f aca="false">IF(B115="",0,N(Students!F104))</f>
        <v>0</v>
      </c>
      <c r="I115" s="23"/>
      <c r="J115" s="26" t="n">
        <f aca="false">N(G115)+N(H115)-N(I115)</f>
        <v>0</v>
      </c>
      <c r="K115" s="37" t="n">
        <f aca="false">'Jan 2027'!N115</f>
        <v>0</v>
      </c>
      <c r="L115" s="37" t="n">
        <f aca="false">IF(B115="",0,N(Students!G104))</f>
        <v>0</v>
      </c>
      <c r="M115" s="23"/>
      <c r="N115" s="26" t="n">
        <f aca="false">N(K115)+N(L115)-N(M115)</f>
        <v>0</v>
      </c>
      <c r="O115" s="37" t="n">
        <f aca="false">'Jan 2027'!R115</f>
        <v>0</v>
      </c>
      <c r="P115" s="37" t="n">
        <f aca="false">IF(B115="",0,N(Students!H104))</f>
        <v>0</v>
      </c>
      <c r="Q115" s="23"/>
      <c r="R115" s="26" t="n">
        <f aca="false">N(O115)+N(P115)-N(Q115)</f>
        <v>0</v>
      </c>
      <c r="S115" s="37" t="n">
        <f aca="false">'Jan 2027'!V115</f>
        <v>0</v>
      </c>
      <c r="T115" s="37" t="n">
        <f aca="false">IF(B115="",0,N(Students!I104))</f>
        <v>0</v>
      </c>
      <c r="U115" s="23"/>
      <c r="V115" s="26" t="n">
        <f aca="false">N(S115)+N(T115)-N(U115)</f>
        <v>0</v>
      </c>
      <c r="W115" s="37" t="n">
        <f aca="false">'Jan 2027'!Z115</f>
        <v>0</v>
      </c>
      <c r="X115" s="37" t="n">
        <f aca="false">IF(B115="",0,N(Students!J104))</f>
        <v>0</v>
      </c>
      <c r="Y115" s="23"/>
      <c r="Z115" s="26" t="n">
        <f aca="false">N(W115)+N(X115)-N(Y115)</f>
        <v>0</v>
      </c>
      <c r="AA115" s="37" t="n">
        <f aca="false">N(E115)+N(I115)+N(M115)+N(Q115)+N(U115)+N(Y115)</f>
        <v>0</v>
      </c>
      <c r="AB115" s="26" t="n">
        <f aca="false">F115+J115+N115+R115+V115+Z115</f>
        <v>0</v>
      </c>
      <c r="AC115" s="83" t="str">
        <f aca="false">IF(B115="","",IF(AB115&lt;=0,"Clear",IF(AA115&gt;0,"Partial","Due")))</f>
        <v/>
      </c>
    </row>
    <row r="116" customFormat="false" ht="15" hidden="false" customHeight="false" outlineLevel="0" collapsed="false">
      <c r="A116" s="21" t="n">
        <v>101</v>
      </c>
      <c r="B116" s="46" t="str">
        <f aca="false">IF(Students!B105="","",Students!B105)</f>
        <v/>
      </c>
      <c r="C116" s="33" t="n">
        <f aca="false">'Jan 2027'!F116</f>
        <v>0</v>
      </c>
      <c r="D116" s="33" t="n">
        <f aca="false">IF(B116="",0,N(Students!E105))</f>
        <v>0</v>
      </c>
      <c r="E116" s="23"/>
      <c r="F116" s="24" t="n">
        <f aca="false">N(C116)+N(D116)-N(E116)</f>
        <v>0</v>
      </c>
      <c r="G116" s="33" t="n">
        <f aca="false">'Jan 2027'!J116</f>
        <v>0</v>
      </c>
      <c r="H116" s="33" t="n">
        <f aca="false">IF(B116="",0,N(Students!F105))</f>
        <v>0</v>
      </c>
      <c r="I116" s="23"/>
      <c r="J116" s="24" t="n">
        <f aca="false">N(G116)+N(H116)-N(I116)</f>
        <v>0</v>
      </c>
      <c r="K116" s="33" t="n">
        <f aca="false">'Jan 2027'!N116</f>
        <v>0</v>
      </c>
      <c r="L116" s="33" t="n">
        <f aca="false">IF(B116="",0,N(Students!G105))</f>
        <v>0</v>
      </c>
      <c r="M116" s="23"/>
      <c r="N116" s="24" t="n">
        <f aca="false">N(K116)+N(L116)-N(M116)</f>
        <v>0</v>
      </c>
      <c r="O116" s="33" t="n">
        <f aca="false">'Jan 2027'!R116</f>
        <v>0</v>
      </c>
      <c r="P116" s="33" t="n">
        <f aca="false">IF(B116="",0,N(Students!H105))</f>
        <v>0</v>
      </c>
      <c r="Q116" s="23"/>
      <c r="R116" s="24" t="n">
        <f aca="false">N(O116)+N(P116)-N(Q116)</f>
        <v>0</v>
      </c>
      <c r="S116" s="33" t="n">
        <f aca="false">'Jan 2027'!V116</f>
        <v>0</v>
      </c>
      <c r="T116" s="33" t="n">
        <f aca="false">IF(B116="",0,N(Students!I105))</f>
        <v>0</v>
      </c>
      <c r="U116" s="23"/>
      <c r="V116" s="24" t="n">
        <f aca="false">N(S116)+N(T116)-N(U116)</f>
        <v>0</v>
      </c>
      <c r="W116" s="33" t="n">
        <f aca="false">'Jan 2027'!Z116</f>
        <v>0</v>
      </c>
      <c r="X116" s="33" t="n">
        <f aca="false">IF(B116="",0,N(Students!J105))</f>
        <v>0</v>
      </c>
      <c r="Y116" s="23"/>
      <c r="Z116" s="24" t="n">
        <f aca="false">N(W116)+N(X116)-N(Y116)</f>
        <v>0</v>
      </c>
      <c r="AA116" s="33" t="n">
        <f aca="false">N(E116)+N(I116)+N(M116)+N(Q116)+N(U116)+N(Y116)</f>
        <v>0</v>
      </c>
      <c r="AB116" s="24" t="n">
        <f aca="false">F116+J116+N116+R116+V116+Z116</f>
        <v>0</v>
      </c>
      <c r="AC116" s="81" t="str">
        <f aca="false">IF(B116="","",IF(AB116&lt;=0,"Clear",IF(AA116&gt;0,"Partial","Due")))</f>
        <v/>
      </c>
    </row>
    <row r="117" customFormat="false" ht="15" hidden="false" customHeight="false" outlineLevel="0" collapsed="false">
      <c r="A117" s="25" t="n">
        <v>102</v>
      </c>
      <c r="B117" s="82" t="str">
        <f aca="false">IF(Students!B106="","",Students!B106)</f>
        <v/>
      </c>
      <c r="C117" s="37" t="n">
        <f aca="false">'Jan 2027'!F117</f>
        <v>0</v>
      </c>
      <c r="D117" s="37" t="n">
        <f aca="false">IF(B117="",0,N(Students!E106))</f>
        <v>0</v>
      </c>
      <c r="E117" s="23"/>
      <c r="F117" s="26" t="n">
        <f aca="false">N(C117)+N(D117)-N(E117)</f>
        <v>0</v>
      </c>
      <c r="G117" s="37" t="n">
        <f aca="false">'Jan 2027'!J117</f>
        <v>0</v>
      </c>
      <c r="H117" s="37" t="n">
        <f aca="false">IF(B117="",0,N(Students!F106))</f>
        <v>0</v>
      </c>
      <c r="I117" s="23"/>
      <c r="J117" s="26" t="n">
        <f aca="false">N(G117)+N(H117)-N(I117)</f>
        <v>0</v>
      </c>
      <c r="K117" s="37" t="n">
        <f aca="false">'Jan 2027'!N117</f>
        <v>0</v>
      </c>
      <c r="L117" s="37" t="n">
        <f aca="false">IF(B117="",0,N(Students!G106))</f>
        <v>0</v>
      </c>
      <c r="M117" s="23"/>
      <c r="N117" s="26" t="n">
        <f aca="false">N(K117)+N(L117)-N(M117)</f>
        <v>0</v>
      </c>
      <c r="O117" s="37" t="n">
        <f aca="false">'Jan 2027'!R117</f>
        <v>0</v>
      </c>
      <c r="P117" s="37" t="n">
        <f aca="false">IF(B117="",0,N(Students!H106))</f>
        <v>0</v>
      </c>
      <c r="Q117" s="23"/>
      <c r="R117" s="26" t="n">
        <f aca="false">N(O117)+N(P117)-N(Q117)</f>
        <v>0</v>
      </c>
      <c r="S117" s="37" t="n">
        <f aca="false">'Jan 2027'!V117</f>
        <v>0</v>
      </c>
      <c r="T117" s="37" t="n">
        <f aca="false">IF(B117="",0,N(Students!I106))</f>
        <v>0</v>
      </c>
      <c r="U117" s="23"/>
      <c r="V117" s="26" t="n">
        <f aca="false">N(S117)+N(T117)-N(U117)</f>
        <v>0</v>
      </c>
      <c r="W117" s="37" t="n">
        <f aca="false">'Jan 2027'!Z117</f>
        <v>0</v>
      </c>
      <c r="X117" s="37" t="n">
        <f aca="false">IF(B117="",0,N(Students!J106))</f>
        <v>0</v>
      </c>
      <c r="Y117" s="23"/>
      <c r="Z117" s="26" t="n">
        <f aca="false">N(W117)+N(X117)-N(Y117)</f>
        <v>0</v>
      </c>
      <c r="AA117" s="37" t="n">
        <f aca="false">N(E117)+N(I117)+N(M117)+N(Q117)+N(U117)+N(Y117)</f>
        <v>0</v>
      </c>
      <c r="AB117" s="26" t="n">
        <f aca="false">F117+J117+N117+R117+V117+Z117</f>
        <v>0</v>
      </c>
      <c r="AC117" s="83" t="str">
        <f aca="false">IF(B117="","",IF(AB117&lt;=0,"Clear",IF(AA117&gt;0,"Partial","Due")))</f>
        <v/>
      </c>
    </row>
    <row r="118" customFormat="false" ht="15" hidden="false" customHeight="false" outlineLevel="0" collapsed="false">
      <c r="A118" s="21" t="n">
        <v>103</v>
      </c>
      <c r="B118" s="46" t="str">
        <f aca="false">IF(Students!B107="","",Students!B107)</f>
        <v/>
      </c>
      <c r="C118" s="33" t="n">
        <f aca="false">'Jan 2027'!F118</f>
        <v>0</v>
      </c>
      <c r="D118" s="33" t="n">
        <f aca="false">IF(B118="",0,N(Students!E107))</f>
        <v>0</v>
      </c>
      <c r="E118" s="23"/>
      <c r="F118" s="24" t="n">
        <f aca="false">N(C118)+N(D118)-N(E118)</f>
        <v>0</v>
      </c>
      <c r="G118" s="33" t="n">
        <f aca="false">'Jan 2027'!J118</f>
        <v>0</v>
      </c>
      <c r="H118" s="33" t="n">
        <f aca="false">IF(B118="",0,N(Students!F107))</f>
        <v>0</v>
      </c>
      <c r="I118" s="23"/>
      <c r="J118" s="24" t="n">
        <f aca="false">N(G118)+N(H118)-N(I118)</f>
        <v>0</v>
      </c>
      <c r="K118" s="33" t="n">
        <f aca="false">'Jan 2027'!N118</f>
        <v>0</v>
      </c>
      <c r="L118" s="33" t="n">
        <f aca="false">IF(B118="",0,N(Students!G107))</f>
        <v>0</v>
      </c>
      <c r="M118" s="23"/>
      <c r="N118" s="24" t="n">
        <f aca="false">N(K118)+N(L118)-N(M118)</f>
        <v>0</v>
      </c>
      <c r="O118" s="33" t="n">
        <f aca="false">'Jan 2027'!R118</f>
        <v>0</v>
      </c>
      <c r="P118" s="33" t="n">
        <f aca="false">IF(B118="",0,N(Students!H107))</f>
        <v>0</v>
      </c>
      <c r="Q118" s="23"/>
      <c r="R118" s="24" t="n">
        <f aca="false">N(O118)+N(P118)-N(Q118)</f>
        <v>0</v>
      </c>
      <c r="S118" s="33" t="n">
        <f aca="false">'Jan 2027'!V118</f>
        <v>0</v>
      </c>
      <c r="T118" s="33" t="n">
        <f aca="false">IF(B118="",0,N(Students!I107))</f>
        <v>0</v>
      </c>
      <c r="U118" s="23"/>
      <c r="V118" s="24" t="n">
        <f aca="false">N(S118)+N(T118)-N(U118)</f>
        <v>0</v>
      </c>
      <c r="W118" s="33" t="n">
        <f aca="false">'Jan 2027'!Z118</f>
        <v>0</v>
      </c>
      <c r="X118" s="33" t="n">
        <f aca="false">IF(B118="",0,N(Students!J107))</f>
        <v>0</v>
      </c>
      <c r="Y118" s="23"/>
      <c r="Z118" s="24" t="n">
        <f aca="false">N(W118)+N(X118)-N(Y118)</f>
        <v>0</v>
      </c>
      <c r="AA118" s="33" t="n">
        <f aca="false">N(E118)+N(I118)+N(M118)+N(Q118)+N(U118)+N(Y118)</f>
        <v>0</v>
      </c>
      <c r="AB118" s="24" t="n">
        <f aca="false">F118+J118+N118+R118+V118+Z118</f>
        <v>0</v>
      </c>
      <c r="AC118" s="81" t="str">
        <f aca="false">IF(B118="","",IF(AB118&lt;=0,"Clear",IF(AA118&gt;0,"Partial","Due")))</f>
        <v/>
      </c>
    </row>
    <row r="119" customFormat="false" ht="15" hidden="false" customHeight="false" outlineLevel="0" collapsed="false">
      <c r="A119" s="25" t="n">
        <v>104</v>
      </c>
      <c r="B119" s="82" t="str">
        <f aca="false">IF(Students!B108="","",Students!B108)</f>
        <v/>
      </c>
      <c r="C119" s="37" t="n">
        <f aca="false">'Jan 2027'!F119</f>
        <v>0</v>
      </c>
      <c r="D119" s="37" t="n">
        <f aca="false">IF(B119="",0,N(Students!E108))</f>
        <v>0</v>
      </c>
      <c r="E119" s="23"/>
      <c r="F119" s="26" t="n">
        <f aca="false">N(C119)+N(D119)-N(E119)</f>
        <v>0</v>
      </c>
      <c r="G119" s="37" t="n">
        <f aca="false">'Jan 2027'!J119</f>
        <v>0</v>
      </c>
      <c r="H119" s="37" t="n">
        <f aca="false">IF(B119="",0,N(Students!F108))</f>
        <v>0</v>
      </c>
      <c r="I119" s="23"/>
      <c r="J119" s="26" t="n">
        <f aca="false">N(G119)+N(H119)-N(I119)</f>
        <v>0</v>
      </c>
      <c r="K119" s="37" t="n">
        <f aca="false">'Jan 2027'!N119</f>
        <v>0</v>
      </c>
      <c r="L119" s="37" t="n">
        <f aca="false">IF(B119="",0,N(Students!G108))</f>
        <v>0</v>
      </c>
      <c r="M119" s="23"/>
      <c r="N119" s="26" t="n">
        <f aca="false">N(K119)+N(L119)-N(M119)</f>
        <v>0</v>
      </c>
      <c r="O119" s="37" t="n">
        <f aca="false">'Jan 2027'!R119</f>
        <v>0</v>
      </c>
      <c r="P119" s="37" t="n">
        <f aca="false">IF(B119="",0,N(Students!H108))</f>
        <v>0</v>
      </c>
      <c r="Q119" s="23"/>
      <c r="R119" s="26" t="n">
        <f aca="false">N(O119)+N(P119)-N(Q119)</f>
        <v>0</v>
      </c>
      <c r="S119" s="37" t="n">
        <f aca="false">'Jan 2027'!V119</f>
        <v>0</v>
      </c>
      <c r="T119" s="37" t="n">
        <f aca="false">IF(B119="",0,N(Students!I108))</f>
        <v>0</v>
      </c>
      <c r="U119" s="23"/>
      <c r="V119" s="26" t="n">
        <f aca="false">N(S119)+N(T119)-N(U119)</f>
        <v>0</v>
      </c>
      <c r="W119" s="37" t="n">
        <f aca="false">'Jan 2027'!Z119</f>
        <v>0</v>
      </c>
      <c r="X119" s="37" t="n">
        <f aca="false">IF(B119="",0,N(Students!J108))</f>
        <v>0</v>
      </c>
      <c r="Y119" s="23"/>
      <c r="Z119" s="26" t="n">
        <f aca="false">N(W119)+N(X119)-N(Y119)</f>
        <v>0</v>
      </c>
      <c r="AA119" s="37" t="n">
        <f aca="false">N(E119)+N(I119)+N(M119)+N(Q119)+N(U119)+N(Y119)</f>
        <v>0</v>
      </c>
      <c r="AB119" s="26" t="n">
        <f aca="false">F119+J119+N119+R119+V119+Z119</f>
        <v>0</v>
      </c>
      <c r="AC119" s="83" t="str">
        <f aca="false">IF(B119="","",IF(AB119&lt;=0,"Clear",IF(AA119&gt;0,"Partial","Due")))</f>
        <v/>
      </c>
    </row>
    <row r="120" customFormat="false" ht="15" hidden="false" customHeight="false" outlineLevel="0" collapsed="false">
      <c r="A120" s="21" t="n">
        <v>105</v>
      </c>
      <c r="B120" s="46" t="str">
        <f aca="false">IF(Students!B109="","",Students!B109)</f>
        <v/>
      </c>
      <c r="C120" s="33" t="n">
        <f aca="false">'Jan 2027'!F120</f>
        <v>0</v>
      </c>
      <c r="D120" s="33" t="n">
        <f aca="false">IF(B120="",0,N(Students!E109))</f>
        <v>0</v>
      </c>
      <c r="E120" s="23"/>
      <c r="F120" s="24" t="n">
        <f aca="false">N(C120)+N(D120)-N(E120)</f>
        <v>0</v>
      </c>
      <c r="G120" s="33" t="n">
        <f aca="false">'Jan 2027'!J120</f>
        <v>0</v>
      </c>
      <c r="H120" s="33" t="n">
        <f aca="false">IF(B120="",0,N(Students!F109))</f>
        <v>0</v>
      </c>
      <c r="I120" s="23"/>
      <c r="J120" s="24" t="n">
        <f aca="false">N(G120)+N(H120)-N(I120)</f>
        <v>0</v>
      </c>
      <c r="K120" s="33" t="n">
        <f aca="false">'Jan 2027'!N120</f>
        <v>0</v>
      </c>
      <c r="L120" s="33" t="n">
        <f aca="false">IF(B120="",0,N(Students!G109))</f>
        <v>0</v>
      </c>
      <c r="M120" s="23"/>
      <c r="N120" s="24" t="n">
        <f aca="false">N(K120)+N(L120)-N(M120)</f>
        <v>0</v>
      </c>
      <c r="O120" s="33" t="n">
        <f aca="false">'Jan 2027'!R120</f>
        <v>0</v>
      </c>
      <c r="P120" s="33" t="n">
        <f aca="false">IF(B120="",0,N(Students!H109))</f>
        <v>0</v>
      </c>
      <c r="Q120" s="23"/>
      <c r="R120" s="24" t="n">
        <f aca="false">N(O120)+N(P120)-N(Q120)</f>
        <v>0</v>
      </c>
      <c r="S120" s="33" t="n">
        <f aca="false">'Jan 2027'!V120</f>
        <v>0</v>
      </c>
      <c r="T120" s="33" t="n">
        <f aca="false">IF(B120="",0,N(Students!I109))</f>
        <v>0</v>
      </c>
      <c r="U120" s="23"/>
      <c r="V120" s="24" t="n">
        <f aca="false">N(S120)+N(T120)-N(U120)</f>
        <v>0</v>
      </c>
      <c r="W120" s="33" t="n">
        <f aca="false">'Jan 2027'!Z120</f>
        <v>0</v>
      </c>
      <c r="X120" s="33" t="n">
        <f aca="false">IF(B120="",0,N(Students!J109))</f>
        <v>0</v>
      </c>
      <c r="Y120" s="23"/>
      <c r="Z120" s="24" t="n">
        <f aca="false">N(W120)+N(X120)-N(Y120)</f>
        <v>0</v>
      </c>
      <c r="AA120" s="33" t="n">
        <f aca="false">N(E120)+N(I120)+N(M120)+N(Q120)+N(U120)+N(Y120)</f>
        <v>0</v>
      </c>
      <c r="AB120" s="24" t="n">
        <f aca="false">F120+J120+N120+R120+V120+Z120</f>
        <v>0</v>
      </c>
      <c r="AC120" s="81" t="str">
        <f aca="false">IF(B120="","",IF(AB120&lt;=0,"Clear",IF(AA120&gt;0,"Partial","Due")))</f>
        <v/>
      </c>
    </row>
    <row r="121" customFormat="false" ht="15" hidden="false" customHeight="false" outlineLevel="0" collapsed="false">
      <c r="A121" s="25" t="n">
        <v>106</v>
      </c>
      <c r="B121" s="82" t="str">
        <f aca="false">IF(Students!B110="","",Students!B110)</f>
        <v/>
      </c>
      <c r="C121" s="37" t="n">
        <f aca="false">'Jan 2027'!F121</f>
        <v>0</v>
      </c>
      <c r="D121" s="37" t="n">
        <f aca="false">IF(B121="",0,N(Students!E110))</f>
        <v>0</v>
      </c>
      <c r="E121" s="23"/>
      <c r="F121" s="26" t="n">
        <f aca="false">N(C121)+N(D121)-N(E121)</f>
        <v>0</v>
      </c>
      <c r="G121" s="37" t="n">
        <f aca="false">'Jan 2027'!J121</f>
        <v>0</v>
      </c>
      <c r="H121" s="37" t="n">
        <f aca="false">IF(B121="",0,N(Students!F110))</f>
        <v>0</v>
      </c>
      <c r="I121" s="23"/>
      <c r="J121" s="26" t="n">
        <f aca="false">N(G121)+N(H121)-N(I121)</f>
        <v>0</v>
      </c>
      <c r="K121" s="37" t="n">
        <f aca="false">'Jan 2027'!N121</f>
        <v>0</v>
      </c>
      <c r="L121" s="37" t="n">
        <f aca="false">IF(B121="",0,N(Students!G110))</f>
        <v>0</v>
      </c>
      <c r="M121" s="23"/>
      <c r="N121" s="26" t="n">
        <f aca="false">N(K121)+N(L121)-N(M121)</f>
        <v>0</v>
      </c>
      <c r="O121" s="37" t="n">
        <f aca="false">'Jan 2027'!R121</f>
        <v>0</v>
      </c>
      <c r="P121" s="37" t="n">
        <f aca="false">IF(B121="",0,N(Students!H110))</f>
        <v>0</v>
      </c>
      <c r="Q121" s="23"/>
      <c r="R121" s="26" t="n">
        <f aca="false">N(O121)+N(P121)-N(Q121)</f>
        <v>0</v>
      </c>
      <c r="S121" s="37" t="n">
        <f aca="false">'Jan 2027'!V121</f>
        <v>0</v>
      </c>
      <c r="T121" s="37" t="n">
        <f aca="false">IF(B121="",0,N(Students!I110))</f>
        <v>0</v>
      </c>
      <c r="U121" s="23"/>
      <c r="V121" s="26" t="n">
        <f aca="false">N(S121)+N(T121)-N(U121)</f>
        <v>0</v>
      </c>
      <c r="W121" s="37" t="n">
        <f aca="false">'Jan 2027'!Z121</f>
        <v>0</v>
      </c>
      <c r="X121" s="37" t="n">
        <f aca="false">IF(B121="",0,N(Students!J110))</f>
        <v>0</v>
      </c>
      <c r="Y121" s="23"/>
      <c r="Z121" s="26" t="n">
        <f aca="false">N(W121)+N(X121)-N(Y121)</f>
        <v>0</v>
      </c>
      <c r="AA121" s="37" t="n">
        <f aca="false">N(E121)+N(I121)+N(M121)+N(Q121)+N(U121)+N(Y121)</f>
        <v>0</v>
      </c>
      <c r="AB121" s="26" t="n">
        <f aca="false">F121+J121+N121+R121+V121+Z121</f>
        <v>0</v>
      </c>
      <c r="AC121" s="83" t="str">
        <f aca="false">IF(B121="","",IF(AB121&lt;=0,"Clear",IF(AA121&gt;0,"Partial","Due")))</f>
        <v/>
      </c>
    </row>
    <row r="122" customFormat="false" ht="15" hidden="false" customHeight="false" outlineLevel="0" collapsed="false">
      <c r="A122" s="21" t="n">
        <v>107</v>
      </c>
      <c r="B122" s="46" t="str">
        <f aca="false">IF(Students!B111="","",Students!B111)</f>
        <v/>
      </c>
      <c r="C122" s="33" t="n">
        <f aca="false">'Jan 2027'!F122</f>
        <v>0</v>
      </c>
      <c r="D122" s="33" t="n">
        <f aca="false">IF(B122="",0,N(Students!E111))</f>
        <v>0</v>
      </c>
      <c r="E122" s="23"/>
      <c r="F122" s="24" t="n">
        <f aca="false">N(C122)+N(D122)-N(E122)</f>
        <v>0</v>
      </c>
      <c r="G122" s="33" t="n">
        <f aca="false">'Jan 2027'!J122</f>
        <v>0</v>
      </c>
      <c r="H122" s="33" t="n">
        <f aca="false">IF(B122="",0,N(Students!F111))</f>
        <v>0</v>
      </c>
      <c r="I122" s="23"/>
      <c r="J122" s="24" t="n">
        <f aca="false">N(G122)+N(H122)-N(I122)</f>
        <v>0</v>
      </c>
      <c r="K122" s="33" t="n">
        <f aca="false">'Jan 2027'!N122</f>
        <v>0</v>
      </c>
      <c r="L122" s="33" t="n">
        <f aca="false">IF(B122="",0,N(Students!G111))</f>
        <v>0</v>
      </c>
      <c r="M122" s="23"/>
      <c r="N122" s="24" t="n">
        <f aca="false">N(K122)+N(L122)-N(M122)</f>
        <v>0</v>
      </c>
      <c r="O122" s="33" t="n">
        <f aca="false">'Jan 2027'!R122</f>
        <v>0</v>
      </c>
      <c r="P122" s="33" t="n">
        <f aca="false">IF(B122="",0,N(Students!H111))</f>
        <v>0</v>
      </c>
      <c r="Q122" s="23"/>
      <c r="R122" s="24" t="n">
        <f aca="false">N(O122)+N(P122)-N(Q122)</f>
        <v>0</v>
      </c>
      <c r="S122" s="33" t="n">
        <f aca="false">'Jan 2027'!V122</f>
        <v>0</v>
      </c>
      <c r="T122" s="33" t="n">
        <f aca="false">IF(B122="",0,N(Students!I111))</f>
        <v>0</v>
      </c>
      <c r="U122" s="23"/>
      <c r="V122" s="24" t="n">
        <f aca="false">N(S122)+N(T122)-N(U122)</f>
        <v>0</v>
      </c>
      <c r="W122" s="33" t="n">
        <f aca="false">'Jan 2027'!Z122</f>
        <v>0</v>
      </c>
      <c r="X122" s="33" t="n">
        <f aca="false">IF(B122="",0,N(Students!J111))</f>
        <v>0</v>
      </c>
      <c r="Y122" s="23"/>
      <c r="Z122" s="24" t="n">
        <f aca="false">N(W122)+N(X122)-N(Y122)</f>
        <v>0</v>
      </c>
      <c r="AA122" s="33" t="n">
        <f aca="false">N(E122)+N(I122)+N(M122)+N(Q122)+N(U122)+N(Y122)</f>
        <v>0</v>
      </c>
      <c r="AB122" s="24" t="n">
        <f aca="false">F122+J122+N122+R122+V122+Z122</f>
        <v>0</v>
      </c>
      <c r="AC122" s="81" t="str">
        <f aca="false">IF(B122="","",IF(AB122&lt;=0,"Clear",IF(AA122&gt;0,"Partial","Due")))</f>
        <v/>
      </c>
    </row>
    <row r="123" customFormat="false" ht="15" hidden="false" customHeight="false" outlineLevel="0" collapsed="false">
      <c r="A123" s="25" t="n">
        <v>108</v>
      </c>
      <c r="B123" s="82" t="str">
        <f aca="false">IF(Students!B112="","",Students!B112)</f>
        <v/>
      </c>
      <c r="C123" s="37" t="n">
        <f aca="false">'Jan 2027'!F123</f>
        <v>0</v>
      </c>
      <c r="D123" s="37" t="n">
        <f aca="false">IF(B123="",0,N(Students!E112))</f>
        <v>0</v>
      </c>
      <c r="E123" s="23"/>
      <c r="F123" s="26" t="n">
        <f aca="false">N(C123)+N(D123)-N(E123)</f>
        <v>0</v>
      </c>
      <c r="G123" s="37" t="n">
        <f aca="false">'Jan 2027'!J123</f>
        <v>0</v>
      </c>
      <c r="H123" s="37" t="n">
        <f aca="false">IF(B123="",0,N(Students!F112))</f>
        <v>0</v>
      </c>
      <c r="I123" s="23"/>
      <c r="J123" s="26" t="n">
        <f aca="false">N(G123)+N(H123)-N(I123)</f>
        <v>0</v>
      </c>
      <c r="K123" s="37" t="n">
        <f aca="false">'Jan 2027'!N123</f>
        <v>0</v>
      </c>
      <c r="L123" s="37" t="n">
        <f aca="false">IF(B123="",0,N(Students!G112))</f>
        <v>0</v>
      </c>
      <c r="M123" s="23"/>
      <c r="N123" s="26" t="n">
        <f aca="false">N(K123)+N(L123)-N(M123)</f>
        <v>0</v>
      </c>
      <c r="O123" s="37" t="n">
        <f aca="false">'Jan 2027'!R123</f>
        <v>0</v>
      </c>
      <c r="P123" s="37" t="n">
        <f aca="false">IF(B123="",0,N(Students!H112))</f>
        <v>0</v>
      </c>
      <c r="Q123" s="23"/>
      <c r="R123" s="26" t="n">
        <f aca="false">N(O123)+N(P123)-N(Q123)</f>
        <v>0</v>
      </c>
      <c r="S123" s="37" t="n">
        <f aca="false">'Jan 2027'!V123</f>
        <v>0</v>
      </c>
      <c r="T123" s="37" t="n">
        <f aca="false">IF(B123="",0,N(Students!I112))</f>
        <v>0</v>
      </c>
      <c r="U123" s="23"/>
      <c r="V123" s="26" t="n">
        <f aca="false">N(S123)+N(T123)-N(U123)</f>
        <v>0</v>
      </c>
      <c r="W123" s="37" t="n">
        <f aca="false">'Jan 2027'!Z123</f>
        <v>0</v>
      </c>
      <c r="X123" s="37" t="n">
        <f aca="false">IF(B123="",0,N(Students!J112))</f>
        <v>0</v>
      </c>
      <c r="Y123" s="23"/>
      <c r="Z123" s="26" t="n">
        <f aca="false">N(W123)+N(X123)-N(Y123)</f>
        <v>0</v>
      </c>
      <c r="AA123" s="37" t="n">
        <f aca="false">N(E123)+N(I123)+N(M123)+N(Q123)+N(U123)+N(Y123)</f>
        <v>0</v>
      </c>
      <c r="AB123" s="26" t="n">
        <f aca="false">F123+J123+N123+R123+V123+Z123</f>
        <v>0</v>
      </c>
      <c r="AC123" s="83" t="str">
        <f aca="false">IF(B123="","",IF(AB123&lt;=0,"Clear",IF(AA123&gt;0,"Partial","Due")))</f>
        <v/>
      </c>
    </row>
    <row r="124" customFormat="false" ht="15" hidden="false" customHeight="false" outlineLevel="0" collapsed="false">
      <c r="A124" s="21" t="n">
        <v>109</v>
      </c>
      <c r="B124" s="46" t="str">
        <f aca="false">IF(Students!B113="","",Students!B113)</f>
        <v/>
      </c>
      <c r="C124" s="33" t="n">
        <f aca="false">'Jan 2027'!F124</f>
        <v>0</v>
      </c>
      <c r="D124" s="33" t="n">
        <f aca="false">IF(B124="",0,N(Students!E113))</f>
        <v>0</v>
      </c>
      <c r="E124" s="23"/>
      <c r="F124" s="24" t="n">
        <f aca="false">N(C124)+N(D124)-N(E124)</f>
        <v>0</v>
      </c>
      <c r="G124" s="33" t="n">
        <f aca="false">'Jan 2027'!J124</f>
        <v>0</v>
      </c>
      <c r="H124" s="33" t="n">
        <f aca="false">IF(B124="",0,N(Students!F113))</f>
        <v>0</v>
      </c>
      <c r="I124" s="23"/>
      <c r="J124" s="24" t="n">
        <f aca="false">N(G124)+N(H124)-N(I124)</f>
        <v>0</v>
      </c>
      <c r="K124" s="33" t="n">
        <f aca="false">'Jan 2027'!N124</f>
        <v>0</v>
      </c>
      <c r="L124" s="33" t="n">
        <f aca="false">IF(B124="",0,N(Students!G113))</f>
        <v>0</v>
      </c>
      <c r="M124" s="23"/>
      <c r="N124" s="24" t="n">
        <f aca="false">N(K124)+N(L124)-N(M124)</f>
        <v>0</v>
      </c>
      <c r="O124" s="33" t="n">
        <f aca="false">'Jan 2027'!R124</f>
        <v>0</v>
      </c>
      <c r="P124" s="33" t="n">
        <f aca="false">IF(B124="",0,N(Students!H113))</f>
        <v>0</v>
      </c>
      <c r="Q124" s="23"/>
      <c r="R124" s="24" t="n">
        <f aca="false">N(O124)+N(P124)-N(Q124)</f>
        <v>0</v>
      </c>
      <c r="S124" s="33" t="n">
        <f aca="false">'Jan 2027'!V124</f>
        <v>0</v>
      </c>
      <c r="T124" s="33" t="n">
        <f aca="false">IF(B124="",0,N(Students!I113))</f>
        <v>0</v>
      </c>
      <c r="U124" s="23"/>
      <c r="V124" s="24" t="n">
        <f aca="false">N(S124)+N(T124)-N(U124)</f>
        <v>0</v>
      </c>
      <c r="W124" s="33" t="n">
        <f aca="false">'Jan 2027'!Z124</f>
        <v>0</v>
      </c>
      <c r="X124" s="33" t="n">
        <f aca="false">IF(B124="",0,N(Students!J113))</f>
        <v>0</v>
      </c>
      <c r="Y124" s="23"/>
      <c r="Z124" s="24" t="n">
        <f aca="false">N(W124)+N(X124)-N(Y124)</f>
        <v>0</v>
      </c>
      <c r="AA124" s="33" t="n">
        <f aca="false">N(E124)+N(I124)+N(M124)+N(Q124)+N(U124)+N(Y124)</f>
        <v>0</v>
      </c>
      <c r="AB124" s="24" t="n">
        <f aca="false">F124+J124+N124+R124+V124+Z124</f>
        <v>0</v>
      </c>
      <c r="AC124" s="81" t="str">
        <f aca="false">IF(B124="","",IF(AB124&lt;=0,"Clear",IF(AA124&gt;0,"Partial","Due")))</f>
        <v/>
      </c>
    </row>
    <row r="125" customFormat="false" ht="15" hidden="false" customHeight="false" outlineLevel="0" collapsed="false">
      <c r="A125" s="25" t="n">
        <v>110</v>
      </c>
      <c r="B125" s="82" t="str">
        <f aca="false">IF(Students!B114="","",Students!B114)</f>
        <v/>
      </c>
      <c r="C125" s="37" t="n">
        <f aca="false">'Jan 2027'!F125</f>
        <v>0</v>
      </c>
      <c r="D125" s="37" t="n">
        <f aca="false">IF(B125="",0,N(Students!E114))</f>
        <v>0</v>
      </c>
      <c r="E125" s="23"/>
      <c r="F125" s="26" t="n">
        <f aca="false">N(C125)+N(D125)-N(E125)</f>
        <v>0</v>
      </c>
      <c r="G125" s="37" t="n">
        <f aca="false">'Jan 2027'!J125</f>
        <v>0</v>
      </c>
      <c r="H125" s="37" t="n">
        <f aca="false">IF(B125="",0,N(Students!F114))</f>
        <v>0</v>
      </c>
      <c r="I125" s="23"/>
      <c r="J125" s="26" t="n">
        <f aca="false">N(G125)+N(H125)-N(I125)</f>
        <v>0</v>
      </c>
      <c r="K125" s="37" t="n">
        <f aca="false">'Jan 2027'!N125</f>
        <v>0</v>
      </c>
      <c r="L125" s="37" t="n">
        <f aca="false">IF(B125="",0,N(Students!G114))</f>
        <v>0</v>
      </c>
      <c r="M125" s="23"/>
      <c r="N125" s="26" t="n">
        <f aca="false">N(K125)+N(L125)-N(M125)</f>
        <v>0</v>
      </c>
      <c r="O125" s="37" t="n">
        <f aca="false">'Jan 2027'!R125</f>
        <v>0</v>
      </c>
      <c r="P125" s="37" t="n">
        <f aca="false">IF(B125="",0,N(Students!H114))</f>
        <v>0</v>
      </c>
      <c r="Q125" s="23"/>
      <c r="R125" s="26" t="n">
        <f aca="false">N(O125)+N(P125)-N(Q125)</f>
        <v>0</v>
      </c>
      <c r="S125" s="37" t="n">
        <f aca="false">'Jan 2027'!V125</f>
        <v>0</v>
      </c>
      <c r="T125" s="37" t="n">
        <f aca="false">IF(B125="",0,N(Students!I114))</f>
        <v>0</v>
      </c>
      <c r="U125" s="23"/>
      <c r="V125" s="26" t="n">
        <f aca="false">N(S125)+N(T125)-N(U125)</f>
        <v>0</v>
      </c>
      <c r="W125" s="37" t="n">
        <f aca="false">'Jan 2027'!Z125</f>
        <v>0</v>
      </c>
      <c r="X125" s="37" t="n">
        <f aca="false">IF(B125="",0,N(Students!J114))</f>
        <v>0</v>
      </c>
      <c r="Y125" s="23"/>
      <c r="Z125" s="26" t="n">
        <f aca="false">N(W125)+N(X125)-N(Y125)</f>
        <v>0</v>
      </c>
      <c r="AA125" s="37" t="n">
        <f aca="false">N(E125)+N(I125)+N(M125)+N(Q125)+N(U125)+N(Y125)</f>
        <v>0</v>
      </c>
      <c r="AB125" s="26" t="n">
        <f aca="false">F125+J125+N125+R125+V125+Z125</f>
        <v>0</v>
      </c>
      <c r="AC125" s="83" t="str">
        <f aca="false">IF(B125="","",IF(AB125&lt;=0,"Clear",IF(AA125&gt;0,"Partial","Due")))</f>
        <v/>
      </c>
    </row>
    <row r="126" customFormat="false" ht="15" hidden="false" customHeight="false" outlineLevel="0" collapsed="false">
      <c r="A126" s="21" t="n">
        <v>111</v>
      </c>
      <c r="B126" s="46" t="str">
        <f aca="false">IF(Students!B115="","",Students!B115)</f>
        <v/>
      </c>
      <c r="C126" s="33" t="n">
        <f aca="false">'Jan 2027'!F126</f>
        <v>0</v>
      </c>
      <c r="D126" s="33" t="n">
        <f aca="false">IF(B126="",0,N(Students!E115))</f>
        <v>0</v>
      </c>
      <c r="E126" s="23"/>
      <c r="F126" s="24" t="n">
        <f aca="false">N(C126)+N(D126)-N(E126)</f>
        <v>0</v>
      </c>
      <c r="G126" s="33" t="n">
        <f aca="false">'Jan 2027'!J126</f>
        <v>0</v>
      </c>
      <c r="H126" s="33" t="n">
        <f aca="false">IF(B126="",0,N(Students!F115))</f>
        <v>0</v>
      </c>
      <c r="I126" s="23"/>
      <c r="J126" s="24" t="n">
        <f aca="false">N(G126)+N(H126)-N(I126)</f>
        <v>0</v>
      </c>
      <c r="K126" s="33" t="n">
        <f aca="false">'Jan 2027'!N126</f>
        <v>0</v>
      </c>
      <c r="L126" s="33" t="n">
        <f aca="false">IF(B126="",0,N(Students!G115))</f>
        <v>0</v>
      </c>
      <c r="M126" s="23"/>
      <c r="N126" s="24" t="n">
        <f aca="false">N(K126)+N(L126)-N(M126)</f>
        <v>0</v>
      </c>
      <c r="O126" s="33" t="n">
        <f aca="false">'Jan 2027'!R126</f>
        <v>0</v>
      </c>
      <c r="P126" s="33" t="n">
        <f aca="false">IF(B126="",0,N(Students!H115))</f>
        <v>0</v>
      </c>
      <c r="Q126" s="23"/>
      <c r="R126" s="24" t="n">
        <f aca="false">N(O126)+N(P126)-N(Q126)</f>
        <v>0</v>
      </c>
      <c r="S126" s="33" t="n">
        <f aca="false">'Jan 2027'!V126</f>
        <v>0</v>
      </c>
      <c r="T126" s="33" t="n">
        <f aca="false">IF(B126="",0,N(Students!I115))</f>
        <v>0</v>
      </c>
      <c r="U126" s="23"/>
      <c r="V126" s="24" t="n">
        <f aca="false">N(S126)+N(T126)-N(U126)</f>
        <v>0</v>
      </c>
      <c r="W126" s="33" t="n">
        <f aca="false">'Jan 2027'!Z126</f>
        <v>0</v>
      </c>
      <c r="X126" s="33" t="n">
        <f aca="false">IF(B126="",0,N(Students!J115))</f>
        <v>0</v>
      </c>
      <c r="Y126" s="23"/>
      <c r="Z126" s="24" t="n">
        <f aca="false">N(W126)+N(X126)-N(Y126)</f>
        <v>0</v>
      </c>
      <c r="AA126" s="33" t="n">
        <f aca="false">N(E126)+N(I126)+N(M126)+N(Q126)+N(U126)+N(Y126)</f>
        <v>0</v>
      </c>
      <c r="AB126" s="24" t="n">
        <f aca="false">F126+J126+N126+R126+V126+Z126</f>
        <v>0</v>
      </c>
      <c r="AC126" s="81" t="str">
        <f aca="false">IF(B126="","",IF(AB126&lt;=0,"Clear",IF(AA126&gt;0,"Partial","Due")))</f>
        <v/>
      </c>
    </row>
    <row r="127" customFormat="false" ht="15" hidden="false" customHeight="false" outlineLevel="0" collapsed="false">
      <c r="A127" s="25" t="n">
        <v>112</v>
      </c>
      <c r="B127" s="82" t="str">
        <f aca="false">IF(Students!B116="","",Students!B116)</f>
        <v/>
      </c>
      <c r="C127" s="37" t="n">
        <f aca="false">'Jan 2027'!F127</f>
        <v>0</v>
      </c>
      <c r="D127" s="37" t="n">
        <f aca="false">IF(B127="",0,N(Students!E116))</f>
        <v>0</v>
      </c>
      <c r="E127" s="23"/>
      <c r="F127" s="26" t="n">
        <f aca="false">N(C127)+N(D127)-N(E127)</f>
        <v>0</v>
      </c>
      <c r="G127" s="37" t="n">
        <f aca="false">'Jan 2027'!J127</f>
        <v>0</v>
      </c>
      <c r="H127" s="37" t="n">
        <f aca="false">IF(B127="",0,N(Students!F116))</f>
        <v>0</v>
      </c>
      <c r="I127" s="23"/>
      <c r="J127" s="26" t="n">
        <f aca="false">N(G127)+N(H127)-N(I127)</f>
        <v>0</v>
      </c>
      <c r="K127" s="37" t="n">
        <f aca="false">'Jan 2027'!N127</f>
        <v>0</v>
      </c>
      <c r="L127" s="37" t="n">
        <f aca="false">IF(B127="",0,N(Students!G116))</f>
        <v>0</v>
      </c>
      <c r="M127" s="23"/>
      <c r="N127" s="26" t="n">
        <f aca="false">N(K127)+N(L127)-N(M127)</f>
        <v>0</v>
      </c>
      <c r="O127" s="37" t="n">
        <f aca="false">'Jan 2027'!R127</f>
        <v>0</v>
      </c>
      <c r="P127" s="37" t="n">
        <f aca="false">IF(B127="",0,N(Students!H116))</f>
        <v>0</v>
      </c>
      <c r="Q127" s="23"/>
      <c r="R127" s="26" t="n">
        <f aca="false">N(O127)+N(P127)-N(Q127)</f>
        <v>0</v>
      </c>
      <c r="S127" s="37" t="n">
        <f aca="false">'Jan 2027'!V127</f>
        <v>0</v>
      </c>
      <c r="T127" s="37" t="n">
        <f aca="false">IF(B127="",0,N(Students!I116))</f>
        <v>0</v>
      </c>
      <c r="U127" s="23"/>
      <c r="V127" s="26" t="n">
        <f aca="false">N(S127)+N(T127)-N(U127)</f>
        <v>0</v>
      </c>
      <c r="W127" s="37" t="n">
        <f aca="false">'Jan 2027'!Z127</f>
        <v>0</v>
      </c>
      <c r="X127" s="37" t="n">
        <f aca="false">IF(B127="",0,N(Students!J116))</f>
        <v>0</v>
      </c>
      <c r="Y127" s="23"/>
      <c r="Z127" s="26" t="n">
        <f aca="false">N(W127)+N(X127)-N(Y127)</f>
        <v>0</v>
      </c>
      <c r="AA127" s="37" t="n">
        <f aca="false">N(E127)+N(I127)+N(M127)+N(Q127)+N(U127)+N(Y127)</f>
        <v>0</v>
      </c>
      <c r="AB127" s="26" t="n">
        <f aca="false">F127+J127+N127+R127+V127+Z127</f>
        <v>0</v>
      </c>
      <c r="AC127" s="83" t="str">
        <f aca="false">IF(B127="","",IF(AB127&lt;=0,"Clear",IF(AA127&gt;0,"Partial","Due")))</f>
        <v/>
      </c>
    </row>
    <row r="128" customFormat="false" ht="15" hidden="false" customHeight="false" outlineLevel="0" collapsed="false">
      <c r="A128" s="21" t="n">
        <v>113</v>
      </c>
      <c r="B128" s="46" t="str">
        <f aca="false">IF(Students!B117="","",Students!B117)</f>
        <v/>
      </c>
      <c r="C128" s="33" t="n">
        <f aca="false">'Jan 2027'!F128</f>
        <v>0</v>
      </c>
      <c r="D128" s="33" t="n">
        <f aca="false">IF(B128="",0,N(Students!E117))</f>
        <v>0</v>
      </c>
      <c r="E128" s="23"/>
      <c r="F128" s="24" t="n">
        <f aca="false">N(C128)+N(D128)-N(E128)</f>
        <v>0</v>
      </c>
      <c r="G128" s="33" t="n">
        <f aca="false">'Jan 2027'!J128</f>
        <v>0</v>
      </c>
      <c r="H128" s="33" t="n">
        <f aca="false">IF(B128="",0,N(Students!F117))</f>
        <v>0</v>
      </c>
      <c r="I128" s="23"/>
      <c r="J128" s="24" t="n">
        <f aca="false">N(G128)+N(H128)-N(I128)</f>
        <v>0</v>
      </c>
      <c r="K128" s="33" t="n">
        <f aca="false">'Jan 2027'!N128</f>
        <v>0</v>
      </c>
      <c r="L128" s="33" t="n">
        <f aca="false">IF(B128="",0,N(Students!G117))</f>
        <v>0</v>
      </c>
      <c r="M128" s="23"/>
      <c r="N128" s="24" t="n">
        <f aca="false">N(K128)+N(L128)-N(M128)</f>
        <v>0</v>
      </c>
      <c r="O128" s="33" t="n">
        <f aca="false">'Jan 2027'!R128</f>
        <v>0</v>
      </c>
      <c r="P128" s="33" t="n">
        <f aca="false">IF(B128="",0,N(Students!H117))</f>
        <v>0</v>
      </c>
      <c r="Q128" s="23"/>
      <c r="R128" s="24" t="n">
        <f aca="false">N(O128)+N(P128)-N(Q128)</f>
        <v>0</v>
      </c>
      <c r="S128" s="33" t="n">
        <f aca="false">'Jan 2027'!V128</f>
        <v>0</v>
      </c>
      <c r="T128" s="33" t="n">
        <f aca="false">IF(B128="",0,N(Students!I117))</f>
        <v>0</v>
      </c>
      <c r="U128" s="23"/>
      <c r="V128" s="24" t="n">
        <f aca="false">N(S128)+N(T128)-N(U128)</f>
        <v>0</v>
      </c>
      <c r="W128" s="33" t="n">
        <f aca="false">'Jan 2027'!Z128</f>
        <v>0</v>
      </c>
      <c r="X128" s="33" t="n">
        <f aca="false">IF(B128="",0,N(Students!J117))</f>
        <v>0</v>
      </c>
      <c r="Y128" s="23"/>
      <c r="Z128" s="24" t="n">
        <f aca="false">N(W128)+N(X128)-N(Y128)</f>
        <v>0</v>
      </c>
      <c r="AA128" s="33" t="n">
        <f aca="false">N(E128)+N(I128)+N(M128)+N(Q128)+N(U128)+N(Y128)</f>
        <v>0</v>
      </c>
      <c r="AB128" s="24" t="n">
        <f aca="false">F128+J128+N128+R128+V128+Z128</f>
        <v>0</v>
      </c>
      <c r="AC128" s="81" t="str">
        <f aca="false">IF(B128="","",IF(AB128&lt;=0,"Clear",IF(AA128&gt;0,"Partial","Due")))</f>
        <v/>
      </c>
    </row>
    <row r="129" customFormat="false" ht="15" hidden="false" customHeight="false" outlineLevel="0" collapsed="false">
      <c r="A129" s="25" t="n">
        <v>114</v>
      </c>
      <c r="B129" s="82" t="str">
        <f aca="false">IF(Students!B118="","",Students!B118)</f>
        <v/>
      </c>
      <c r="C129" s="37" t="n">
        <f aca="false">'Jan 2027'!F129</f>
        <v>0</v>
      </c>
      <c r="D129" s="37" t="n">
        <f aca="false">IF(B129="",0,N(Students!E118))</f>
        <v>0</v>
      </c>
      <c r="E129" s="23"/>
      <c r="F129" s="26" t="n">
        <f aca="false">N(C129)+N(D129)-N(E129)</f>
        <v>0</v>
      </c>
      <c r="G129" s="37" t="n">
        <f aca="false">'Jan 2027'!J129</f>
        <v>0</v>
      </c>
      <c r="H129" s="37" t="n">
        <f aca="false">IF(B129="",0,N(Students!F118))</f>
        <v>0</v>
      </c>
      <c r="I129" s="23"/>
      <c r="J129" s="26" t="n">
        <f aca="false">N(G129)+N(H129)-N(I129)</f>
        <v>0</v>
      </c>
      <c r="K129" s="37" t="n">
        <f aca="false">'Jan 2027'!N129</f>
        <v>0</v>
      </c>
      <c r="L129" s="37" t="n">
        <f aca="false">IF(B129="",0,N(Students!G118))</f>
        <v>0</v>
      </c>
      <c r="M129" s="23"/>
      <c r="N129" s="26" t="n">
        <f aca="false">N(K129)+N(L129)-N(M129)</f>
        <v>0</v>
      </c>
      <c r="O129" s="37" t="n">
        <f aca="false">'Jan 2027'!R129</f>
        <v>0</v>
      </c>
      <c r="P129" s="37" t="n">
        <f aca="false">IF(B129="",0,N(Students!H118))</f>
        <v>0</v>
      </c>
      <c r="Q129" s="23"/>
      <c r="R129" s="26" t="n">
        <f aca="false">N(O129)+N(P129)-N(Q129)</f>
        <v>0</v>
      </c>
      <c r="S129" s="37" t="n">
        <f aca="false">'Jan 2027'!V129</f>
        <v>0</v>
      </c>
      <c r="T129" s="37" t="n">
        <f aca="false">IF(B129="",0,N(Students!I118))</f>
        <v>0</v>
      </c>
      <c r="U129" s="23"/>
      <c r="V129" s="26" t="n">
        <f aca="false">N(S129)+N(T129)-N(U129)</f>
        <v>0</v>
      </c>
      <c r="W129" s="37" t="n">
        <f aca="false">'Jan 2027'!Z129</f>
        <v>0</v>
      </c>
      <c r="X129" s="37" t="n">
        <f aca="false">IF(B129="",0,N(Students!J118))</f>
        <v>0</v>
      </c>
      <c r="Y129" s="23"/>
      <c r="Z129" s="26" t="n">
        <f aca="false">N(W129)+N(X129)-N(Y129)</f>
        <v>0</v>
      </c>
      <c r="AA129" s="37" t="n">
        <f aca="false">N(E129)+N(I129)+N(M129)+N(Q129)+N(U129)+N(Y129)</f>
        <v>0</v>
      </c>
      <c r="AB129" s="26" t="n">
        <f aca="false">F129+J129+N129+R129+V129+Z129</f>
        <v>0</v>
      </c>
      <c r="AC129" s="83" t="str">
        <f aca="false">IF(B129="","",IF(AB129&lt;=0,"Clear",IF(AA129&gt;0,"Partial","Due")))</f>
        <v/>
      </c>
    </row>
    <row r="130" customFormat="false" ht="15" hidden="false" customHeight="false" outlineLevel="0" collapsed="false">
      <c r="A130" s="21" t="n">
        <v>115</v>
      </c>
      <c r="B130" s="46" t="str">
        <f aca="false">IF(Students!B119="","",Students!B119)</f>
        <v/>
      </c>
      <c r="C130" s="33" t="n">
        <f aca="false">'Jan 2027'!F130</f>
        <v>0</v>
      </c>
      <c r="D130" s="33" t="n">
        <f aca="false">IF(B130="",0,N(Students!E119))</f>
        <v>0</v>
      </c>
      <c r="E130" s="23"/>
      <c r="F130" s="24" t="n">
        <f aca="false">N(C130)+N(D130)-N(E130)</f>
        <v>0</v>
      </c>
      <c r="G130" s="33" t="n">
        <f aca="false">'Jan 2027'!J130</f>
        <v>0</v>
      </c>
      <c r="H130" s="33" t="n">
        <f aca="false">IF(B130="",0,N(Students!F119))</f>
        <v>0</v>
      </c>
      <c r="I130" s="23"/>
      <c r="J130" s="24" t="n">
        <f aca="false">N(G130)+N(H130)-N(I130)</f>
        <v>0</v>
      </c>
      <c r="K130" s="33" t="n">
        <f aca="false">'Jan 2027'!N130</f>
        <v>0</v>
      </c>
      <c r="L130" s="33" t="n">
        <f aca="false">IF(B130="",0,N(Students!G119))</f>
        <v>0</v>
      </c>
      <c r="M130" s="23"/>
      <c r="N130" s="24" t="n">
        <f aca="false">N(K130)+N(L130)-N(M130)</f>
        <v>0</v>
      </c>
      <c r="O130" s="33" t="n">
        <f aca="false">'Jan 2027'!R130</f>
        <v>0</v>
      </c>
      <c r="P130" s="33" t="n">
        <f aca="false">IF(B130="",0,N(Students!H119))</f>
        <v>0</v>
      </c>
      <c r="Q130" s="23"/>
      <c r="R130" s="24" t="n">
        <f aca="false">N(O130)+N(P130)-N(Q130)</f>
        <v>0</v>
      </c>
      <c r="S130" s="33" t="n">
        <f aca="false">'Jan 2027'!V130</f>
        <v>0</v>
      </c>
      <c r="T130" s="33" t="n">
        <f aca="false">IF(B130="",0,N(Students!I119))</f>
        <v>0</v>
      </c>
      <c r="U130" s="23"/>
      <c r="V130" s="24" t="n">
        <f aca="false">N(S130)+N(T130)-N(U130)</f>
        <v>0</v>
      </c>
      <c r="W130" s="33" t="n">
        <f aca="false">'Jan 2027'!Z130</f>
        <v>0</v>
      </c>
      <c r="X130" s="33" t="n">
        <f aca="false">IF(B130="",0,N(Students!J119))</f>
        <v>0</v>
      </c>
      <c r="Y130" s="23"/>
      <c r="Z130" s="24" t="n">
        <f aca="false">N(W130)+N(X130)-N(Y130)</f>
        <v>0</v>
      </c>
      <c r="AA130" s="33" t="n">
        <f aca="false">N(E130)+N(I130)+N(M130)+N(Q130)+N(U130)+N(Y130)</f>
        <v>0</v>
      </c>
      <c r="AB130" s="24" t="n">
        <f aca="false">F130+J130+N130+R130+V130+Z130</f>
        <v>0</v>
      </c>
      <c r="AC130" s="81" t="str">
        <f aca="false">IF(B130="","",IF(AB130&lt;=0,"Clear",IF(AA130&gt;0,"Partial","Due")))</f>
        <v/>
      </c>
    </row>
    <row r="131" customFormat="false" ht="15" hidden="false" customHeight="false" outlineLevel="0" collapsed="false">
      <c r="A131" s="25" t="n">
        <v>116</v>
      </c>
      <c r="B131" s="82" t="str">
        <f aca="false">IF(Students!B120="","",Students!B120)</f>
        <v/>
      </c>
      <c r="C131" s="37" t="n">
        <f aca="false">'Jan 2027'!F131</f>
        <v>0</v>
      </c>
      <c r="D131" s="37" t="n">
        <f aca="false">IF(B131="",0,N(Students!E120))</f>
        <v>0</v>
      </c>
      <c r="E131" s="23"/>
      <c r="F131" s="26" t="n">
        <f aca="false">N(C131)+N(D131)-N(E131)</f>
        <v>0</v>
      </c>
      <c r="G131" s="37" t="n">
        <f aca="false">'Jan 2027'!J131</f>
        <v>0</v>
      </c>
      <c r="H131" s="37" t="n">
        <f aca="false">IF(B131="",0,N(Students!F120))</f>
        <v>0</v>
      </c>
      <c r="I131" s="23"/>
      <c r="J131" s="26" t="n">
        <f aca="false">N(G131)+N(H131)-N(I131)</f>
        <v>0</v>
      </c>
      <c r="K131" s="37" t="n">
        <f aca="false">'Jan 2027'!N131</f>
        <v>0</v>
      </c>
      <c r="L131" s="37" t="n">
        <f aca="false">IF(B131="",0,N(Students!G120))</f>
        <v>0</v>
      </c>
      <c r="M131" s="23"/>
      <c r="N131" s="26" t="n">
        <f aca="false">N(K131)+N(L131)-N(M131)</f>
        <v>0</v>
      </c>
      <c r="O131" s="37" t="n">
        <f aca="false">'Jan 2027'!R131</f>
        <v>0</v>
      </c>
      <c r="P131" s="37" t="n">
        <f aca="false">IF(B131="",0,N(Students!H120))</f>
        <v>0</v>
      </c>
      <c r="Q131" s="23"/>
      <c r="R131" s="26" t="n">
        <f aca="false">N(O131)+N(P131)-N(Q131)</f>
        <v>0</v>
      </c>
      <c r="S131" s="37" t="n">
        <f aca="false">'Jan 2027'!V131</f>
        <v>0</v>
      </c>
      <c r="T131" s="37" t="n">
        <f aca="false">IF(B131="",0,N(Students!I120))</f>
        <v>0</v>
      </c>
      <c r="U131" s="23"/>
      <c r="V131" s="26" t="n">
        <f aca="false">N(S131)+N(T131)-N(U131)</f>
        <v>0</v>
      </c>
      <c r="W131" s="37" t="n">
        <f aca="false">'Jan 2027'!Z131</f>
        <v>0</v>
      </c>
      <c r="X131" s="37" t="n">
        <f aca="false">IF(B131="",0,N(Students!J120))</f>
        <v>0</v>
      </c>
      <c r="Y131" s="23"/>
      <c r="Z131" s="26" t="n">
        <f aca="false">N(W131)+N(X131)-N(Y131)</f>
        <v>0</v>
      </c>
      <c r="AA131" s="37" t="n">
        <f aca="false">N(E131)+N(I131)+N(M131)+N(Q131)+N(U131)+N(Y131)</f>
        <v>0</v>
      </c>
      <c r="AB131" s="26" t="n">
        <f aca="false">F131+J131+N131+R131+V131+Z131</f>
        <v>0</v>
      </c>
      <c r="AC131" s="83" t="str">
        <f aca="false">IF(B131="","",IF(AB131&lt;=0,"Clear",IF(AA131&gt;0,"Partial","Due")))</f>
        <v/>
      </c>
    </row>
    <row r="132" customFormat="false" ht="15" hidden="false" customHeight="false" outlineLevel="0" collapsed="false">
      <c r="A132" s="21" t="n">
        <v>117</v>
      </c>
      <c r="B132" s="46" t="str">
        <f aca="false">IF(Students!B121="","",Students!B121)</f>
        <v/>
      </c>
      <c r="C132" s="33" t="n">
        <f aca="false">'Jan 2027'!F132</f>
        <v>0</v>
      </c>
      <c r="D132" s="33" t="n">
        <f aca="false">IF(B132="",0,N(Students!E121))</f>
        <v>0</v>
      </c>
      <c r="E132" s="23"/>
      <c r="F132" s="24" t="n">
        <f aca="false">N(C132)+N(D132)-N(E132)</f>
        <v>0</v>
      </c>
      <c r="G132" s="33" t="n">
        <f aca="false">'Jan 2027'!J132</f>
        <v>0</v>
      </c>
      <c r="H132" s="33" t="n">
        <f aca="false">IF(B132="",0,N(Students!F121))</f>
        <v>0</v>
      </c>
      <c r="I132" s="23"/>
      <c r="J132" s="24" t="n">
        <f aca="false">N(G132)+N(H132)-N(I132)</f>
        <v>0</v>
      </c>
      <c r="K132" s="33" t="n">
        <f aca="false">'Jan 2027'!N132</f>
        <v>0</v>
      </c>
      <c r="L132" s="33" t="n">
        <f aca="false">IF(B132="",0,N(Students!G121))</f>
        <v>0</v>
      </c>
      <c r="M132" s="23"/>
      <c r="N132" s="24" t="n">
        <f aca="false">N(K132)+N(L132)-N(M132)</f>
        <v>0</v>
      </c>
      <c r="O132" s="33" t="n">
        <f aca="false">'Jan 2027'!R132</f>
        <v>0</v>
      </c>
      <c r="P132" s="33" t="n">
        <f aca="false">IF(B132="",0,N(Students!H121))</f>
        <v>0</v>
      </c>
      <c r="Q132" s="23"/>
      <c r="R132" s="24" t="n">
        <f aca="false">N(O132)+N(P132)-N(Q132)</f>
        <v>0</v>
      </c>
      <c r="S132" s="33" t="n">
        <f aca="false">'Jan 2027'!V132</f>
        <v>0</v>
      </c>
      <c r="T132" s="33" t="n">
        <f aca="false">IF(B132="",0,N(Students!I121))</f>
        <v>0</v>
      </c>
      <c r="U132" s="23"/>
      <c r="V132" s="24" t="n">
        <f aca="false">N(S132)+N(T132)-N(U132)</f>
        <v>0</v>
      </c>
      <c r="W132" s="33" t="n">
        <f aca="false">'Jan 2027'!Z132</f>
        <v>0</v>
      </c>
      <c r="X132" s="33" t="n">
        <f aca="false">IF(B132="",0,N(Students!J121))</f>
        <v>0</v>
      </c>
      <c r="Y132" s="23"/>
      <c r="Z132" s="24" t="n">
        <f aca="false">N(W132)+N(X132)-N(Y132)</f>
        <v>0</v>
      </c>
      <c r="AA132" s="33" t="n">
        <f aca="false">N(E132)+N(I132)+N(M132)+N(Q132)+N(U132)+N(Y132)</f>
        <v>0</v>
      </c>
      <c r="AB132" s="24" t="n">
        <f aca="false">F132+J132+N132+R132+V132+Z132</f>
        <v>0</v>
      </c>
      <c r="AC132" s="81" t="str">
        <f aca="false">IF(B132="","",IF(AB132&lt;=0,"Clear",IF(AA132&gt;0,"Partial","Due")))</f>
        <v/>
      </c>
    </row>
    <row r="133" customFormat="false" ht="15" hidden="false" customHeight="false" outlineLevel="0" collapsed="false">
      <c r="A133" s="25" t="n">
        <v>118</v>
      </c>
      <c r="B133" s="82" t="str">
        <f aca="false">IF(Students!B122="","",Students!B122)</f>
        <v/>
      </c>
      <c r="C133" s="37" t="n">
        <f aca="false">'Jan 2027'!F133</f>
        <v>0</v>
      </c>
      <c r="D133" s="37" t="n">
        <f aca="false">IF(B133="",0,N(Students!E122))</f>
        <v>0</v>
      </c>
      <c r="E133" s="23"/>
      <c r="F133" s="26" t="n">
        <f aca="false">N(C133)+N(D133)-N(E133)</f>
        <v>0</v>
      </c>
      <c r="G133" s="37" t="n">
        <f aca="false">'Jan 2027'!J133</f>
        <v>0</v>
      </c>
      <c r="H133" s="37" t="n">
        <f aca="false">IF(B133="",0,N(Students!F122))</f>
        <v>0</v>
      </c>
      <c r="I133" s="23"/>
      <c r="J133" s="26" t="n">
        <f aca="false">N(G133)+N(H133)-N(I133)</f>
        <v>0</v>
      </c>
      <c r="K133" s="37" t="n">
        <f aca="false">'Jan 2027'!N133</f>
        <v>0</v>
      </c>
      <c r="L133" s="37" t="n">
        <f aca="false">IF(B133="",0,N(Students!G122))</f>
        <v>0</v>
      </c>
      <c r="M133" s="23"/>
      <c r="N133" s="26" t="n">
        <f aca="false">N(K133)+N(L133)-N(M133)</f>
        <v>0</v>
      </c>
      <c r="O133" s="37" t="n">
        <f aca="false">'Jan 2027'!R133</f>
        <v>0</v>
      </c>
      <c r="P133" s="37" t="n">
        <f aca="false">IF(B133="",0,N(Students!H122))</f>
        <v>0</v>
      </c>
      <c r="Q133" s="23"/>
      <c r="R133" s="26" t="n">
        <f aca="false">N(O133)+N(P133)-N(Q133)</f>
        <v>0</v>
      </c>
      <c r="S133" s="37" t="n">
        <f aca="false">'Jan 2027'!V133</f>
        <v>0</v>
      </c>
      <c r="T133" s="37" t="n">
        <f aca="false">IF(B133="",0,N(Students!I122))</f>
        <v>0</v>
      </c>
      <c r="U133" s="23"/>
      <c r="V133" s="26" t="n">
        <f aca="false">N(S133)+N(T133)-N(U133)</f>
        <v>0</v>
      </c>
      <c r="W133" s="37" t="n">
        <f aca="false">'Jan 2027'!Z133</f>
        <v>0</v>
      </c>
      <c r="X133" s="37" t="n">
        <f aca="false">IF(B133="",0,N(Students!J122))</f>
        <v>0</v>
      </c>
      <c r="Y133" s="23"/>
      <c r="Z133" s="26" t="n">
        <f aca="false">N(W133)+N(X133)-N(Y133)</f>
        <v>0</v>
      </c>
      <c r="AA133" s="37" t="n">
        <f aca="false">N(E133)+N(I133)+N(M133)+N(Q133)+N(U133)+N(Y133)</f>
        <v>0</v>
      </c>
      <c r="AB133" s="26" t="n">
        <f aca="false">F133+J133+N133+R133+V133+Z133</f>
        <v>0</v>
      </c>
      <c r="AC133" s="83" t="str">
        <f aca="false">IF(B133="","",IF(AB133&lt;=0,"Clear",IF(AA133&gt;0,"Partial","Due")))</f>
        <v/>
      </c>
    </row>
    <row r="134" customFormat="false" ht="15" hidden="false" customHeight="false" outlineLevel="0" collapsed="false">
      <c r="A134" s="21" t="n">
        <v>119</v>
      </c>
      <c r="B134" s="46" t="str">
        <f aca="false">IF(Students!B123="","",Students!B123)</f>
        <v/>
      </c>
      <c r="C134" s="33" t="n">
        <f aca="false">'Jan 2027'!F134</f>
        <v>0</v>
      </c>
      <c r="D134" s="33" t="n">
        <f aca="false">IF(B134="",0,N(Students!E123))</f>
        <v>0</v>
      </c>
      <c r="E134" s="23"/>
      <c r="F134" s="24" t="n">
        <f aca="false">N(C134)+N(D134)-N(E134)</f>
        <v>0</v>
      </c>
      <c r="G134" s="33" t="n">
        <f aca="false">'Jan 2027'!J134</f>
        <v>0</v>
      </c>
      <c r="H134" s="33" t="n">
        <f aca="false">IF(B134="",0,N(Students!F123))</f>
        <v>0</v>
      </c>
      <c r="I134" s="23"/>
      <c r="J134" s="24" t="n">
        <f aca="false">N(G134)+N(H134)-N(I134)</f>
        <v>0</v>
      </c>
      <c r="K134" s="33" t="n">
        <f aca="false">'Jan 2027'!N134</f>
        <v>0</v>
      </c>
      <c r="L134" s="33" t="n">
        <f aca="false">IF(B134="",0,N(Students!G123))</f>
        <v>0</v>
      </c>
      <c r="M134" s="23"/>
      <c r="N134" s="24" t="n">
        <f aca="false">N(K134)+N(L134)-N(M134)</f>
        <v>0</v>
      </c>
      <c r="O134" s="33" t="n">
        <f aca="false">'Jan 2027'!R134</f>
        <v>0</v>
      </c>
      <c r="P134" s="33" t="n">
        <f aca="false">IF(B134="",0,N(Students!H123))</f>
        <v>0</v>
      </c>
      <c r="Q134" s="23"/>
      <c r="R134" s="24" t="n">
        <f aca="false">N(O134)+N(P134)-N(Q134)</f>
        <v>0</v>
      </c>
      <c r="S134" s="33" t="n">
        <f aca="false">'Jan 2027'!V134</f>
        <v>0</v>
      </c>
      <c r="T134" s="33" t="n">
        <f aca="false">IF(B134="",0,N(Students!I123))</f>
        <v>0</v>
      </c>
      <c r="U134" s="23"/>
      <c r="V134" s="24" t="n">
        <f aca="false">N(S134)+N(T134)-N(U134)</f>
        <v>0</v>
      </c>
      <c r="W134" s="33" t="n">
        <f aca="false">'Jan 2027'!Z134</f>
        <v>0</v>
      </c>
      <c r="X134" s="33" t="n">
        <f aca="false">IF(B134="",0,N(Students!J123))</f>
        <v>0</v>
      </c>
      <c r="Y134" s="23"/>
      <c r="Z134" s="24" t="n">
        <f aca="false">N(W134)+N(X134)-N(Y134)</f>
        <v>0</v>
      </c>
      <c r="AA134" s="33" t="n">
        <f aca="false">N(E134)+N(I134)+N(M134)+N(Q134)+N(U134)+N(Y134)</f>
        <v>0</v>
      </c>
      <c r="AB134" s="24" t="n">
        <f aca="false">F134+J134+N134+R134+V134+Z134</f>
        <v>0</v>
      </c>
      <c r="AC134" s="81" t="str">
        <f aca="false">IF(B134="","",IF(AB134&lt;=0,"Clear",IF(AA134&gt;0,"Partial","Due")))</f>
        <v/>
      </c>
    </row>
    <row r="135" customFormat="false" ht="15" hidden="false" customHeight="false" outlineLevel="0" collapsed="false">
      <c r="A135" s="25" t="n">
        <v>120</v>
      </c>
      <c r="B135" s="82" t="str">
        <f aca="false">IF(Students!B124="","",Students!B124)</f>
        <v/>
      </c>
      <c r="C135" s="37" t="n">
        <f aca="false">'Jan 2027'!F135</f>
        <v>0</v>
      </c>
      <c r="D135" s="37" t="n">
        <f aca="false">IF(B135="",0,N(Students!E124))</f>
        <v>0</v>
      </c>
      <c r="E135" s="23"/>
      <c r="F135" s="26" t="n">
        <f aca="false">N(C135)+N(D135)-N(E135)</f>
        <v>0</v>
      </c>
      <c r="G135" s="37" t="n">
        <f aca="false">'Jan 2027'!J135</f>
        <v>0</v>
      </c>
      <c r="H135" s="37" t="n">
        <f aca="false">IF(B135="",0,N(Students!F124))</f>
        <v>0</v>
      </c>
      <c r="I135" s="23"/>
      <c r="J135" s="26" t="n">
        <f aca="false">N(G135)+N(H135)-N(I135)</f>
        <v>0</v>
      </c>
      <c r="K135" s="37" t="n">
        <f aca="false">'Jan 2027'!N135</f>
        <v>0</v>
      </c>
      <c r="L135" s="37" t="n">
        <f aca="false">IF(B135="",0,N(Students!G124))</f>
        <v>0</v>
      </c>
      <c r="M135" s="23"/>
      <c r="N135" s="26" t="n">
        <f aca="false">N(K135)+N(L135)-N(M135)</f>
        <v>0</v>
      </c>
      <c r="O135" s="37" t="n">
        <f aca="false">'Jan 2027'!R135</f>
        <v>0</v>
      </c>
      <c r="P135" s="37" t="n">
        <f aca="false">IF(B135="",0,N(Students!H124))</f>
        <v>0</v>
      </c>
      <c r="Q135" s="23"/>
      <c r="R135" s="26" t="n">
        <f aca="false">N(O135)+N(P135)-N(Q135)</f>
        <v>0</v>
      </c>
      <c r="S135" s="37" t="n">
        <f aca="false">'Jan 2027'!V135</f>
        <v>0</v>
      </c>
      <c r="T135" s="37" t="n">
        <f aca="false">IF(B135="",0,N(Students!I124))</f>
        <v>0</v>
      </c>
      <c r="U135" s="23"/>
      <c r="V135" s="26" t="n">
        <f aca="false">N(S135)+N(T135)-N(U135)</f>
        <v>0</v>
      </c>
      <c r="W135" s="37" t="n">
        <f aca="false">'Jan 2027'!Z135</f>
        <v>0</v>
      </c>
      <c r="X135" s="37" t="n">
        <f aca="false">IF(B135="",0,N(Students!J124))</f>
        <v>0</v>
      </c>
      <c r="Y135" s="23"/>
      <c r="Z135" s="26" t="n">
        <f aca="false">N(W135)+N(X135)-N(Y135)</f>
        <v>0</v>
      </c>
      <c r="AA135" s="37" t="n">
        <f aca="false">N(E135)+N(I135)+N(M135)+N(Q135)+N(U135)+N(Y135)</f>
        <v>0</v>
      </c>
      <c r="AB135" s="26" t="n">
        <f aca="false">F135+J135+N135+R135+V135+Z135</f>
        <v>0</v>
      </c>
      <c r="AC135" s="83" t="str">
        <f aca="false">IF(B135="","",IF(AB135&lt;=0,"Clear",IF(AA135&gt;0,"Partial","Due")))</f>
        <v/>
      </c>
    </row>
    <row r="136" customFormat="false" ht="15" hidden="false" customHeight="false" outlineLevel="0" collapsed="false">
      <c r="A136" s="21" t="n">
        <v>121</v>
      </c>
      <c r="B136" s="46" t="str">
        <f aca="false">IF(Students!B125="","",Students!B125)</f>
        <v/>
      </c>
      <c r="C136" s="33" t="n">
        <f aca="false">'Jan 2027'!F136</f>
        <v>0</v>
      </c>
      <c r="D136" s="33" t="n">
        <f aca="false">IF(B136="",0,N(Students!E125))</f>
        <v>0</v>
      </c>
      <c r="E136" s="23"/>
      <c r="F136" s="24" t="n">
        <f aca="false">N(C136)+N(D136)-N(E136)</f>
        <v>0</v>
      </c>
      <c r="G136" s="33" t="n">
        <f aca="false">'Jan 2027'!J136</f>
        <v>0</v>
      </c>
      <c r="H136" s="33" t="n">
        <f aca="false">IF(B136="",0,N(Students!F125))</f>
        <v>0</v>
      </c>
      <c r="I136" s="23"/>
      <c r="J136" s="24" t="n">
        <f aca="false">N(G136)+N(H136)-N(I136)</f>
        <v>0</v>
      </c>
      <c r="K136" s="33" t="n">
        <f aca="false">'Jan 2027'!N136</f>
        <v>0</v>
      </c>
      <c r="L136" s="33" t="n">
        <f aca="false">IF(B136="",0,N(Students!G125))</f>
        <v>0</v>
      </c>
      <c r="M136" s="23"/>
      <c r="N136" s="24" t="n">
        <f aca="false">N(K136)+N(L136)-N(M136)</f>
        <v>0</v>
      </c>
      <c r="O136" s="33" t="n">
        <f aca="false">'Jan 2027'!R136</f>
        <v>0</v>
      </c>
      <c r="P136" s="33" t="n">
        <f aca="false">IF(B136="",0,N(Students!H125))</f>
        <v>0</v>
      </c>
      <c r="Q136" s="23"/>
      <c r="R136" s="24" t="n">
        <f aca="false">N(O136)+N(P136)-N(Q136)</f>
        <v>0</v>
      </c>
      <c r="S136" s="33" t="n">
        <f aca="false">'Jan 2027'!V136</f>
        <v>0</v>
      </c>
      <c r="T136" s="33" t="n">
        <f aca="false">IF(B136="",0,N(Students!I125))</f>
        <v>0</v>
      </c>
      <c r="U136" s="23"/>
      <c r="V136" s="24" t="n">
        <f aca="false">N(S136)+N(T136)-N(U136)</f>
        <v>0</v>
      </c>
      <c r="W136" s="33" t="n">
        <f aca="false">'Jan 2027'!Z136</f>
        <v>0</v>
      </c>
      <c r="X136" s="33" t="n">
        <f aca="false">IF(B136="",0,N(Students!J125))</f>
        <v>0</v>
      </c>
      <c r="Y136" s="23"/>
      <c r="Z136" s="24" t="n">
        <f aca="false">N(W136)+N(X136)-N(Y136)</f>
        <v>0</v>
      </c>
      <c r="AA136" s="33" t="n">
        <f aca="false">N(E136)+N(I136)+N(M136)+N(Q136)+N(U136)+N(Y136)</f>
        <v>0</v>
      </c>
      <c r="AB136" s="24" t="n">
        <f aca="false">F136+J136+N136+R136+V136+Z136</f>
        <v>0</v>
      </c>
      <c r="AC136" s="81" t="str">
        <f aca="false">IF(B136="","",IF(AB136&lt;=0,"Clear",IF(AA136&gt;0,"Partial","Due")))</f>
        <v/>
      </c>
    </row>
    <row r="137" customFormat="false" ht="15" hidden="false" customHeight="false" outlineLevel="0" collapsed="false">
      <c r="A137" s="25" t="n">
        <v>122</v>
      </c>
      <c r="B137" s="82" t="str">
        <f aca="false">IF(Students!B126="","",Students!B126)</f>
        <v/>
      </c>
      <c r="C137" s="37" t="n">
        <f aca="false">'Jan 2027'!F137</f>
        <v>0</v>
      </c>
      <c r="D137" s="37" t="n">
        <f aca="false">IF(B137="",0,N(Students!E126))</f>
        <v>0</v>
      </c>
      <c r="E137" s="23"/>
      <c r="F137" s="26" t="n">
        <f aca="false">N(C137)+N(D137)-N(E137)</f>
        <v>0</v>
      </c>
      <c r="G137" s="37" t="n">
        <f aca="false">'Jan 2027'!J137</f>
        <v>0</v>
      </c>
      <c r="H137" s="37" t="n">
        <f aca="false">IF(B137="",0,N(Students!F126))</f>
        <v>0</v>
      </c>
      <c r="I137" s="23"/>
      <c r="J137" s="26" t="n">
        <f aca="false">N(G137)+N(H137)-N(I137)</f>
        <v>0</v>
      </c>
      <c r="K137" s="37" t="n">
        <f aca="false">'Jan 2027'!N137</f>
        <v>0</v>
      </c>
      <c r="L137" s="37" t="n">
        <f aca="false">IF(B137="",0,N(Students!G126))</f>
        <v>0</v>
      </c>
      <c r="M137" s="23"/>
      <c r="N137" s="26" t="n">
        <f aca="false">N(K137)+N(L137)-N(M137)</f>
        <v>0</v>
      </c>
      <c r="O137" s="37" t="n">
        <f aca="false">'Jan 2027'!R137</f>
        <v>0</v>
      </c>
      <c r="P137" s="37" t="n">
        <f aca="false">IF(B137="",0,N(Students!H126))</f>
        <v>0</v>
      </c>
      <c r="Q137" s="23"/>
      <c r="R137" s="26" t="n">
        <f aca="false">N(O137)+N(P137)-N(Q137)</f>
        <v>0</v>
      </c>
      <c r="S137" s="37" t="n">
        <f aca="false">'Jan 2027'!V137</f>
        <v>0</v>
      </c>
      <c r="T137" s="37" t="n">
        <f aca="false">IF(B137="",0,N(Students!I126))</f>
        <v>0</v>
      </c>
      <c r="U137" s="23"/>
      <c r="V137" s="26" t="n">
        <f aca="false">N(S137)+N(T137)-N(U137)</f>
        <v>0</v>
      </c>
      <c r="W137" s="37" t="n">
        <f aca="false">'Jan 2027'!Z137</f>
        <v>0</v>
      </c>
      <c r="X137" s="37" t="n">
        <f aca="false">IF(B137="",0,N(Students!J126))</f>
        <v>0</v>
      </c>
      <c r="Y137" s="23"/>
      <c r="Z137" s="26" t="n">
        <f aca="false">N(W137)+N(X137)-N(Y137)</f>
        <v>0</v>
      </c>
      <c r="AA137" s="37" t="n">
        <f aca="false">N(E137)+N(I137)+N(M137)+N(Q137)+N(U137)+N(Y137)</f>
        <v>0</v>
      </c>
      <c r="AB137" s="26" t="n">
        <f aca="false">F137+J137+N137+R137+V137+Z137</f>
        <v>0</v>
      </c>
      <c r="AC137" s="83" t="str">
        <f aca="false">IF(B137="","",IF(AB137&lt;=0,"Clear",IF(AA137&gt;0,"Partial","Due")))</f>
        <v/>
      </c>
    </row>
    <row r="138" customFormat="false" ht="15" hidden="false" customHeight="false" outlineLevel="0" collapsed="false">
      <c r="A138" s="21" t="n">
        <v>123</v>
      </c>
      <c r="B138" s="46" t="str">
        <f aca="false">IF(Students!B127="","",Students!B127)</f>
        <v/>
      </c>
      <c r="C138" s="33" t="n">
        <f aca="false">'Jan 2027'!F138</f>
        <v>0</v>
      </c>
      <c r="D138" s="33" t="n">
        <f aca="false">IF(B138="",0,N(Students!E127))</f>
        <v>0</v>
      </c>
      <c r="E138" s="23"/>
      <c r="F138" s="24" t="n">
        <f aca="false">N(C138)+N(D138)-N(E138)</f>
        <v>0</v>
      </c>
      <c r="G138" s="33" t="n">
        <f aca="false">'Jan 2027'!J138</f>
        <v>0</v>
      </c>
      <c r="H138" s="33" t="n">
        <f aca="false">IF(B138="",0,N(Students!F127))</f>
        <v>0</v>
      </c>
      <c r="I138" s="23"/>
      <c r="J138" s="24" t="n">
        <f aca="false">N(G138)+N(H138)-N(I138)</f>
        <v>0</v>
      </c>
      <c r="K138" s="33" t="n">
        <f aca="false">'Jan 2027'!N138</f>
        <v>0</v>
      </c>
      <c r="L138" s="33" t="n">
        <f aca="false">IF(B138="",0,N(Students!G127))</f>
        <v>0</v>
      </c>
      <c r="M138" s="23"/>
      <c r="N138" s="24" t="n">
        <f aca="false">N(K138)+N(L138)-N(M138)</f>
        <v>0</v>
      </c>
      <c r="O138" s="33" t="n">
        <f aca="false">'Jan 2027'!R138</f>
        <v>0</v>
      </c>
      <c r="P138" s="33" t="n">
        <f aca="false">IF(B138="",0,N(Students!H127))</f>
        <v>0</v>
      </c>
      <c r="Q138" s="23"/>
      <c r="R138" s="24" t="n">
        <f aca="false">N(O138)+N(P138)-N(Q138)</f>
        <v>0</v>
      </c>
      <c r="S138" s="33" t="n">
        <f aca="false">'Jan 2027'!V138</f>
        <v>0</v>
      </c>
      <c r="T138" s="33" t="n">
        <f aca="false">IF(B138="",0,N(Students!I127))</f>
        <v>0</v>
      </c>
      <c r="U138" s="23"/>
      <c r="V138" s="24" t="n">
        <f aca="false">N(S138)+N(T138)-N(U138)</f>
        <v>0</v>
      </c>
      <c r="W138" s="33" t="n">
        <f aca="false">'Jan 2027'!Z138</f>
        <v>0</v>
      </c>
      <c r="X138" s="33" t="n">
        <f aca="false">IF(B138="",0,N(Students!J127))</f>
        <v>0</v>
      </c>
      <c r="Y138" s="23"/>
      <c r="Z138" s="24" t="n">
        <f aca="false">N(W138)+N(X138)-N(Y138)</f>
        <v>0</v>
      </c>
      <c r="AA138" s="33" t="n">
        <f aca="false">N(E138)+N(I138)+N(M138)+N(Q138)+N(U138)+N(Y138)</f>
        <v>0</v>
      </c>
      <c r="AB138" s="24" t="n">
        <f aca="false">F138+J138+N138+R138+V138+Z138</f>
        <v>0</v>
      </c>
      <c r="AC138" s="81" t="str">
        <f aca="false">IF(B138="","",IF(AB138&lt;=0,"Clear",IF(AA138&gt;0,"Partial","Due")))</f>
        <v/>
      </c>
    </row>
    <row r="139" customFormat="false" ht="15" hidden="false" customHeight="false" outlineLevel="0" collapsed="false">
      <c r="A139" s="25" t="n">
        <v>124</v>
      </c>
      <c r="B139" s="82" t="str">
        <f aca="false">IF(Students!B128="","",Students!B128)</f>
        <v/>
      </c>
      <c r="C139" s="37" t="n">
        <f aca="false">'Jan 2027'!F139</f>
        <v>0</v>
      </c>
      <c r="D139" s="37" t="n">
        <f aca="false">IF(B139="",0,N(Students!E128))</f>
        <v>0</v>
      </c>
      <c r="E139" s="23"/>
      <c r="F139" s="26" t="n">
        <f aca="false">N(C139)+N(D139)-N(E139)</f>
        <v>0</v>
      </c>
      <c r="G139" s="37" t="n">
        <f aca="false">'Jan 2027'!J139</f>
        <v>0</v>
      </c>
      <c r="H139" s="37" t="n">
        <f aca="false">IF(B139="",0,N(Students!F128))</f>
        <v>0</v>
      </c>
      <c r="I139" s="23"/>
      <c r="J139" s="26" t="n">
        <f aca="false">N(G139)+N(H139)-N(I139)</f>
        <v>0</v>
      </c>
      <c r="K139" s="37" t="n">
        <f aca="false">'Jan 2027'!N139</f>
        <v>0</v>
      </c>
      <c r="L139" s="37" t="n">
        <f aca="false">IF(B139="",0,N(Students!G128))</f>
        <v>0</v>
      </c>
      <c r="M139" s="23"/>
      <c r="N139" s="26" t="n">
        <f aca="false">N(K139)+N(L139)-N(M139)</f>
        <v>0</v>
      </c>
      <c r="O139" s="37" t="n">
        <f aca="false">'Jan 2027'!R139</f>
        <v>0</v>
      </c>
      <c r="P139" s="37" t="n">
        <f aca="false">IF(B139="",0,N(Students!H128))</f>
        <v>0</v>
      </c>
      <c r="Q139" s="23"/>
      <c r="R139" s="26" t="n">
        <f aca="false">N(O139)+N(P139)-N(Q139)</f>
        <v>0</v>
      </c>
      <c r="S139" s="37" t="n">
        <f aca="false">'Jan 2027'!V139</f>
        <v>0</v>
      </c>
      <c r="T139" s="37" t="n">
        <f aca="false">IF(B139="",0,N(Students!I128))</f>
        <v>0</v>
      </c>
      <c r="U139" s="23"/>
      <c r="V139" s="26" t="n">
        <f aca="false">N(S139)+N(T139)-N(U139)</f>
        <v>0</v>
      </c>
      <c r="W139" s="37" t="n">
        <f aca="false">'Jan 2027'!Z139</f>
        <v>0</v>
      </c>
      <c r="X139" s="37" t="n">
        <f aca="false">IF(B139="",0,N(Students!J128))</f>
        <v>0</v>
      </c>
      <c r="Y139" s="23"/>
      <c r="Z139" s="26" t="n">
        <f aca="false">N(W139)+N(X139)-N(Y139)</f>
        <v>0</v>
      </c>
      <c r="AA139" s="37" t="n">
        <f aca="false">N(E139)+N(I139)+N(M139)+N(Q139)+N(U139)+N(Y139)</f>
        <v>0</v>
      </c>
      <c r="AB139" s="26" t="n">
        <f aca="false">F139+J139+N139+R139+V139+Z139</f>
        <v>0</v>
      </c>
      <c r="AC139" s="83" t="str">
        <f aca="false">IF(B139="","",IF(AB139&lt;=0,"Clear",IF(AA139&gt;0,"Partial","Due")))</f>
        <v/>
      </c>
    </row>
    <row r="140" customFormat="false" ht="15" hidden="false" customHeight="false" outlineLevel="0" collapsed="false">
      <c r="A140" s="21" t="n">
        <v>125</v>
      </c>
      <c r="B140" s="46" t="str">
        <f aca="false">IF(Students!B129="","",Students!B129)</f>
        <v/>
      </c>
      <c r="C140" s="33" t="n">
        <f aca="false">'Jan 2027'!F140</f>
        <v>0</v>
      </c>
      <c r="D140" s="33" t="n">
        <f aca="false">IF(B140="",0,N(Students!E129))</f>
        <v>0</v>
      </c>
      <c r="E140" s="23"/>
      <c r="F140" s="24" t="n">
        <f aca="false">N(C140)+N(D140)-N(E140)</f>
        <v>0</v>
      </c>
      <c r="G140" s="33" t="n">
        <f aca="false">'Jan 2027'!J140</f>
        <v>0</v>
      </c>
      <c r="H140" s="33" t="n">
        <f aca="false">IF(B140="",0,N(Students!F129))</f>
        <v>0</v>
      </c>
      <c r="I140" s="23"/>
      <c r="J140" s="24" t="n">
        <f aca="false">N(G140)+N(H140)-N(I140)</f>
        <v>0</v>
      </c>
      <c r="K140" s="33" t="n">
        <f aca="false">'Jan 2027'!N140</f>
        <v>0</v>
      </c>
      <c r="L140" s="33" t="n">
        <f aca="false">IF(B140="",0,N(Students!G129))</f>
        <v>0</v>
      </c>
      <c r="M140" s="23"/>
      <c r="N140" s="24" t="n">
        <f aca="false">N(K140)+N(L140)-N(M140)</f>
        <v>0</v>
      </c>
      <c r="O140" s="33" t="n">
        <f aca="false">'Jan 2027'!R140</f>
        <v>0</v>
      </c>
      <c r="P140" s="33" t="n">
        <f aca="false">IF(B140="",0,N(Students!H129))</f>
        <v>0</v>
      </c>
      <c r="Q140" s="23"/>
      <c r="R140" s="24" t="n">
        <f aca="false">N(O140)+N(P140)-N(Q140)</f>
        <v>0</v>
      </c>
      <c r="S140" s="33" t="n">
        <f aca="false">'Jan 2027'!V140</f>
        <v>0</v>
      </c>
      <c r="T140" s="33" t="n">
        <f aca="false">IF(B140="",0,N(Students!I129))</f>
        <v>0</v>
      </c>
      <c r="U140" s="23"/>
      <c r="V140" s="24" t="n">
        <f aca="false">N(S140)+N(T140)-N(U140)</f>
        <v>0</v>
      </c>
      <c r="W140" s="33" t="n">
        <f aca="false">'Jan 2027'!Z140</f>
        <v>0</v>
      </c>
      <c r="X140" s="33" t="n">
        <f aca="false">IF(B140="",0,N(Students!J129))</f>
        <v>0</v>
      </c>
      <c r="Y140" s="23"/>
      <c r="Z140" s="24" t="n">
        <f aca="false">N(W140)+N(X140)-N(Y140)</f>
        <v>0</v>
      </c>
      <c r="AA140" s="33" t="n">
        <f aca="false">N(E140)+N(I140)+N(M140)+N(Q140)+N(U140)+N(Y140)</f>
        <v>0</v>
      </c>
      <c r="AB140" s="24" t="n">
        <f aca="false">F140+J140+N140+R140+V140+Z140</f>
        <v>0</v>
      </c>
      <c r="AC140" s="81" t="str">
        <f aca="false">IF(B140="","",IF(AB140&lt;=0,"Clear",IF(AA140&gt;0,"Partial","Due")))</f>
        <v/>
      </c>
    </row>
    <row r="141" customFormat="false" ht="15" hidden="false" customHeight="false" outlineLevel="0" collapsed="false">
      <c r="A141" s="25" t="n">
        <v>126</v>
      </c>
      <c r="B141" s="82" t="str">
        <f aca="false">IF(Students!B130="","",Students!B130)</f>
        <v/>
      </c>
      <c r="C141" s="37" t="n">
        <f aca="false">'Jan 2027'!F141</f>
        <v>0</v>
      </c>
      <c r="D141" s="37" t="n">
        <f aca="false">IF(B141="",0,N(Students!E130))</f>
        <v>0</v>
      </c>
      <c r="E141" s="23"/>
      <c r="F141" s="26" t="n">
        <f aca="false">N(C141)+N(D141)-N(E141)</f>
        <v>0</v>
      </c>
      <c r="G141" s="37" t="n">
        <f aca="false">'Jan 2027'!J141</f>
        <v>0</v>
      </c>
      <c r="H141" s="37" t="n">
        <f aca="false">IF(B141="",0,N(Students!F130))</f>
        <v>0</v>
      </c>
      <c r="I141" s="23"/>
      <c r="J141" s="26" t="n">
        <f aca="false">N(G141)+N(H141)-N(I141)</f>
        <v>0</v>
      </c>
      <c r="K141" s="37" t="n">
        <f aca="false">'Jan 2027'!N141</f>
        <v>0</v>
      </c>
      <c r="L141" s="37" t="n">
        <f aca="false">IF(B141="",0,N(Students!G130))</f>
        <v>0</v>
      </c>
      <c r="M141" s="23"/>
      <c r="N141" s="26" t="n">
        <f aca="false">N(K141)+N(L141)-N(M141)</f>
        <v>0</v>
      </c>
      <c r="O141" s="37" t="n">
        <f aca="false">'Jan 2027'!R141</f>
        <v>0</v>
      </c>
      <c r="P141" s="37" t="n">
        <f aca="false">IF(B141="",0,N(Students!H130))</f>
        <v>0</v>
      </c>
      <c r="Q141" s="23"/>
      <c r="R141" s="26" t="n">
        <f aca="false">N(O141)+N(P141)-N(Q141)</f>
        <v>0</v>
      </c>
      <c r="S141" s="37" t="n">
        <f aca="false">'Jan 2027'!V141</f>
        <v>0</v>
      </c>
      <c r="T141" s="37" t="n">
        <f aca="false">IF(B141="",0,N(Students!I130))</f>
        <v>0</v>
      </c>
      <c r="U141" s="23"/>
      <c r="V141" s="26" t="n">
        <f aca="false">N(S141)+N(T141)-N(U141)</f>
        <v>0</v>
      </c>
      <c r="W141" s="37" t="n">
        <f aca="false">'Jan 2027'!Z141</f>
        <v>0</v>
      </c>
      <c r="X141" s="37" t="n">
        <f aca="false">IF(B141="",0,N(Students!J130))</f>
        <v>0</v>
      </c>
      <c r="Y141" s="23"/>
      <c r="Z141" s="26" t="n">
        <f aca="false">N(W141)+N(X141)-N(Y141)</f>
        <v>0</v>
      </c>
      <c r="AA141" s="37" t="n">
        <f aca="false">N(E141)+N(I141)+N(M141)+N(Q141)+N(U141)+N(Y141)</f>
        <v>0</v>
      </c>
      <c r="AB141" s="26" t="n">
        <f aca="false">F141+J141+N141+R141+V141+Z141</f>
        <v>0</v>
      </c>
      <c r="AC141" s="83" t="str">
        <f aca="false">IF(B141="","",IF(AB141&lt;=0,"Clear",IF(AA141&gt;0,"Partial","Due")))</f>
        <v/>
      </c>
    </row>
    <row r="142" customFormat="false" ht="15" hidden="false" customHeight="false" outlineLevel="0" collapsed="false">
      <c r="A142" s="21" t="n">
        <v>127</v>
      </c>
      <c r="B142" s="46" t="str">
        <f aca="false">IF(Students!B131="","",Students!B131)</f>
        <v/>
      </c>
      <c r="C142" s="33" t="n">
        <f aca="false">'Jan 2027'!F142</f>
        <v>0</v>
      </c>
      <c r="D142" s="33" t="n">
        <f aca="false">IF(B142="",0,N(Students!E131))</f>
        <v>0</v>
      </c>
      <c r="E142" s="23"/>
      <c r="F142" s="24" t="n">
        <f aca="false">N(C142)+N(D142)-N(E142)</f>
        <v>0</v>
      </c>
      <c r="G142" s="33" t="n">
        <f aca="false">'Jan 2027'!J142</f>
        <v>0</v>
      </c>
      <c r="H142" s="33" t="n">
        <f aca="false">IF(B142="",0,N(Students!F131))</f>
        <v>0</v>
      </c>
      <c r="I142" s="23"/>
      <c r="J142" s="24" t="n">
        <f aca="false">N(G142)+N(H142)-N(I142)</f>
        <v>0</v>
      </c>
      <c r="K142" s="33" t="n">
        <f aca="false">'Jan 2027'!N142</f>
        <v>0</v>
      </c>
      <c r="L142" s="33" t="n">
        <f aca="false">IF(B142="",0,N(Students!G131))</f>
        <v>0</v>
      </c>
      <c r="M142" s="23"/>
      <c r="N142" s="24" t="n">
        <f aca="false">N(K142)+N(L142)-N(M142)</f>
        <v>0</v>
      </c>
      <c r="O142" s="33" t="n">
        <f aca="false">'Jan 2027'!R142</f>
        <v>0</v>
      </c>
      <c r="P142" s="33" t="n">
        <f aca="false">IF(B142="",0,N(Students!H131))</f>
        <v>0</v>
      </c>
      <c r="Q142" s="23"/>
      <c r="R142" s="24" t="n">
        <f aca="false">N(O142)+N(P142)-N(Q142)</f>
        <v>0</v>
      </c>
      <c r="S142" s="33" t="n">
        <f aca="false">'Jan 2027'!V142</f>
        <v>0</v>
      </c>
      <c r="T142" s="33" t="n">
        <f aca="false">IF(B142="",0,N(Students!I131))</f>
        <v>0</v>
      </c>
      <c r="U142" s="23"/>
      <c r="V142" s="24" t="n">
        <f aca="false">N(S142)+N(T142)-N(U142)</f>
        <v>0</v>
      </c>
      <c r="W142" s="33" t="n">
        <f aca="false">'Jan 2027'!Z142</f>
        <v>0</v>
      </c>
      <c r="X142" s="33" t="n">
        <f aca="false">IF(B142="",0,N(Students!J131))</f>
        <v>0</v>
      </c>
      <c r="Y142" s="23"/>
      <c r="Z142" s="24" t="n">
        <f aca="false">N(W142)+N(X142)-N(Y142)</f>
        <v>0</v>
      </c>
      <c r="AA142" s="33" t="n">
        <f aca="false">N(E142)+N(I142)+N(M142)+N(Q142)+N(U142)+N(Y142)</f>
        <v>0</v>
      </c>
      <c r="AB142" s="24" t="n">
        <f aca="false">F142+J142+N142+R142+V142+Z142</f>
        <v>0</v>
      </c>
      <c r="AC142" s="81" t="str">
        <f aca="false">IF(B142="","",IF(AB142&lt;=0,"Clear",IF(AA142&gt;0,"Partial","Due")))</f>
        <v/>
      </c>
    </row>
    <row r="143" customFormat="false" ht="15" hidden="false" customHeight="false" outlineLevel="0" collapsed="false">
      <c r="A143" s="25" t="n">
        <v>128</v>
      </c>
      <c r="B143" s="82" t="str">
        <f aca="false">IF(Students!B132="","",Students!B132)</f>
        <v/>
      </c>
      <c r="C143" s="37" t="n">
        <f aca="false">'Jan 2027'!F143</f>
        <v>0</v>
      </c>
      <c r="D143" s="37" t="n">
        <f aca="false">IF(B143="",0,N(Students!E132))</f>
        <v>0</v>
      </c>
      <c r="E143" s="23"/>
      <c r="F143" s="26" t="n">
        <f aca="false">N(C143)+N(D143)-N(E143)</f>
        <v>0</v>
      </c>
      <c r="G143" s="37" t="n">
        <f aca="false">'Jan 2027'!J143</f>
        <v>0</v>
      </c>
      <c r="H143" s="37" t="n">
        <f aca="false">IF(B143="",0,N(Students!F132))</f>
        <v>0</v>
      </c>
      <c r="I143" s="23"/>
      <c r="J143" s="26" t="n">
        <f aca="false">N(G143)+N(H143)-N(I143)</f>
        <v>0</v>
      </c>
      <c r="K143" s="37" t="n">
        <f aca="false">'Jan 2027'!N143</f>
        <v>0</v>
      </c>
      <c r="L143" s="37" t="n">
        <f aca="false">IF(B143="",0,N(Students!G132))</f>
        <v>0</v>
      </c>
      <c r="M143" s="23"/>
      <c r="N143" s="26" t="n">
        <f aca="false">N(K143)+N(L143)-N(M143)</f>
        <v>0</v>
      </c>
      <c r="O143" s="37" t="n">
        <f aca="false">'Jan 2027'!R143</f>
        <v>0</v>
      </c>
      <c r="P143" s="37" t="n">
        <f aca="false">IF(B143="",0,N(Students!H132))</f>
        <v>0</v>
      </c>
      <c r="Q143" s="23"/>
      <c r="R143" s="26" t="n">
        <f aca="false">N(O143)+N(P143)-N(Q143)</f>
        <v>0</v>
      </c>
      <c r="S143" s="37" t="n">
        <f aca="false">'Jan 2027'!V143</f>
        <v>0</v>
      </c>
      <c r="T143" s="37" t="n">
        <f aca="false">IF(B143="",0,N(Students!I132))</f>
        <v>0</v>
      </c>
      <c r="U143" s="23"/>
      <c r="V143" s="26" t="n">
        <f aca="false">N(S143)+N(T143)-N(U143)</f>
        <v>0</v>
      </c>
      <c r="W143" s="37" t="n">
        <f aca="false">'Jan 2027'!Z143</f>
        <v>0</v>
      </c>
      <c r="X143" s="37" t="n">
        <f aca="false">IF(B143="",0,N(Students!J132))</f>
        <v>0</v>
      </c>
      <c r="Y143" s="23"/>
      <c r="Z143" s="26" t="n">
        <f aca="false">N(W143)+N(X143)-N(Y143)</f>
        <v>0</v>
      </c>
      <c r="AA143" s="37" t="n">
        <f aca="false">N(E143)+N(I143)+N(M143)+N(Q143)+N(U143)+N(Y143)</f>
        <v>0</v>
      </c>
      <c r="AB143" s="26" t="n">
        <f aca="false">F143+J143+N143+R143+V143+Z143</f>
        <v>0</v>
      </c>
      <c r="AC143" s="83" t="str">
        <f aca="false">IF(B143="","",IF(AB143&lt;=0,"Clear",IF(AA143&gt;0,"Partial","Due")))</f>
        <v/>
      </c>
    </row>
    <row r="144" customFormat="false" ht="15" hidden="false" customHeight="false" outlineLevel="0" collapsed="false">
      <c r="A144" s="21" t="n">
        <v>129</v>
      </c>
      <c r="B144" s="46" t="str">
        <f aca="false">IF(Students!B133="","",Students!B133)</f>
        <v/>
      </c>
      <c r="C144" s="33" t="n">
        <f aca="false">'Jan 2027'!F144</f>
        <v>0</v>
      </c>
      <c r="D144" s="33" t="n">
        <f aca="false">IF(B144="",0,N(Students!E133))</f>
        <v>0</v>
      </c>
      <c r="E144" s="23"/>
      <c r="F144" s="24" t="n">
        <f aca="false">N(C144)+N(D144)-N(E144)</f>
        <v>0</v>
      </c>
      <c r="G144" s="33" t="n">
        <f aca="false">'Jan 2027'!J144</f>
        <v>0</v>
      </c>
      <c r="H144" s="33" t="n">
        <f aca="false">IF(B144="",0,N(Students!F133))</f>
        <v>0</v>
      </c>
      <c r="I144" s="23"/>
      <c r="J144" s="24" t="n">
        <f aca="false">N(G144)+N(H144)-N(I144)</f>
        <v>0</v>
      </c>
      <c r="K144" s="33" t="n">
        <f aca="false">'Jan 2027'!N144</f>
        <v>0</v>
      </c>
      <c r="L144" s="33" t="n">
        <f aca="false">IF(B144="",0,N(Students!G133))</f>
        <v>0</v>
      </c>
      <c r="M144" s="23"/>
      <c r="N144" s="24" t="n">
        <f aca="false">N(K144)+N(L144)-N(M144)</f>
        <v>0</v>
      </c>
      <c r="O144" s="33" t="n">
        <f aca="false">'Jan 2027'!R144</f>
        <v>0</v>
      </c>
      <c r="P144" s="33" t="n">
        <f aca="false">IF(B144="",0,N(Students!H133))</f>
        <v>0</v>
      </c>
      <c r="Q144" s="23"/>
      <c r="R144" s="24" t="n">
        <f aca="false">N(O144)+N(P144)-N(Q144)</f>
        <v>0</v>
      </c>
      <c r="S144" s="33" t="n">
        <f aca="false">'Jan 2027'!V144</f>
        <v>0</v>
      </c>
      <c r="T144" s="33" t="n">
        <f aca="false">IF(B144="",0,N(Students!I133))</f>
        <v>0</v>
      </c>
      <c r="U144" s="23"/>
      <c r="V144" s="24" t="n">
        <f aca="false">N(S144)+N(T144)-N(U144)</f>
        <v>0</v>
      </c>
      <c r="W144" s="33" t="n">
        <f aca="false">'Jan 2027'!Z144</f>
        <v>0</v>
      </c>
      <c r="X144" s="33" t="n">
        <f aca="false">IF(B144="",0,N(Students!J133))</f>
        <v>0</v>
      </c>
      <c r="Y144" s="23"/>
      <c r="Z144" s="24" t="n">
        <f aca="false">N(W144)+N(X144)-N(Y144)</f>
        <v>0</v>
      </c>
      <c r="AA144" s="33" t="n">
        <f aca="false">N(E144)+N(I144)+N(M144)+N(Q144)+N(U144)+N(Y144)</f>
        <v>0</v>
      </c>
      <c r="AB144" s="24" t="n">
        <f aca="false">F144+J144+N144+R144+V144+Z144</f>
        <v>0</v>
      </c>
      <c r="AC144" s="81" t="str">
        <f aca="false">IF(B144="","",IF(AB144&lt;=0,"Clear",IF(AA144&gt;0,"Partial","Due")))</f>
        <v/>
      </c>
    </row>
    <row r="145" customFormat="false" ht="15" hidden="false" customHeight="false" outlineLevel="0" collapsed="false">
      <c r="A145" s="25" t="n">
        <v>130</v>
      </c>
      <c r="B145" s="82" t="str">
        <f aca="false">IF(Students!B134="","",Students!B134)</f>
        <v/>
      </c>
      <c r="C145" s="37" t="n">
        <f aca="false">'Jan 2027'!F145</f>
        <v>0</v>
      </c>
      <c r="D145" s="37" t="n">
        <f aca="false">IF(B145="",0,N(Students!E134))</f>
        <v>0</v>
      </c>
      <c r="E145" s="23"/>
      <c r="F145" s="26" t="n">
        <f aca="false">N(C145)+N(D145)-N(E145)</f>
        <v>0</v>
      </c>
      <c r="G145" s="37" t="n">
        <f aca="false">'Jan 2027'!J145</f>
        <v>0</v>
      </c>
      <c r="H145" s="37" t="n">
        <f aca="false">IF(B145="",0,N(Students!F134))</f>
        <v>0</v>
      </c>
      <c r="I145" s="23"/>
      <c r="J145" s="26" t="n">
        <f aca="false">N(G145)+N(H145)-N(I145)</f>
        <v>0</v>
      </c>
      <c r="K145" s="37" t="n">
        <f aca="false">'Jan 2027'!N145</f>
        <v>0</v>
      </c>
      <c r="L145" s="37" t="n">
        <f aca="false">IF(B145="",0,N(Students!G134))</f>
        <v>0</v>
      </c>
      <c r="M145" s="23"/>
      <c r="N145" s="26" t="n">
        <f aca="false">N(K145)+N(L145)-N(M145)</f>
        <v>0</v>
      </c>
      <c r="O145" s="37" t="n">
        <f aca="false">'Jan 2027'!R145</f>
        <v>0</v>
      </c>
      <c r="P145" s="37" t="n">
        <f aca="false">IF(B145="",0,N(Students!H134))</f>
        <v>0</v>
      </c>
      <c r="Q145" s="23"/>
      <c r="R145" s="26" t="n">
        <f aca="false">N(O145)+N(P145)-N(Q145)</f>
        <v>0</v>
      </c>
      <c r="S145" s="37" t="n">
        <f aca="false">'Jan 2027'!V145</f>
        <v>0</v>
      </c>
      <c r="T145" s="37" t="n">
        <f aca="false">IF(B145="",0,N(Students!I134))</f>
        <v>0</v>
      </c>
      <c r="U145" s="23"/>
      <c r="V145" s="26" t="n">
        <f aca="false">N(S145)+N(T145)-N(U145)</f>
        <v>0</v>
      </c>
      <c r="W145" s="37" t="n">
        <f aca="false">'Jan 2027'!Z145</f>
        <v>0</v>
      </c>
      <c r="X145" s="37" t="n">
        <f aca="false">IF(B145="",0,N(Students!J134))</f>
        <v>0</v>
      </c>
      <c r="Y145" s="23"/>
      <c r="Z145" s="26" t="n">
        <f aca="false">N(W145)+N(X145)-N(Y145)</f>
        <v>0</v>
      </c>
      <c r="AA145" s="37" t="n">
        <f aca="false">N(E145)+N(I145)+N(M145)+N(Q145)+N(U145)+N(Y145)</f>
        <v>0</v>
      </c>
      <c r="AB145" s="26" t="n">
        <f aca="false">F145+J145+N145+R145+V145+Z145</f>
        <v>0</v>
      </c>
      <c r="AC145" s="83" t="str">
        <f aca="false">IF(B145="","",IF(AB145&lt;=0,"Clear",IF(AA145&gt;0,"Partial","Due")))</f>
        <v/>
      </c>
    </row>
    <row r="146" customFormat="false" ht="15" hidden="false" customHeight="false" outlineLevel="0" collapsed="false">
      <c r="A146" s="21" t="n">
        <v>131</v>
      </c>
      <c r="B146" s="46" t="str">
        <f aca="false">IF(Students!B135="","",Students!B135)</f>
        <v/>
      </c>
      <c r="C146" s="33" t="n">
        <f aca="false">'Jan 2027'!F146</f>
        <v>0</v>
      </c>
      <c r="D146" s="33" t="n">
        <f aca="false">IF(B146="",0,N(Students!E135))</f>
        <v>0</v>
      </c>
      <c r="E146" s="23"/>
      <c r="F146" s="24" t="n">
        <f aca="false">N(C146)+N(D146)-N(E146)</f>
        <v>0</v>
      </c>
      <c r="G146" s="33" t="n">
        <f aca="false">'Jan 2027'!J146</f>
        <v>0</v>
      </c>
      <c r="H146" s="33" t="n">
        <f aca="false">IF(B146="",0,N(Students!F135))</f>
        <v>0</v>
      </c>
      <c r="I146" s="23"/>
      <c r="J146" s="24" t="n">
        <f aca="false">N(G146)+N(H146)-N(I146)</f>
        <v>0</v>
      </c>
      <c r="K146" s="33" t="n">
        <f aca="false">'Jan 2027'!N146</f>
        <v>0</v>
      </c>
      <c r="L146" s="33" t="n">
        <f aca="false">IF(B146="",0,N(Students!G135))</f>
        <v>0</v>
      </c>
      <c r="M146" s="23"/>
      <c r="N146" s="24" t="n">
        <f aca="false">N(K146)+N(L146)-N(M146)</f>
        <v>0</v>
      </c>
      <c r="O146" s="33" t="n">
        <f aca="false">'Jan 2027'!R146</f>
        <v>0</v>
      </c>
      <c r="P146" s="33" t="n">
        <f aca="false">IF(B146="",0,N(Students!H135))</f>
        <v>0</v>
      </c>
      <c r="Q146" s="23"/>
      <c r="R146" s="24" t="n">
        <f aca="false">N(O146)+N(P146)-N(Q146)</f>
        <v>0</v>
      </c>
      <c r="S146" s="33" t="n">
        <f aca="false">'Jan 2027'!V146</f>
        <v>0</v>
      </c>
      <c r="T146" s="33" t="n">
        <f aca="false">IF(B146="",0,N(Students!I135))</f>
        <v>0</v>
      </c>
      <c r="U146" s="23"/>
      <c r="V146" s="24" t="n">
        <f aca="false">N(S146)+N(T146)-N(U146)</f>
        <v>0</v>
      </c>
      <c r="W146" s="33" t="n">
        <f aca="false">'Jan 2027'!Z146</f>
        <v>0</v>
      </c>
      <c r="X146" s="33" t="n">
        <f aca="false">IF(B146="",0,N(Students!J135))</f>
        <v>0</v>
      </c>
      <c r="Y146" s="23"/>
      <c r="Z146" s="24" t="n">
        <f aca="false">N(W146)+N(X146)-N(Y146)</f>
        <v>0</v>
      </c>
      <c r="AA146" s="33" t="n">
        <f aca="false">N(E146)+N(I146)+N(M146)+N(Q146)+N(U146)+N(Y146)</f>
        <v>0</v>
      </c>
      <c r="AB146" s="24" t="n">
        <f aca="false">F146+J146+N146+R146+V146+Z146</f>
        <v>0</v>
      </c>
      <c r="AC146" s="81" t="str">
        <f aca="false">IF(B146="","",IF(AB146&lt;=0,"Clear",IF(AA146&gt;0,"Partial","Due")))</f>
        <v/>
      </c>
    </row>
    <row r="147" customFormat="false" ht="15" hidden="false" customHeight="false" outlineLevel="0" collapsed="false">
      <c r="A147" s="25" t="n">
        <v>132</v>
      </c>
      <c r="B147" s="82" t="str">
        <f aca="false">IF(Students!B136="","",Students!B136)</f>
        <v/>
      </c>
      <c r="C147" s="37" t="n">
        <f aca="false">'Jan 2027'!F147</f>
        <v>0</v>
      </c>
      <c r="D147" s="37" t="n">
        <f aca="false">IF(B147="",0,N(Students!E136))</f>
        <v>0</v>
      </c>
      <c r="E147" s="23"/>
      <c r="F147" s="26" t="n">
        <f aca="false">N(C147)+N(D147)-N(E147)</f>
        <v>0</v>
      </c>
      <c r="G147" s="37" t="n">
        <f aca="false">'Jan 2027'!J147</f>
        <v>0</v>
      </c>
      <c r="H147" s="37" t="n">
        <f aca="false">IF(B147="",0,N(Students!F136))</f>
        <v>0</v>
      </c>
      <c r="I147" s="23"/>
      <c r="J147" s="26" t="n">
        <f aca="false">N(G147)+N(H147)-N(I147)</f>
        <v>0</v>
      </c>
      <c r="K147" s="37" t="n">
        <f aca="false">'Jan 2027'!N147</f>
        <v>0</v>
      </c>
      <c r="L147" s="37" t="n">
        <f aca="false">IF(B147="",0,N(Students!G136))</f>
        <v>0</v>
      </c>
      <c r="M147" s="23"/>
      <c r="N147" s="26" t="n">
        <f aca="false">N(K147)+N(L147)-N(M147)</f>
        <v>0</v>
      </c>
      <c r="O147" s="37" t="n">
        <f aca="false">'Jan 2027'!R147</f>
        <v>0</v>
      </c>
      <c r="P147" s="37" t="n">
        <f aca="false">IF(B147="",0,N(Students!H136))</f>
        <v>0</v>
      </c>
      <c r="Q147" s="23"/>
      <c r="R147" s="26" t="n">
        <f aca="false">N(O147)+N(P147)-N(Q147)</f>
        <v>0</v>
      </c>
      <c r="S147" s="37" t="n">
        <f aca="false">'Jan 2027'!V147</f>
        <v>0</v>
      </c>
      <c r="T147" s="37" t="n">
        <f aca="false">IF(B147="",0,N(Students!I136))</f>
        <v>0</v>
      </c>
      <c r="U147" s="23"/>
      <c r="V147" s="26" t="n">
        <f aca="false">N(S147)+N(T147)-N(U147)</f>
        <v>0</v>
      </c>
      <c r="W147" s="37" t="n">
        <f aca="false">'Jan 2027'!Z147</f>
        <v>0</v>
      </c>
      <c r="X147" s="37" t="n">
        <f aca="false">IF(B147="",0,N(Students!J136))</f>
        <v>0</v>
      </c>
      <c r="Y147" s="23"/>
      <c r="Z147" s="26" t="n">
        <f aca="false">N(W147)+N(X147)-N(Y147)</f>
        <v>0</v>
      </c>
      <c r="AA147" s="37" t="n">
        <f aca="false">N(E147)+N(I147)+N(M147)+N(Q147)+N(U147)+N(Y147)</f>
        <v>0</v>
      </c>
      <c r="AB147" s="26" t="n">
        <f aca="false">F147+J147+N147+R147+V147+Z147</f>
        <v>0</v>
      </c>
      <c r="AC147" s="83" t="str">
        <f aca="false">IF(B147="","",IF(AB147&lt;=0,"Clear",IF(AA147&gt;0,"Partial","Due")))</f>
        <v/>
      </c>
    </row>
    <row r="148" customFormat="false" ht="15" hidden="false" customHeight="false" outlineLevel="0" collapsed="false">
      <c r="A148" s="21" t="n">
        <v>133</v>
      </c>
      <c r="B148" s="46" t="str">
        <f aca="false">IF(Students!B137="","",Students!B137)</f>
        <v/>
      </c>
      <c r="C148" s="33" t="n">
        <f aca="false">'Jan 2027'!F148</f>
        <v>0</v>
      </c>
      <c r="D148" s="33" t="n">
        <f aca="false">IF(B148="",0,N(Students!E137))</f>
        <v>0</v>
      </c>
      <c r="E148" s="23"/>
      <c r="F148" s="24" t="n">
        <f aca="false">N(C148)+N(D148)-N(E148)</f>
        <v>0</v>
      </c>
      <c r="G148" s="33" t="n">
        <f aca="false">'Jan 2027'!J148</f>
        <v>0</v>
      </c>
      <c r="H148" s="33" t="n">
        <f aca="false">IF(B148="",0,N(Students!F137))</f>
        <v>0</v>
      </c>
      <c r="I148" s="23"/>
      <c r="J148" s="24" t="n">
        <f aca="false">N(G148)+N(H148)-N(I148)</f>
        <v>0</v>
      </c>
      <c r="K148" s="33" t="n">
        <f aca="false">'Jan 2027'!N148</f>
        <v>0</v>
      </c>
      <c r="L148" s="33" t="n">
        <f aca="false">IF(B148="",0,N(Students!G137))</f>
        <v>0</v>
      </c>
      <c r="M148" s="23"/>
      <c r="N148" s="24" t="n">
        <f aca="false">N(K148)+N(L148)-N(M148)</f>
        <v>0</v>
      </c>
      <c r="O148" s="33" t="n">
        <f aca="false">'Jan 2027'!R148</f>
        <v>0</v>
      </c>
      <c r="P148" s="33" t="n">
        <f aca="false">IF(B148="",0,N(Students!H137))</f>
        <v>0</v>
      </c>
      <c r="Q148" s="23"/>
      <c r="R148" s="24" t="n">
        <f aca="false">N(O148)+N(P148)-N(Q148)</f>
        <v>0</v>
      </c>
      <c r="S148" s="33" t="n">
        <f aca="false">'Jan 2027'!V148</f>
        <v>0</v>
      </c>
      <c r="T148" s="33" t="n">
        <f aca="false">IF(B148="",0,N(Students!I137))</f>
        <v>0</v>
      </c>
      <c r="U148" s="23"/>
      <c r="V148" s="24" t="n">
        <f aca="false">N(S148)+N(T148)-N(U148)</f>
        <v>0</v>
      </c>
      <c r="W148" s="33" t="n">
        <f aca="false">'Jan 2027'!Z148</f>
        <v>0</v>
      </c>
      <c r="X148" s="33" t="n">
        <f aca="false">IF(B148="",0,N(Students!J137))</f>
        <v>0</v>
      </c>
      <c r="Y148" s="23"/>
      <c r="Z148" s="24" t="n">
        <f aca="false">N(W148)+N(X148)-N(Y148)</f>
        <v>0</v>
      </c>
      <c r="AA148" s="33" t="n">
        <f aca="false">N(E148)+N(I148)+N(M148)+N(Q148)+N(U148)+N(Y148)</f>
        <v>0</v>
      </c>
      <c r="AB148" s="24" t="n">
        <f aca="false">F148+J148+N148+R148+V148+Z148</f>
        <v>0</v>
      </c>
      <c r="AC148" s="81" t="str">
        <f aca="false">IF(B148="","",IF(AB148&lt;=0,"Clear",IF(AA148&gt;0,"Partial","Due")))</f>
        <v/>
      </c>
    </row>
    <row r="149" customFormat="false" ht="15" hidden="false" customHeight="false" outlineLevel="0" collapsed="false">
      <c r="A149" s="25" t="n">
        <v>134</v>
      </c>
      <c r="B149" s="82" t="str">
        <f aca="false">IF(Students!B138="","",Students!B138)</f>
        <v/>
      </c>
      <c r="C149" s="37" t="n">
        <f aca="false">'Jan 2027'!F149</f>
        <v>0</v>
      </c>
      <c r="D149" s="37" t="n">
        <f aca="false">IF(B149="",0,N(Students!E138))</f>
        <v>0</v>
      </c>
      <c r="E149" s="23"/>
      <c r="F149" s="26" t="n">
        <f aca="false">N(C149)+N(D149)-N(E149)</f>
        <v>0</v>
      </c>
      <c r="G149" s="37" t="n">
        <f aca="false">'Jan 2027'!J149</f>
        <v>0</v>
      </c>
      <c r="H149" s="37" t="n">
        <f aca="false">IF(B149="",0,N(Students!F138))</f>
        <v>0</v>
      </c>
      <c r="I149" s="23"/>
      <c r="J149" s="26" t="n">
        <f aca="false">N(G149)+N(H149)-N(I149)</f>
        <v>0</v>
      </c>
      <c r="K149" s="37" t="n">
        <f aca="false">'Jan 2027'!N149</f>
        <v>0</v>
      </c>
      <c r="L149" s="37" t="n">
        <f aca="false">IF(B149="",0,N(Students!G138))</f>
        <v>0</v>
      </c>
      <c r="M149" s="23"/>
      <c r="N149" s="26" t="n">
        <f aca="false">N(K149)+N(L149)-N(M149)</f>
        <v>0</v>
      </c>
      <c r="O149" s="37" t="n">
        <f aca="false">'Jan 2027'!R149</f>
        <v>0</v>
      </c>
      <c r="P149" s="37" t="n">
        <f aca="false">IF(B149="",0,N(Students!H138))</f>
        <v>0</v>
      </c>
      <c r="Q149" s="23"/>
      <c r="R149" s="26" t="n">
        <f aca="false">N(O149)+N(P149)-N(Q149)</f>
        <v>0</v>
      </c>
      <c r="S149" s="37" t="n">
        <f aca="false">'Jan 2027'!V149</f>
        <v>0</v>
      </c>
      <c r="T149" s="37" t="n">
        <f aca="false">IF(B149="",0,N(Students!I138))</f>
        <v>0</v>
      </c>
      <c r="U149" s="23"/>
      <c r="V149" s="26" t="n">
        <f aca="false">N(S149)+N(T149)-N(U149)</f>
        <v>0</v>
      </c>
      <c r="W149" s="37" t="n">
        <f aca="false">'Jan 2027'!Z149</f>
        <v>0</v>
      </c>
      <c r="X149" s="37" t="n">
        <f aca="false">IF(B149="",0,N(Students!J138))</f>
        <v>0</v>
      </c>
      <c r="Y149" s="23"/>
      <c r="Z149" s="26" t="n">
        <f aca="false">N(W149)+N(X149)-N(Y149)</f>
        <v>0</v>
      </c>
      <c r="AA149" s="37" t="n">
        <f aca="false">N(E149)+N(I149)+N(M149)+N(Q149)+N(U149)+N(Y149)</f>
        <v>0</v>
      </c>
      <c r="AB149" s="26" t="n">
        <f aca="false">F149+J149+N149+R149+V149+Z149</f>
        <v>0</v>
      </c>
      <c r="AC149" s="83" t="str">
        <f aca="false">IF(B149="","",IF(AB149&lt;=0,"Clear",IF(AA149&gt;0,"Partial","Due")))</f>
        <v/>
      </c>
    </row>
    <row r="150" customFormat="false" ht="15" hidden="false" customHeight="false" outlineLevel="0" collapsed="false">
      <c r="A150" s="21" t="n">
        <v>135</v>
      </c>
      <c r="B150" s="46" t="str">
        <f aca="false">IF(Students!B139="","",Students!B139)</f>
        <v/>
      </c>
      <c r="C150" s="33" t="n">
        <f aca="false">'Jan 2027'!F150</f>
        <v>0</v>
      </c>
      <c r="D150" s="33" t="n">
        <f aca="false">IF(B150="",0,N(Students!E139))</f>
        <v>0</v>
      </c>
      <c r="E150" s="23"/>
      <c r="F150" s="24" t="n">
        <f aca="false">N(C150)+N(D150)-N(E150)</f>
        <v>0</v>
      </c>
      <c r="G150" s="33" t="n">
        <f aca="false">'Jan 2027'!J150</f>
        <v>0</v>
      </c>
      <c r="H150" s="33" t="n">
        <f aca="false">IF(B150="",0,N(Students!F139))</f>
        <v>0</v>
      </c>
      <c r="I150" s="23"/>
      <c r="J150" s="24" t="n">
        <f aca="false">N(G150)+N(H150)-N(I150)</f>
        <v>0</v>
      </c>
      <c r="K150" s="33" t="n">
        <f aca="false">'Jan 2027'!N150</f>
        <v>0</v>
      </c>
      <c r="L150" s="33" t="n">
        <f aca="false">IF(B150="",0,N(Students!G139))</f>
        <v>0</v>
      </c>
      <c r="M150" s="23"/>
      <c r="N150" s="24" t="n">
        <f aca="false">N(K150)+N(L150)-N(M150)</f>
        <v>0</v>
      </c>
      <c r="O150" s="33" t="n">
        <f aca="false">'Jan 2027'!R150</f>
        <v>0</v>
      </c>
      <c r="P150" s="33" t="n">
        <f aca="false">IF(B150="",0,N(Students!H139))</f>
        <v>0</v>
      </c>
      <c r="Q150" s="23"/>
      <c r="R150" s="24" t="n">
        <f aca="false">N(O150)+N(P150)-N(Q150)</f>
        <v>0</v>
      </c>
      <c r="S150" s="33" t="n">
        <f aca="false">'Jan 2027'!V150</f>
        <v>0</v>
      </c>
      <c r="T150" s="33" t="n">
        <f aca="false">IF(B150="",0,N(Students!I139))</f>
        <v>0</v>
      </c>
      <c r="U150" s="23"/>
      <c r="V150" s="24" t="n">
        <f aca="false">N(S150)+N(T150)-N(U150)</f>
        <v>0</v>
      </c>
      <c r="W150" s="33" t="n">
        <f aca="false">'Jan 2027'!Z150</f>
        <v>0</v>
      </c>
      <c r="X150" s="33" t="n">
        <f aca="false">IF(B150="",0,N(Students!J139))</f>
        <v>0</v>
      </c>
      <c r="Y150" s="23"/>
      <c r="Z150" s="24" t="n">
        <f aca="false">N(W150)+N(X150)-N(Y150)</f>
        <v>0</v>
      </c>
      <c r="AA150" s="33" t="n">
        <f aca="false">N(E150)+N(I150)+N(M150)+N(Q150)+N(U150)+N(Y150)</f>
        <v>0</v>
      </c>
      <c r="AB150" s="24" t="n">
        <f aca="false">F150+J150+N150+R150+V150+Z150</f>
        <v>0</v>
      </c>
      <c r="AC150" s="81" t="str">
        <f aca="false">IF(B150="","",IF(AB150&lt;=0,"Clear",IF(AA150&gt;0,"Partial","Due")))</f>
        <v/>
      </c>
    </row>
    <row r="151" customFormat="false" ht="15" hidden="false" customHeight="false" outlineLevel="0" collapsed="false">
      <c r="A151" s="25" t="n">
        <v>136</v>
      </c>
      <c r="B151" s="82" t="str">
        <f aca="false">IF(Students!B140="","",Students!B140)</f>
        <v/>
      </c>
      <c r="C151" s="37" t="n">
        <f aca="false">'Jan 2027'!F151</f>
        <v>0</v>
      </c>
      <c r="D151" s="37" t="n">
        <f aca="false">IF(B151="",0,N(Students!E140))</f>
        <v>0</v>
      </c>
      <c r="E151" s="23"/>
      <c r="F151" s="26" t="n">
        <f aca="false">N(C151)+N(D151)-N(E151)</f>
        <v>0</v>
      </c>
      <c r="G151" s="37" t="n">
        <f aca="false">'Jan 2027'!J151</f>
        <v>0</v>
      </c>
      <c r="H151" s="37" t="n">
        <f aca="false">IF(B151="",0,N(Students!F140))</f>
        <v>0</v>
      </c>
      <c r="I151" s="23"/>
      <c r="J151" s="26" t="n">
        <f aca="false">N(G151)+N(H151)-N(I151)</f>
        <v>0</v>
      </c>
      <c r="K151" s="37" t="n">
        <f aca="false">'Jan 2027'!N151</f>
        <v>0</v>
      </c>
      <c r="L151" s="37" t="n">
        <f aca="false">IF(B151="",0,N(Students!G140))</f>
        <v>0</v>
      </c>
      <c r="M151" s="23"/>
      <c r="N151" s="26" t="n">
        <f aca="false">N(K151)+N(L151)-N(M151)</f>
        <v>0</v>
      </c>
      <c r="O151" s="37" t="n">
        <f aca="false">'Jan 2027'!R151</f>
        <v>0</v>
      </c>
      <c r="P151" s="37" t="n">
        <f aca="false">IF(B151="",0,N(Students!H140))</f>
        <v>0</v>
      </c>
      <c r="Q151" s="23"/>
      <c r="R151" s="26" t="n">
        <f aca="false">N(O151)+N(P151)-N(Q151)</f>
        <v>0</v>
      </c>
      <c r="S151" s="37" t="n">
        <f aca="false">'Jan 2027'!V151</f>
        <v>0</v>
      </c>
      <c r="T151" s="37" t="n">
        <f aca="false">IF(B151="",0,N(Students!I140))</f>
        <v>0</v>
      </c>
      <c r="U151" s="23"/>
      <c r="V151" s="26" t="n">
        <f aca="false">N(S151)+N(T151)-N(U151)</f>
        <v>0</v>
      </c>
      <c r="W151" s="37" t="n">
        <f aca="false">'Jan 2027'!Z151</f>
        <v>0</v>
      </c>
      <c r="X151" s="37" t="n">
        <f aca="false">IF(B151="",0,N(Students!J140))</f>
        <v>0</v>
      </c>
      <c r="Y151" s="23"/>
      <c r="Z151" s="26" t="n">
        <f aca="false">N(W151)+N(X151)-N(Y151)</f>
        <v>0</v>
      </c>
      <c r="AA151" s="37" t="n">
        <f aca="false">N(E151)+N(I151)+N(M151)+N(Q151)+N(U151)+N(Y151)</f>
        <v>0</v>
      </c>
      <c r="AB151" s="26" t="n">
        <f aca="false">F151+J151+N151+R151+V151+Z151</f>
        <v>0</v>
      </c>
      <c r="AC151" s="83" t="str">
        <f aca="false">IF(B151="","",IF(AB151&lt;=0,"Clear",IF(AA151&gt;0,"Partial","Due")))</f>
        <v/>
      </c>
    </row>
    <row r="152" customFormat="false" ht="15" hidden="false" customHeight="false" outlineLevel="0" collapsed="false">
      <c r="A152" s="21" t="n">
        <v>137</v>
      </c>
      <c r="B152" s="46" t="str">
        <f aca="false">IF(Students!B141="","",Students!B141)</f>
        <v/>
      </c>
      <c r="C152" s="33" t="n">
        <f aca="false">'Jan 2027'!F152</f>
        <v>0</v>
      </c>
      <c r="D152" s="33" t="n">
        <f aca="false">IF(B152="",0,N(Students!E141))</f>
        <v>0</v>
      </c>
      <c r="E152" s="23"/>
      <c r="F152" s="24" t="n">
        <f aca="false">N(C152)+N(D152)-N(E152)</f>
        <v>0</v>
      </c>
      <c r="G152" s="33" t="n">
        <f aca="false">'Jan 2027'!J152</f>
        <v>0</v>
      </c>
      <c r="H152" s="33" t="n">
        <f aca="false">IF(B152="",0,N(Students!F141))</f>
        <v>0</v>
      </c>
      <c r="I152" s="23"/>
      <c r="J152" s="24" t="n">
        <f aca="false">N(G152)+N(H152)-N(I152)</f>
        <v>0</v>
      </c>
      <c r="K152" s="33" t="n">
        <f aca="false">'Jan 2027'!N152</f>
        <v>0</v>
      </c>
      <c r="L152" s="33" t="n">
        <f aca="false">IF(B152="",0,N(Students!G141))</f>
        <v>0</v>
      </c>
      <c r="M152" s="23"/>
      <c r="N152" s="24" t="n">
        <f aca="false">N(K152)+N(L152)-N(M152)</f>
        <v>0</v>
      </c>
      <c r="O152" s="33" t="n">
        <f aca="false">'Jan 2027'!R152</f>
        <v>0</v>
      </c>
      <c r="P152" s="33" t="n">
        <f aca="false">IF(B152="",0,N(Students!H141))</f>
        <v>0</v>
      </c>
      <c r="Q152" s="23"/>
      <c r="R152" s="24" t="n">
        <f aca="false">N(O152)+N(P152)-N(Q152)</f>
        <v>0</v>
      </c>
      <c r="S152" s="33" t="n">
        <f aca="false">'Jan 2027'!V152</f>
        <v>0</v>
      </c>
      <c r="T152" s="33" t="n">
        <f aca="false">IF(B152="",0,N(Students!I141))</f>
        <v>0</v>
      </c>
      <c r="U152" s="23"/>
      <c r="V152" s="24" t="n">
        <f aca="false">N(S152)+N(T152)-N(U152)</f>
        <v>0</v>
      </c>
      <c r="W152" s="33" t="n">
        <f aca="false">'Jan 2027'!Z152</f>
        <v>0</v>
      </c>
      <c r="X152" s="33" t="n">
        <f aca="false">IF(B152="",0,N(Students!J141))</f>
        <v>0</v>
      </c>
      <c r="Y152" s="23"/>
      <c r="Z152" s="24" t="n">
        <f aca="false">N(W152)+N(X152)-N(Y152)</f>
        <v>0</v>
      </c>
      <c r="AA152" s="33" t="n">
        <f aca="false">N(E152)+N(I152)+N(M152)+N(Q152)+N(U152)+N(Y152)</f>
        <v>0</v>
      </c>
      <c r="AB152" s="24" t="n">
        <f aca="false">F152+J152+N152+R152+V152+Z152</f>
        <v>0</v>
      </c>
      <c r="AC152" s="81" t="str">
        <f aca="false">IF(B152="","",IF(AB152&lt;=0,"Clear",IF(AA152&gt;0,"Partial","Due")))</f>
        <v/>
      </c>
    </row>
    <row r="153" customFormat="false" ht="15" hidden="false" customHeight="false" outlineLevel="0" collapsed="false">
      <c r="A153" s="25" t="n">
        <v>138</v>
      </c>
      <c r="B153" s="82" t="str">
        <f aca="false">IF(Students!B142="","",Students!B142)</f>
        <v/>
      </c>
      <c r="C153" s="37" t="n">
        <f aca="false">'Jan 2027'!F153</f>
        <v>0</v>
      </c>
      <c r="D153" s="37" t="n">
        <f aca="false">IF(B153="",0,N(Students!E142))</f>
        <v>0</v>
      </c>
      <c r="E153" s="23"/>
      <c r="F153" s="26" t="n">
        <f aca="false">N(C153)+N(D153)-N(E153)</f>
        <v>0</v>
      </c>
      <c r="G153" s="37" t="n">
        <f aca="false">'Jan 2027'!J153</f>
        <v>0</v>
      </c>
      <c r="H153" s="37" t="n">
        <f aca="false">IF(B153="",0,N(Students!F142))</f>
        <v>0</v>
      </c>
      <c r="I153" s="23"/>
      <c r="J153" s="26" t="n">
        <f aca="false">N(G153)+N(H153)-N(I153)</f>
        <v>0</v>
      </c>
      <c r="K153" s="37" t="n">
        <f aca="false">'Jan 2027'!N153</f>
        <v>0</v>
      </c>
      <c r="L153" s="37" t="n">
        <f aca="false">IF(B153="",0,N(Students!G142))</f>
        <v>0</v>
      </c>
      <c r="M153" s="23"/>
      <c r="N153" s="26" t="n">
        <f aca="false">N(K153)+N(L153)-N(M153)</f>
        <v>0</v>
      </c>
      <c r="O153" s="37" t="n">
        <f aca="false">'Jan 2027'!R153</f>
        <v>0</v>
      </c>
      <c r="P153" s="37" t="n">
        <f aca="false">IF(B153="",0,N(Students!H142))</f>
        <v>0</v>
      </c>
      <c r="Q153" s="23"/>
      <c r="R153" s="26" t="n">
        <f aca="false">N(O153)+N(P153)-N(Q153)</f>
        <v>0</v>
      </c>
      <c r="S153" s="37" t="n">
        <f aca="false">'Jan 2027'!V153</f>
        <v>0</v>
      </c>
      <c r="T153" s="37" t="n">
        <f aca="false">IF(B153="",0,N(Students!I142))</f>
        <v>0</v>
      </c>
      <c r="U153" s="23"/>
      <c r="V153" s="26" t="n">
        <f aca="false">N(S153)+N(T153)-N(U153)</f>
        <v>0</v>
      </c>
      <c r="W153" s="37" t="n">
        <f aca="false">'Jan 2027'!Z153</f>
        <v>0</v>
      </c>
      <c r="X153" s="37" t="n">
        <f aca="false">IF(B153="",0,N(Students!J142))</f>
        <v>0</v>
      </c>
      <c r="Y153" s="23"/>
      <c r="Z153" s="26" t="n">
        <f aca="false">N(W153)+N(X153)-N(Y153)</f>
        <v>0</v>
      </c>
      <c r="AA153" s="37" t="n">
        <f aca="false">N(E153)+N(I153)+N(M153)+N(Q153)+N(U153)+N(Y153)</f>
        <v>0</v>
      </c>
      <c r="AB153" s="26" t="n">
        <f aca="false">F153+J153+N153+R153+V153+Z153</f>
        <v>0</v>
      </c>
      <c r="AC153" s="83" t="str">
        <f aca="false">IF(B153="","",IF(AB153&lt;=0,"Clear",IF(AA153&gt;0,"Partial","Due")))</f>
        <v/>
      </c>
    </row>
    <row r="154" customFormat="false" ht="15" hidden="false" customHeight="false" outlineLevel="0" collapsed="false">
      <c r="A154" s="21" t="n">
        <v>139</v>
      </c>
      <c r="B154" s="46" t="str">
        <f aca="false">IF(Students!B143="","",Students!B143)</f>
        <v/>
      </c>
      <c r="C154" s="33" t="n">
        <f aca="false">'Jan 2027'!F154</f>
        <v>0</v>
      </c>
      <c r="D154" s="33" t="n">
        <f aca="false">IF(B154="",0,N(Students!E143))</f>
        <v>0</v>
      </c>
      <c r="E154" s="23"/>
      <c r="F154" s="24" t="n">
        <f aca="false">N(C154)+N(D154)-N(E154)</f>
        <v>0</v>
      </c>
      <c r="G154" s="33" t="n">
        <f aca="false">'Jan 2027'!J154</f>
        <v>0</v>
      </c>
      <c r="H154" s="33" t="n">
        <f aca="false">IF(B154="",0,N(Students!F143))</f>
        <v>0</v>
      </c>
      <c r="I154" s="23"/>
      <c r="J154" s="24" t="n">
        <f aca="false">N(G154)+N(H154)-N(I154)</f>
        <v>0</v>
      </c>
      <c r="K154" s="33" t="n">
        <f aca="false">'Jan 2027'!N154</f>
        <v>0</v>
      </c>
      <c r="L154" s="33" t="n">
        <f aca="false">IF(B154="",0,N(Students!G143))</f>
        <v>0</v>
      </c>
      <c r="M154" s="23"/>
      <c r="N154" s="24" t="n">
        <f aca="false">N(K154)+N(L154)-N(M154)</f>
        <v>0</v>
      </c>
      <c r="O154" s="33" t="n">
        <f aca="false">'Jan 2027'!R154</f>
        <v>0</v>
      </c>
      <c r="P154" s="33" t="n">
        <f aca="false">IF(B154="",0,N(Students!H143))</f>
        <v>0</v>
      </c>
      <c r="Q154" s="23"/>
      <c r="R154" s="24" t="n">
        <f aca="false">N(O154)+N(P154)-N(Q154)</f>
        <v>0</v>
      </c>
      <c r="S154" s="33" t="n">
        <f aca="false">'Jan 2027'!V154</f>
        <v>0</v>
      </c>
      <c r="T154" s="33" t="n">
        <f aca="false">IF(B154="",0,N(Students!I143))</f>
        <v>0</v>
      </c>
      <c r="U154" s="23"/>
      <c r="V154" s="24" t="n">
        <f aca="false">N(S154)+N(T154)-N(U154)</f>
        <v>0</v>
      </c>
      <c r="W154" s="33" t="n">
        <f aca="false">'Jan 2027'!Z154</f>
        <v>0</v>
      </c>
      <c r="X154" s="33" t="n">
        <f aca="false">IF(B154="",0,N(Students!J143))</f>
        <v>0</v>
      </c>
      <c r="Y154" s="23"/>
      <c r="Z154" s="24" t="n">
        <f aca="false">N(W154)+N(X154)-N(Y154)</f>
        <v>0</v>
      </c>
      <c r="AA154" s="33" t="n">
        <f aca="false">N(E154)+N(I154)+N(M154)+N(Q154)+N(U154)+N(Y154)</f>
        <v>0</v>
      </c>
      <c r="AB154" s="24" t="n">
        <f aca="false">F154+J154+N154+R154+V154+Z154</f>
        <v>0</v>
      </c>
      <c r="AC154" s="81" t="str">
        <f aca="false">IF(B154="","",IF(AB154&lt;=0,"Clear",IF(AA154&gt;0,"Partial","Due")))</f>
        <v/>
      </c>
    </row>
    <row r="155" customFormat="false" ht="15" hidden="false" customHeight="false" outlineLevel="0" collapsed="false">
      <c r="A155" s="25" t="n">
        <v>140</v>
      </c>
      <c r="B155" s="82" t="str">
        <f aca="false">IF(Students!B144="","",Students!B144)</f>
        <v/>
      </c>
      <c r="C155" s="37" t="n">
        <f aca="false">'Jan 2027'!F155</f>
        <v>0</v>
      </c>
      <c r="D155" s="37" t="n">
        <f aca="false">IF(B155="",0,N(Students!E144))</f>
        <v>0</v>
      </c>
      <c r="E155" s="23"/>
      <c r="F155" s="26" t="n">
        <f aca="false">N(C155)+N(D155)-N(E155)</f>
        <v>0</v>
      </c>
      <c r="G155" s="37" t="n">
        <f aca="false">'Jan 2027'!J155</f>
        <v>0</v>
      </c>
      <c r="H155" s="37" t="n">
        <f aca="false">IF(B155="",0,N(Students!F144))</f>
        <v>0</v>
      </c>
      <c r="I155" s="23"/>
      <c r="J155" s="26" t="n">
        <f aca="false">N(G155)+N(H155)-N(I155)</f>
        <v>0</v>
      </c>
      <c r="K155" s="37" t="n">
        <f aca="false">'Jan 2027'!N155</f>
        <v>0</v>
      </c>
      <c r="L155" s="37" t="n">
        <f aca="false">IF(B155="",0,N(Students!G144))</f>
        <v>0</v>
      </c>
      <c r="M155" s="23"/>
      <c r="N155" s="26" t="n">
        <f aca="false">N(K155)+N(L155)-N(M155)</f>
        <v>0</v>
      </c>
      <c r="O155" s="37" t="n">
        <f aca="false">'Jan 2027'!R155</f>
        <v>0</v>
      </c>
      <c r="P155" s="37" t="n">
        <f aca="false">IF(B155="",0,N(Students!H144))</f>
        <v>0</v>
      </c>
      <c r="Q155" s="23"/>
      <c r="R155" s="26" t="n">
        <f aca="false">N(O155)+N(P155)-N(Q155)</f>
        <v>0</v>
      </c>
      <c r="S155" s="37" t="n">
        <f aca="false">'Jan 2027'!V155</f>
        <v>0</v>
      </c>
      <c r="T155" s="37" t="n">
        <f aca="false">IF(B155="",0,N(Students!I144))</f>
        <v>0</v>
      </c>
      <c r="U155" s="23"/>
      <c r="V155" s="26" t="n">
        <f aca="false">N(S155)+N(T155)-N(U155)</f>
        <v>0</v>
      </c>
      <c r="W155" s="37" t="n">
        <f aca="false">'Jan 2027'!Z155</f>
        <v>0</v>
      </c>
      <c r="X155" s="37" t="n">
        <f aca="false">IF(B155="",0,N(Students!J144))</f>
        <v>0</v>
      </c>
      <c r="Y155" s="23"/>
      <c r="Z155" s="26" t="n">
        <f aca="false">N(W155)+N(X155)-N(Y155)</f>
        <v>0</v>
      </c>
      <c r="AA155" s="37" t="n">
        <f aca="false">N(E155)+N(I155)+N(M155)+N(Q155)+N(U155)+N(Y155)</f>
        <v>0</v>
      </c>
      <c r="AB155" s="26" t="n">
        <f aca="false">F155+J155+N155+R155+V155+Z155</f>
        <v>0</v>
      </c>
      <c r="AC155" s="83" t="str">
        <f aca="false">IF(B155="","",IF(AB155&lt;=0,"Clear",IF(AA155&gt;0,"Partial","Due")))</f>
        <v/>
      </c>
    </row>
    <row r="156" customFormat="false" ht="15" hidden="false" customHeight="false" outlineLevel="0" collapsed="false">
      <c r="A156" s="21" t="n">
        <v>141</v>
      </c>
      <c r="B156" s="46" t="str">
        <f aca="false">IF(Students!B145="","",Students!B145)</f>
        <v/>
      </c>
      <c r="C156" s="33" t="n">
        <f aca="false">'Jan 2027'!F156</f>
        <v>0</v>
      </c>
      <c r="D156" s="33" t="n">
        <f aca="false">IF(B156="",0,N(Students!E145))</f>
        <v>0</v>
      </c>
      <c r="E156" s="23"/>
      <c r="F156" s="24" t="n">
        <f aca="false">N(C156)+N(D156)-N(E156)</f>
        <v>0</v>
      </c>
      <c r="G156" s="33" t="n">
        <f aca="false">'Jan 2027'!J156</f>
        <v>0</v>
      </c>
      <c r="H156" s="33" t="n">
        <f aca="false">IF(B156="",0,N(Students!F145))</f>
        <v>0</v>
      </c>
      <c r="I156" s="23"/>
      <c r="J156" s="24" t="n">
        <f aca="false">N(G156)+N(H156)-N(I156)</f>
        <v>0</v>
      </c>
      <c r="K156" s="33" t="n">
        <f aca="false">'Jan 2027'!N156</f>
        <v>0</v>
      </c>
      <c r="L156" s="33" t="n">
        <f aca="false">IF(B156="",0,N(Students!G145))</f>
        <v>0</v>
      </c>
      <c r="M156" s="23"/>
      <c r="N156" s="24" t="n">
        <f aca="false">N(K156)+N(L156)-N(M156)</f>
        <v>0</v>
      </c>
      <c r="O156" s="33" t="n">
        <f aca="false">'Jan 2027'!R156</f>
        <v>0</v>
      </c>
      <c r="P156" s="33" t="n">
        <f aca="false">IF(B156="",0,N(Students!H145))</f>
        <v>0</v>
      </c>
      <c r="Q156" s="23"/>
      <c r="R156" s="24" t="n">
        <f aca="false">N(O156)+N(P156)-N(Q156)</f>
        <v>0</v>
      </c>
      <c r="S156" s="33" t="n">
        <f aca="false">'Jan 2027'!V156</f>
        <v>0</v>
      </c>
      <c r="T156" s="33" t="n">
        <f aca="false">IF(B156="",0,N(Students!I145))</f>
        <v>0</v>
      </c>
      <c r="U156" s="23"/>
      <c r="V156" s="24" t="n">
        <f aca="false">N(S156)+N(T156)-N(U156)</f>
        <v>0</v>
      </c>
      <c r="W156" s="33" t="n">
        <f aca="false">'Jan 2027'!Z156</f>
        <v>0</v>
      </c>
      <c r="X156" s="33" t="n">
        <f aca="false">IF(B156="",0,N(Students!J145))</f>
        <v>0</v>
      </c>
      <c r="Y156" s="23"/>
      <c r="Z156" s="24" t="n">
        <f aca="false">N(W156)+N(X156)-N(Y156)</f>
        <v>0</v>
      </c>
      <c r="AA156" s="33" t="n">
        <f aca="false">N(E156)+N(I156)+N(M156)+N(Q156)+N(U156)+N(Y156)</f>
        <v>0</v>
      </c>
      <c r="AB156" s="24" t="n">
        <f aca="false">F156+J156+N156+R156+V156+Z156</f>
        <v>0</v>
      </c>
      <c r="AC156" s="81" t="str">
        <f aca="false">IF(B156="","",IF(AB156&lt;=0,"Clear",IF(AA156&gt;0,"Partial","Due")))</f>
        <v/>
      </c>
    </row>
    <row r="157" customFormat="false" ht="15" hidden="false" customHeight="false" outlineLevel="0" collapsed="false">
      <c r="A157" s="25" t="n">
        <v>142</v>
      </c>
      <c r="B157" s="82" t="str">
        <f aca="false">IF(Students!B146="","",Students!B146)</f>
        <v/>
      </c>
      <c r="C157" s="37" t="n">
        <f aca="false">'Jan 2027'!F157</f>
        <v>0</v>
      </c>
      <c r="D157" s="37" t="n">
        <f aca="false">IF(B157="",0,N(Students!E146))</f>
        <v>0</v>
      </c>
      <c r="E157" s="23"/>
      <c r="F157" s="26" t="n">
        <f aca="false">N(C157)+N(D157)-N(E157)</f>
        <v>0</v>
      </c>
      <c r="G157" s="37" t="n">
        <f aca="false">'Jan 2027'!J157</f>
        <v>0</v>
      </c>
      <c r="H157" s="37" t="n">
        <f aca="false">IF(B157="",0,N(Students!F146))</f>
        <v>0</v>
      </c>
      <c r="I157" s="23"/>
      <c r="J157" s="26" t="n">
        <f aca="false">N(G157)+N(H157)-N(I157)</f>
        <v>0</v>
      </c>
      <c r="K157" s="37" t="n">
        <f aca="false">'Jan 2027'!N157</f>
        <v>0</v>
      </c>
      <c r="L157" s="37" t="n">
        <f aca="false">IF(B157="",0,N(Students!G146))</f>
        <v>0</v>
      </c>
      <c r="M157" s="23"/>
      <c r="N157" s="26" t="n">
        <f aca="false">N(K157)+N(L157)-N(M157)</f>
        <v>0</v>
      </c>
      <c r="O157" s="37" t="n">
        <f aca="false">'Jan 2027'!R157</f>
        <v>0</v>
      </c>
      <c r="P157" s="37" t="n">
        <f aca="false">IF(B157="",0,N(Students!H146))</f>
        <v>0</v>
      </c>
      <c r="Q157" s="23"/>
      <c r="R157" s="26" t="n">
        <f aca="false">N(O157)+N(P157)-N(Q157)</f>
        <v>0</v>
      </c>
      <c r="S157" s="37" t="n">
        <f aca="false">'Jan 2027'!V157</f>
        <v>0</v>
      </c>
      <c r="T157" s="37" t="n">
        <f aca="false">IF(B157="",0,N(Students!I146))</f>
        <v>0</v>
      </c>
      <c r="U157" s="23"/>
      <c r="V157" s="26" t="n">
        <f aca="false">N(S157)+N(T157)-N(U157)</f>
        <v>0</v>
      </c>
      <c r="W157" s="37" t="n">
        <f aca="false">'Jan 2027'!Z157</f>
        <v>0</v>
      </c>
      <c r="X157" s="37" t="n">
        <f aca="false">IF(B157="",0,N(Students!J146))</f>
        <v>0</v>
      </c>
      <c r="Y157" s="23"/>
      <c r="Z157" s="26" t="n">
        <f aca="false">N(W157)+N(X157)-N(Y157)</f>
        <v>0</v>
      </c>
      <c r="AA157" s="37" t="n">
        <f aca="false">N(E157)+N(I157)+N(M157)+N(Q157)+N(U157)+N(Y157)</f>
        <v>0</v>
      </c>
      <c r="AB157" s="26" t="n">
        <f aca="false">F157+J157+N157+R157+V157+Z157</f>
        <v>0</v>
      </c>
      <c r="AC157" s="83" t="str">
        <f aca="false">IF(B157="","",IF(AB157&lt;=0,"Clear",IF(AA157&gt;0,"Partial","Due")))</f>
        <v/>
      </c>
    </row>
    <row r="158" customFormat="false" ht="15" hidden="false" customHeight="false" outlineLevel="0" collapsed="false">
      <c r="A158" s="21" t="n">
        <v>143</v>
      </c>
      <c r="B158" s="46" t="str">
        <f aca="false">IF(Students!B147="","",Students!B147)</f>
        <v/>
      </c>
      <c r="C158" s="33" t="n">
        <f aca="false">'Jan 2027'!F158</f>
        <v>0</v>
      </c>
      <c r="D158" s="33" t="n">
        <f aca="false">IF(B158="",0,N(Students!E147))</f>
        <v>0</v>
      </c>
      <c r="E158" s="23"/>
      <c r="F158" s="24" t="n">
        <f aca="false">N(C158)+N(D158)-N(E158)</f>
        <v>0</v>
      </c>
      <c r="G158" s="33" t="n">
        <f aca="false">'Jan 2027'!J158</f>
        <v>0</v>
      </c>
      <c r="H158" s="33" t="n">
        <f aca="false">IF(B158="",0,N(Students!F147))</f>
        <v>0</v>
      </c>
      <c r="I158" s="23"/>
      <c r="J158" s="24" t="n">
        <f aca="false">N(G158)+N(H158)-N(I158)</f>
        <v>0</v>
      </c>
      <c r="K158" s="33" t="n">
        <f aca="false">'Jan 2027'!N158</f>
        <v>0</v>
      </c>
      <c r="L158" s="33" t="n">
        <f aca="false">IF(B158="",0,N(Students!G147))</f>
        <v>0</v>
      </c>
      <c r="M158" s="23"/>
      <c r="N158" s="24" t="n">
        <f aca="false">N(K158)+N(L158)-N(M158)</f>
        <v>0</v>
      </c>
      <c r="O158" s="33" t="n">
        <f aca="false">'Jan 2027'!R158</f>
        <v>0</v>
      </c>
      <c r="P158" s="33" t="n">
        <f aca="false">IF(B158="",0,N(Students!H147))</f>
        <v>0</v>
      </c>
      <c r="Q158" s="23"/>
      <c r="R158" s="24" t="n">
        <f aca="false">N(O158)+N(P158)-N(Q158)</f>
        <v>0</v>
      </c>
      <c r="S158" s="33" t="n">
        <f aca="false">'Jan 2027'!V158</f>
        <v>0</v>
      </c>
      <c r="T158" s="33" t="n">
        <f aca="false">IF(B158="",0,N(Students!I147))</f>
        <v>0</v>
      </c>
      <c r="U158" s="23"/>
      <c r="V158" s="24" t="n">
        <f aca="false">N(S158)+N(T158)-N(U158)</f>
        <v>0</v>
      </c>
      <c r="W158" s="33" t="n">
        <f aca="false">'Jan 2027'!Z158</f>
        <v>0</v>
      </c>
      <c r="X158" s="33" t="n">
        <f aca="false">IF(B158="",0,N(Students!J147))</f>
        <v>0</v>
      </c>
      <c r="Y158" s="23"/>
      <c r="Z158" s="24" t="n">
        <f aca="false">N(W158)+N(X158)-N(Y158)</f>
        <v>0</v>
      </c>
      <c r="AA158" s="33" t="n">
        <f aca="false">N(E158)+N(I158)+N(M158)+N(Q158)+N(U158)+N(Y158)</f>
        <v>0</v>
      </c>
      <c r="AB158" s="24" t="n">
        <f aca="false">F158+J158+N158+R158+V158+Z158</f>
        <v>0</v>
      </c>
      <c r="AC158" s="81" t="str">
        <f aca="false">IF(B158="","",IF(AB158&lt;=0,"Clear",IF(AA158&gt;0,"Partial","Due")))</f>
        <v/>
      </c>
    </row>
    <row r="159" customFormat="false" ht="15" hidden="false" customHeight="false" outlineLevel="0" collapsed="false">
      <c r="A159" s="25" t="n">
        <v>144</v>
      </c>
      <c r="B159" s="82" t="str">
        <f aca="false">IF(Students!B148="","",Students!B148)</f>
        <v/>
      </c>
      <c r="C159" s="37" t="n">
        <f aca="false">'Jan 2027'!F159</f>
        <v>0</v>
      </c>
      <c r="D159" s="37" t="n">
        <f aca="false">IF(B159="",0,N(Students!E148))</f>
        <v>0</v>
      </c>
      <c r="E159" s="23"/>
      <c r="F159" s="26" t="n">
        <f aca="false">N(C159)+N(D159)-N(E159)</f>
        <v>0</v>
      </c>
      <c r="G159" s="37" t="n">
        <f aca="false">'Jan 2027'!J159</f>
        <v>0</v>
      </c>
      <c r="H159" s="37" t="n">
        <f aca="false">IF(B159="",0,N(Students!F148))</f>
        <v>0</v>
      </c>
      <c r="I159" s="23"/>
      <c r="J159" s="26" t="n">
        <f aca="false">N(G159)+N(H159)-N(I159)</f>
        <v>0</v>
      </c>
      <c r="K159" s="37" t="n">
        <f aca="false">'Jan 2027'!N159</f>
        <v>0</v>
      </c>
      <c r="L159" s="37" t="n">
        <f aca="false">IF(B159="",0,N(Students!G148))</f>
        <v>0</v>
      </c>
      <c r="M159" s="23"/>
      <c r="N159" s="26" t="n">
        <f aca="false">N(K159)+N(L159)-N(M159)</f>
        <v>0</v>
      </c>
      <c r="O159" s="37" t="n">
        <f aca="false">'Jan 2027'!R159</f>
        <v>0</v>
      </c>
      <c r="P159" s="37" t="n">
        <f aca="false">IF(B159="",0,N(Students!H148))</f>
        <v>0</v>
      </c>
      <c r="Q159" s="23"/>
      <c r="R159" s="26" t="n">
        <f aca="false">N(O159)+N(P159)-N(Q159)</f>
        <v>0</v>
      </c>
      <c r="S159" s="37" t="n">
        <f aca="false">'Jan 2027'!V159</f>
        <v>0</v>
      </c>
      <c r="T159" s="37" t="n">
        <f aca="false">IF(B159="",0,N(Students!I148))</f>
        <v>0</v>
      </c>
      <c r="U159" s="23"/>
      <c r="V159" s="26" t="n">
        <f aca="false">N(S159)+N(T159)-N(U159)</f>
        <v>0</v>
      </c>
      <c r="W159" s="37" t="n">
        <f aca="false">'Jan 2027'!Z159</f>
        <v>0</v>
      </c>
      <c r="X159" s="37" t="n">
        <f aca="false">IF(B159="",0,N(Students!J148))</f>
        <v>0</v>
      </c>
      <c r="Y159" s="23"/>
      <c r="Z159" s="26" t="n">
        <f aca="false">N(W159)+N(X159)-N(Y159)</f>
        <v>0</v>
      </c>
      <c r="AA159" s="37" t="n">
        <f aca="false">N(E159)+N(I159)+N(M159)+N(Q159)+N(U159)+N(Y159)</f>
        <v>0</v>
      </c>
      <c r="AB159" s="26" t="n">
        <f aca="false">F159+J159+N159+R159+V159+Z159</f>
        <v>0</v>
      </c>
      <c r="AC159" s="83" t="str">
        <f aca="false">IF(B159="","",IF(AB159&lt;=0,"Clear",IF(AA159&gt;0,"Partial","Due")))</f>
        <v/>
      </c>
    </row>
    <row r="160" customFormat="false" ht="15" hidden="false" customHeight="false" outlineLevel="0" collapsed="false">
      <c r="A160" s="21" t="n">
        <v>145</v>
      </c>
      <c r="B160" s="46" t="str">
        <f aca="false">IF(Students!B149="","",Students!B149)</f>
        <v/>
      </c>
      <c r="C160" s="33" t="n">
        <f aca="false">'Jan 2027'!F160</f>
        <v>0</v>
      </c>
      <c r="D160" s="33" t="n">
        <f aca="false">IF(B160="",0,N(Students!E149))</f>
        <v>0</v>
      </c>
      <c r="E160" s="23"/>
      <c r="F160" s="24" t="n">
        <f aca="false">N(C160)+N(D160)-N(E160)</f>
        <v>0</v>
      </c>
      <c r="G160" s="33" t="n">
        <f aca="false">'Jan 2027'!J160</f>
        <v>0</v>
      </c>
      <c r="H160" s="33" t="n">
        <f aca="false">IF(B160="",0,N(Students!F149))</f>
        <v>0</v>
      </c>
      <c r="I160" s="23"/>
      <c r="J160" s="24" t="n">
        <f aca="false">N(G160)+N(H160)-N(I160)</f>
        <v>0</v>
      </c>
      <c r="K160" s="33" t="n">
        <f aca="false">'Jan 2027'!N160</f>
        <v>0</v>
      </c>
      <c r="L160" s="33" t="n">
        <f aca="false">IF(B160="",0,N(Students!G149))</f>
        <v>0</v>
      </c>
      <c r="M160" s="23"/>
      <c r="N160" s="24" t="n">
        <f aca="false">N(K160)+N(L160)-N(M160)</f>
        <v>0</v>
      </c>
      <c r="O160" s="33" t="n">
        <f aca="false">'Jan 2027'!R160</f>
        <v>0</v>
      </c>
      <c r="P160" s="33" t="n">
        <f aca="false">IF(B160="",0,N(Students!H149))</f>
        <v>0</v>
      </c>
      <c r="Q160" s="23"/>
      <c r="R160" s="24" t="n">
        <f aca="false">N(O160)+N(P160)-N(Q160)</f>
        <v>0</v>
      </c>
      <c r="S160" s="33" t="n">
        <f aca="false">'Jan 2027'!V160</f>
        <v>0</v>
      </c>
      <c r="T160" s="33" t="n">
        <f aca="false">IF(B160="",0,N(Students!I149))</f>
        <v>0</v>
      </c>
      <c r="U160" s="23"/>
      <c r="V160" s="24" t="n">
        <f aca="false">N(S160)+N(T160)-N(U160)</f>
        <v>0</v>
      </c>
      <c r="W160" s="33" t="n">
        <f aca="false">'Jan 2027'!Z160</f>
        <v>0</v>
      </c>
      <c r="X160" s="33" t="n">
        <f aca="false">IF(B160="",0,N(Students!J149))</f>
        <v>0</v>
      </c>
      <c r="Y160" s="23"/>
      <c r="Z160" s="24" t="n">
        <f aca="false">N(W160)+N(X160)-N(Y160)</f>
        <v>0</v>
      </c>
      <c r="AA160" s="33" t="n">
        <f aca="false">N(E160)+N(I160)+N(M160)+N(Q160)+N(U160)+N(Y160)</f>
        <v>0</v>
      </c>
      <c r="AB160" s="24" t="n">
        <f aca="false">F160+J160+N160+R160+V160+Z160</f>
        <v>0</v>
      </c>
      <c r="AC160" s="81" t="str">
        <f aca="false">IF(B160="","",IF(AB160&lt;=0,"Clear",IF(AA160&gt;0,"Partial","Due")))</f>
        <v/>
      </c>
    </row>
    <row r="161" customFormat="false" ht="15" hidden="false" customHeight="false" outlineLevel="0" collapsed="false">
      <c r="A161" s="25" t="n">
        <v>146</v>
      </c>
      <c r="B161" s="82" t="str">
        <f aca="false">IF(Students!B150="","",Students!B150)</f>
        <v/>
      </c>
      <c r="C161" s="37" t="n">
        <f aca="false">'Jan 2027'!F161</f>
        <v>0</v>
      </c>
      <c r="D161" s="37" t="n">
        <f aca="false">IF(B161="",0,N(Students!E150))</f>
        <v>0</v>
      </c>
      <c r="E161" s="23"/>
      <c r="F161" s="26" t="n">
        <f aca="false">N(C161)+N(D161)-N(E161)</f>
        <v>0</v>
      </c>
      <c r="G161" s="37" t="n">
        <f aca="false">'Jan 2027'!J161</f>
        <v>0</v>
      </c>
      <c r="H161" s="37" t="n">
        <f aca="false">IF(B161="",0,N(Students!F150))</f>
        <v>0</v>
      </c>
      <c r="I161" s="23"/>
      <c r="J161" s="26" t="n">
        <f aca="false">N(G161)+N(H161)-N(I161)</f>
        <v>0</v>
      </c>
      <c r="K161" s="37" t="n">
        <f aca="false">'Jan 2027'!N161</f>
        <v>0</v>
      </c>
      <c r="L161" s="37" t="n">
        <f aca="false">IF(B161="",0,N(Students!G150))</f>
        <v>0</v>
      </c>
      <c r="M161" s="23"/>
      <c r="N161" s="26" t="n">
        <f aca="false">N(K161)+N(L161)-N(M161)</f>
        <v>0</v>
      </c>
      <c r="O161" s="37" t="n">
        <f aca="false">'Jan 2027'!R161</f>
        <v>0</v>
      </c>
      <c r="P161" s="37" t="n">
        <f aca="false">IF(B161="",0,N(Students!H150))</f>
        <v>0</v>
      </c>
      <c r="Q161" s="23"/>
      <c r="R161" s="26" t="n">
        <f aca="false">N(O161)+N(P161)-N(Q161)</f>
        <v>0</v>
      </c>
      <c r="S161" s="37" t="n">
        <f aca="false">'Jan 2027'!V161</f>
        <v>0</v>
      </c>
      <c r="T161" s="37" t="n">
        <f aca="false">IF(B161="",0,N(Students!I150))</f>
        <v>0</v>
      </c>
      <c r="U161" s="23"/>
      <c r="V161" s="26" t="n">
        <f aca="false">N(S161)+N(T161)-N(U161)</f>
        <v>0</v>
      </c>
      <c r="W161" s="37" t="n">
        <f aca="false">'Jan 2027'!Z161</f>
        <v>0</v>
      </c>
      <c r="X161" s="37" t="n">
        <f aca="false">IF(B161="",0,N(Students!J150))</f>
        <v>0</v>
      </c>
      <c r="Y161" s="23"/>
      <c r="Z161" s="26" t="n">
        <f aca="false">N(W161)+N(X161)-N(Y161)</f>
        <v>0</v>
      </c>
      <c r="AA161" s="37" t="n">
        <f aca="false">N(E161)+N(I161)+N(M161)+N(Q161)+N(U161)+N(Y161)</f>
        <v>0</v>
      </c>
      <c r="AB161" s="26" t="n">
        <f aca="false">F161+J161+N161+R161+V161+Z161</f>
        <v>0</v>
      </c>
      <c r="AC161" s="83" t="str">
        <f aca="false">IF(B161="","",IF(AB161&lt;=0,"Clear",IF(AA161&gt;0,"Partial","Due")))</f>
        <v/>
      </c>
    </row>
    <row r="162" customFormat="false" ht="15" hidden="false" customHeight="false" outlineLevel="0" collapsed="false">
      <c r="A162" s="21" t="n">
        <v>147</v>
      </c>
      <c r="B162" s="46" t="str">
        <f aca="false">IF(Students!B151="","",Students!B151)</f>
        <v/>
      </c>
      <c r="C162" s="33" t="n">
        <f aca="false">'Jan 2027'!F162</f>
        <v>0</v>
      </c>
      <c r="D162" s="33" t="n">
        <f aca="false">IF(B162="",0,N(Students!E151))</f>
        <v>0</v>
      </c>
      <c r="E162" s="23"/>
      <c r="F162" s="24" t="n">
        <f aca="false">N(C162)+N(D162)-N(E162)</f>
        <v>0</v>
      </c>
      <c r="G162" s="33" t="n">
        <f aca="false">'Jan 2027'!J162</f>
        <v>0</v>
      </c>
      <c r="H162" s="33" t="n">
        <f aca="false">IF(B162="",0,N(Students!F151))</f>
        <v>0</v>
      </c>
      <c r="I162" s="23"/>
      <c r="J162" s="24" t="n">
        <f aca="false">N(G162)+N(H162)-N(I162)</f>
        <v>0</v>
      </c>
      <c r="K162" s="33" t="n">
        <f aca="false">'Jan 2027'!N162</f>
        <v>0</v>
      </c>
      <c r="L162" s="33" t="n">
        <f aca="false">IF(B162="",0,N(Students!G151))</f>
        <v>0</v>
      </c>
      <c r="M162" s="23"/>
      <c r="N162" s="24" t="n">
        <f aca="false">N(K162)+N(L162)-N(M162)</f>
        <v>0</v>
      </c>
      <c r="O162" s="33" t="n">
        <f aca="false">'Jan 2027'!R162</f>
        <v>0</v>
      </c>
      <c r="P162" s="33" t="n">
        <f aca="false">IF(B162="",0,N(Students!H151))</f>
        <v>0</v>
      </c>
      <c r="Q162" s="23"/>
      <c r="R162" s="24" t="n">
        <f aca="false">N(O162)+N(P162)-N(Q162)</f>
        <v>0</v>
      </c>
      <c r="S162" s="33" t="n">
        <f aca="false">'Jan 2027'!V162</f>
        <v>0</v>
      </c>
      <c r="T162" s="33" t="n">
        <f aca="false">IF(B162="",0,N(Students!I151))</f>
        <v>0</v>
      </c>
      <c r="U162" s="23"/>
      <c r="V162" s="24" t="n">
        <f aca="false">N(S162)+N(T162)-N(U162)</f>
        <v>0</v>
      </c>
      <c r="W162" s="33" t="n">
        <f aca="false">'Jan 2027'!Z162</f>
        <v>0</v>
      </c>
      <c r="X162" s="33" t="n">
        <f aca="false">IF(B162="",0,N(Students!J151))</f>
        <v>0</v>
      </c>
      <c r="Y162" s="23"/>
      <c r="Z162" s="24" t="n">
        <f aca="false">N(W162)+N(X162)-N(Y162)</f>
        <v>0</v>
      </c>
      <c r="AA162" s="33" t="n">
        <f aca="false">N(E162)+N(I162)+N(M162)+N(Q162)+N(U162)+N(Y162)</f>
        <v>0</v>
      </c>
      <c r="AB162" s="24" t="n">
        <f aca="false">F162+J162+N162+R162+V162+Z162</f>
        <v>0</v>
      </c>
      <c r="AC162" s="81" t="str">
        <f aca="false">IF(B162="","",IF(AB162&lt;=0,"Clear",IF(AA162&gt;0,"Partial","Due")))</f>
        <v/>
      </c>
    </row>
    <row r="163" customFormat="false" ht="15" hidden="false" customHeight="false" outlineLevel="0" collapsed="false">
      <c r="A163" s="25" t="n">
        <v>148</v>
      </c>
      <c r="B163" s="82" t="str">
        <f aca="false">IF(Students!B152="","",Students!B152)</f>
        <v/>
      </c>
      <c r="C163" s="37" t="n">
        <f aca="false">'Jan 2027'!F163</f>
        <v>0</v>
      </c>
      <c r="D163" s="37" t="n">
        <f aca="false">IF(B163="",0,N(Students!E152))</f>
        <v>0</v>
      </c>
      <c r="E163" s="23"/>
      <c r="F163" s="26" t="n">
        <f aca="false">N(C163)+N(D163)-N(E163)</f>
        <v>0</v>
      </c>
      <c r="G163" s="37" t="n">
        <f aca="false">'Jan 2027'!J163</f>
        <v>0</v>
      </c>
      <c r="H163" s="37" t="n">
        <f aca="false">IF(B163="",0,N(Students!F152))</f>
        <v>0</v>
      </c>
      <c r="I163" s="23"/>
      <c r="J163" s="26" t="n">
        <f aca="false">N(G163)+N(H163)-N(I163)</f>
        <v>0</v>
      </c>
      <c r="K163" s="37" t="n">
        <f aca="false">'Jan 2027'!N163</f>
        <v>0</v>
      </c>
      <c r="L163" s="37" t="n">
        <f aca="false">IF(B163="",0,N(Students!G152))</f>
        <v>0</v>
      </c>
      <c r="M163" s="23"/>
      <c r="N163" s="26" t="n">
        <f aca="false">N(K163)+N(L163)-N(M163)</f>
        <v>0</v>
      </c>
      <c r="O163" s="37" t="n">
        <f aca="false">'Jan 2027'!R163</f>
        <v>0</v>
      </c>
      <c r="P163" s="37" t="n">
        <f aca="false">IF(B163="",0,N(Students!H152))</f>
        <v>0</v>
      </c>
      <c r="Q163" s="23"/>
      <c r="R163" s="26" t="n">
        <f aca="false">N(O163)+N(P163)-N(Q163)</f>
        <v>0</v>
      </c>
      <c r="S163" s="37" t="n">
        <f aca="false">'Jan 2027'!V163</f>
        <v>0</v>
      </c>
      <c r="T163" s="37" t="n">
        <f aca="false">IF(B163="",0,N(Students!I152))</f>
        <v>0</v>
      </c>
      <c r="U163" s="23"/>
      <c r="V163" s="26" t="n">
        <f aca="false">N(S163)+N(T163)-N(U163)</f>
        <v>0</v>
      </c>
      <c r="W163" s="37" t="n">
        <f aca="false">'Jan 2027'!Z163</f>
        <v>0</v>
      </c>
      <c r="X163" s="37" t="n">
        <f aca="false">IF(B163="",0,N(Students!J152))</f>
        <v>0</v>
      </c>
      <c r="Y163" s="23"/>
      <c r="Z163" s="26" t="n">
        <f aca="false">N(W163)+N(X163)-N(Y163)</f>
        <v>0</v>
      </c>
      <c r="AA163" s="37" t="n">
        <f aca="false">N(E163)+N(I163)+N(M163)+N(Q163)+N(U163)+N(Y163)</f>
        <v>0</v>
      </c>
      <c r="AB163" s="26" t="n">
        <f aca="false">F163+J163+N163+R163+V163+Z163</f>
        <v>0</v>
      </c>
      <c r="AC163" s="83" t="str">
        <f aca="false">IF(B163="","",IF(AB163&lt;=0,"Clear",IF(AA163&gt;0,"Partial","Due")))</f>
        <v/>
      </c>
    </row>
    <row r="164" customFormat="false" ht="15" hidden="false" customHeight="false" outlineLevel="0" collapsed="false">
      <c r="A164" s="21" t="n">
        <v>149</v>
      </c>
      <c r="B164" s="46" t="str">
        <f aca="false">IF(Students!B153="","",Students!B153)</f>
        <v/>
      </c>
      <c r="C164" s="33" t="n">
        <f aca="false">'Jan 2027'!F164</f>
        <v>0</v>
      </c>
      <c r="D164" s="33" t="n">
        <f aca="false">IF(B164="",0,N(Students!E153))</f>
        <v>0</v>
      </c>
      <c r="E164" s="23"/>
      <c r="F164" s="24" t="n">
        <f aca="false">N(C164)+N(D164)-N(E164)</f>
        <v>0</v>
      </c>
      <c r="G164" s="33" t="n">
        <f aca="false">'Jan 2027'!J164</f>
        <v>0</v>
      </c>
      <c r="H164" s="33" t="n">
        <f aca="false">IF(B164="",0,N(Students!F153))</f>
        <v>0</v>
      </c>
      <c r="I164" s="23"/>
      <c r="J164" s="24" t="n">
        <f aca="false">N(G164)+N(H164)-N(I164)</f>
        <v>0</v>
      </c>
      <c r="K164" s="33" t="n">
        <f aca="false">'Jan 2027'!N164</f>
        <v>0</v>
      </c>
      <c r="L164" s="33" t="n">
        <f aca="false">IF(B164="",0,N(Students!G153))</f>
        <v>0</v>
      </c>
      <c r="M164" s="23"/>
      <c r="N164" s="24" t="n">
        <f aca="false">N(K164)+N(L164)-N(M164)</f>
        <v>0</v>
      </c>
      <c r="O164" s="33" t="n">
        <f aca="false">'Jan 2027'!R164</f>
        <v>0</v>
      </c>
      <c r="P164" s="33" t="n">
        <f aca="false">IF(B164="",0,N(Students!H153))</f>
        <v>0</v>
      </c>
      <c r="Q164" s="23"/>
      <c r="R164" s="24" t="n">
        <f aca="false">N(O164)+N(P164)-N(Q164)</f>
        <v>0</v>
      </c>
      <c r="S164" s="33" t="n">
        <f aca="false">'Jan 2027'!V164</f>
        <v>0</v>
      </c>
      <c r="T164" s="33" t="n">
        <f aca="false">IF(B164="",0,N(Students!I153))</f>
        <v>0</v>
      </c>
      <c r="U164" s="23"/>
      <c r="V164" s="24" t="n">
        <f aca="false">N(S164)+N(T164)-N(U164)</f>
        <v>0</v>
      </c>
      <c r="W164" s="33" t="n">
        <f aca="false">'Jan 2027'!Z164</f>
        <v>0</v>
      </c>
      <c r="X164" s="33" t="n">
        <f aca="false">IF(B164="",0,N(Students!J153))</f>
        <v>0</v>
      </c>
      <c r="Y164" s="23"/>
      <c r="Z164" s="24" t="n">
        <f aca="false">N(W164)+N(X164)-N(Y164)</f>
        <v>0</v>
      </c>
      <c r="AA164" s="33" t="n">
        <f aca="false">N(E164)+N(I164)+N(M164)+N(Q164)+N(U164)+N(Y164)</f>
        <v>0</v>
      </c>
      <c r="AB164" s="24" t="n">
        <f aca="false">F164+J164+N164+R164+V164+Z164</f>
        <v>0</v>
      </c>
      <c r="AC164" s="81" t="str">
        <f aca="false">IF(B164="","",IF(AB164&lt;=0,"Clear",IF(AA164&gt;0,"Partial","Due")))</f>
        <v/>
      </c>
    </row>
    <row r="165" customFormat="false" ht="15" hidden="false" customHeight="false" outlineLevel="0" collapsed="false">
      <c r="A165" s="25" t="n">
        <v>150</v>
      </c>
      <c r="B165" s="82" t="str">
        <f aca="false">IF(Students!B154="","",Students!B154)</f>
        <v/>
      </c>
      <c r="C165" s="37" t="n">
        <f aca="false">'Jan 2027'!F165</f>
        <v>0</v>
      </c>
      <c r="D165" s="37" t="n">
        <f aca="false">IF(B165="",0,N(Students!E154))</f>
        <v>0</v>
      </c>
      <c r="E165" s="23"/>
      <c r="F165" s="26" t="n">
        <f aca="false">N(C165)+N(D165)-N(E165)</f>
        <v>0</v>
      </c>
      <c r="G165" s="37" t="n">
        <f aca="false">'Jan 2027'!J165</f>
        <v>0</v>
      </c>
      <c r="H165" s="37" t="n">
        <f aca="false">IF(B165="",0,N(Students!F154))</f>
        <v>0</v>
      </c>
      <c r="I165" s="23"/>
      <c r="J165" s="26" t="n">
        <f aca="false">N(G165)+N(H165)-N(I165)</f>
        <v>0</v>
      </c>
      <c r="K165" s="37" t="n">
        <f aca="false">'Jan 2027'!N165</f>
        <v>0</v>
      </c>
      <c r="L165" s="37" t="n">
        <f aca="false">IF(B165="",0,N(Students!G154))</f>
        <v>0</v>
      </c>
      <c r="M165" s="23"/>
      <c r="N165" s="26" t="n">
        <f aca="false">N(K165)+N(L165)-N(M165)</f>
        <v>0</v>
      </c>
      <c r="O165" s="37" t="n">
        <f aca="false">'Jan 2027'!R165</f>
        <v>0</v>
      </c>
      <c r="P165" s="37" t="n">
        <f aca="false">IF(B165="",0,N(Students!H154))</f>
        <v>0</v>
      </c>
      <c r="Q165" s="23"/>
      <c r="R165" s="26" t="n">
        <f aca="false">N(O165)+N(P165)-N(Q165)</f>
        <v>0</v>
      </c>
      <c r="S165" s="37" t="n">
        <f aca="false">'Jan 2027'!V165</f>
        <v>0</v>
      </c>
      <c r="T165" s="37" t="n">
        <f aca="false">IF(B165="",0,N(Students!I154))</f>
        <v>0</v>
      </c>
      <c r="U165" s="23"/>
      <c r="V165" s="26" t="n">
        <f aca="false">N(S165)+N(T165)-N(U165)</f>
        <v>0</v>
      </c>
      <c r="W165" s="37" t="n">
        <f aca="false">'Jan 2027'!Z165</f>
        <v>0</v>
      </c>
      <c r="X165" s="37" t="n">
        <f aca="false">IF(B165="",0,N(Students!J154))</f>
        <v>0</v>
      </c>
      <c r="Y165" s="23"/>
      <c r="Z165" s="26" t="n">
        <f aca="false">N(W165)+N(X165)-N(Y165)</f>
        <v>0</v>
      </c>
      <c r="AA165" s="37" t="n">
        <f aca="false">N(E165)+N(I165)+N(M165)+N(Q165)+N(U165)+N(Y165)</f>
        <v>0</v>
      </c>
      <c r="AB165" s="26" t="n">
        <f aca="false">F165+J165+N165+R165+V165+Z165</f>
        <v>0</v>
      </c>
      <c r="AC165" s="83" t="str">
        <f aca="false">IF(B165="","",IF(AB165&lt;=0,"Clear",IF(AA165&gt;0,"Partial","Due")))</f>
        <v/>
      </c>
    </row>
    <row r="166" customFormat="false" ht="15" hidden="false" customHeight="true" outlineLevel="0" collapsed="false">
      <c r="A166" s="4" t="s">
        <v>79</v>
      </c>
      <c r="B166" s="4"/>
      <c r="C166" s="41" t="n">
        <f aca="false">SUM(C16:C165)</f>
        <v>0</v>
      </c>
      <c r="D166" s="41" t="n">
        <f aca="false">SUM(D16:D165)</f>
        <v>0</v>
      </c>
      <c r="E166" s="41" t="n">
        <f aca="false">SUM(E16:E165)</f>
        <v>0</v>
      </c>
      <c r="F166" s="41" t="n">
        <f aca="false">SUM(F16:F165)</f>
        <v>0</v>
      </c>
      <c r="G166" s="41" t="n">
        <f aca="false">SUM(G16:G165)</f>
        <v>6000</v>
      </c>
      <c r="H166" s="41" t="n">
        <f aca="false">SUM(H16:H165)</f>
        <v>2000</v>
      </c>
      <c r="I166" s="41" t="n">
        <f aca="false">SUM(I16:I165)</f>
        <v>0</v>
      </c>
      <c r="J166" s="41" t="n">
        <f aca="false">SUM(J16:J165)</f>
        <v>8000</v>
      </c>
      <c r="K166" s="41" t="n">
        <f aca="false">SUM(K16:K165)</f>
        <v>0</v>
      </c>
      <c r="L166" s="41" t="n">
        <f aca="false">SUM(L16:L165)</f>
        <v>0</v>
      </c>
      <c r="M166" s="41" t="n">
        <f aca="false">SUM(M16:M165)</f>
        <v>0</v>
      </c>
      <c r="N166" s="41" t="n">
        <f aca="false">SUM(N16:N165)</f>
        <v>0</v>
      </c>
      <c r="O166" s="41" t="n">
        <f aca="false">SUM(O16:O165)</f>
        <v>5000</v>
      </c>
      <c r="P166" s="41" t="n">
        <f aca="false">SUM(P16:P165)</f>
        <v>1500</v>
      </c>
      <c r="Q166" s="41" t="n">
        <f aca="false">SUM(Q16:Q165)</f>
        <v>0</v>
      </c>
      <c r="R166" s="41" t="n">
        <f aca="false">SUM(R16:R165)</f>
        <v>6500</v>
      </c>
      <c r="S166" s="41" t="n">
        <f aca="false">SUM(S16:S165)</f>
        <v>0</v>
      </c>
      <c r="T166" s="41" t="n">
        <f aca="false">SUM(T16:T165)</f>
        <v>0</v>
      </c>
      <c r="U166" s="41" t="n">
        <f aca="false">SUM(U16:U165)</f>
        <v>0</v>
      </c>
      <c r="V166" s="41" t="n">
        <f aca="false">SUM(V16:V165)</f>
        <v>0</v>
      </c>
      <c r="W166" s="41" t="n">
        <f aca="false">SUM(W16:W165)</f>
        <v>0</v>
      </c>
      <c r="X166" s="41" t="n">
        <f aca="false">SUM(X16:X165)</f>
        <v>0</v>
      </c>
      <c r="Y166" s="41" t="n">
        <f aca="false">SUM(Y16:Y165)</f>
        <v>0</v>
      </c>
      <c r="Z166" s="41" t="n">
        <f aca="false">SUM(Z16:Z165)</f>
        <v>0</v>
      </c>
      <c r="AA166" s="41" t="n">
        <f aca="false">SUM(AA16:AA165)</f>
        <v>0</v>
      </c>
      <c r="AB166" s="41" t="n">
        <f aca="false">SUM(AB16:AB165)</f>
        <v>14500</v>
      </c>
      <c r="AC166" s="43"/>
    </row>
  </sheetData>
  <mergeCells count="34">
    <mergeCell ref="A1:AC1"/>
    <mergeCell ref="A2:AC2"/>
    <mergeCell ref="B4:I4"/>
    <mergeCell ref="K4:N4"/>
    <mergeCell ref="C5:D5"/>
    <mergeCell ref="K5:M5"/>
    <mergeCell ref="P5:R5"/>
    <mergeCell ref="T5:V5"/>
    <mergeCell ref="X5:Z5"/>
    <mergeCell ref="C6:D6"/>
    <mergeCell ref="K6:M6"/>
    <mergeCell ref="P6:R7"/>
    <mergeCell ref="T6:V7"/>
    <mergeCell ref="X6:Z7"/>
    <mergeCell ref="C7:D7"/>
    <mergeCell ref="K7:M7"/>
    <mergeCell ref="C8:D8"/>
    <mergeCell ref="K8:M8"/>
    <mergeCell ref="C9:D9"/>
    <mergeCell ref="P9:Z9"/>
    <mergeCell ref="C10:D10"/>
    <mergeCell ref="K10:M10"/>
    <mergeCell ref="C11:D11"/>
    <mergeCell ref="K11:N11"/>
    <mergeCell ref="C12:D12"/>
    <mergeCell ref="A14:B14"/>
    <mergeCell ref="C14:F14"/>
    <mergeCell ref="G14:J14"/>
    <mergeCell ref="K14:N14"/>
    <mergeCell ref="O14:R14"/>
    <mergeCell ref="S14:V14"/>
    <mergeCell ref="W14:Z14"/>
    <mergeCell ref="AA14:AC14"/>
    <mergeCell ref="A166:B166"/>
  </mergeCells>
  <conditionalFormatting sqref="AC16:AC165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F16:F165 J16:J165 N16:N165 R16:R165 V16:V165 Z16:Z165 AB16:AB165">
    <cfRule type="cellIs" priority="5" operator="greaterThan" aboveAverage="0" equalAverage="0" bottom="0" percent="0" rank="0" text="" dxfId="0">
      <formula>0</formula>
    </cfRule>
  </conditionalFormatting>
  <conditionalFormatting sqref="N10"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AC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29" min="5" style="0" width="11.5"/>
  </cols>
  <sheetData>
    <row r="1" customFormat="false" ht="31.5" hidden="false" customHeight="true" outlineLevel="0" collapsed="false">
      <c r="A1" s="54" t="str">
        <f aca="false">UPPER(Setup!B3)</f>
        <v>FUTURE TALENT ACADEMY JAMSHORO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customFormat="false" ht="21.75" hidden="false" customHeight="true" outlineLevel="0" collapsed="false">
      <c r="A2" s="55" t="s">
        <v>107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customFormat="false" ht="15" hidden="false" customHeight="true" outlineLevel="0" collapsed="false">
      <c r="B4" s="4" t="s">
        <v>82</v>
      </c>
      <c r="C4" s="4"/>
      <c r="D4" s="4"/>
      <c r="E4" s="4"/>
      <c r="F4" s="4"/>
      <c r="G4" s="4"/>
      <c r="H4" s="4"/>
      <c r="I4" s="4"/>
      <c r="K4" s="28" t="s">
        <v>83</v>
      </c>
      <c r="L4" s="28"/>
      <c r="M4" s="28"/>
      <c r="N4" s="28"/>
    </row>
    <row r="5" customFormat="false" ht="22.35" hidden="false" customHeight="true" outlineLevel="0" collapsed="false">
      <c r="B5" s="56" t="s">
        <v>76</v>
      </c>
      <c r="C5" s="56" t="s">
        <v>77</v>
      </c>
      <c r="D5" s="56"/>
      <c r="E5" s="56" t="s">
        <v>84</v>
      </c>
      <c r="F5" s="56" t="s">
        <v>85</v>
      </c>
      <c r="G5" s="56" t="s">
        <v>5</v>
      </c>
      <c r="H5" s="56" t="s">
        <v>6</v>
      </c>
      <c r="I5" s="56" t="s">
        <v>86</v>
      </c>
      <c r="K5" s="57" t="s">
        <v>87</v>
      </c>
      <c r="L5" s="57"/>
      <c r="M5" s="57"/>
      <c r="N5" s="58" t="n">
        <f aca="false">H12</f>
        <v>0</v>
      </c>
      <c r="P5" s="59" t="s">
        <v>88</v>
      </c>
      <c r="Q5" s="59"/>
      <c r="R5" s="59"/>
      <c r="T5" s="60" t="s">
        <v>89</v>
      </c>
      <c r="U5" s="60"/>
      <c r="V5" s="60"/>
      <c r="X5" s="61" t="s">
        <v>90</v>
      </c>
      <c r="Y5" s="61"/>
      <c r="Z5" s="61"/>
    </row>
    <row r="6" customFormat="false" ht="15" hidden="false" customHeight="true" outlineLevel="0" collapsed="false">
      <c r="B6" s="62" t="str">
        <f aca="false">Setup!A6</f>
        <v>English</v>
      </c>
      <c r="C6" s="63" t="str">
        <f aca="false">Setup!B6</f>
        <v>Sir Sajjad Ali Birhmani</v>
      </c>
      <c r="D6" s="63"/>
      <c r="E6" s="64" t="n">
        <f aca="false">D166</f>
        <v>0</v>
      </c>
      <c r="F6" s="58" t="n">
        <f aca="false">E166</f>
        <v>0</v>
      </c>
      <c r="G6" s="65" t="n">
        <f aca="false">F6*Setup!C6</f>
        <v>0</v>
      </c>
      <c r="H6" s="66" t="n">
        <f aca="false">F6-G6</f>
        <v>0</v>
      </c>
      <c r="I6" s="67" t="n">
        <f aca="false">F166</f>
        <v>0</v>
      </c>
      <c r="K6" s="57" t="s">
        <v>91</v>
      </c>
      <c r="L6" s="57"/>
      <c r="M6" s="57"/>
      <c r="N6" s="65" t="n">
        <f aca="false">SUMIFS(Administration!$G$5:$G$304,Administration!$C$5:$C$304,"Mar 2027",Administration!$D$5:$D$304,"Other Income")</f>
        <v>0</v>
      </c>
      <c r="P6" s="68" t="n">
        <f aca="false">F12</f>
        <v>0</v>
      </c>
      <c r="Q6" s="68"/>
      <c r="R6" s="68"/>
      <c r="T6" s="69" t="n">
        <f aca="false">G12</f>
        <v>0</v>
      </c>
      <c r="U6" s="69"/>
      <c r="V6" s="69"/>
      <c r="X6" s="70" t="n">
        <f aca="false">I12</f>
        <v>18000</v>
      </c>
      <c r="Y6" s="70"/>
      <c r="Z6" s="70"/>
    </row>
    <row r="7" customFormat="false" ht="15" hidden="false" customHeight="true" outlineLevel="0" collapsed="false">
      <c r="B7" s="71" t="str">
        <f aca="false">Setup!A7</f>
        <v>Computer</v>
      </c>
      <c r="C7" s="63" t="str">
        <f aca="false">Setup!B7</f>
        <v>Sir Nazeer Ahmed Jamali</v>
      </c>
      <c r="D7" s="63"/>
      <c r="E7" s="64" t="n">
        <f aca="false">H166</f>
        <v>2000</v>
      </c>
      <c r="F7" s="58" t="n">
        <f aca="false">I166</f>
        <v>0</v>
      </c>
      <c r="G7" s="65" t="n">
        <f aca="false">F7*Setup!C7</f>
        <v>0</v>
      </c>
      <c r="H7" s="66" t="n">
        <f aca="false">F7-G7</f>
        <v>0</v>
      </c>
      <c r="I7" s="67" t="n">
        <f aca="false">J166</f>
        <v>10000</v>
      </c>
      <c r="K7" s="57" t="s">
        <v>92</v>
      </c>
      <c r="L7" s="57"/>
      <c r="M7" s="57"/>
      <c r="N7" s="72" t="n">
        <f aca="false">SUMIFS(Administration!$G$5:$G$304,Administration!$C$5:$C$304,"Mar 2027",Administration!$D$5:$D$304,"Expense")</f>
        <v>0</v>
      </c>
      <c r="P7" s="68"/>
      <c r="Q7" s="68"/>
      <c r="R7" s="68"/>
      <c r="T7" s="69"/>
      <c r="U7" s="69"/>
      <c r="V7" s="69"/>
      <c r="X7" s="70"/>
      <c r="Y7" s="70"/>
      <c r="Z7" s="70"/>
    </row>
    <row r="8" customFormat="false" ht="15" hidden="false" customHeight="true" outlineLevel="0" collapsed="false">
      <c r="B8" s="73" t="str">
        <f aca="false">Setup!A8</f>
        <v>Biology</v>
      </c>
      <c r="C8" s="63" t="str">
        <f aca="false">Setup!B8</f>
        <v>Sir Azhar Ali Chandio</v>
      </c>
      <c r="D8" s="63"/>
      <c r="E8" s="64" t="n">
        <f aca="false">L166</f>
        <v>0</v>
      </c>
      <c r="F8" s="58" t="n">
        <f aca="false">M166</f>
        <v>0</v>
      </c>
      <c r="G8" s="65" t="n">
        <f aca="false">F8*Setup!C8</f>
        <v>0</v>
      </c>
      <c r="H8" s="66" t="n">
        <f aca="false">F8-G8</f>
        <v>0</v>
      </c>
      <c r="I8" s="67" t="n">
        <f aca="false">N166</f>
        <v>0</v>
      </c>
      <c r="K8" s="57" t="s">
        <v>93</v>
      </c>
      <c r="L8" s="57"/>
      <c r="M8" s="57"/>
      <c r="N8" s="72" t="n">
        <f aca="false">SUMIFS(Administration!$G$5:$G$304,Administration!$C$5:$C$304,"Mar 2027",Administration!$D$5:$D$304,"Investment")</f>
        <v>0</v>
      </c>
    </row>
    <row r="9" customFormat="false" ht="15" hidden="false" customHeight="false" outlineLevel="0" collapsed="false">
      <c r="B9" s="74" t="str">
        <f aca="false">Setup!A9</f>
        <v>Math</v>
      </c>
      <c r="C9" s="63" t="str">
        <f aca="false">Setup!B9</f>
        <v>Sir M. Faheem</v>
      </c>
      <c r="D9" s="63"/>
      <c r="E9" s="64" t="n">
        <f aca="false">P166</f>
        <v>1500</v>
      </c>
      <c r="F9" s="58" t="n">
        <f aca="false">Q166</f>
        <v>0</v>
      </c>
      <c r="G9" s="65" t="n">
        <f aca="false">F9*Setup!C9</f>
        <v>0</v>
      </c>
      <c r="H9" s="66" t="n">
        <f aca="false">F9-G9</f>
        <v>0</v>
      </c>
      <c r="I9" s="67" t="n">
        <f aca="false">R166</f>
        <v>8000</v>
      </c>
      <c r="P9" s="75" t="str">
        <f aca="false">COUNTIF(AC16:AC165,"Clear")&amp;" students fully paid   •   "&amp;(COUNTIF(AC16:AC165,"Due")+COUNTIF(AC16:AC165,"Partial"))&amp;" students with dues"</f>
        <v>0 students fully paid   •   1 students with dues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15" hidden="false" customHeight="true" outlineLevel="0" collapsed="false">
      <c r="B10" s="76" t="str">
        <f aca="false">Setup!A10</f>
        <v>Kids Coaching (Class 1)</v>
      </c>
      <c r="C10" s="63" t="str">
        <f aca="false">Setup!B10</f>
        <v>Miss Farzana</v>
      </c>
      <c r="D10" s="63"/>
      <c r="E10" s="64" t="n">
        <f aca="false">T166</f>
        <v>0</v>
      </c>
      <c r="F10" s="58" t="n">
        <f aca="false">U166</f>
        <v>0</v>
      </c>
      <c r="G10" s="65" t="n">
        <f aca="false">F10*Setup!C10</f>
        <v>0</v>
      </c>
      <c r="H10" s="66" t="n">
        <f aca="false">F10-G10</f>
        <v>0</v>
      </c>
      <c r="I10" s="67" t="n">
        <f aca="false">V166</f>
        <v>0</v>
      </c>
      <c r="K10" s="77" t="s">
        <v>59</v>
      </c>
      <c r="L10" s="77"/>
      <c r="M10" s="77"/>
      <c r="N10" s="78" t="n">
        <f aca="false">N5+N6-N7-N8</f>
        <v>0</v>
      </c>
    </row>
    <row r="11" customFormat="false" ht="15" hidden="false" customHeight="true" outlineLevel="0" collapsed="false">
      <c r="B11" s="79" t="str">
        <f aca="false">Setup!A11</f>
        <v>Kids Coaching (Class 2)</v>
      </c>
      <c r="C11" s="63" t="str">
        <f aca="false">Setup!B11</f>
        <v>Miss Fozia</v>
      </c>
      <c r="D11" s="63"/>
      <c r="E11" s="64" t="n">
        <f aca="false">X166</f>
        <v>0</v>
      </c>
      <c r="F11" s="58" t="n">
        <f aca="false">Y166</f>
        <v>0</v>
      </c>
      <c r="G11" s="65" t="n">
        <f aca="false">F11*Setup!C11</f>
        <v>0</v>
      </c>
      <c r="H11" s="66" t="n">
        <f aca="false">F11-G11</f>
        <v>0</v>
      </c>
      <c r="I11" s="67" t="n">
        <f aca="false">Z166</f>
        <v>0</v>
      </c>
      <c r="K11" s="53" t="s">
        <v>94</v>
      </c>
      <c r="L11" s="53"/>
      <c r="M11" s="53"/>
      <c r="N11" s="53"/>
    </row>
    <row r="12" customFormat="false" ht="15" hidden="false" customHeight="false" outlineLevel="0" collapsed="false">
      <c r="B12" s="40" t="s">
        <v>79</v>
      </c>
      <c r="C12" s="43"/>
      <c r="D12" s="43"/>
      <c r="E12" s="41" t="n">
        <f aca="false">SUM(E6:E11)</f>
        <v>3500</v>
      </c>
      <c r="F12" s="41" t="n">
        <f aca="false">SUM(F6:F11)</f>
        <v>0</v>
      </c>
      <c r="G12" s="41" t="n">
        <f aca="false">SUM(G6:G11)</f>
        <v>0</v>
      </c>
      <c r="H12" s="41" t="n">
        <f aca="false">SUM(H6:H11)</f>
        <v>0</v>
      </c>
      <c r="I12" s="41" t="n">
        <f aca="false">SUM(I6:I11)</f>
        <v>18000</v>
      </c>
    </row>
    <row r="14" customFormat="false" ht="25.5" hidden="false" customHeight="true" outlineLevel="0" collapsed="false">
      <c r="A14" s="4" t="s">
        <v>28</v>
      </c>
      <c r="B14" s="4"/>
      <c r="C14" s="14" t="str">
        <f aca="false">Setup!A6&amp;" — "&amp;Setup!B6</f>
        <v>English — Sir Sajjad Ali Birhmani</v>
      </c>
      <c r="D14" s="14"/>
      <c r="E14" s="14"/>
      <c r="F14" s="14"/>
      <c r="G14" s="15" t="str">
        <f aca="false">Setup!A7&amp;" — "&amp;Setup!B7</f>
        <v>Computer — Sir Nazeer Ahmed Jamali</v>
      </c>
      <c r="H14" s="15"/>
      <c r="I14" s="15"/>
      <c r="J14" s="15"/>
      <c r="K14" s="16" t="str">
        <f aca="false">Setup!A8&amp;" — "&amp;Setup!B8</f>
        <v>Biology — Sir Azhar Ali Chandio</v>
      </c>
      <c r="L14" s="16"/>
      <c r="M14" s="16"/>
      <c r="N14" s="16"/>
      <c r="O14" s="17" t="str">
        <f aca="false">Setup!A9&amp;" — "&amp;Setup!B9</f>
        <v>Math — Sir M. Faheem</v>
      </c>
      <c r="P14" s="17"/>
      <c r="Q14" s="17"/>
      <c r="R14" s="17"/>
      <c r="S14" s="18" t="str">
        <f aca="false">Setup!A10&amp;" — "&amp;Setup!B10</f>
        <v>Kids Coaching (Class 1) — Miss Farzana</v>
      </c>
      <c r="T14" s="18"/>
      <c r="U14" s="18"/>
      <c r="V14" s="18"/>
      <c r="W14" s="19" t="str">
        <f aca="false">Setup!A11&amp;" — "&amp;Setup!B11</f>
        <v>Kids Coaching (Class 2) — Miss Fozia</v>
      </c>
      <c r="X14" s="19"/>
      <c r="Y14" s="19"/>
      <c r="Z14" s="19"/>
      <c r="AA14" s="80" t="s">
        <v>95</v>
      </c>
      <c r="AB14" s="80"/>
      <c r="AC14" s="80"/>
    </row>
    <row r="15" customFormat="false" ht="30" hidden="false" customHeight="true" outlineLevel="0" collapsed="false">
      <c r="A15" s="13" t="s">
        <v>30</v>
      </c>
      <c r="B15" s="13" t="s">
        <v>31</v>
      </c>
      <c r="C15" s="14" t="s">
        <v>96</v>
      </c>
      <c r="D15" s="14" t="s">
        <v>97</v>
      </c>
      <c r="E15" s="14" t="s">
        <v>98</v>
      </c>
      <c r="F15" s="14" t="s">
        <v>99</v>
      </c>
      <c r="G15" s="15" t="s">
        <v>96</v>
      </c>
      <c r="H15" s="15" t="s">
        <v>97</v>
      </c>
      <c r="I15" s="15" t="s">
        <v>98</v>
      </c>
      <c r="J15" s="15" t="s">
        <v>99</v>
      </c>
      <c r="K15" s="16" t="s">
        <v>96</v>
      </c>
      <c r="L15" s="16" t="s">
        <v>97</v>
      </c>
      <c r="M15" s="16" t="s">
        <v>98</v>
      </c>
      <c r="N15" s="16" t="s">
        <v>99</v>
      </c>
      <c r="O15" s="17" t="s">
        <v>96</v>
      </c>
      <c r="P15" s="17" t="s">
        <v>97</v>
      </c>
      <c r="Q15" s="17" t="s">
        <v>98</v>
      </c>
      <c r="R15" s="17" t="s">
        <v>99</v>
      </c>
      <c r="S15" s="18" t="s">
        <v>96</v>
      </c>
      <c r="T15" s="18" t="s">
        <v>97</v>
      </c>
      <c r="U15" s="18" t="s">
        <v>98</v>
      </c>
      <c r="V15" s="18" t="s">
        <v>99</v>
      </c>
      <c r="W15" s="19" t="s">
        <v>96</v>
      </c>
      <c r="X15" s="19" t="s">
        <v>97</v>
      </c>
      <c r="Y15" s="19" t="s">
        <v>98</v>
      </c>
      <c r="Z15" s="19" t="s">
        <v>99</v>
      </c>
      <c r="AA15" s="20" t="s">
        <v>100</v>
      </c>
      <c r="AB15" s="20" t="s">
        <v>101</v>
      </c>
      <c r="AC15" s="20" t="s">
        <v>102</v>
      </c>
    </row>
    <row r="16" customFormat="false" ht="15" hidden="false" customHeight="false" outlineLevel="0" collapsed="false">
      <c r="A16" s="21" t="n">
        <v>1</v>
      </c>
      <c r="B16" s="46" t="str">
        <f aca="false">IF(Students!B5="","",Students!B5)</f>
        <v>Ali (example)</v>
      </c>
      <c r="C16" s="33" t="n">
        <f aca="false">'Feb 2027'!F16</f>
        <v>0</v>
      </c>
      <c r="D16" s="33" t="n">
        <f aca="false">IF(B16="",0,N(Students!E5))</f>
        <v>0</v>
      </c>
      <c r="E16" s="23"/>
      <c r="F16" s="24" t="n">
        <f aca="false">N(C16)+N(D16)-N(E16)</f>
        <v>0</v>
      </c>
      <c r="G16" s="33" t="n">
        <f aca="false">'Feb 2027'!J16</f>
        <v>8000</v>
      </c>
      <c r="H16" s="33" t="n">
        <f aca="false">IF(B16="",0,N(Students!F5))</f>
        <v>2000</v>
      </c>
      <c r="I16" s="23"/>
      <c r="J16" s="24" t="n">
        <f aca="false">N(G16)+N(H16)-N(I16)</f>
        <v>10000</v>
      </c>
      <c r="K16" s="33" t="n">
        <f aca="false">'Feb 2027'!N16</f>
        <v>0</v>
      </c>
      <c r="L16" s="33" t="n">
        <f aca="false">IF(B16="",0,N(Students!G5))</f>
        <v>0</v>
      </c>
      <c r="M16" s="23"/>
      <c r="N16" s="24" t="n">
        <f aca="false">N(K16)+N(L16)-N(M16)</f>
        <v>0</v>
      </c>
      <c r="O16" s="33" t="n">
        <f aca="false">'Feb 2027'!R16</f>
        <v>6500</v>
      </c>
      <c r="P16" s="33" t="n">
        <f aca="false">IF(B16="",0,N(Students!H5))</f>
        <v>1500</v>
      </c>
      <c r="Q16" s="23"/>
      <c r="R16" s="24" t="n">
        <f aca="false">N(O16)+N(P16)-N(Q16)</f>
        <v>8000</v>
      </c>
      <c r="S16" s="33" t="n">
        <f aca="false">'Feb 2027'!V16</f>
        <v>0</v>
      </c>
      <c r="T16" s="33" t="n">
        <f aca="false">IF(B16="",0,N(Students!I5))</f>
        <v>0</v>
      </c>
      <c r="U16" s="23"/>
      <c r="V16" s="24" t="n">
        <f aca="false">N(S16)+N(T16)-N(U16)</f>
        <v>0</v>
      </c>
      <c r="W16" s="33" t="n">
        <f aca="false">'Feb 2027'!Z16</f>
        <v>0</v>
      </c>
      <c r="X16" s="33" t="n">
        <f aca="false">IF(B16="",0,N(Students!J5))</f>
        <v>0</v>
      </c>
      <c r="Y16" s="23"/>
      <c r="Z16" s="24" t="n">
        <f aca="false">N(W16)+N(X16)-N(Y16)</f>
        <v>0</v>
      </c>
      <c r="AA16" s="33" t="n">
        <f aca="false">N(E16)+N(I16)+N(M16)+N(Q16)+N(U16)+N(Y16)</f>
        <v>0</v>
      </c>
      <c r="AB16" s="24" t="n">
        <f aca="false">F16+J16+N16+R16+V16+Z16</f>
        <v>18000</v>
      </c>
      <c r="AC16" s="81" t="str">
        <f aca="false">IF(B16="","",IF(AB16&lt;=0,"Clear",IF(AA16&gt;0,"Partial","Due")))</f>
        <v>Due</v>
      </c>
    </row>
    <row r="17" customFormat="false" ht="15" hidden="false" customHeight="false" outlineLevel="0" collapsed="false">
      <c r="A17" s="25" t="n">
        <v>2</v>
      </c>
      <c r="B17" s="82" t="str">
        <f aca="false">IF(Students!B6="","",Students!B6)</f>
        <v/>
      </c>
      <c r="C17" s="37" t="n">
        <f aca="false">'Feb 2027'!F17</f>
        <v>0</v>
      </c>
      <c r="D17" s="37" t="n">
        <f aca="false">IF(B17="",0,N(Students!E6))</f>
        <v>0</v>
      </c>
      <c r="E17" s="23"/>
      <c r="F17" s="26" t="n">
        <f aca="false">N(C17)+N(D17)-N(E17)</f>
        <v>0</v>
      </c>
      <c r="G17" s="37" t="n">
        <f aca="false">'Feb 2027'!J17</f>
        <v>0</v>
      </c>
      <c r="H17" s="37" t="n">
        <f aca="false">IF(B17="",0,N(Students!F6))</f>
        <v>0</v>
      </c>
      <c r="I17" s="23"/>
      <c r="J17" s="26" t="n">
        <f aca="false">N(G17)+N(H17)-N(I17)</f>
        <v>0</v>
      </c>
      <c r="K17" s="37" t="n">
        <f aca="false">'Feb 2027'!N17</f>
        <v>0</v>
      </c>
      <c r="L17" s="37" t="n">
        <f aca="false">IF(B17="",0,N(Students!G6))</f>
        <v>0</v>
      </c>
      <c r="M17" s="23"/>
      <c r="N17" s="26" t="n">
        <f aca="false">N(K17)+N(L17)-N(M17)</f>
        <v>0</v>
      </c>
      <c r="O17" s="37" t="n">
        <f aca="false">'Feb 2027'!R17</f>
        <v>0</v>
      </c>
      <c r="P17" s="37" t="n">
        <f aca="false">IF(B17="",0,N(Students!H6))</f>
        <v>0</v>
      </c>
      <c r="Q17" s="23"/>
      <c r="R17" s="26" t="n">
        <f aca="false">N(O17)+N(P17)-N(Q17)</f>
        <v>0</v>
      </c>
      <c r="S17" s="37" t="n">
        <f aca="false">'Feb 2027'!V17</f>
        <v>0</v>
      </c>
      <c r="T17" s="37" t="n">
        <f aca="false">IF(B17="",0,N(Students!I6))</f>
        <v>0</v>
      </c>
      <c r="U17" s="23"/>
      <c r="V17" s="26" t="n">
        <f aca="false">N(S17)+N(T17)-N(U17)</f>
        <v>0</v>
      </c>
      <c r="W17" s="37" t="n">
        <f aca="false">'Feb 2027'!Z17</f>
        <v>0</v>
      </c>
      <c r="X17" s="37" t="n">
        <f aca="false">IF(B17="",0,N(Students!J6))</f>
        <v>0</v>
      </c>
      <c r="Y17" s="23"/>
      <c r="Z17" s="26" t="n">
        <f aca="false">N(W17)+N(X17)-N(Y17)</f>
        <v>0</v>
      </c>
      <c r="AA17" s="37" t="n">
        <f aca="false">N(E17)+N(I17)+N(M17)+N(Q17)+N(U17)+N(Y17)</f>
        <v>0</v>
      </c>
      <c r="AB17" s="26" t="n">
        <f aca="false">F17+J17+N17+R17+V17+Z17</f>
        <v>0</v>
      </c>
      <c r="AC17" s="83" t="str">
        <f aca="false">IF(B17="","",IF(AB17&lt;=0,"Clear",IF(AA17&gt;0,"Partial","Due")))</f>
        <v/>
      </c>
    </row>
    <row r="18" customFormat="false" ht="15" hidden="false" customHeight="false" outlineLevel="0" collapsed="false">
      <c r="A18" s="21" t="n">
        <v>3</v>
      </c>
      <c r="B18" s="46" t="str">
        <f aca="false">IF(Students!B7="","",Students!B7)</f>
        <v/>
      </c>
      <c r="C18" s="33" t="n">
        <f aca="false">'Feb 2027'!F18</f>
        <v>0</v>
      </c>
      <c r="D18" s="33" t="n">
        <f aca="false">IF(B18="",0,N(Students!E7))</f>
        <v>0</v>
      </c>
      <c r="E18" s="23"/>
      <c r="F18" s="24" t="n">
        <f aca="false">N(C18)+N(D18)-N(E18)</f>
        <v>0</v>
      </c>
      <c r="G18" s="33" t="n">
        <f aca="false">'Feb 2027'!J18</f>
        <v>0</v>
      </c>
      <c r="H18" s="33" t="n">
        <f aca="false">IF(B18="",0,N(Students!F7))</f>
        <v>0</v>
      </c>
      <c r="I18" s="23"/>
      <c r="J18" s="24" t="n">
        <f aca="false">N(G18)+N(H18)-N(I18)</f>
        <v>0</v>
      </c>
      <c r="K18" s="33" t="n">
        <f aca="false">'Feb 2027'!N18</f>
        <v>0</v>
      </c>
      <c r="L18" s="33" t="n">
        <f aca="false">IF(B18="",0,N(Students!G7))</f>
        <v>0</v>
      </c>
      <c r="M18" s="23"/>
      <c r="N18" s="24" t="n">
        <f aca="false">N(K18)+N(L18)-N(M18)</f>
        <v>0</v>
      </c>
      <c r="O18" s="33" t="n">
        <f aca="false">'Feb 2027'!R18</f>
        <v>0</v>
      </c>
      <c r="P18" s="33" t="n">
        <f aca="false">IF(B18="",0,N(Students!H7))</f>
        <v>0</v>
      </c>
      <c r="Q18" s="23"/>
      <c r="R18" s="24" t="n">
        <f aca="false">N(O18)+N(P18)-N(Q18)</f>
        <v>0</v>
      </c>
      <c r="S18" s="33" t="n">
        <f aca="false">'Feb 2027'!V18</f>
        <v>0</v>
      </c>
      <c r="T18" s="33" t="n">
        <f aca="false">IF(B18="",0,N(Students!I7))</f>
        <v>0</v>
      </c>
      <c r="U18" s="23"/>
      <c r="V18" s="24" t="n">
        <f aca="false">N(S18)+N(T18)-N(U18)</f>
        <v>0</v>
      </c>
      <c r="W18" s="33" t="n">
        <f aca="false">'Feb 2027'!Z18</f>
        <v>0</v>
      </c>
      <c r="X18" s="33" t="n">
        <f aca="false">IF(B18="",0,N(Students!J7))</f>
        <v>0</v>
      </c>
      <c r="Y18" s="23"/>
      <c r="Z18" s="24" t="n">
        <f aca="false">N(W18)+N(X18)-N(Y18)</f>
        <v>0</v>
      </c>
      <c r="AA18" s="33" t="n">
        <f aca="false">N(E18)+N(I18)+N(M18)+N(Q18)+N(U18)+N(Y18)</f>
        <v>0</v>
      </c>
      <c r="AB18" s="24" t="n">
        <f aca="false">F18+J18+N18+R18+V18+Z18</f>
        <v>0</v>
      </c>
      <c r="AC18" s="81" t="str">
        <f aca="false">IF(B18="","",IF(AB18&lt;=0,"Clear",IF(AA18&gt;0,"Partial","Due")))</f>
        <v/>
      </c>
    </row>
    <row r="19" customFormat="false" ht="15" hidden="false" customHeight="false" outlineLevel="0" collapsed="false">
      <c r="A19" s="25" t="n">
        <v>4</v>
      </c>
      <c r="B19" s="82" t="str">
        <f aca="false">IF(Students!B8="","",Students!B8)</f>
        <v/>
      </c>
      <c r="C19" s="37" t="n">
        <f aca="false">'Feb 2027'!F19</f>
        <v>0</v>
      </c>
      <c r="D19" s="37" t="n">
        <f aca="false">IF(B19="",0,N(Students!E8))</f>
        <v>0</v>
      </c>
      <c r="E19" s="23"/>
      <c r="F19" s="26" t="n">
        <f aca="false">N(C19)+N(D19)-N(E19)</f>
        <v>0</v>
      </c>
      <c r="G19" s="37" t="n">
        <f aca="false">'Feb 2027'!J19</f>
        <v>0</v>
      </c>
      <c r="H19" s="37" t="n">
        <f aca="false">IF(B19="",0,N(Students!F8))</f>
        <v>0</v>
      </c>
      <c r="I19" s="23"/>
      <c r="J19" s="26" t="n">
        <f aca="false">N(G19)+N(H19)-N(I19)</f>
        <v>0</v>
      </c>
      <c r="K19" s="37" t="n">
        <f aca="false">'Feb 2027'!N19</f>
        <v>0</v>
      </c>
      <c r="L19" s="37" t="n">
        <f aca="false">IF(B19="",0,N(Students!G8))</f>
        <v>0</v>
      </c>
      <c r="M19" s="23"/>
      <c r="N19" s="26" t="n">
        <f aca="false">N(K19)+N(L19)-N(M19)</f>
        <v>0</v>
      </c>
      <c r="O19" s="37" t="n">
        <f aca="false">'Feb 2027'!R19</f>
        <v>0</v>
      </c>
      <c r="P19" s="37" t="n">
        <f aca="false">IF(B19="",0,N(Students!H8))</f>
        <v>0</v>
      </c>
      <c r="Q19" s="23"/>
      <c r="R19" s="26" t="n">
        <f aca="false">N(O19)+N(P19)-N(Q19)</f>
        <v>0</v>
      </c>
      <c r="S19" s="37" t="n">
        <f aca="false">'Feb 2027'!V19</f>
        <v>0</v>
      </c>
      <c r="T19" s="37" t="n">
        <f aca="false">IF(B19="",0,N(Students!I8))</f>
        <v>0</v>
      </c>
      <c r="U19" s="23"/>
      <c r="V19" s="26" t="n">
        <f aca="false">N(S19)+N(T19)-N(U19)</f>
        <v>0</v>
      </c>
      <c r="W19" s="37" t="n">
        <f aca="false">'Feb 2027'!Z19</f>
        <v>0</v>
      </c>
      <c r="X19" s="37" t="n">
        <f aca="false">IF(B19="",0,N(Students!J8))</f>
        <v>0</v>
      </c>
      <c r="Y19" s="23"/>
      <c r="Z19" s="26" t="n">
        <f aca="false">N(W19)+N(X19)-N(Y19)</f>
        <v>0</v>
      </c>
      <c r="AA19" s="37" t="n">
        <f aca="false">N(E19)+N(I19)+N(M19)+N(Q19)+N(U19)+N(Y19)</f>
        <v>0</v>
      </c>
      <c r="AB19" s="26" t="n">
        <f aca="false">F19+J19+N19+R19+V19+Z19</f>
        <v>0</v>
      </c>
      <c r="AC19" s="83" t="str">
        <f aca="false">IF(B19="","",IF(AB19&lt;=0,"Clear",IF(AA19&gt;0,"Partial","Due")))</f>
        <v/>
      </c>
    </row>
    <row r="20" customFormat="false" ht="15" hidden="false" customHeight="false" outlineLevel="0" collapsed="false">
      <c r="A20" s="21" t="n">
        <v>5</v>
      </c>
      <c r="B20" s="46" t="str">
        <f aca="false">IF(Students!B9="","",Students!B9)</f>
        <v/>
      </c>
      <c r="C20" s="33" t="n">
        <f aca="false">'Feb 2027'!F20</f>
        <v>0</v>
      </c>
      <c r="D20" s="33" t="n">
        <f aca="false">IF(B20="",0,N(Students!E9))</f>
        <v>0</v>
      </c>
      <c r="E20" s="23"/>
      <c r="F20" s="24" t="n">
        <f aca="false">N(C20)+N(D20)-N(E20)</f>
        <v>0</v>
      </c>
      <c r="G20" s="33" t="n">
        <f aca="false">'Feb 2027'!J20</f>
        <v>0</v>
      </c>
      <c r="H20" s="33" t="n">
        <f aca="false">IF(B20="",0,N(Students!F9))</f>
        <v>0</v>
      </c>
      <c r="I20" s="23"/>
      <c r="J20" s="24" t="n">
        <f aca="false">N(G20)+N(H20)-N(I20)</f>
        <v>0</v>
      </c>
      <c r="K20" s="33" t="n">
        <f aca="false">'Feb 2027'!N20</f>
        <v>0</v>
      </c>
      <c r="L20" s="33" t="n">
        <f aca="false">IF(B20="",0,N(Students!G9))</f>
        <v>0</v>
      </c>
      <c r="M20" s="23"/>
      <c r="N20" s="24" t="n">
        <f aca="false">N(K20)+N(L20)-N(M20)</f>
        <v>0</v>
      </c>
      <c r="O20" s="33" t="n">
        <f aca="false">'Feb 2027'!R20</f>
        <v>0</v>
      </c>
      <c r="P20" s="33" t="n">
        <f aca="false">IF(B20="",0,N(Students!H9))</f>
        <v>0</v>
      </c>
      <c r="Q20" s="23"/>
      <c r="R20" s="24" t="n">
        <f aca="false">N(O20)+N(P20)-N(Q20)</f>
        <v>0</v>
      </c>
      <c r="S20" s="33" t="n">
        <f aca="false">'Feb 2027'!V20</f>
        <v>0</v>
      </c>
      <c r="T20" s="33" t="n">
        <f aca="false">IF(B20="",0,N(Students!I9))</f>
        <v>0</v>
      </c>
      <c r="U20" s="23"/>
      <c r="V20" s="24" t="n">
        <f aca="false">N(S20)+N(T20)-N(U20)</f>
        <v>0</v>
      </c>
      <c r="W20" s="33" t="n">
        <f aca="false">'Feb 2027'!Z20</f>
        <v>0</v>
      </c>
      <c r="X20" s="33" t="n">
        <f aca="false">IF(B20="",0,N(Students!J9))</f>
        <v>0</v>
      </c>
      <c r="Y20" s="23"/>
      <c r="Z20" s="24" t="n">
        <f aca="false">N(W20)+N(X20)-N(Y20)</f>
        <v>0</v>
      </c>
      <c r="AA20" s="33" t="n">
        <f aca="false">N(E20)+N(I20)+N(M20)+N(Q20)+N(U20)+N(Y20)</f>
        <v>0</v>
      </c>
      <c r="AB20" s="24" t="n">
        <f aca="false">F20+J20+N20+R20+V20+Z20</f>
        <v>0</v>
      </c>
      <c r="AC20" s="81" t="str">
        <f aca="false">IF(B20="","",IF(AB20&lt;=0,"Clear",IF(AA20&gt;0,"Partial","Due")))</f>
        <v/>
      </c>
    </row>
    <row r="21" customFormat="false" ht="15" hidden="false" customHeight="false" outlineLevel="0" collapsed="false">
      <c r="A21" s="25" t="n">
        <v>6</v>
      </c>
      <c r="B21" s="82" t="str">
        <f aca="false">IF(Students!B10="","",Students!B10)</f>
        <v/>
      </c>
      <c r="C21" s="37" t="n">
        <f aca="false">'Feb 2027'!F21</f>
        <v>0</v>
      </c>
      <c r="D21" s="37" t="n">
        <f aca="false">IF(B21="",0,N(Students!E10))</f>
        <v>0</v>
      </c>
      <c r="E21" s="23"/>
      <c r="F21" s="26" t="n">
        <f aca="false">N(C21)+N(D21)-N(E21)</f>
        <v>0</v>
      </c>
      <c r="G21" s="37" t="n">
        <f aca="false">'Feb 2027'!J21</f>
        <v>0</v>
      </c>
      <c r="H21" s="37" t="n">
        <f aca="false">IF(B21="",0,N(Students!F10))</f>
        <v>0</v>
      </c>
      <c r="I21" s="23"/>
      <c r="J21" s="26" t="n">
        <f aca="false">N(G21)+N(H21)-N(I21)</f>
        <v>0</v>
      </c>
      <c r="K21" s="37" t="n">
        <f aca="false">'Feb 2027'!N21</f>
        <v>0</v>
      </c>
      <c r="L21" s="37" t="n">
        <f aca="false">IF(B21="",0,N(Students!G10))</f>
        <v>0</v>
      </c>
      <c r="M21" s="23"/>
      <c r="N21" s="26" t="n">
        <f aca="false">N(K21)+N(L21)-N(M21)</f>
        <v>0</v>
      </c>
      <c r="O21" s="37" t="n">
        <f aca="false">'Feb 2027'!R21</f>
        <v>0</v>
      </c>
      <c r="P21" s="37" t="n">
        <f aca="false">IF(B21="",0,N(Students!H10))</f>
        <v>0</v>
      </c>
      <c r="Q21" s="23"/>
      <c r="R21" s="26" t="n">
        <f aca="false">N(O21)+N(P21)-N(Q21)</f>
        <v>0</v>
      </c>
      <c r="S21" s="37" t="n">
        <f aca="false">'Feb 2027'!V21</f>
        <v>0</v>
      </c>
      <c r="T21" s="37" t="n">
        <f aca="false">IF(B21="",0,N(Students!I10))</f>
        <v>0</v>
      </c>
      <c r="U21" s="23"/>
      <c r="V21" s="26" t="n">
        <f aca="false">N(S21)+N(T21)-N(U21)</f>
        <v>0</v>
      </c>
      <c r="W21" s="37" t="n">
        <f aca="false">'Feb 2027'!Z21</f>
        <v>0</v>
      </c>
      <c r="X21" s="37" t="n">
        <f aca="false">IF(B21="",0,N(Students!J10))</f>
        <v>0</v>
      </c>
      <c r="Y21" s="23"/>
      <c r="Z21" s="26" t="n">
        <f aca="false">N(W21)+N(X21)-N(Y21)</f>
        <v>0</v>
      </c>
      <c r="AA21" s="37" t="n">
        <f aca="false">N(E21)+N(I21)+N(M21)+N(Q21)+N(U21)+N(Y21)</f>
        <v>0</v>
      </c>
      <c r="AB21" s="26" t="n">
        <f aca="false">F21+J21+N21+R21+V21+Z21</f>
        <v>0</v>
      </c>
      <c r="AC21" s="83" t="str">
        <f aca="false">IF(B21="","",IF(AB21&lt;=0,"Clear",IF(AA21&gt;0,"Partial","Due")))</f>
        <v/>
      </c>
    </row>
    <row r="22" customFormat="false" ht="15" hidden="false" customHeight="false" outlineLevel="0" collapsed="false">
      <c r="A22" s="21" t="n">
        <v>7</v>
      </c>
      <c r="B22" s="46" t="str">
        <f aca="false">IF(Students!B11="","",Students!B11)</f>
        <v/>
      </c>
      <c r="C22" s="33" t="n">
        <f aca="false">'Feb 2027'!F22</f>
        <v>0</v>
      </c>
      <c r="D22" s="33" t="n">
        <f aca="false">IF(B22="",0,N(Students!E11))</f>
        <v>0</v>
      </c>
      <c r="E22" s="23"/>
      <c r="F22" s="24" t="n">
        <f aca="false">N(C22)+N(D22)-N(E22)</f>
        <v>0</v>
      </c>
      <c r="G22" s="33" t="n">
        <f aca="false">'Feb 2027'!J22</f>
        <v>0</v>
      </c>
      <c r="H22" s="33" t="n">
        <f aca="false">IF(B22="",0,N(Students!F11))</f>
        <v>0</v>
      </c>
      <c r="I22" s="23"/>
      <c r="J22" s="24" t="n">
        <f aca="false">N(G22)+N(H22)-N(I22)</f>
        <v>0</v>
      </c>
      <c r="K22" s="33" t="n">
        <f aca="false">'Feb 2027'!N22</f>
        <v>0</v>
      </c>
      <c r="L22" s="33" t="n">
        <f aca="false">IF(B22="",0,N(Students!G11))</f>
        <v>0</v>
      </c>
      <c r="M22" s="23"/>
      <c r="N22" s="24" t="n">
        <f aca="false">N(K22)+N(L22)-N(M22)</f>
        <v>0</v>
      </c>
      <c r="O22" s="33" t="n">
        <f aca="false">'Feb 2027'!R22</f>
        <v>0</v>
      </c>
      <c r="P22" s="33" t="n">
        <f aca="false">IF(B22="",0,N(Students!H11))</f>
        <v>0</v>
      </c>
      <c r="Q22" s="23"/>
      <c r="R22" s="24" t="n">
        <f aca="false">N(O22)+N(P22)-N(Q22)</f>
        <v>0</v>
      </c>
      <c r="S22" s="33" t="n">
        <f aca="false">'Feb 2027'!V22</f>
        <v>0</v>
      </c>
      <c r="T22" s="33" t="n">
        <f aca="false">IF(B22="",0,N(Students!I11))</f>
        <v>0</v>
      </c>
      <c r="U22" s="23"/>
      <c r="V22" s="24" t="n">
        <f aca="false">N(S22)+N(T22)-N(U22)</f>
        <v>0</v>
      </c>
      <c r="W22" s="33" t="n">
        <f aca="false">'Feb 2027'!Z22</f>
        <v>0</v>
      </c>
      <c r="X22" s="33" t="n">
        <f aca="false">IF(B22="",0,N(Students!J11))</f>
        <v>0</v>
      </c>
      <c r="Y22" s="23"/>
      <c r="Z22" s="24" t="n">
        <f aca="false">N(W22)+N(X22)-N(Y22)</f>
        <v>0</v>
      </c>
      <c r="AA22" s="33" t="n">
        <f aca="false">N(E22)+N(I22)+N(M22)+N(Q22)+N(U22)+N(Y22)</f>
        <v>0</v>
      </c>
      <c r="AB22" s="24" t="n">
        <f aca="false">F22+J22+N22+R22+V22+Z22</f>
        <v>0</v>
      </c>
      <c r="AC22" s="81" t="str">
        <f aca="false">IF(B22="","",IF(AB22&lt;=0,"Clear",IF(AA22&gt;0,"Partial","Due")))</f>
        <v/>
      </c>
    </row>
    <row r="23" customFormat="false" ht="15" hidden="false" customHeight="false" outlineLevel="0" collapsed="false">
      <c r="A23" s="25" t="n">
        <v>8</v>
      </c>
      <c r="B23" s="82" t="str">
        <f aca="false">IF(Students!B12="","",Students!B12)</f>
        <v/>
      </c>
      <c r="C23" s="37" t="n">
        <f aca="false">'Feb 2027'!F23</f>
        <v>0</v>
      </c>
      <c r="D23" s="37" t="n">
        <f aca="false">IF(B23="",0,N(Students!E12))</f>
        <v>0</v>
      </c>
      <c r="E23" s="23"/>
      <c r="F23" s="26" t="n">
        <f aca="false">N(C23)+N(D23)-N(E23)</f>
        <v>0</v>
      </c>
      <c r="G23" s="37" t="n">
        <f aca="false">'Feb 2027'!J23</f>
        <v>0</v>
      </c>
      <c r="H23" s="37" t="n">
        <f aca="false">IF(B23="",0,N(Students!F12))</f>
        <v>0</v>
      </c>
      <c r="I23" s="23"/>
      <c r="J23" s="26" t="n">
        <f aca="false">N(G23)+N(H23)-N(I23)</f>
        <v>0</v>
      </c>
      <c r="K23" s="37" t="n">
        <f aca="false">'Feb 2027'!N23</f>
        <v>0</v>
      </c>
      <c r="L23" s="37" t="n">
        <f aca="false">IF(B23="",0,N(Students!G12))</f>
        <v>0</v>
      </c>
      <c r="M23" s="23"/>
      <c r="N23" s="26" t="n">
        <f aca="false">N(K23)+N(L23)-N(M23)</f>
        <v>0</v>
      </c>
      <c r="O23" s="37" t="n">
        <f aca="false">'Feb 2027'!R23</f>
        <v>0</v>
      </c>
      <c r="P23" s="37" t="n">
        <f aca="false">IF(B23="",0,N(Students!H12))</f>
        <v>0</v>
      </c>
      <c r="Q23" s="23"/>
      <c r="R23" s="26" t="n">
        <f aca="false">N(O23)+N(P23)-N(Q23)</f>
        <v>0</v>
      </c>
      <c r="S23" s="37" t="n">
        <f aca="false">'Feb 2027'!V23</f>
        <v>0</v>
      </c>
      <c r="T23" s="37" t="n">
        <f aca="false">IF(B23="",0,N(Students!I12))</f>
        <v>0</v>
      </c>
      <c r="U23" s="23"/>
      <c r="V23" s="26" t="n">
        <f aca="false">N(S23)+N(T23)-N(U23)</f>
        <v>0</v>
      </c>
      <c r="W23" s="37" t="n">
        <f aca="false">'Feb 2027'!Z23</f>
        <v>0</v>
      </c>
      <c r="X23" s="37" t="n">
        <f aca="false">IF(B23="",0,N(Students!J12))</f>
        <v>0</v>
      </c>
      <c r="Y23" s="23"/>
      <c r="Z23" s="26" t="n">
        <f aca="false">N(W23)+N(X23)-N(Y23)</f>
        <v>0</v>
      </c>
      <c r="AA23" s="37" t="n">
        <f aca="false">N(E23)+N(I23)+N(M23)+N(Q23)+N(U23)+N(Y23)</f>
        <v>0</v>
      </c>
      <c r="AB23" s="26" t="n">
        <f aca="false">F23+J23+N23+R23+V23+Z23</f>
        <v>0</v>
      </c>
      <c r="AC23" s="83" t="str">
        <f aca="false">IF(B23="","",IF(AB23&lt;=0,"Clear",IF(AA23&gt;0,"Partial","Due")))</f>
        <v/>
      </c>
    </row>
    <row r="24" customFormat="false" ht="15" hidden="false" customHeight="false" outlineLevel="0" collapsed="false">
      <c r="A24" s="21" t="n">
        <v>9</v>
      </c>
      <c r="B24" s="46" t="str">
        <f aca="false">IF(Students!B13="","",Students!B13)</f>
        <v/>
      </c>
      <c r="C24" s="33" t="n">
        <f aca="false">'Feb 2027'!F24</f>
        <v>0</v>
      </c>
      <c r="D24" s="33" t="n">
        <f aca="false">IF(B24="",0,N(Students!E13))</f>
        <v>0</v>
      </c>
      <c r="E24" s="23"/>
      <c r="F24" s="24" t="n">
        <f aca="false">N(C24)+N(D24)-N(E24)</f>
        <v>0</v>
      </c>
      <c r="G24" s="33" t="n">
        <f aca="false">'Feb 2027'!J24</f>
        <v>0</v>
      </c>
      <c r="H24" s="33" t="n">
        <f aca="false">IF(B24="",0,N(Students!F13))</f>
        <v>0</v>
      </c>
      <c r="I24" s="23"/>
      <c r="J24" s="24" t="n">
        <f aca="false">N(G24)+N(H24)-N(I24)</f>
        <v>0</v>
      </c>
      <c r="K24" s="33" t="n">
        <f aca="false">'Feb 2027'!N24</f>
        <v>0</v>
      </c>
      <c r="L24" s="33" t="n">
        <f aca="false">IF(B24="",0,N(Students!G13))</f>
        <v>0</v>
      </c>
      <c r="M24" s="23"/>
      <c r="N24" s="24" t="n">
        <f aca="false">N(K24)+N(L24)-N(M24)</f>
        <v>0</v>
      </c>
      <c r="O24" s="33" t="n">
        <f aca="false">'Feb 2027'!R24</f>
        <v>0</v>
      </c>
      <c r="P24" s="33" t="n">
        <f aca="false">IF(B24="",0,N(Students!H13))</f>
        <v>0</v>
      </c>
      <c r="Q24" s="23"/>
      <c r="R24" s="24" t="n">
        <f aca="false">N(O24)+N(P24)-N(Q24)</f>
        <v>0</v>
      </c>
      <c r="S24" s="33" t="n">
        <f aca="false">'Feb 2027'!V24</f>
        <v>0</v>
      </c>
      <c r="T24" s="33" t="n">
        <f aca="false">IF(B24="",0,N(Students!I13))</f>
        <v>0</v>
      </c>
      <c r="U24" s="23"/>
      <c r="V24" s="24" t="n">
        <f aca="false">N(S24)+N(T24)-N(U24)</f>
        <v>0</v>
      </c>
      <c r="W24" s="33" t="n">
        <f aca="false">'Feb 2027'!Z24</f>
        <v>0</v>
      </c>
      <c r="X24" s="33" t="n">
        <f aca="false">IF(B24="",0,N(Students!J13))</f>
        <v>0</v>
      </c>
      <c r="Y24" s="23"/>
      <c r="Z24" s="24" t="n">
        <f aca="false">N(W24)+N(X24)-N(Y24)</f>
        <v>0</v>
      </c>
      <c r="AA24" s="33" t="n">
        <f aca="false">N(E24)+N(I24)+N(M24)+N(Q24)+N(U24)+N(Y24)</f>
        <v>0</v>
      </c>
      <c r="AB24" s="24" t="n">
        <f aca="false">F24+J24+N24+R24+V24+Z24</f>
        <v>0</v>
      </c>
      <c r="AC24" s="81" t="str">
        <f aca="false">IF(B24="","",IF(AB24&lt;=0,"Clear",IF(AA24&gt;0,"Partial","Due")))</f>
        <v/>
      </c>
    </row>
    <row r="25" customFormat="false" ht="15" hidden="false" customHeight="false" outlineLevel="0" collapsed="false">
      <c r="A25" s="25" t="n">
        <v>10</v>
      </c>
      <c r="B25" s="82" t="str">
        <f aca="false">IF(Students!B14="","",Students!B14)</f>
        <v/>
      </c>
      <c r="C25" s="37" t="n">
        <f aca="false">'Feb 2027'!F25</f>
        <v>0</v>
      </c>
      <c r="D25" s="37" t="n">
        <f aca="false">IF(B25="",0,N(Students!E14))</f>
        <v>0</v>
      </c>
      <c r="E25" s="23"/>
      <c r="F25" s="26" t="n">
        <f aca="false">N(C25)+N(D25)-N(E25)</f>
        <v>0</v>
      </c>
      <c r="G25" s="37" t="n">
        <f aca="false">'Feb 2027'!J25</f>
        <v>0</v>
      </c>
      <c r="H25" s="37" t="n">
        <f aca="false">IF(B25="",0,N(Students!F14))</f>
        <v>0</v>
      </c>
      <c r="I25" s="23"/>
      <c r="J25" s="26" t="n">
        <f aca="false">N(G25)+N(H25)-N(I25)</f>
        <v>0</v>
      </c>
      <c r="K25" s="37" t="n">
        <f aca="false">'Feb 2027'!N25</f>
        <v>0</v>
      </c>
      <c r="L25" s="37" t="n">
        <f aca="false">IF(B25="",0,N(Students!G14))</f>
        <v>0</v>
      </c>
      <c r="M25" s="23"/>
      <c r="N25" s="26" t="n">
        <f aca="false">N(K25)+N(L25)-N(M25)</f>
        <v>0</v>
      </c>
      <c r="O25" s="37" t="n">
        <f aca="false">'Feb 2027'!R25</f>
        <v>0</v>
      </c>
      <c r="P25" s="37" t="n">
        <f aca="false">IF(B25="",0,N(Students!H14))</f>
        <v>0</v>
      </c>
      <c r="Q25" s="23"/>
      <c r="R25" s="26" t="n">
        <f aca="false">N(O25)+N(P25)-N(Q25)</f>
        <v>0</v>
      </c>
      <c r="S25" s="37" t="n">
        <f aca="false">'Feb 2027'!V25</f>
        <v>0</v>
      </c>
      <c r="T25" s="37" t="n">
        <f aca="false">IF(B25="",0,N(Students!I14))</f>
        <v>0</v>
      </c>
      <c r="U25" s="23"/>
      <c r="V25" s="26" t="n">
        <f aca="false">N(S25)+N(T25)-N(U25)</f>
        <v>0</v>
      </c>
      <c r="W25" s="37" t="n">
        <f aca="false">'Feb 2027'!Z25</f>
        <v>0</v>
      </c>
      <c r="X25" s="37" t="n">
        <f aca="false">IF(B25="",0,N(Students!J14))</f>
        <v>0</v>
      </c>
      <c r="Y25" s="23"/>
      <c r="Z25" s="26" t="n">
        <f aca="false">N(W25)+N(X25)-N(Y25)</f>
        <v>0</v>
      </c>
      <c r="AA25" s="37" t="n">
        <f aca="false">N(E25)+N(I25)+N(M25)+N(Q25)+N(U25)+N(Y25)</f>
        <v>0</v>
      </c>
      <c r="AB25" s="26" t="n">
        <f aca="false">F25+J25+N25+R25+V25+Z25</f>
        <v>0</v>
      </c>
      <c r="AC25" s="83" t="str">
        <f aca="false">IF(B25="","",IF(AB25&lt;=0,"Clear",IF(AA25&gt;0,"Partial","Due")))</f>
        <v/>
      </c>
    </row>
    <row r="26" customFormat="false" ht="15" hidden="false" customHeight="false" outlineLevel="0" collapsed="false">
      <c r="A26" s="21" t="n">
        <v>11</v>
      </c>
      <c r="B26" s="46" t="str">
        <f aca="false">IF(Students!B15="","",Students!B15)</f>
        <v/>
      </c>
      <c r="C26" s="33" t="n">
        <f aca="false">'Feb 2027'!F26</f>
        <v>0</v>
      </c>
      <c r="D26" s="33" t="n">
        <f aca="false">IF(B26="",0,N(Students!E15))</f>
        <v>0</v>
      </c>
      <c r="E26" s="23"/>
      <c r="F26" s="24" t="n">
        <f aca="false">N(C26)+N(D26)-N(E26)</f>
        <v>0</v>
      </c>
      <c r="G26" s="33" t="n">
        <f aca="false">'Feb 2027'!J26</f>
        <v>0</v>
      </c>
      <c r="H26" s="33" t="n">
        <f aca="false">IF(B26="",0,N(Students!F15))</f>
        <v>0</v>
      </c>
      <c r="I26" s="23"/>
      <c r="J26" s="24" t="n">
        <f aca="false">N(G26)+N(H26)-N(I26)</f>
        <v>0</v>
      </c>
      <c r="K26" s="33" t="n">
        <f aca="false">'Feb 2027'!N26</f>
        <v>0</v>
      </c>
      <c r="L26" s="33" t="n">
        <f aca="false">IF(B26="",0,N(Students!G15))</f>
        <v>0</v>
      </c>
      <c r="M26" s="23"/>
      <c r="N26" s="24" t="n">
        <f aca="false">N(K26)+N(L26)-N(M26)</f>
        <v>0</v>
      </c>
      <c r="O26" s="33" t="n">
        <f aca="false">'Feb 2027'!R26</f>
        <v>0</v>
      </c>
      <c r="P26" s="33" t="n">
        <f aca="false">IF(B26="",0,N(Students!H15))</f>
        <v>0</v>
      </c>
      <c r="Q26" s="23"/>
      <c r="R26" s="24" t="n">
        <f aca="false">N(O26)+N(P26)-N(Q26)</f>
        <v>0</v>
      </c>
      <c r="S26" s="33" t="n">
        <f aca="false">'Feb 2027'!V26</f>
        <v>0</v>
      </c>
      <c r="T26" s="33" t="n">
        <f aca="false">IF(B26="",0,N(Students!I15))</f>
        <v>0</v>
      </c>
      <c r="U26" s="23"/>
      <c r="V26" s="24" t="n">
        <f aca="false">N(S26)+N(T26)-N(U26)</f>
        <v>0</v>
      </c>
      <c r="W26" s="33" t="n">
        <f aca="false">'Feb 2027'!Z26</f>
        <v>0</v>
      </c>
      <c r="X26" s="33" t="n">
        <f aca="false">IF(B26="",0,N(Students!J15))</f>
        <v>0</v>
      </c>
      <c r="Y26" s="23"/>
      <c r="Z26" s="24" t="n">
        <f aca="false">N(W26)+N(X26)-N(Y26)</f>
        <v>0</v>
      </c>
      <c r="AA26" s="33" t="n">
        <f aca="false">N(E26)+N(I26)+N(M26)+N(Q26)+N(U26)+N(Y26)</f>
        <v>0</v>
      </c>
      <c r="AB26" s="24" t="n">
        <f aca="false">F26+J26+N26+R26+V26+Z26</f>
        <v>0</v>
      </c>
      <c r="AC26" s="81" t="str">
        <f aca="false">IF(B26="","",IF(AB26&lt;=0,"Clear",IF(AA26&gt;0,"Partial","Due")))</f>
        <v/>
      </c>
    </row>
    <row r="27" customFormat="false" ht="15" hidden="false" customHeight="false" outlineLevel="0" collapsed="false">
      <c r="A27" s="25" t="n">
        <v>12</v>
      </c>
      <c r="B27" s="82" t="str">
        <f aca="false">IF(Students!B16="","",Students!B16)</f>
        <v/>
      </c>
      <c r="C27" s="37" t="n">
        <f aca="false">'Feb 2027'!F27</f>
        <v>0</v>
      </c>
      <c r="D27" s="37" t="n">
        <f aca="false">IF(B27="",0,N(Students!E16))</f>
        <v>0</v>
      </c>
      <c r="E27" s="23"/>
      <c r="F27" s="26" t="n">
        <f aca="false">N(C27)+N(D27)-N(E27)</f>
        <v>0</v>
      </c>
      <c r="G27" s="37" t="n">
        <f aca="false">'Feb 2027'!J27</f>
        <v>0</v>
      </c>
      <c r="H27" s="37" t="n">
        <f aca="false">IF(B27="",0,N(Students!F16))</f>
        <v>0</v>
      </c>
      <c r="I27" s="23"/>
      <c r="J27" s="26" t="n">
        <f aca="false">N(G27)+N(H27)-N(I27)</f>
        <v>0</v>
      </c>
      <c r="K27" s="37" t="n">
        <f aca="false">'Feb 2027'!N27</f>
        <v>0</v>
      </c>
      <c r="L27" s="37" t="n">
        <f aca="false">IF(B27="",0,N(Students!G16))</f>
        <v>0</v>
      </c>
      <c r="M27" s="23"/>
      <c r="N27" s="26" t="n">
        <f aca="false">N(K27)+N(L27)-N(M27)</f>
        <v>0</v>
      </c>
      <c r="O27" s="37" t="n">
        <f aca="false">'Feb 2027'!R27</f>
        <v>0</v>
      </c>
      <c r="P27" s="37" t="n">
        <f aca="false">IF(B27="",0,N(Students!H16))</f>
        <v>0</v>
      </c>
      <c r="Q27" s="23"/>
      <c r="R27" s="26" t="n">
        <f aca="false">N(O27)+N(P27)-N(Q27)</f>
        <v>0</v>
      </c>
      <c r="S27" s="37" t="n">
        <f aca="false">'Feb 2027'!V27</f>
        <v>0</v>
      </c>
      <c r="T27" s="37" t="n">
        <f aca="false">IF(B27="",0,N(Students!I16))</f>
        <v>0</v>
      </c>
      <c r="U27" s="23"/>
      <c r="V27" s="26" t="n">
        <f aca="false">N(S27)+N(T27)-N(U27)</f>
        <v>0</v>
      </c>
      <c r="W27" s="37" t="n">
        <f aca="false">'Feb 2027'!Z27</f>
        <v>0</v>
      </c>
      <c r="X27" s="37" t="n">
        <f aca="false">IF(B27="",0,N(Students!J16))</f>
        <v>0</v>
      </c>
      <c r="Y27" s="23"/>
      <c r="Z27" s="26" t="n">
        <f aca="false">N(W27)+N(X27)-N(Y27)</f>
        <v>0</v>
      </c>
      <c r="AA27" s="37" t="n">
        <f aca="false">N(E27)+N(I27)+N(M27)+N(Q27)+N(U27)+N(Y27)</f>
        <v>0</v>
      </c>
      <c r="AB27" s="26" t="n">
        <f aca="false">F27+J27+N27+R27+V27+Z27</f>
        <v>0</v>
      </c>
      <c r="AC27" s="83" t="str">
        <f aca="false">IF(B27="","",IF(AB27&lt;=0,"Clear",IF(AA27&gt;0,"Partial","Due")))</f>
        <v/>
      </c>
    </row>
    <row r="28" customFormat="false" ht="15" hidden="false" customHeight="false" outlineLevel="0" collapsed="false">
      <c r="A28" s="21" t="n">
        <v>13</v>
      </c>
      <c r="B28" s="46" t="str">
        <f aca="false">IF(Students!B17="","",Students!B17)</f>
        <v/>
      </c>
      <c r="C28" s="33" t="n">
        <f aca="false">'Feb 2027'!F28</f>
        <v>0</v>
      </c>
      <c r="D28" s="33" t="n">
        <f aca="false">IF(B28="",0,N(Students!E17))</f>
        <v>0</v>
      </c>
      <c r="E28" s="23"/>
      <c r="F28" s="24" t="n">
        <f aca="false">N(C28)+N(D28)-N(E28)</f>
        <v>0</v>
      </c>
      <c r="G28" s="33" t="n">
        <f aca="false">'Feb 2027'!J28</f>
        <v>0</v>
      </c>
      <c r="H28" s="33" t="n">
        <f aca="false">IF(B28="",0,N(Students!F17))</f>
        <v>0</v>
      </c>
      <c r="I28" s="23"/>
      <c r="J28" s="24" t="n">
        <f aca="false">N(G28)+N(H28)-N(I28)</f>
        <v>0</v>
      </c>
      <c r="K28" s="33" t="n">
        <f aca="false">'Feb 2027'!N28</f>
        <v>0</v>
      </c>
      <c r="L28" s="33" t="n">
        <f aca="false">IF(B28="",0,N(Students!G17))</f>
        <v>0</v>
      </c>
      <c r="M28" s="23"/>
      <c r="N28" s="24" t="n">
        <f aca="false">N(K28)+N(L28)-N(M28)</f>
        <v>0</v>
      </c>
      <c r="O28" s="33" t="n">
        <f aca="false">'Feb 2027'!R28</f>
        <v>0</v>
      </c>
      <c r="P28" s="33" t="n">
        <f aca="false">IF(B28="",0,N(Students!H17))</f>
        <v>0</v>
      </c>
      <c r="Q28" s="23"/>
      <c r="R28" s="24" t="n">
        <f aca="false">N(O28)+N(P28)-N(Q28)</f>
        <v>0</v>
      </c>
      <c r="S28" s="33" t="n">
        <f aca="false">'Feb 2027'!V28</f>
        <v>0</v>
      </c>
      <c r="T28" s="33" t="n">
        <f aca="false">IF(B28="",0,N(Students!I17))</f>
        <v>0</v>
      </c>
      <c r="U28" s="23"/>
      <c r="V28" s="24" t="n">
        <f aca="false">N(S28)+N(T28)-N(U28)</f>
        <v>0</v>
      </c>
      <c r="W28" s="33" t="n">
        <f aca="false">'Feb 2027'!Z28</f>
        <v>0</v>
      </c>
      <c r="X28" s="33" t="n">
        <f aca="false">IF(B28="",0,N(Students!J17))</f>
        <v>0</v>
      </c>
      <c r="Y28" s="23"/>
      <c r="Z28" s="24" t="n">
        <f aca="false">N(W28)+N(X28)-N(Y28)</f>
        <v>0</v>
      </c>
      <c r="AA28" s="33" t="n">
        <f aca="false">N(E28)+N(I28)+N(M28)+N(Q28)+N(U28)+N(Y28)</f>
        <v>0</v>
      </c>
      <c r="AB28" s="24" t="n">
        <f aca="false">F28+J28+N28+R28+V28+Z28</f>
        <v>0</v>
      </c>
      <c r="AC28" s="81" t="str">
        <f aca="false">IF(B28="","",IF(AB28&lt;=0,"Clear",IF(AA28&gt;0,"Partial","Due")))</f>
        <v/>
      </c>
    </row>
    <row r="29" customFormat="false" ht="15" hidden="false" customHeight="false" outlineLevel="0" collapsed="false">
      <c r="A29" s="25" t="n">
        <v>14</v>
      </c>
      <c r="B29" s="82" t="str">
        <f aca="false">IF(Students!B18="","",Students!B18)</f>
        <v/>
      </c>
      <c r="C29" s="37" t="n">
        <f aca="false">'Feb 2027'!F29</f>
        <v>0</v>
      </c>
      <c r="D29" s="37" t="n">
        <f aca="false">IF(B29="",0,N(Students!E18))</f>
        <v>0</v>
      </c>
      <c r="E29" s="23"/>
      <c r="F29" s="26" t="n">
        <f aca="false">N(C29)+N(D29)-N(E29)</f>
        <v>0</v>
      </c>
      <c r="G29" s="37" t="n">
        <f aca="false">'Feb 2027'!J29</f>
        <v>0</v>
      </c>
      <c r="H29" s="37" t="n">
        <f aca="false">IF(B29="",0,N(Students!F18))</f>
        <v>0</v>
      </c>
      <c r="I29" s="23"/>
      <c r="J29" s="26" t="n">
        <f aca="false">N(G29)+N(H29)-N(I29)</f>
        <v>0</v>
      </c>
      <c r="K29" s="37" t="n">
        <f aca="false">'Feb 2027'!N29</f>
        <v>0</v>
      </c>
      <c r="L29" s="37" t="n">
        <f aca="false">IF(B29="",0,N(Students!G18))</f>
        <v>0</v>
      </c>
      <c r="M29" s="23"/>
      <c r="N29" s="26" t="n">
        <f aca="false">N(K29)+N(L29)-N(M29)</f>
        <v>0</v>
      </c>
      <c r="O29" s="37" t="n">
        <f aca="false">'Feb 2027'!R29</f>
        <v>0</v>
      </c>
      <c r="P29" s="37" t="n">
        <f aca="false">IF(B29="",0,N(Students!H18))</f>
        <v>0</v>
      </c>
      <c r="Q29" s="23"/>
      <c r="R29" s="26" t="n">
        <f aca="false">N(O29)+N(P29)-N(Q29)</f>
        <v>0</v>
      </c>
      <c r="S29" s="37" t="n">
        <f aca="false">'Feb 2027'!V29</f>
        <v>0</v>
      </c>
      <c r="T29" s="37" t="n">
        <f aca="false">IF(B29="",0,N(Students!I18))</f>
        <v>0</v>
      </c>
      <c r="U29" s="23"/>
      <c r="V29" s="26" t="n">
        <f aca="false">N(S29)+N(T29)-N(U29)</f>
        <v>0</v>
      </c>
      <c r="W29" s="37" t="n">
        <f aca="false">'Feb 2027'!Z29</f>
        <v>0</v>
      </c>
      <c r="X29" s="37" t="n">
        <f aca="false">IF(B29="",0,N(Students!J18))</f>
        <v>0</v>
      </c>
      <c r="Y29" s="23"/>
      <c r="Z29" s="26" t="n">
        <f aca="false">N(W29)+N(X29)-N(Y29)</f>
        <v>0</v>
      </c>
      <c r="AA29" s="37" t="n">
        <f aca="false">N(E29)+N(I29)+N(M29)+N(Q29)+N(U29)+N(Y29)</f>
        <v>0</v>
      </c>
      <c r="AB29" s="26" t="n">
        <f aca="false">F29+J29+N29+R29+V29+Z29</f>
        <v>0</v>
      </c>
      <c r="AC29" s="83" t="str">
        <f aca="false">IF(B29="","",IF(AB29&lt;=0,"Clear",IF(AA29&gt;0,"Partial","Due")))</f>
        <v/>
      </c>
    </row>
    <row r="30" customFormat="false" ht="15" hidden="false" customHeight="false" outlineLevel="0" collapsed="false">
      <c r="A30" s="21" t="n">
        <v>15</v>
      </c>
      <c r="B30" s="46" t="str">
        <f aca="false">IF(Students!B19="","",Students!B19)</f>
        <v/>
      </c>
      <c r="C30" s="33" t="n">
        <f aca="false">'Feb 2027'!F30</f>
        <v>0</v>
      </c>
      <c r="D30" s="33" t="n">
        <f aca="false">IF(B30="",0,N(Students!E19))</f>
        <v>0</v>
      </c>
      <c r="E30" s="23"/>
      <c r="F30" s="24" t="n">
        <f aca="false">N(C30)+N(D30)-N(E30)</f>
        <v>0</v>
      </c>
      <c r="G30" s="33" t="n">
        <f aca="false">'Feb 2027'!J30</f>
        <v>0</v>
      </c>
      <c r="H30" s="33" t="n">
        <f aca="false">IF(B30="",0,N(Students!F19))</f>
        <v>0</v>
      </c>
      <c r="I30" s="23"/>
      <c r="J30" s="24" t="n">
        <f aca="false">N(G30)+N(H30)-N(I30)</f>
        <v>0</v>
      </c>
      <c r="K30" s="33" t="n">
        <f aca="false">'Feb 2027'!N30</f>
        <v>0</v>
      </c>
      <c r="L30" s="33" t="n">
        <f aca="false">IF(B30="",0,N(Students!G19))</f>
        <v>0</v>
      </c>
      <c r="M30" s="23"/>
      <c r="N30" s="24" t="n">
        <f aca="false">N(K30)+N(L30)-N(M30)</f>
        <v>0</v>
      </c>
      <c r="O30" s="33" t="n">
        <f aca="false">'Feb 2027'!R30</f>
        <v>0</v>
      </c>
      <c r="P30" s="33" t="n">
        <f aca="false">IF(B30="",0,N(Students!H19))</f>
        <v>0</v>
      </c>
      <c r="Q30" s="23"/>
      <c r="R30" s="24" t="n">
        <f aca="false">N(O30)+N(P30)-N(Q30)</f>
        <v>0</v>
      </c>
      <c r="S30" s="33" t="n">
        <f aca="false">'Feb 2027'!V30</f>
        <v>0</v>
      </c>
      <c r="T30" s="33" t="n">
        <f aca="false">IF(B30="",0,N(Students!I19))</f>
        <v>0</v>
      </c>
      <c r="U30" s="23"/>
      <c r="V30" s="24" t="n">
        <f aca="false">N(S30)+N(T30)-N(U30)</f>
        <v>0</v>
      </c>
      <c r="W30" s="33" t="n">
        <f aca="false">'Feb 2027'!Z30</f>
        <v>0</v>
      </c>
      <c r="X30" s="33" t="n">
        <f aca="false">IF(B30="",0,N(Students!J19))</f>
        <v>0</v>
      </c>
      <c r="Y30" s="23"/>
      <c r="Z30" s="24" t="n">
        <f aca="false">N(W30)+N(X30)-N(Y30)</f>
        <v>0</v>
      </c>
      <c r="AA30" s="33" t="n">
        <f aca="false">N(E30)+N(I30)+N(M30)+N(Q30)+N(U30)+N(Y30)</f>
        <v>0</v>
      </c>
      <c r="AB30" s="24" t="n">
        <f aca="false">F30+J30+N30+R30+V30+Z30</f>
        <v>0</v>
      </c>
      <c r="AC30" s="81" t="str">
        <f aca="false">IF(B30="","",IF(AB30&lt;=0,"Clear",IF(AA30&gt;0,"Partial","Due")))</f>
        <v/>
      </c>
    </row>
    <row r="31" customFormat="false" ht="15" hidden="false" customHeight="false" outlineLevel="0" collapsed="false">
      <c r="A31" s="25" t="n">
        <v>16</v>
      </c>
      <c r="B31" s="82" t="str">
        <f aca="false">IF(Students!B20="","",Students!B20)</f>
        <v/>
      </c>
      <c r="C31" s="37" t="n">
        <f aca="false">'Feb 2027'!F31</f>
        <v>0</v>
      </c>
      <c r="D31" s="37" t="n">
        <f aca="false">IF(B31="",0,N(Students!E20))</f>
        <v>0</v>
      </c>
      <c r="E31" s="23"/>
      <c r="F31" s="26" t="n">
        <f aca="false">N(C31)+N(D31)-N(E31)</f>
        <v>0</v>
      </c>
      <c r="G31" s="37" t="n">
        <f aca="false">'Feb 2027'!J31</f>
        <v>0</v>
      </c>
      <c r="H31" s="37" t="n">
        <f aca="false">IF(B31="",0,N(Students!F20))</f>
        <v>0</v>
      </c>
      <c r="I31" s="23"/>
      <c r="J31" s="26" t="n">
        <f aca="false">N(G31)+N(H31)-N(I31)</f>
        <v>0</v>
      </c>
      <c r="K31" s="37" t="n">
        <f aca="false">'Feb 2027'!N31</f>
        <v>0</v>
      </c>
      <c r="L31" s="37" t="n">
        <f aca="false">IF(B31="",0,N(Students!G20))</f>
        <v>0</v>
      </c>
      <c r="M31" s="23"/>
      <c r="N31" s="26" t="n">
        <f aca="false">N(K31)+N(L31)-N(M31)</f>
        <v>0</v>
      </c>
      <c r="O31" s="37" t="n">
        <f aca="false">'Feb 2027'!R31</f>
        <v>0</v>
      </c>
      <c r="P31" s="37" t="n">
        <f aca="false">IF(B31="",0,N(Students!H20))</f>
        <v>0</v>
      </c>
      <c r="Q31" s="23"/>
      <c r="R31" s="26" t="n">
        <f aca="false">N(O31)+N(P31)-N(Q31)</f>
        <v>0</v>
      </c>
      <c r="S31" s="37" t="n">
        <f aca="false">'Feb 2027'!V31</f>
        <v>0</v>
      </c>
      <c r="T31" s="37" t="n">
        <f aca="false">IF(B31="",0,N(Students!I20))</f>
        <v>0</v>
      </c>
      <c r="U31" s="23"/>
      <c r="V31" s="26" t="n">
        <f aca="false">N(S31)+N(T31)-N(U31)</f>
        <v>0</v>
      </c>
      <c r="W31" s="37" t="n">
        <f aca="false">'Feb 2027'!Z31</f>
        <v>0</v>
      </c>
      <c r="X31" s="37" t="n">
        <f aca="false">IF(B31="",0,N(Students!J20))</f>
        <v>0</v>
      </c>
      <c r="Y31" s="23"/>
      <c r="Z31" s="26" t="n">
        <f aca="false">N(W31)+N(X31)-N(Y31)</f>
        <v>0</v>
      </c>
      <c r="AA31" s="37" t="n">
        <f aca="false">N(E31)+N(I31)+N(M31)+N(Q31)+N(U31)+N(Y31)</f>
        <v>0</v>
      </c>
      <c r="AB31" s="26" t="n">
        <f aca="false">F31+J31+N31+R31+V31+Z31</f>
        <v>0</v>
      </c>
      <c r="AC31" s="83" t="str">
        <f aca="false">IF(B31="","",IF(AB31&lt;=0,"Clear",IF(AA31&gt;0,"Partial","Due")))</f>
        <v/>
      </c>
    </row>
    <row r="32" customFormat="false" ht="15" hidden="false" customHeight="false" outlineLevel="0" collapsed="false">
      <c r="A32" s="21" t="n">
        <v>17</v>
      </c>
      <c r="B32" s="46" t="str">
        <f aca="false">IF(Students!B21="","",Students!B21)</f>
        <v/>
      </c>
      <c r="C32" s="33" t="n">
        <f aca="false">'Feb 2027'!F32</f>
        <v>0</v>
      </c>
      <c r="D32" s="33" t="n">
        <f aca="false">IF(B32="",0,N(Students!E21))</f>
        <v>0</v>
      </c>
      <c r="E32" s="23"/>
      <c r="F32" s="24" t="n">
        <f aca="false">N(C32)+N(D32)-N(E32)</f>
        <v>0</v>
      </c>
      <c r="G32" s="33" t="n">
        <f aca="false">'Feb 2027'!J32</f>
        <v>0</v>
      </c>
      <c r="H32" s="33" t="n">
        <f aca="false">IF(B32="",0,N(Students!F21))</f>
        <v>0</v>
      </c>
      <c r="I32" s="23"/>
      <c r="J32" s="24" t="n">
        <f aca="false">N(G32)+N(H32)-N(I32)</f>
        <v>0</v>
      </c>
      <c r="K32" s="33" t="n">
        <f aca="false">'Feb 2027'!N32</f>
        <v>0</v>
      </c>
      <c r="L32" s="33" t="n">
        <f aca="false">IF(B32="",0,N(Students!G21))</f>
        <v>0</v>
      </c>
      <c r="M32" s="23"/>
      <c r="N32" s="24" t="n">
        <f aca="false">N(K32)+N(L32)-N(M32)</f>
        <v>0</v>
      </c>
      <c r="O32" s="33" t="n">
        <f aca="false">'Feb 2027'!R32</f>
        <v>0</v>
      </c>
      <c r="P32" s="33" t="n">
        <f aca="false">IF(B32="",0,N(Students!H21))</f>
        <v>0</v>
      </c>
      <c r="Q32" s="23"/>
      <c r="R32" s="24" t="n">
        <f aca="false">N(O32)+N(P32)-N(Q32)</f>
        <v>0</v>
      </c>
      <c r="S32" s="33" t="n">
        <f aca="false">'Feb 2027'!V32</f>
        <v>0</v>
      </c>
      <c r="T32" s="33" t="n">
        <f aca="false">IF(B32="",0,N(Students!I21))</f>
        <v>0</v>
      </c>
      <c r="U32" s="23"/>
      <c r="V32" s="24" t="n">
        <f aca="false">N(S32)+N(T32)-N(U32)</f>
        <v>0</v>
      </c>
      <c r="W32" s="33" t="n">
        <f aca="false">'Feb 2027'!Z32</f>
        <v>0</v>
      </c>
      <c r="X32" s="33" t="n">
        <f aca="false">IF(B32="",0,N(Students!J21))</f>
        <v>0</v>
      </c>
      <c r="Y32" s="23"/>
      <c r="Z32" s="24" t="n">
        <f aca="false">N(W32)+N(X32)-N(Y32)</f>
        <v>0</v>
      </c>
      <c r="AA32" s="33" t="n">
        <f aca="false">N(E32)+N(I32)+N(M32)+N(Q32)+N(U32)+N(Y32)</f>
        <v>0</v>
      </c>
      <c r="AB32" s="24" t="n">
        <f aca="false">F32+J32+N32+R32+V32+Z32</f>
        <v>0</v>
      </c>
      <c r="AC32" s="81" t="str">
        <f aca="false">IF(B32="","",IF(AB32&lt;=0,"Clear",IF(AA32&gt;0,"Partial","Due")))</f>
        <v/>
      </c>
    </row>
    <row r="33" customFormat="false" ht="15" hidden="false" customHeight="false" outlineLevel="0" collapsed="false">
      <c r="A33" s="25" t="n">
        <v>18</v>
      </c>
      <c r="B33" s="82" t="str">
        <f aca="false">IF(Students!B22="","",Students!B22)</f>
        <v/>
      </c>
      <c r="C33" s="37" t="n">
        <f aca="false">'Feb 2027'!F33</f>
        <v>0</v>
      </c>
      <c r="D33" s="37" t="n">
        <f aca="false">IF(B33="",0,N(Students!E22))</f>
        <v>0</v>
      </c>
      <c r="E33" s="23"/>
      <c r="F33" s="26" t="n">
        <f aca="false">N(C33)+N(D33)-N(E33)</f>
        <v>0</v>
      </c>
      <c r="G33" s="37" t="n">
        <f aca="false">'Feb 2027'!J33</f>
        <v>0</v>
      </c>
      <c r="H33" s="37" t="n">
        <f aca="false">IF(B33="",0,N(Students!F22))</f>
        <v>0</v>
      </c>
      <c r="I33" s="23"/>
      <c r="J33" s="26" t="n">
        <f aca="false">N(G33)+N(H33)-N(I33)</f>
        <v>0</v>
      </c>
      <c r="K33" s="37" t="n">
        <f aca="false">'Feb 2027'!N33</f>
        <v>0</v>
      </c>
      <c r="L33" s="37" t="n">
        <f aca="false">IF(B33="",0,N(Students!G22))</f>
        <v>0</v>
      </c>
      <c r="M33" s="23"/>
      <c r="N33" s="26" t="n">
        <f aca="false">N(K33)+N(L33)-N(M33)</f>
        <v>0</v>
      </c>
      <c r="O33" s="37" t="n">
        <f aca="false">'Feb 2027'!R33</f>
        <v>0</v>
      </c>
      <c r="P33" s="37" t="n">
        <f aca="false">IF(B33="",0,N(Students!H22))</f>
        <v>0</v>
      </c>
      <c r="Q33" s="23"/>
      <c r="R33" s="26" t="n">
        <f aca="false">N(O33)+N(P33)-N(Q33)</f>
        <v>0</v>
      </c>
      <c r="S33" s="37" t="n">
        <f aca="false">'Feb 2027'!V33</f>
        <v>0</v>
      </c>
      <c r="T33" s="37" t="n">
        <f aca="false">IF(B33="",0,N(Students!I22))</f>
        <v>0</v>
      </c>
      <c r="U33" s="23"/>
      <c r="V33" s="26" t="n">
        <f aca="false">N(S33)+N(T33)-N(U33)</f>
        <v>0</v>
      </c>
      <c r="W33" s="37" t="n">
        <f aca="false">'Feb 2027'!Z33</f>
        <v>0</v>
      </c>
      <c r="X33" s="37" t="n">
        <f aca="false">IF(B33="",0,N(Students!J22))</f>
        <v>0</v>
      </c>
      <c r="Y33" s="23"/>
      <c r="Z33" s="26" t="n">
        <f aca="false">N(W33)+N(X33)-N(Y33)</f>
        <v>0</v>
      </c>
      <c r="AA33" s="37" t="n">
        <f aca="false">N(E33)+N(I33)+N(M33)+N(Q33)+N(U33)+N(Y33)</f>
        <v>0</v>
      </c>
      <c r="AB33" s="26" t="n">
        <f aca="false">F33+J33+N33+R33+V33+Z33</f>
        <v>0</v>
      </c>
      <c r="AC33" s="83" t="str">
        <f aca="false">IF(B33="","",IF(AB33&lt;=0,"Clear",IF(AA33&gt;0,"Partial","Due")))</f>
        <v/>
      </c>
    </row>
    <row r="34" customFormat="false" ht="15" hidden="false" customHeight="false" outlineLevel="0" collapsed="false">
      <c r="A34" s="21" t="n">
        <v>19</v>
      </c>
      <c r="B34" s="46" t="str">
        <f aca="false">IF(Students!B23="","",Students!B23)</f>
        <v/>
      </c>
      <c r="C34" s="33" t="n">
        <f aca="false">'Feb 2027'!F34</f>
        <v>0</v>
      </c>
      <c r="D34" s="33" t="n">
        <f aca="false">IF(B34="",0,N(Students!E23))</f>
        <v>0</v>
      </c>
      <c r="E34" s="23"/>
      <c r="F34" s="24" t="n">
        <f aca="false">N(C34)+N(D34)-N(E34)</f>
        <v>0</v>
      </c>
      <c r="G34" s="33" t="n">
        <f aca="false">'Feb 2027'!J34</f>
        <v>0</v>
      </c>
      <c r="H34" s="33" t="n">
        <f aca="false">IF(B34="",0,N(Students!F23))</f>
        <v>0</v>
      </c>
      <c r="I34" s="23"/>
      <c r="J34" s="24" t="n">
        <f aca="false">N(G34)+N(H34)-N(I34)</f>
        <v>0</v>
      </c>
      <c r="K34" s="33" t="n">
        <f aca="false">'Feb 2027'!N34</f>
        <v>0</v>
      </c>
      <c r="L34" s="33" t="n">
        <f aca="false">IF(B34="",0,N(Students!G23))</f>
        <v>0</v>
      </c>
      <c r="M34" s="23"/>
      <c r="N34" s="24" t="n">
        <f aca="false">N(K34)+N(L34)-N(M34)</f>
        <v>0</v>
      </c>
      <c r="O34" s="33" t="n">
        <f aca="false">'Feb 2027'!R34</f>
        <v>0</v>
      </c>
      <c r="P34" s="33" t="n">
        <f aca="false">IF(B34="",0,N(Students!H23))</f>
        <v>0</v>
      </c>
      <c r="Q34" s="23"/>
      <c r="R34" s="24" t="n">
        <f aca="false">N(O34)+N(P34)-N(Q34)</f>
        <v>0</v>
      </c>
      <c r="S34" s="33" t="n">
        <f aca="false">'Feb 2027'!V34</f>
        <v>0</v>
      </c>
      <c r="T34" s="33" t="n">
        <f aca="false">IF(B34="",0,N(Students!I23))</f>
        <v>0</v>
      </c>
      <c r="U34" s="23"/>
      <c r="V34" s="24" t="n">
        <f aca="false">N(S34)+N(T34)-N(U34)</f>
        <v>0</v>
      </c>
      <c r="W34" s="33" t="n">
        <f aca="false">'Feb 2027'!Z34</f>
        <v>0</v>
      </c>
      <c r="X34" s="33" t="n">
        <f aca="false">IF(B34="",0,N(Students!J23))</f>
        <v>0</v>
      </c>
      <c r="Y34" s="23"/>
      <c r="Z34" s="24" t="n">
        <f aca="false">N(W34)+N(X34)-N(Y34)</f>
        <v>0</v>
      </c>
      <c r="AA34" s="33" t="n">
        <f aca="false">N(E34)+N(I34)+N(M34)+N(Q34)+N(U34)+N(Y34)</f>
        <v>0</v>
      </c>
      <c r="AB34" s="24" t="n">
        <f aca="false">F34+J34+N34+R34+V34+Z34</f>
        <v>0</v>
      </c>
      <c r="AC34" s="81" t="str">
        <f aca="false">IF(B34="","",IF(AB34&lt;=0,"Clear",IF(AA34&gt;0,"Partial","Due")))</f>
        <v/>
      </c>
    </row>
    <row r="35" customFormat="false" ht="15" hidden="false" customHeight="false" outlineLevel="0" collapsed="false">
      <c r="A35" s="25" t="n">
        <v>20</v>
      </c>
      <c r="B35" s="82" t="str">
        <f aca="false">IF(Students!B24="","",Students!B24)</f>
        <v/>
      </c>
      <c r="C35" s="37" t="n">
        <f aca="false">'Feb 2027'!F35</f>
        <v>0</v>
      </c>
      <c r="D35" s="37" t="n">
        <f aca="false">IF(B35="",0,N(Students!E24))</f>
        <v>0</v>
      </c>
      <c r="E35" s="23"/>
      <c r="F35" s="26" t="n">
        <f aca="false">N(C35)+N(D35)-N(E35)</f>
        <v>0</v>
      </c>
      <c r="G35" s="37" t="n">
        <f aca="false">'Feb 2027'!J35</f>
        <v>0</v>
      </c>
      <c r="H35" s="37" t="n">
        <f aca="false">IF(B35="",0,N(Students!F24))</f>
        <v>0</v>
      </c>
      <c r="I35" s="23"/>
      <c r="J35" s="26" t="n">
        <f aca="false">N(G35)+N(H35)-N(I35)</f>
        <v>0</v>
      </c>
      <c r="K35" s="37" t="n">
        <f aca="false">'Feb 2027'!N35</f>
        <v>0</v>
      </c>
      <c r="L35" s="37" t="n">
        <f aca="false">IF(B35="",0,N(Students!G24))</f>
        <v>0</v>
      </c>
      <c r="M35" s="23"/>
      <c r="N35" s="26" t="n">
        <f aca="false">N(K35)+N(L35)-N(M35)</f>
        <v>0</v>
      </c>
      <c r="O35" s="37" t="n">
        <f aca="false">'Feb 2027'!R35</f>
        <v>0</v>
      </c>
      <c r="P35" s="37" t="n">
        <f aca="false">IF(B35="",0,N(Students!H24))</f>
        <v>0</v>
      </c>
      <c r="Q35" s="23"/>
      <c r="R35" s="26" t="n">
        <f aca="false">N(O35)+N(P35)-N(Q35)</f>
        <v>0</v>
      </c>
      <c r="S35" s="37" t="n">
        <f aca="false">'Feb 2027'!V35</f>
        <v>0</v>
      </c>
      <c r="T35" s="37" t="n">
        <f aca="false">IF(B35="",0,N(Students!I24))</f>
        <v>0</v>
      </c>
      <c r="U35" s="23"/>
      <c r="V35" s="26" t="n">
        <f aca="false">N(S35)+N(T35)-N(U35)</f>
        <v>0</v>
      </c>
      <c r="W35" s="37" t="n">
        <f aca="false">'Feb 2027'!Z35</f>
        <v>0</v>
      </c>
      <c r="X35" s="37" t="n">
        <f aca="false">IF(B35="",0,N(Students!J24))</f>
        <v>0</v>
      </c>
      <c r="Y35" s="23"/>
      <c r="Z35" s="26" t="n">
        <f aca="false">N(W35)+N(X35)-N(Y35)</f>
        <v>0</v>
      </c>
      <c r="AA35" s="37" t="n">
        <f aca="false">N(E35)+N(I35)+N(M35)+N(Q35)+N(U35)+N(Y35)</f>
        <v>0</v>
      </c>
      <c r="AB35" s="26" t="n">
        <f aca="false">F35+J35+N35+R35+V35+Z35</f>
        <v>0</v>
      </c>
      <c r="AC35" s="83" t="str">
        <f aca="false">IF(B35="","",IF(AB35&lt;=0,"Clear",IF(AA35&gt;0,"Partial","Due")))</f>
        <v/>
      </c>
    </row>
    <row r="36" customFormat="false" ht="15" hidden="false" customHeight="false" outlineLevel="0" collapsed="false">
      <c r="A36" s="21" t="n">
        <v>21</v>
      </c>
      <c r="B36" s="46" t="str">
        <f aca="false">IF(Students!B25="","",Students!B25)</f>
        <v/>
      </c>
      <c r="C36" s="33" t="n">
        <f aca="false">'Feb 2027'!F36</f>
        <v>0</v>
      </c>
      <c r="D36" s="33" t="n">
        <f aca="false">IF(B36="",0,N(Students!E25))</f>
        <v>0</v>
      </c>
      <c r="E36" s="23"/>
      <c r="F36" s="24" t="n">
        <f aca="false">N(C36)+N(D36)-N(E36)</f>
        <v>0</v>
      </c>
      <c r="G36" s="33" t="n">
        <f aca="false">'Feb 2027'!J36</f>
        <v>0</v>
      </c>
      <c r="H36" s="33" t="n">
        <f aca="false">IF(B36="",0,N(Students!F25))</f>
        <v>0</v>
      </c>
      <c r="I36" s="23"/>
      <c r="J36" s="24" t="n">
        <f aca="false">N(G36)+N(H36)-N(I36)</f>
        <v>0</v>
      </c>
      <c r="K36" s="33" t="n">
        <f aca="false">'Feb 2027'!N36</f>
        <v>0</v>
      </c>
      <c r="L36" s="33" t="n">
        <f aca="false">IF(B36="",0,N(Students!G25))</f>
        <v>0</v>
      </c>
      <c r="M36" s="23"/>
      <c r="N36" s="24" t="n">
        <f aca="false">N(K36)+N(L36)-N(M36)</f>
        <v>0</v>
      </c>
      <c r="O36" s="33" t="n">
        <f aca="false">'Feb 2027'!R36</f>
        <v>0</v>
      </c>
      <c r="P36" s="33" t="n">
        <f aca="false">IF(B36="",0,N(Students!H25))</f>
        <v>0</v>
      </c>
      <c r="Q36" s="23"/>
      <c r="R36" s="24" t="n">
        <f aca="false">N(O36)+N(P36)-N(Q36)</f>
        <v>0</v>
      </c>
      <c r="S36" s="33" t="n">
        <f aca="false">'Feb 2027'!V36</f>
        <v>0</v>
      </c>
      <c r="T36" s="33" t="n">
        <f aca="false">IF(B36="",0,N(Students!I25))</f>
        <v>0</v>
      </c>
      <c r="U36" s="23"/>
      <c r="V36" s="24" t="n">
        <f aca="false">N(S36)+N(T36)-N(U36)</f>
        <v>0</v>
      </c>
      <c r="W36" s="33" t="n">
        <f aca="false">'Feb 2027'!Z36</f>
        <v>0</v>
      </c>
      <c r="X36" s="33" t="n">
        <f aca="false">IF(B36="",0,N(Students!J25))</f>
        <v>0</v>
      </c>
      <c r="Y36" s="23"/>
      <c r="Z36" s="24" t="n">
        <f aca="false">N(W36)+N(X36)-N(Y36)</f>
        <v>0</v>
      </c>
      <c r="AA36" s="33" t="n">
        <f aca="false">N(E36)+N(I36)+N(M36)+N(Q36)+N(U36)+N(Y36)</f>
        <v>0</v>
      </c>
      <c r="AB36" s="24" t="n">
        <f aca="false">F36+J36+N36+R36+V36+Z36</f>
        <v>0</v>
      </c>
      <c r="AC36" s="81" t="str">
        <f aca="false">IF(B36="","",IF(AB36&lt;=0,"Clear",IF(AA36&gt;0,"Partial","Due")))</f>
        <v/>
      </c>
    </row>
    <row r="37" customFormat="false" ht="15" hidden="false" customHeight="false" outlineLevel="0" collapsed="false">
      <c r="A37" s="25" t="n">
        <v>22</v>
      </c>
      <c r="B37" s="82" t="str">
        <f aca="false">IF(Students!B26="","",Students!B26)</f>
        <v/>
      </c>
      <c r="C37" s="37" t="n">
        <f aca="false">'Feb 2027'!F37</f>
        <v>0</v>
      </c>
      <c r="D37" s="37" t="n">
        <f aca="false">IF(B37="",0,N(Students!E26))</f>
        <v>0</v>
      </c>
      <c r="E37" s="23"/>
      <c r="F37" s="26" t="n">
        <f aca="false">N(C37)+N(D37)-N(E37)</f>
        <v>0</v>
      </c>
      <c r="G37" s="37" t="n">
        <f aca="false">'Feb 2027'!J37</f>
        <v>0</v>
      </c>
      <c r="H37" s="37" t="n">
        <f aca="false">IF(B37="",0,N(Students!F26))</f>
        <v>0</v>
      </c>
      <c r="I37" s="23"/>
      <c r="J37" s="26" t="n">
        <f aca="false">N(G37)+N(H37)-N(I37)</f>
        <v>0</v>
      </c>
      <c r="K37" s="37" t="n">
        <f aca="false">'Feb 2027'!N37</f>
        <v>0</v>
      </c>
      <c r="L37" s="37" t="n">
        <f aca="false">IF(B37="",0,N(Students!G26))</f>
        <v>0</v>
      </c>
      <c r="M37" s="23"/>
      <c r="N37" s="26" t="n">
        <f aca="false">N(K37)+N(L37)-N(M37)</f>
        <v>0</v>
      </c>
      <c r="O37" s="37" t="n">
        <f aca="false">'Feb 2027'!R37</f>
        <v>0</v>
      </c>
      <c r="P37" s="37" t="n">
        <f aca="false">IF(B37="",0,N(Students!H26))</f>
        <v>0</v>
      </c>
      <c r="Q37" s="23"/>
      <c r="R37" s="26" t="n">
        <f aca="false">N(O37)+N(P37)-N(Q37)</f>
        <v>0</v>
      </c>
      <c r="S37" s="37" t="n">
        <f aca="false">'Feb 2027'!V37</f>
        <v>0</v>
      </c>
      <c r="T37" s="37" t="n">
        <f aca="false">IF(B37="",0,N(Students!I26))</f>
        <v>0</v>
      </c>
      <c r="U37" s="23"/>
      <c r="V37" s="26" t="n">
        <f aca="false">N(S37)+N(T37)-N(U37)</f>
        <v>0</v>
      </c>
      <c r="W37" s="37" t="n">
        <f aca="false">'Feb 2027'!Z37</f>
        <v>0</v>
      </c>
      <c r="X37" s="37" t="n">
        <f aca="false">IF(B37="",0,N(Students!J26))</f>
        <v>0</v>
      </c>
      <c r="Y37" s="23"/>
      <c r="Z37" s="26" t="n">
        <f aca="false">N(W37)+N(X37)-N(Y37)</f>
        <v>0</v>
      </c>
      <c r="AA37" s="37" t="n">
        <f aca="false">N(E37)+N(I37)+N(M37)+N(Q37)+N(U37)+N(Y37)</f>
        <v>0</v>
      </c>
      <c r="AB37" s="26" t="n">
        <f aca="false">F37+J37+N37+R37+V37+Z37</f>
        <v>0</v>
      </c>
      <c r="AC37" s="83" t="str">
        <f aca="false">IF(B37="","",IF(AB37&lt;=0,"Clear",IF(AA37&gt;0,"Partial","Due")))</f>
        <v/>
      </c>
    </row>
    <row r="38" customFormat="false" ht="15" hidden="false" customHeight="false" outlineLevel="0" collapsed="false">
      <c r="A38" s="21" t="n">
        <v>23</v>
      </c>
      <c r="B38" s="46" t="str">
        <f aca="false">IF(Students!B27="","",Students!B27)</f>
        <v/>
      </c>
      <c r="C38" s="33" t="n">
        <f aca="false">'Feb 2027'!F38</f>
        <v>0</v>
      </c>
      <c r="D38" s="33" t="n">
        <f aca="false">IF(B38="",0,N(Students!E27))</f>
        <v>0</v>
      </c>
      <c r="E38" s="23"/>
      <c r="F38" s="24" t="n">
        <f aca="false">N(C38)+N(D38)-N(E38)</f>
        <v>0</v>
      </c>
      <c r="G38" s="33" t="n">
        <f aca="false">'Feb 2027'!J38</f>
        <v>0</v>
      </c>
      <c r="H38" s="33" t="n">
        <f aca="false">IF(B38="",0,N(Students!F27))</f>
        <v>0</v>
      </c>
      <c r="I38" s="23"/>
      <c r="J38" s="24" t="n">
        <f aca="false">N(G38)+N(H38)-N(I38)</f>
        <v>0</v>
      </c>
      <c r="K38" s="33" t="n">
        <f aca="false">'Feb 2027'!N38</f>
        <v>0</v>
      </c>
      <c r="L38" s="33" t="n">
        <f aca="false">IF(B38="",0,N(Students!G27))</f>
        <v>0</v>
      </c>
      <c r="M38" s="23"/>
      <c r="N38" s="24" t="n">
        <f aca="false">N(K38)+N(L38)-N(M38)</f>
        <v>0</v>
      </c>
      <c r="O38" s="33" t="n">
        <f aca="false">'Feb 2027'!R38</f>
        <v>0</v>
      </c>
      <c r="P38" s="33" t="n">
        <f aca="false">IF(B38="",0,N(Students!H27))</f>
        <v>0</v>
      </c>
      <c r="Q38" s="23"/>
      <c r="R38" s="24" t="n">
        <f aca="false">N(O38)+N(P38)-N(Q38)</f>
        <v>0</v>
      </c>
      <c r="S38" s="33" t="n">
        <f aca="false">'Feb 2027'!V38</f>
        <v>0</v>
      </c>
      <c r="T38" s="33" t="n">
        <f aca="false">IF(B38="",0,N(Students!I27))</f>
        <v>0</v>
      </c>
      <c r="U38" s="23"/>
      <c r="V38" s="24" t="n">
        <f aca="false">N(S38)+N(T38)-N(U38)</f>
        <v>0</v>
      </c>
      <c r="W38" s="33" t="n">
        <f aca="false">'Feb 2027'!Z38</f>
        <v>0</v>
      </c>
      <c r="X38" s="33" t="n">
        <f aca="false">IF(B38="",0,N(Students!J27))</f>
        <v>0</v>
      </c>
      <c r="Y38" s="23"/>
      <c r="Z38" s="24" t="n">
        <f aca="false">N(W38)+N(X38)-N(Y38)</f>
        <v>0</v>
      </c>
      <c r="AA38" s="33" t="n">
        <f aca="false">N(E38)+N(I38)+N(M38)+N(Q38)+N(U38)+N(Y38)</f>
        <v>0</v>
      </c>
      <c r="AB38" s="24" t="n">
        <f aca="false">F38+J38+N38+R38+V38+Z38</f>
        <v>0</v>
      </c>
      <c r="AC38" s="81" t="str">
        <f aca="false">IF(B38="","",IF(AB38&lt;=0,"Clear",IF(AA38&gt;0,"Partial","Due")))</f>
        <v/>
      </c>
    </row>
    <row r="39" customFormat="false" ht="15" hidden="false" customHeight="false" outlineLevel="0" collapsed="false">
      <c r="A39" s="25" t="n">
        <v>24</v>
      </c>
      <c r="B39" s="82" t="str">
        <f aca="false">IF(Students!B28="","",Students!B28)</f>
        <v/>
      </c>
      <c r="C39" s="37" t="n">
        <f aca="false">'Feb 2027'!F39</f>
        <v>0</v>
      </c>
      <c r="D39" s="37" t="n">
        <f aca="false">IF(B39="",0,N(Students!E28))</f>
        <v>0</v>
      </c>
      <c r="E39" s="23"/>
      <c r="F39" s="26" t="n">
        <f aca="false">N(C39)+N(D39)-N(E39)</f>
        <v>0</v>
      </c>
      <c r="G39" s="37" t="n">
        <f aca="false">'Feb 2027'!J39</f>
        <v>0</v>
      </c>
      <c r="H39" s="37" t="n">
        <f aca="false">IF(B39="",0,N(Students!F28))</f>
        <v>0</v>
      </c>
      <c r="I39" s="23"/>
      <c r="J39" s="26" t="n">
        <f aca="false">N(G39)+N(H39)-N(I39)</f>
        <v>0</v>
      </c>
      <c r="K39" s="37" t="n">
        <f aca="false">'Feb 2027'!N39</f>
        <v>0</v>
      </c>
      <c r="L39" s="37" t="n">
        <f aca="false">IF(B39="",0,N(Students!G28))</f>
        <v>0</v>
      </c>
      <c r="M39" s="23"/>
      <c r="N39" s="26" t="n">
        <f aca="false">N(K39)+N(L39)-N(M39)</f>
        <v>0</v>
      </c>
      <c r="O39" s="37" t="n">
        <f aca="false">'Feb 2027'!R39</f>
        <v>0</v>
      </c>
      <c r="P39" s="37" t="n">
        <f aca="false">IF(B39="",0,N(Students!H28))</f>
        <v>0</v>
      </c>
      <c r="Q39" s="23"/>
      <c r="R39" s="26" t="n">
        <f aca="false">N(O39)+N(P39)-N(Q39)</f>
        <v>0</v>
      </c>
      <c r="S39" s="37" t="n">
        <f aca="false">'Feb 2027'!V39</f>
        <v>0</v>
      </c>
      <c r="T39" s="37" t="n">
        <f aca="false">IF(B39="",0,N(Students!I28))</f>
        <v>0</v>
      </c>
      <c r="U39" s="23"/>
      <c r="V39" s="26" t="n">
        <f aca="false">N(S39)+N(T39)-N(U39)</f>
        <v>0</v>
      </c>
      <c r="W39" s="37" t="n">
        <f aca="false">'Feb 2027'!Z39</f>
        <v>0</v>
      </c>
      <c r="X39" s="37" t="n">
        <f aca="false">IF(B39="",0,N(Students!J28))</f>
        <v>0</v>
      </c>
      <c r="Y39" s="23"/>
      <c r="Z39" s="26" t="n">
        <f aca="false">N(W39)+N(X39)-N(Y39)</f>
        <v>0</v>
      </c>
      <c r="AA39" s="37" t="n">
        <f aca="false">N(E39)+N(I39)+N(M39)+N(Q39)+N(U39)+N(Y39)</f>
        <v>0</v>
      </c>
      <c r="AB39" s="26" t="n">
        <f aca="false">F39+J39+N39+R39+V39+Z39</f>
        <v>0</v>
      </c>
      <c r="AC39" s="83" t="str">
        <f aca="false">IF(B39="","",IF(AB39&lt;=0,"Clear",IF(AA39&gt;0,"Partial","Due")))</f>
        <v/>
      </c>
    </row>
    <row r="40" customFormat="false" ht="15" hidden="false" customHeight="false" outlineLevel="0" collapsed="false">
      <c r="A40" s="21" t="n">
        <v>25</v>
      </c>
      <c r="B40" s="46" t="str">
        <f aca="false">IF(Students!B29="","",Students!B29)</f>
        <v/>
      </c>
      <c r="C40" s="33" t="n">
        <f aca="false">'Feb 2027'!F40</f>
        <v>0</v>
      </c>
      <c r="D40" s="33" t="n">
        <f aca="false">IF(B40="",0,N(Students!E29))</f>
        <v>0</v>
      </c>
      <c r="E40" s="23"/>
      <c r="F40" s="24" t="n">
        <f aca="false">N(C40)+N(D40)-N(E40)</f>
        <v>0</v>
      </c>
      <c r="G40" s="33" t="n">
        <f aca="false">'Feb 2027'!J40</f>
        <v>0</v>
      </c>
      <c r="H40" s="33" t="n">
        <f aca="false">IF(B40="",0,N(Students!F29))</f>
        <v>0</v>
      </c>
      <c r="I40" s="23"/>
      <c r="J40" s="24" t="n">
        <f aca="false">N(G40)+N(H40)-N(I40)</f>
        <v>0</v>
      </c>
      <c r="K40" s="33" t="n">
        <f aca="false">'Feb 2027'!N40</f>
        <v>0</v>
      </c>
      <c r="L40" s="33" t="n">
        <f aca="false">IF(B40="",0,N(Students!G29))</f>
        <v>0</v>
      </c>
      <c r="M40" s="23"/>
      <c r="N40" s="24" t="n">
        <f aca="false">N(K40)+N(L40)-N(M40)</f>
        <v>0</v>
      </c>
      <c r="O40" s="33" t="n">
        <f aca="false">'Feb 2027'!R40</f>
        <v>0</v>
      </c>
      <c r="P40" s="33" t="n">
        <f aca="false">IF(B40="",0,N(Students!H29))</f>
        <v>0</v>
      </c>
      <c r="Q40" s="23"/>
      <c r="R40" s="24" t="n">
        <f aca="false">N(O40)+N(P40)-N(Q40)</f>
        <v>0</v>
      </c>
      <c r="S40" s="33" t="n">
        <f aca="false">'Feb 2027'!V40</f>
        <v>0</v>
      </c>
      <c r="T40" s="33" t="n">
        <f aca="false">IF(B40="",0,N(Students!I29))</f>
        <v>0</v>
      </c>
      <c r="U40" s="23"/>
      <c r="V40" s="24" t="n">
        <f aca="false">N(S40)+N(T40)-N(U40)</f>
        <v>0</v>
      </c>
      <c r="W40" s="33" t="n">
        <f aca="false">'Feb 2027'!Z40</f>
        <v>0</v>
      </c>
      <c r="X40" s="33" t="n">
        <f aca="false">IF(B40="",0,N(Students!J29))</f>
        <v>0</v>
      </c>
      <c r="Y40" s="23"/>
      <c r="Z40" s="24" t="n">
        <f aca="false">N(W40)+N(X40)-N(Y40)</f>
        <v>0</v>
      </c>
      <c r="AA40" s="33" t="n">
        <f aca="false">N(E40)+N(I40)+N(M40)+N(Q40)+N(U40)+N(Y40)</f>
        <v>0</v>
      </c>
      <c r="AB40" s="24" t="n">
        <f aca="false">F40+J40+N40+R40+V40+Z40</f>
        <v>0</v>
      </c>
      <c r="AC40" s="81" t="str">
        <f aca="false">IF(B40="","",IF(AB40&lt;=0,"Clear",IF(AA40&gt;0,"Partial","Due")))</f>
        <v/>
      </c>
    </row>
    <row r="41" customFormat="false" ht="15" hidden="false" customHeight="false" outlineLevel="0" collapsed="false">
      <c r="A41" s="25" t="n">
        <v>26</v>
      </c>
      <c r="B41" s="82" t="str">
        <f aca="false">IF(Students!B30="","",Students!B30)</f>
        <v/>
      </c>
      <c r="C41" s="37" t="n">
        <f aca="false">'Feb 2027'!F41</f>
        <v>0</v>
      </c>
      <c r="D41" s="37" t="n">
        <f aca="false">IF(B41="",0,N(Students!E30))</f>
        <v>0</v>
      </c>
      <c r="E41" s="23"/>
      <c r="F41" s="26" t="n">
        <f aca="false">N(C41)+N(D41)-N(E41)</f>
        <v>0</v>
      </c>
      <c r="G41" s="37" t="n">
        <f aca="false">'Feb 2027'!J41</f>
        <v>0</v>
      </c>
      <c r="H41" s="37" t="n">
        <f aca="false">IF(B41="",0,N(Students!F30))</f>
        <v>0</v>
      </c>
      <c r="I41" s="23"/>
      <c r="J41" s="26" t="n">
        <f aca="false">N(G41)+N(H41)-N(I41)</f>
        <v>0</v>
      </c>
      <c r="K41" s="37" t="n">
        <f aca="false">'Feb 2027'!N41</f>
        <v>0</v>
      </c>
      <c r="L41" s="37" t="n">
        <f aca="false">IF(B41="",0,N(Students!G30))</f>
        <v>0</v>
      </c>
      <c r="M41" s="23"/>
      <c r="N41" s="26" t="n">
        <f aca="false">N(K41)+N(L41)-N(M41)</f>
        <v>0</v>
      </c>
      <c r="O41" s="37" t="n">
        <f aca="false">'Feb 2027'!R41</f>
        <v>0</v>
      </c>
      <c r="P41" s="37" t="n">
        <f aca="false">IF(B41="",0,N(Students!H30))</f>
        <v>0</v>
      </c>
      <c r="Q41" s="23"/>
      <c r="R41" s="26" t="n">
        <f aca="false">N(O41)+N(P41)-N(Q41)</f>
        <v>0</v>
      </c>
      <c r="S41" s="37" t="n">
        <f aca="false">'Feb 2027'!V41</f>
        <v>0</v>
      </c>
      <c r="T41" s="37" t="n">
        <f aca="false">IF(B41="",0,N(Students!I30))</f>
        <v>0</v>
      </c>
      <c r="U41" s="23"/>
      <c r="V41" s="26" t="n">
        <f aca="false">N(S41)+N(T41)-N(U41)</f>
        <v>0</v>
      </c>
      <c r="W41" s="37" t="n">
        <f aca="false">'Feb 2027'!Z41</f>
        <v>0</v>
      </c>
      <c r="X41" s="37" t="n">
        <f aca="false">IF(B41="",0,N(Students!J30))</f>
        <v>0</v>
      </c>
      <c r="Y41" s="23"/>
      <c r="Z41" s="26" t="n">
        <f aca="false">N(W41)+N(X41)-N(Y41)</f>
        <v>0</v>
      </c>
      <c r="AA41" s="37" t="n">
        <f aca="false">N(E41)+N(I41)+N(M41)+N(Q41)+N(U41)+N(Y41)</f>
        <v>0</v>
      </c>
      <c r="AB41" s="26" t="n">
        <f aca="false">F41+J41+N41+R41+V41+Z41</f>
        <v>0</v>
      </c>
      <c r="AC41" s="83" t="str">
        <f aca="false">IF(B41="","",IF(AB41&lt;=0,"Clear",IF(AA41&gt;0,"Partial","Due")))</f>
        <v/>
      </c>
    </row>
    <row r="42" customFormat="false" ht="15" hidden="false" customHeight="false" outlineLevel="0" collapsed="false">
      <c r="A42" s="21" t="n">
        <v>27</v>
      </c>
      <c r="B42" s="46" t="str">
        <f aca="false">IF(Students!B31="","",Students!B31)</f>
        <v/>
      </c>
      <c r="C42" s="33" t="n">
        <f aca="false">'Feb 2027'!F42</f>
        <v>0</v>
      </c>
      <c r="D42" s="33" t="n">
        <f aca="false">IF(B42="",0,N(Students!E31))</f>
        <v>0</v>
      </c>
      <c r="E42" s="23"/>
      <c r="F42" s="24" t="n">
        <f aca="false">N(C42)+N(D42)-N(E42)</f>
        <v>0</v>
      </c>
      <c r="G42" s="33" t="n">
        <f aca="false">'Feb 2027'!J42</f>
        <v>0</v>
      </c>
      <c r="H42" s="33" t="n">
        <f aca="false">IF(B42="",0,N(Students!F31))</f>
        <v>0</v>
      </c>
      <c r="I42" s="23"/>
      <c r="J42" s="24" t="n">
        <f aca="false">N(G42)+N(H42)-N(I42)</f>
        <v>0</v>
      </c>
      <c r="K42" s="33" t="n">
        <f aca="false">'Feb 2027'!N42</f>
        <v>0</v>
      </c>
      <c r="L42" s="33" t="n">
        <f aca="false">IF(B42="",0,N(Students!G31))</f>
        <v>0</v>
      </c>
      <c r="M42" s="23"/>
      <c r="N42" s="24" t="n">
        <f aca="false">N(K42)+N(L42)-N(M42)</f>
        <v>0</v>
      </c>
      <c r="O42" s="33" t="n">
        <f aca="false">'Feb 2027'!R42</f>
        <v>0</v>
      </c>
      <c r="P42" s="33" t="n">
        <f aca="false">IF(B42="",0,N(Students!H31))</f>
        <v>0</v>
      </c>
      <c r="Q42" s="23"/>
      <c r="R42" s="24" t="n">
        <f aca="false">N(O42)+N(P42)-N(Q42)</f>
        <v>0</v>
      </c>
      <c r="S42" s="33" t="n">
        <f aca="false">'Feb 2027'!V42</f>
        <v>0</v>
      </c>
      <c r="T42" s="33" t="n">
        <f aca="false">IF(B42="",0,N(Students!I31))</f>
        <v>0</v>
      </c>
      <c r="U42" s="23"/>
      <c r="V42" s="24" t="n">
        <f aca="false">N(S42)+N(T42)-N(U42)</f>
        <v>0</v>
      </c>
      <c r="W42" s="33" t="n">
        <f aca="false">'Feb 2027'!Z42</f>
        <v>0</v>
      </c>
      <c r="X42" s="33" t="n">
        <f aca="false">IF(B42="",0,N(Students!J31))</f>
        <v>0</v>
      </c>
      <c r="Y42" s="23"/>
      <c r="Z42" s="24" t="n">
        <f aca="false">N(W42)+N(X42)-N(Y42)</f>
        <v>0</v>
      </c>
      <c r="AA42" s="33" t="n">
        <f aca="false">N(E42)+N(I42)+N(M42)+N(Q42)+N(U42)+N(Y42)</f>
        <v>0</v>
      </c>
      <c r="AB42" s="24" t="n">
        <f aca="false">F42+J42+N42+R42+V42+Z42</f>
        <v>0</v>
      </c>
      <c r="AC42" s="81" t="str">
        <f aca="false">IF(B42="","",IF(AB42&lt;=0,"Clear",IF(AA42&gt;0,"Partial","Due")))</f>
        <v/>
      </c>
    </row>
    <row r="43" customFormat="false" ht="15" hidden="false" customHeight="false" outlineLevel="0" collapsed="false">
      <c r="A43" s="25" t="n">
        <v>28</v>
      </c>
      <c r="B43" s="82" t="str">
        <f aca="false">IF(Students!B32="","",Students!B32)</f>
        <v/>
      </c>
      <c r="C43" s="37" t="n">
        <f aca="false">'Feb 2027'!F43</f>
        <v>0</v>
      </c>
      <c r="D43" s="37" t="n">
        <f aca="false">IF(B43="",0,N(Students!E32))</f>
        <v>0</v>
      </c>
      <c r="E43" s="23"/>
      <c r="F43" s="26" t="n">
        <f aca="false">N(C43)+N(D43)-N(E43)</f>
        <v>0</v>
      </c>
      <c r="G43" s="37" t="n">
        <f aca="false">'Feb 2027'!J43</f>
        <v>0</v>
      </c>
      <c r="H43" s="37" t="n">
        <f aca="false">IF(B43="",0,N(Students!F32))</f>
        <v>0</v>
      </c>
      <c r="I43" s="23"/>
      <c r="J43" s="26" t="n">
        <f aca="false">N(G43)+N(H43)-N(I43)</f>
        <v>0</v>
      </c>
      <c r="K43" s="37" t="n">
        <f aca="false">'Feb 2027'!N43</f>
        <v>0</v>
      </c>
      <c r="L43" s="37" t="n">
        <f aca="false">IF(B43="",0,N(Students!G32))</f>
        <v>0</v>
      </c>
      <c r="M43" s="23"/>
      <c r="N43" s="26" t="n">
        <f aca="false">N(K43)+N(L43)-N(M43)</f>
        <v>0</v>
      </c>
      <c r="O43" s="37" t="n">
        <f aca="false">'Feb 2027'!R43</f>
        <v>0</v>
      </c>
      <c r="P43" s="37" t="n">
        <f aca="false">IF(B43="",0,N(Students!H32))</f>
        <v>0</v>
      </c>
      <c r="Q43" s="23"/>
      <c r="R43" s="26" t="n">
        <f aca="false">N(O43)+N(P43)-N(Q43)</f>
        <v>0</v>
      </c>
      <c r="S43" s="37" t="n">
        <f aca="false">'Feb 2027'!V43</f>
        <v>0</v>
      </c>
      <c r="T43" s="37" t="n">
        <f aca="false">IF(B43="",0,N(Students!I32))</f>
        <v>0</v>
      </c>
      <c r="U43" s="23"/>
      <c r="V43" s="26" t="n">
        <f aca="false">N(S43)+N(T43)-N(U43)</f>
        <v>0</v>
      </c>
      <c r="W43" s="37" t="n">
        <f aca="false">'Feb 2027'!Z43</f>
        <v>0</v>
      </c>
      <c r="X43" s="37" t="n">
        <f aca="false">IF(B43="",0,N(Students!J32))</f>
        <v>0</v>
      </c>
      <c r="Y43" s="23"/>
      <c r="Z43" s="26" t="n">
        <f aca="false">N(W43)+N(X43)-N(Y43)</f>
        <v>0</v>
      </c>
      <c r="AA43" s="37" t="n">
        <f aca="false">N(E43)+N(I43)+N(M43)+N(Q43)+N(U43)+N(Y43)</f>
        <v>0</v>
      </c>
      <c r="AB43" s="26" t="n">
        <f aca="false">F43+J43+N43+R43+V43+Z43</f>
        <v>0</v>
      </c>
      <c r="AC43" s="83" t="str">
        <f aca="false">IF(B43="","",IF(AB43&lt;=0,"Clear",IF(AA43&gt;0,"Partial","Due")))</f>
        <v/>
      </c>
    </row>
    <row r="44" customFormat="false" ht="15" hidden="false" customHeight="false" outlineLevel="0" collapsed="false">
      <c r="A44" s="21" t="n">
        <v>29</v>
      </c>
      <c r="B44" s="46" t="str">
        <f aca="false">IF(Students!B33="","",Students!B33)</f>
        <v/>
      </c>
      <c r="C44" s="33" t="n">
        <f aca="false">'Feb 2027'!F44</f>
        <v>0</v>
      </c>
      <c r="D44" s="33" t="n">
        <f aca="false">IF(B44="",0,N(Students!E33))</f>
        <v>0</v>
      </c>
      <c r="E44" s="23"/>
      <c r="F44" s="24" t="n">
        <f aca="false">N(C44)+N(D44)-N(E44)</f>
        <v>0</v>
      </c>
      <c r="G44" s="33" t="n">
        <f aca="false">'Feb 2027'!J44</f>
        <v>0</v>
      </c>
      <c r="H44" s="33" t="n">
        <f aca="false">IF(B44="",0,N(Students!F33))</f>
        <v>0</v>
      </c>
      <c r="I44" s="23"/>
      <c r="J44" s="24" t="n">
        <f aca="false">N(G44)+N(H44)-N(I44)</f>
        <v>0</v>
      </c>
      <c r="K44" s="33" t="n">
        <f aca="false">'Feb 2027'!N44</f>
        <v>0</v>
      </c>
      <c r="L44" s="33" t="n">
        <f aca="false">IF(B44="",0,N(Students!G33))</f>
        <v>0</v>
      </c>
      <c r="M44" s="23"/>
      <c r="N44" s="24" t="n">
        <f aca="false">N(K44)+N(L44)-N(M44)</f>
        <v>0</v>
      </c>
      <c r="O44" s="33" t="n">
        <f aca="false">'Feb 2027'!R44</f>
        <v>0</v>
      </c>
      <c r="P44" s="33" t="n">
        <f aca="false">IF(B44="",0,N(Students!H33))</f>
        <v>0</v>
      </c>
      <c r="Q44" s="23"/>
      <c r="R44" s="24" t="n">
        <f aca="false">N(O44)+N(P44)-N(Q44)</f>
        <v>0</v>
      </c>
      <c r="S44" s="33" t="n">
        <f aca="false">'Feb 2027'!V44</f>
        <v>0</v>
      </c>
      <c r="T44" s="33" t="n">
        <f aca="false">IF(B44="",0,N(Students!I33))</f>
        <v>0</v>
      </c>
      <c r="U44" s="23"/>
      <c r="V44" s="24" t="n">
        <f aca="false">N(S44)+N(T44)-N(U44)</f>
        <v>0</v>
      </c>
      <c r="W44" s="33" t="n">
        <f aca="false">'Feb 2027'!Z44</f>
        <v>0</v>
      </c>
      <c r="X44" s="33" t="n">
        <f aca="false">IF(B44="",0,N(Students!J33))</f>
        <v>0</v>
      </c>
      <c r="Y44" s="23"/>
      <c r="Z44" s="24" t="n">
        <f aca="false">N(W44)+N(X44)-N(Y44)</f>
        <v>0</v>
      </c>
      <c r="AA44" s="33" t="n">
        <f aca="false">N(E44)+N(I44)+N(M44)+N(Q44)+N(U44)+N(Y44)</f>
        <v>0</v>
      </c>
      <c r="AB44" s="24" t="n">
        <f aca="false">F44+J44+N44+R44+V44+Z44</f>
        <v>0</v>
      </c>
      <c r="AC44" s="81" t="str">
        <f aca="false">IF(B44="","",IF(AB44&lt;=0,"Clear",IF(AA44&gt;0,"Partial","Due")))</f>
        <v/>
      </c>
    </row>
    <row r="45" customFormat="false" ht="15" hidden="false" customHeight="false" outlineLevel="0" collapsed="false">
      <c r="A45" s="25" t="n">
        <v>30</v>
      </c>
      <c r="B45" s="82" t="str">
        <f aca="false">IF(Students!B34="","",Students!B34)</f>
        <v/>
      </c>
      <c r="C45" s="37" t="n">
        <f aca="false">'Feb 2027'!F45</f>
        <v>0</v>
      </c>
      <c r="D45" s="37" t="n">
        <f aca="false">IF(B45="",0,N(Students!E34))</f>
        <v>0</v>
      </c>
      <c r="E45" s="23"/>
      <c r="F45" s="26" t="n">
        <f aca="false">N(C45)+N(D45)-N(E45)</f>
        <v>0</v>
      </c>
      <c r="G45" s="37" t="n">
        <f aca="false">'Feb 2027'!J45</f>
        <v>0</v>
      </c>
      <c r="H45" s="37" t="n">
        <f aca="false">IF(B45="",0,N(Students!F34))</f>
        <v>0</v>
      </c>
      <c r="I45" s="23"/>
      <c r="J45" s="26" t="n">
        <f aca="false">N(G45)+N(H45)-N(I45)</f>
        <v>0</v>
      </c>
      <c r="K45" s="37" t="n">
        <f aca="false">'Feb 2027'!N45</f>
        <v>0</v>
      </c>
      <c r="L45" s="37" t="n">
        <f aca="false">IF(B45="",0,N(Students!G34))</f>
        <v>0</v>
      </c>
      <c r="M45" s="23"/>
      <c r="N45" s="26" t="n">
        <f aca="false">N(K45)+N(L45)-N(M45)</f>
        <v>0</v>
      </c>
      <c r="O45" s="37" t="n">
        <f aca="false">'Feb 2027'!R45</f>
        <v>0</v>
      </c>
      <c r="P45" s="37" t="n">
        <f aca="false">IF(B45="",0,N(Students!H34))</f>
        <v>0</v>
      </c>
      <c r="Q45" s="23"/>
      <c r="R45" s="26" t="n">
        <f aca="false">N(O45)+N(P45)-N(Q45)</f>
        <v>0</v>
      </c>
      <c r="S45" s="37" t="n">
        <f aca="false">'Feb 2027'!V45</f>
        <v>0</v>
      </c>
      <c r="T45" s="37" t="n">
        <f aca="false">IF(B45="",0,N(Students!I34))</f>
        <v>0</v>
      </c>
      <c r="U45" s="23"/>
      <c r="V45" s="26" t="n">
        <f aca="false">N(S45)+N(T45)-N(U45)</f>
        <v>0</v>
      </c>
      <c r="W45" s="37" t="n">
        <f aca="false">'Feb 2027'!Z45</f>
        <v>0</v>
      </c>
      <c r="X45" s="37" t="n">
        <f aca="false">IF(B45="",0,N(Students!J34))</f>
        <v>0</v>
      </c>
      <c r="Y45" s="23"/>
      <c r="Z45" s="26" t="n">
        <f aca="false">N(W45)+N(X45)-N(Y45)</f>
        <v>0</v>
      </c>
      <c r="AA45" s="37" t="n">
        <f aca="false">N(E45)+N(I45)+N(M45)+N(Q45)+N(U45)+N(Y45)</f>
        <v>0</v>
      </c>
      <c r="AB45" s="26" t="n">
        <f aca="false">F45+J45+N45+R45+V45+Z45</f>
        <v>0</v>
      </c>
      <c r="AC45" s="83" t="str">
        <f aca="false">IF(B45="","",IF(AB45&lt;=0,"Clear",IF(AA45&gt;0,"Partial","Due")))</f>
        <v/>
      </c>
    </row>
    <row r="46" customFormat="false" ht="15" hidden="false" customHeight="false" outlineLevel="0" collapsed="false">
      <c r="A46" s="21" t="n">
        <v>31</v>
      </c>
      <c r="B46" s="46" t="str">
        <f aca="false">IF(Students!B35="","",Students!B35)</f>
        <v/>
      </c>
      <c r="C46" s="33" t="n">
        <f aca="false">'Feb 2027'!F46</f>
        <v>0</v>
      </c>
      <c r="D46" s="33" t="n">
        <f aca="false">IF(B46="",0,N(Students!E35))</f>
        <v>0</v>
      </c>
      <c r="E46" s="23"/>
      <c r="F46" s="24" t="n">
        <f aca="false">N(C46)+N(D46)-N(E46)</f>
        <v>0</v>
      </c>
      <c r="G46" s="33" t="n">
        <f aca="false">'Feb 2027'!J46</f>
        <v>0</v>
      </c>
      <c r="H46" s="33" t="n">
        <f aca="false">IF(B46="",0,N(Students!F35))</f>
        <v>0</v>
      </c>
      <c r="I46" s="23"/>
      <c r="J46" s="24" t="n">
        <f aca="false">N(G46)+N(H46)-N(I46)</f>
        <v>0</v>
      </c>
      <c r="K46" s="33" t="n">
        <f aca="false">'Feb 2027'!N46</f>
        <v>0</v>
      </c>
      <c r="L46" s="33" t="n">
        <f aca="false">IF(B46="",0,N(Students!G35))</f>
        <v>0</v>
      </c>
      <c r="M46" s="23"/>
      <c r="N46" s="24" t="n">
        <f aca="false">N(K46)+N(L46)-N(M46)</f>
        <v>0</v>
      </c>
      <c r="O46" s="33" t="n">
        <f aca="false">'Feb 2027'!R46</f>
        <v>0</v>
      </c>
      <c r="P46" s="33" t="n">
        <f aca="false">IF(B46="",0,N(Students!H35))</f>
        <v>0</v>
      </c>
      <c r="Q46" s="23"/>
      <c r="R46" s="24" t="n">
        <f aca="false">N(O46)+N(P46)-N(Q46)</f>
        <v>0</v>
      </c>
      <c r="S46" s="33" t="n">
        <f aca="false">'Feb 2027'!V46</f>
        <v>0</v>
      </c>
      <c r="T46" s="33" t="n">
        <f aca="false">IF(B46="",0,N(Students!I35))</f>
        <v>0</v>
      </c>
      <c r="U46" s="23"/>
      <c r="V46" s="24" t="n">
        <f aca="false">N(S46)+N(T46)-N(U46)</f>
        <v>0</v>
      </c>
      <c r="W46" s="33" t="n">
        <f aca="false">'Feb 2027'!Z46</f>
        <v>0</v>
      </c>
      <c r="X46" s="33" t="n">
        <f aca="false">IF(B46="",0,N(Students!J35))</f>
        <v>0</v>
      </c>
      <c r="Y46" s="23"/>
      <c r="Z46" s="24" t="n">
        <f aca="false">N(W46)+N(X46)-N(Y46)</f>
        <v>0</v>
      </c>
      <c r="AA46" s="33" t="n">
        <f aca="false">N(E46)+N(I46)+N(M46)+N(Q46)+N(U46)+N(Y46)</f>
        <v>0</v>
      </c>
      <c r="AB46" s="24" t="n">
        <f aca="false">F46+J46+N46+R46+V46+Z46</f>
        <v>0</v>
      </c>
      <c r="AC46" s="81" t="str">
        <f aca="false">IF(B46="","",IF(AB46&lt;=0,"Clear",IF(AA46&gt;0,"Partial","Due")))</f>
        <v/>
      </c>
    </row>
    <row r="47" customFormat="false" ht="15" hidden="false" customHeight="false" outlineLevel="0" collapsed="false">
      <c r="A47" s="25" t="n">
        <v>32</v>
      </c>
      <c r="B47" s="82" t="str">
        <f aca="false">IF(Students!B36="","",Students!B36)</f>
        <v/>
      </c>
      <c r="C47" s="37" t="n">
        <f aca="false">'Feb 2027'!F47</f>
        <v>0</v>
      </c>
      <c r="D47" s="37" t="n">
        <f aca="false">IF(B47="",0,N(Students!E36))</f>
        <v>0</v>
      </c>
      <c r="E47" s="23"/>
      <c r="F47" s="26" t="n">
        <f aca="false">N(C47)+N(D47)-N(E47)</f>
        <v>0</v>
      </c>
      <c r="G47" s="37" t="n">
        <f aca="false">'Feb 2027'!J47</f>
        <v>0</v>
      </c>
      <c r="H47" s="37" t="n">
        <f aca="false">IF(B47="",0,N(Students!F36))</f>
        <v>0</v>
      </c>
      <c r="I47" s="23"/>
      <c r="J47" s="26" t="n">
        <f aca="false">N(G47)+N(H47)-N(I47)</f>
        <v>0</v>
      </c>
      <c r="K47" s="37" t="n">
        <f aca="false">'Feb 2027'!N47</f>
        <v>0</v>
      </c>
      <c r="L47" s="37" t="n">
        <f aca="false">IF(B47="",0,N(Students!G36))</f>
        <v>0</v>
      </c>
      <c r="M47" s="23"/>
      <c r="N47" s="26" t="n">
        <f aca="false">N(K47)+N(L47)-N(M47)</f>
        <v>0</v>
      </c>
      <c r="O47" s="37" t="n">
        <f aca="false">'Feb 2027'!R47</f>
        <v>0</v>
      </c>
      <c r="P47" s="37" t="n">
        <f aca="false">IF(B47="",0,N(Students!H36))</f>
        <v>0</v>
      </c>
      <c r="Q47" s="23"/>
      <c r="R47" s="26" t="n">
        <f aca="false">N(O47)+N(P47)-N(Q47)</f>
        <v>0</v>
      </c>
      <c r="S47" s="37" t="n">
        <f aca="false">'Feb 2027'!V47</f>
        <v>0</v>
      </c>
      <c r="T47" s="37" t="n">
        <f aca="false">IF(B47="",0,N(Students!I36))</f>
        <v>0</v>
      </c>
      <c r="U47" s="23"/>
      <c r="V47" s="26" t="n">
        <f aca="false">N(S47)+N(T47)-N(U47)</f>
        <v>0</v>
      </c>
      <c r="W47" s="37" t="n">
        <f aca="false">'Feb 2027'!Z47</f>
        <v>0</v>
      </c>
      <c r="X47" s="37" t="n">
        <f aca="false">IF(B47="",0,N(Students!J36))</f>
        <v>0</v>
      </c>
      <c r="Y47" s="23"/>
      <c r="Z47" s="26" t="n">
        <f aca="false">N(W47)+N(X47)-N(Y47)</f>
        <v>0</v>
      </c>
      <c r="AA47" s="37" t="n">
        <f aca="false">N(E47)+N(I47)+N(M47)+N(Q47)+N(U47)+N(Y47)</f>
        <v>0</v>
      </c>
      <c r="AB47" s="26" t="n">
        <f aca="false">F47+J47+N47+R47+V47+Z47</f>
        <v>0</v>
      </c>
      <c r="AC47" s="83" t="str">
        <f aca="false">IF(B47="","",IF(AB47&lt;=0,"Clear",IF(AA47&gt;0,"Partial","Due")))</f>
        <v/>
      </c>
    </row>
    <row r="48" customFormat="false" ht="15" hidden="false" customHeight="false" outlineLevel="0" collapsed="false">
      <c r="A48" s="21" t="n">
        <v>33</v>
      </c>
      <c r="B48" s="46" t="str">
        <f aca="false">IF(Students!B37="","",Students!B37)</f>
        <v/>
      </c>
      <c r="C48" s="33" t="n">
        <f aca="false">'Feb 2027'!F48</f>
        <v>0</v>
      </c>
      <c r="D48" s="33" t="n">
        <f aca="false">IF(B48="",0,N(Students!E37))</f>
        <v>0</v>
      </c>
      <c r="E48" s="23"/>
      <c r="F48" s="24" t="n">
        <f aca="false">N(C48)+N(D48)-N(E48)</f>
        <v>0</v>
      </c>
      <c r="G48" s="33" t="n">
        <f aca="false">'Feb 2027'!J48</f>
        <v>0</v>
      </c>
      <c r="H48" s="33" t="n">
        <f aca="false">IF(B48="",0,N(Students!F37))</f>
        <v>0</v>
      </c>
      <c r="I48" s="23"/>
      <c r="J48" s="24" t="n">
        <f aca="false">N(G48)+N(H48)-N(I48)</f>
        <v>0</v>
      </c>
      <c r="K48" s="33" t="n">
        <f aca="false">'Feb 2027'!N48</f>
        <v>0</v>
      </c>
      <c r="L48" s="33" t="n">
        <f aca="false">IF(B48="",0,N(Students!G37))</f>
        <v>0</v>
      </c>
      <c r="M48" s="23"/>
      <c r="N48" s="24" t="n">
        <f aca="false">N(K48)+N(L48)-N(M48)</f>
        <v>0</v>
      </c>
      <c r="O48" s="33" t="n">
        <f aca="false">'Feb 2027'!R48</f>
        <v>0</v>
      </c>
      <c r="P48" s="33" t="n">
        <f aca="false">IF(B48="",0,N(Students!H37))</f>
        <v>0</v>
      </c>
      <c r="Q48" s="23"/>
      <c r="R48" s="24" t="n">
        <f aca="false">N(O48)+N(P48)-N(Q48)</f>
        <v>0</v>
      </c>
      <c r="S48" s="33" t="n">
        <f aca="false">'Feb 2027'!V48</f>
        <v>0</v>
      </c>
      <c r="T48" s="33" t="n">
        <f aca="false">IF(B48="",0,N(Students!I37))</f>
        <v>0</v>
      </c>
      <c r="U48" s="23"/>
      <c r="V48" s="24" t="n">
        <f aca="false">N(S48)+N(T48)-N(U48)</f>
        <v>0</v>
      </c>
      <c r="W48" s="33" t="n">
        <f aca="false">'Feb 2027'!Z48</f>
        <v>0</v>
      </c>
      <c r="X48" s="33" t="n">
        <f aca="false">IF(B48="",0,N(Students!J37))</f>
        <v>0</v>
      </c>
      <c r="Y48" s="23"/>
      <c r="Z48" s="24" t="n">
        <f aca="false">N(W48)+N(X48)-N(Y48)</f>
        <v>0</v>
      </c>
      <c r="AA48" s="33" t="n">
        <f aca="false">N(E48)+N(I48)+N(M48)+N(Q48)+N(U48)+N(Y48)</f>
        <v>0</v>
      </c>
      <c r="AB48" s="24" t="n">
        <f aca="false">F48+J48+N48+R48+V48+Z48</f>
        <v>0</v>
      </c>
      <c r="AC48" s="81" t="str">
        <f aca="false">IF(B48="","",IF(AB48&lt;=0,"Clear",IF(AA48&gt;0,"Partial","Due")))</f>
        <v/>
      </c>
    </row>
    <row r="49" customFormat="false" ht="15" hidden="false" customHeight="false" outlineLevel="0" collapsed="false">
      <c r="A49" s="25" t="n">
        <v>34</v>
      </c>
      <c r="B49" s="82" t="str">
        <f aca="false">IF(Students!B38="","",Students!B38)</f>
        <v/>
      </c>
      <c r="C49" s="37" t="n">
        <f aca="false">'Feb 2027'!F49</f>
        <v>0</v>
      </c>
      <c r="D49" s="37" t="n">
        <f aca="false">IF(B49="",0,N(Students!E38))</f>
        <v>0</v>
      </c>
      <c r="E49" s="23"/>
      <c r="F49" s="26" t="n">
        <f aca="false">N(C49)+N(D49)-N(E49)</f>
        <v>0</v>
      </c>
      <c r="G49" s="37" t="n">
        <f aca="false">'Feb 2027'!J49</f>
        <v>0</v>
      </c>
      <c r="H49" s="37" t="n">
        <f aca="false">IF(B49="",0,N(Students!F38))</f>
        <v>0</v>
      </c>
      <c r="I49" s="23"/>
      <c r="J49" s="26" t="n">
        <f aca="false">N(G49)+N(H49)-N(I49)</f>
        <v>0</v>
      </c>
      <c r="K49" s="37" t="n">
        <f aca="false">'Feb 2027'!N49</f>
        <v>0</v>
      </c>
      <c r="L49" s="37" t="n">
        <f aca="false">IF(B49="",0,N(Students!G38))</f>
        <v>0</v>
      </c>
      <c r="M49" s="23"/>
      <c r="N49" s="26" t="n">
        <f aca="false">N(K49)+N(L49)-N(M49)</f>
        <v>0</v>
      </c>
      <c r="O49" s="37" t="n">
        <f aca="false">'Feb 2027'!R49</f>
        <v>0</v>
      </c>
      <c r="P49" s="37" t="n">
        <f aca="false">IF(B49="",0,N(Students!H38))</f>
        <v>0</v>
      </c>
      <c r="Q49" s="23"/>
      <c r="R49" s="26" t="n">
        <f aca="false">N(O49)+N(P49)-N(Q49)</f>
        <v>0</v>
      </c>
      <c r="S49" s="37" t="n">
        <f aca="false">'Feb 2027'!V49</f>
        <v>0</v>
      </c>
      <c r="T49" s="37" t="n">
        <f aca="false">IF(B49="",0,N(Students!I38))</f>
        <v>0</v>
      </c>
      <c r="U49" s="23"/>
      <c r="V49" s="26" t="n">
        <f aca="false">N(S49)+N(T49)-N(U49)</f>
        <v>0</v>
      </c>
      <c r="W49" s="37" t="n">
        <f aca="false">'Feb 2027'!Z49</f>
        <v>0</v>
      </c>
      <c r="X49" s="37" t="n">
        <f aca="false">IF(B49="",0,N(Students!J38))</f>
        <v>0</v>
      </c>
      <c r="Y49" s="23"/>
      <c r="Z49" s="26" t="n">
        <f aca="false">N(W49)+N(X49)-N(Y49)</f>
        <v>0</v>
      </c>
      <c r="AA49" s="37" t="n">
        <f aca="false">N(E49)+N(I49)+N(M49)+N(Q49)+N(U49)+N(Y49)</f>
        <v>0</v>
      </c>
      <c r="AB49" s="26" t="n">
        <f aca="false">F49+J49+N49+R49+V49+Z49</f>
        <v>0</v>
      </c>
      <c r="AC49" s="83" t="str">
        <f aca="false">IF(B49="","",IF(AB49&lt;=0,"Clear",IF(AA49&gt;0,"Partial","Due")))</f>
        <v/>
      </c>
    </row>
    <row r="50" customFormat="false" ht="15" hidden="false" customHeight="false" outlineLevel="0" collapsed="false">
      <c r="A50" s="21" t="n">
        <v>35</v>
      </c>
      <c r="B50" s="46" t="str">
        <f aca="false">IF(Students!B39="","",Students!B39)</f>
        <v/>
      </c>
      <c r="C50" s="33" t="n">
        <f aca="false">'Feb 2027'!F50</f>
        <v>0</v>
      </c>
      <c r="D50" s="33" t="n">
        <f aca="false">IF(B50="",0,N(Students!E39))</f>
        <v>0</v>
      </c>
      <c r="E50" s="23"/>
      <c r="F50" s="24" t="n">
        <f aca="false">N(C50)+N(D50)-N(E50)</f>
        <v>0</v>
      </c>
      <c r="G50" s="33" t="n">
        <f aca="false">'Feb 2027'!J50</f>
        <v>0</v>
      </c>
      <c r="H50" s="33" t="n">
        <f aca="false">IF(B50="",0,N(Students!F39))</f>
        <v>0</v>
      </c>
      <c r="I50" s="23"/>
      <c r="J50" s="24" t="n">
        <f aca="false">N(G50)+N(H50)-N(I50)</f>
        <v>0</v>
      </c>
      <c r="K50" s="33" t="n">
        <f aca="false">'Feb 2027'!N50</f>
        <v>0</v>
      </c>
      <c r="L50" s="33" t="n">
        <f aca="false">IF(B50="",0,N(Students!G39))</f>
        <v>0</v>
      </c>
      <c r="M50" s="23"/>
      <c r="N50" s="24" t="n">
        <f aca="false">N(K50)+N(L50)-N(M50)</f>
        <v>0</v>
      </c>
      <c r="O50" s="33" t="n">
        <f aca="false">'Feb 2027'!R50</f>
        <v>0</v>
      </c>
      <c r="P50" s="33" t="n">
        <f aca="false">IF(B50="",0,N(Students!H39))</f>
        <v>0</v>
      </c>
      <c r="Q50" s="23"/>
      <c r="R50" s="24" t="n">
        <f aca="false">N(O50)+N(P50)-N(Q50)</f>
        <v>0</v>
      </c>
      <c r="S50" s="33" t="n">
        <f aca="false">'Feb 2027'!V50</f>
        <v>0</v>
      </c>
      <c r="T50" s="33" t="n">
        <f aca="false">IF(B50="",0,N(Students!I39))</f>
        <v>0</v>
      </c>
      <c r="U50" s="23"/>
      <c r="V50" s="24" t="n">
        <f aca="false">N(S50)+N(T50)-N(U50)</f>
        <v>0</v>
      </c>
      <c r="W50" s="33" t="n">
        <f aca="false">'Feb 2027'!Z50</f>
        <v>0</v>
      </c>
      <c r="X50" s="33" t="n">
        <f aca="false">IF(B50="",0,N(Students!J39))</f>
        <v>0</v>
      </c>
      <c r="Y50" s="23"/>
      <c r="Z50" s="24" t="n">
        <f aca="false">N(W50)+N(X50)-N(Y50)</f>
        <v>0</v>
      </c>
      <c r="AA50" s="33" t="n">
        <f aca="false">N(E50)+N(I50)+N(M50)+N(Q50)+N(U50)+N(Y50)</f>
        <v>0</v>
      </c>
      <c r="AB50" s="24" t="n">
        <f aca="false">F50+J50+N50+R50+V50+Z50</f>
        <v>0</v>
      </c>
      <c r="AC50" s="81" t="str">
        <f aca="false">IF(B50="","",IF(AB50&lt;=0,"Clear",IF(AA50&gt;0,"Partial","Due")))</f>
        <v/>
      </c>
    </row>
    <row r="51" customFormat="false" ht="15" hidden="false" customHeight="false" outlineLevel="0" collapsed="false">
      <c r="A51" s="25" t="n">
        <v>36</v>
      </c>
      <c r="B51" s="82" t="str">
        <f aca="false">IF(Students!B40="","",Students!B40)</f>
        <v/>
      </c>
      <c r="C51" s="37" t="n">
        <f aca="false">'Feb 2027'!F51</f>
        <v>0</v>
      </c>
      <c r="D51" s="37" t="n">
        <f aca="false">IF(B51="",0,N(Students!E40))</f>
        <v>0</v>
      </c>
      <c r="E51" s="23"/>
      <c r="F51" s="26" t="n">
        <f aca="false">N(C51)+N(D51)-N(E51)</f>
        <v>0</v>
      </c>
      <c r="G51" s="37" t="n">
        <f aca="false">'Feb 2027'!J51</f>
        <v>0</v>
      </c>
      <c r="H51" s="37" t="n">
        <f aca="false">IF(B51="",0,N(Students!F40))</f>
        <v>0</v>
      </c>
      <c r="I51" s="23"/>
      <c r="J51" s="26" t="n">
        <f aca="false">N(G51)+N(H51)-N(I51)</f>
        <v>0</v>
      </c>
      <c r="K51" s="37" t="n">
        <f aca="false">'Feb 2027'!N51</f>
        <v>0</v>
      </c>
      <c r="L51" s="37" t="n">
        <f aca="false">IF(B51="",0,N(Students!G40))</f>
        <v>0</v>
      </c>
      <c r="M51" s="23"/>
      <c r="N51" s="26" t="n">
        <f aca="false">N(K51)+N(L51)-N(M51)</f>
        <v>0</v>
      </c>
      <c r="O51" s="37" t="n">
        <f aca="false">'Feb 2027'!R51</f>
        <v>0</v>
      </c>
      <c r="P51" s="37" t="n">
        <f aca="false">IF(B51="",0,N(Students!H40))</f>
        <v>0</v>
      </c>
      <c r="Q51" s="23"/>
      <c r="R51" s="26" t="n">
        <f aca="false">N(O51)+N(P51)-N(Q51)</f>
        <v>0</v>
      </c>
      <c r="S51" s="37" t="n">
        <f aca="false">'Feb 2027'!V51</f>
        <v>0</v>
      </c>
      <c r="T51" s="37" t="n">
        <f aca="false">IF(B51="",0,N(Students!I40))</f>
        <v>0</v>
      </c>
      <c r="U51" s="23"/>
      <c r="V51" s="26" t="n">
        <f aca="false">N(S51)+N(T51)-N(U51)</f>
        <v>0</v>
      </c>
      <c r="W51" s="37" t="n">
        <f aca="false">'Feb 2027'!Z51</f>
        <v>0</v>
      </c>
      <c r="X51" s="37" t="n">
        <f aca="false">IF(B51="",0,N(Students!J40))</f>
        <v>0</v>
      </c>
      <c r="Y51" s="23"/>
      <c r="Z51" s="26" t="n">
        <f aca="false">N(W51)+N(X51)-N(Y51)</f>
        <v>0</v>
      </c>
      <c r="AA51" s="37" t="n">
        <f aca="false">N(E51)+N(I51)+N(M51)+N(Q51)+N(U51)+N(Y51)</f>
        <v>0</v>
      </c>
      <c r="AB51" s="26" t="n">
        <f aca="false">F51+J51+N51+R51+V51+Z51</f>
        <v>0</v>
      </c>
      <c r="AC51" s="83" t="str">
        <f aca="false">IF(B51="","",IF(AB51&lt;=0,"Clear",IF(AA51&gt;0,"Partial","Due")))</f>
        <v/>
      </c>
    </row>
    <row r="52" customFormat="false" ht="15" hidden="false" customHeight="false" outlineLevel="0" collapsed="false">
      <c r="A52" s="21" t="n">
        <v>37</v>
      </c>
      <c r="B52" s="46" t="str">
        <f aca="false">IF(Students!B41="","",Students!B41)</f>
        <v/>
      </c>
      <c r="C52" s="33" t="n">
        <f aca="false">'Feb 2027'!F52</f>
        <v>0</v>
      </c>
      <c r="D52" s="33" t="n">
        <f aca="false">IF(B52="",0,N(Students!E41))</f>
        <v>0</v>
      </c>
      <c r="E52" s="23"/>
      <c r="F52" s="24" t="n">
        <f aca="false">N(C52)+N(D52)-N(E52)</f>
        <v>0</v>
      </c>
      <c r="G52" s="33" t="n">
        <f aca="false">'Feb 2027'!J52</f>
        <v>0</v>
      </c>
      <c r="H52" s="33" t="n">
        <f aca="false">IF(B52="",0,N(Students!F41))</f>
        <v>0</v>
      </c>
      <c r="I52" s="23"/>
      <c r="J52" s="24" t="n">
        <f aca="false">N(G52)+N(H52)-N(I52)</f>
        <v>0</v>
      </c>
      <c r="K52" s="33" t="n">
        <f aca="false">'Feb 2027'!N52</f>
        <v>0</v>
      </c>
      <c r="L52" s="33" t="n">
        <f aca="false">IF(B52="",0,N(Students!G41))</f>
        <v>0</v>
      </c>
      <c r="M52" s="23"/>
      <c r="N52" s="24" t="n">
        <f aca="false">N(K52)+N(L52)-N(M52)</f>
        <v>0</v>
      </c>
      <c r="O52" s="33" t="n">
        <f aca="false">'Feb 2027'!R52</f>
        <v>0</v>
      </c>
      <c r="P52" s="33" t="n">
        <f aca="false">IF(B52="",0,N(Students!H41))</f>
        <v>0</v>
      </c>
      <c r="Q52" s="23"/>
      <c r="R52" s="24" t="n">
        <f aca="false">N(O52)+N(P52)-N(Q52)</f>
        <v>0</v>
      </c>
      <c r="S52" s="33" t="n">
        <f aca="false">'Feb 2027'!V52</f>
        <v>0</v>
      </c>
      <c r="T52" s="33" t="n">
        <f aca="false">IF(B52="",0,N(Students!I41))</f>
        <v>0</v>
      </c>
      <c r="U52" s="23"/>
      <c r="V52" s="24" t="n">
        <f aca="false">N(S52)+N(T52)-N(U52)</f>
        <v>0</v>
      </c>
      <c r="W52" s="33" t="n">
        <f aca="false">'Feb 2027'!Z52</f>
        <v>0</v>
      </c>
      <c r="X52" s="33" t="n">
        <f aca="false">IF(B52="",0,N(Students!J41))</f>
        <v>0</v>
      </c>
      <c r="Y52" s="23"/>
      <c r="Z52" s="24" t="n">
        <f aca="false">N(W52)+N(X52)-N(Y52)</f>
        <v>0</v>
      </c>
      <c r="AA52" s="33" t="n">
        <f aca="false">N(E52)+N(I52)+N(M52)+N(Q52)+N(U52)+N(Y52)</f>
        <v>0</v>
      </c>
      <c r="AB52" s="24" t="n">
        <f aca="false">F52+J52+N52+R52+V52+Z52</f>
        <v>0</v>
      </c>
      <c r="AC52" s="81" t="str">
        <f aca="false">IF(B52="","",IF(AB52&lt;=0,"Clear",IF(AA52&gt;0,"Partial","Due")))</f>
        <v/>
      </c>
    </row>
    <row r="53" customFormat="false" ht="15" hidden="false" customHeight="false" outlineLevel="0" collapsed="false">
      <c r="A53" s="25" t="n">
        <v>38</v>
      </c>
      <c r="B53" s="82" t="str">
        <f aca="false">IF(Students!B42="","",Students!B42)</f>
        <v/>
      </c>
      <c r="C53" s="37" t="n">
        <f aca="false">'Feb 2027'!F53</f>
        <v>0</v>
      </c>
      <c r="D53" s="37" t="n">
        <f aca="false">IF(B53="",0,N(Students!E42))</f>
        <v>0</v>
      </c>
      <c r="E53" s="23"/>
      <c r="F53" s="26" t="n">
        <f aca="false">N(C53)+N(D53)-N(E53)</f>
        <v>0</v>
      </c>
      <c r="G53" s="37" t="n">
        <f aca="false">'Feb 2027'!J53</f>
        <v>0</v>
      </c>
      <c r="H53" s="37" t="n">
        <f aca="false">IF(B53="",0,N(Students!F42))</f>
        <v>0</v>
      </c>
      <c r="I53" s="23"/>
      <c r="J53" s="26" t="n">
        <f aca="false">N(G53)+N(H53)-N(I53)</f>
        <v>0</v>
      </c>
      <c r="K53" s="37" t="n">
        <f aca="false">'Feb 2027'!N53</f>
        <v>0</v>
      </c>
      <c r="L53" s="37" t="n">
        <f aca="false">IF(B53="",0,N(Students!G42))</f>
        <v>0</v>
      </c>
      <c r="M53" s="23"/>
      <c r="N53" s="26" t="n">
        <f aca="false">N(K53)+N(L53)-N(M53)</f>
        <v>0</v>
      </c>
      <c r="O53" s="37" t="n">
        <f aca="false">'Feb 2027'!R53</f>
        <v>0</v>
      </c>
      <c r="P53" s="37" t="n">
        <f aca="false">IF(B53="",0,N(Students!H42))</f>
        <v>0</v>
      </c>
      <c r="Q53" s="23"/>
      <c r="R53" s="26" t="n">
        <f aca="false">N(O53)+N(P53)-N(Q53)</f>
        <v>0</v>
      </c>
      <c r="S53" s="37" t="n">
        <f aca="false">'Feb 2027'!V53</f>
        <v>0</v>
      </c>
      <c r="T53" s="37" t="n">
        <f aca="false">IF(B53="",0,N(Students!I42))</f>
        <v>0</v>
      </c>
      <c r="U53" s="23"/>
      <c r="V53" s="26" t="n">
        <f aca="false">N(S53)+N(T53)-N(U53)</f>
        <v>0</v>
      </c>
      <c r="W53" s="37" t="n">
        <f aca="false">'Feb 2027'!Z53</f>
        <v>0</v>
      </c>
      <c r="X53" s="37" t="n">
        <f aca="false">IF(B53="",0,N(Students!J42))</f>
        <v>0</v>
      </c>
      <c r="Y53" s="23"/>
      <c r="Z53" s="26" t="n">
        <f aca="false">N(W53)+N(X53)-N(Y53)</f>
        <v>0</v>
      </c>
      <c r="AA53" s="37" t="n">
        <f aca="false">N(E53)+N(I53)+N(M53)+N(Q53)+N(U53)+N(Y53)</f>
        <v>0</v>
      </c>
      <c r="AB53" s="26" t="n">
        <f aca="false">F53+J53+N53+R53+V53+Z53</f>
        <v>0</v>
      </c>
      <c r="AC53" s="83" t="str">
        <f aca="false">IF(B53="","",IF(AB53&lt;=0,"Clear",IF(AA53&gt;0,"Partial","Due")))</f>
        <v/>
      </c>
    </row>
    <row r="54" customFormat="false" ht="15" hidden="false" customHeight="false" outlineLevel="0" collapsed="false">
      <c r="A54" s="21" t="n">
        <v>39</v>
      </c>
      <c r="B54" s="46" t="str">
        <f aca="false">IF(Students!B43="","",Students!B43)</f>
        <v/>
      </c>
      <c r="C54" s="33" t="n">
        <f aca="false">'Feb 2027'!F54</f>
        <v>0</v>
      </c>
      <c r="D54" s="33" t="n">
        <f aca="false">IF(B54="",0,N(Students!E43))</f>
        <v>0</v>
      </c>
      <c r="E54" s="23"/>
      <c r="F54" s="24" t="n">
        <f aca="false">N(C54)+N(D54)-N(E54)</f>
        <v>0</v>
      </c>
      <c r="G54" s="33" t="n">
        <f aca="false">'Feb 2027'!J54</f>
        <v>0</v>
      </c>
      <c r="H54" s="33" t="n">
        <f aca="false">IF(B54="",0,N(Students!F43))</f>
        <v>0</v>
      </c>
      <c r="I54" s="23"/>
      <c r="J54" s="24" t="n">
        <f aca="false">N(G54)+N(H54)-N(I54)</f>
        <v>0</v>
      </c>
      <c r="K54" s="33" t="n">
        <f aca="false">'Feb 2027'!N54</f>
        <v>0</v>
      </c>
      <c r="L54" s="33" t="n">
        <f aca="false">IF(B54="",0,N(Students!G43))</f>
        <v>0</v>
      </c>
      <c r="M54" s="23"/>
      <c r="N54" s="24" t="n">
        <f aca="false">N(K54)+N(L54)-N(M54)</f>
        <v>0</v>
      </c>
      <c r="O54" s="33" t="n">
        <f aca="false">'Feb 2027'!R54</f>
        <v>0</v>
      </c>
      <c r="P54" s="33" t="n">
        <f aca="false">IF(B54="",0,N(Students!H43))</f>
        <v>0</v>
      </c>
      <c r="Q54" s="23"/>
      <c r="R54" s="24" t="n">
        <f aca="false">N(O54)+N(P54)-N(Q54)</f>
        <v>0</v>
      </c>
      <c r="S54" s="33" t="n">
        <f aca="false">'Feb 2027'!V54</f>
        <v>0</v>
      </c>
      <c r="T54" s="33" t="n">
        <f aca="false">IF(B54="",0,N(Students!I43))</f>
        <v>0</v>
      </c>
      <c r="U54" s="23"/>
      <c r="V54" s="24" t="n">
        <f aca="false">N(S54)+N(T54)-N(U54)</f>
        <v>0</v>
      </c>
      <c r="W54" s="33" t="n">
        <f aca="false">'Feb 2027'!Z54</f>
        <v>0</v>
      </c>
      <c r="X54" s="33" t="n">
        <f aca="false">IF(B54="",0,N(Students!J43))</f>
        <v>0</v>
      </c>
      <c r="Y54" s="23"/>
      <c r="Z54" s="24" t="n">
        <f aca="false">N(W54)+N(X54)-N(Y54)</f>
        <v>0</v>
      </c>
      <c r="AA54" s="33" t="n">
        <f aca="false">N(E54)+N(I54)+N(M54)+N(Q54)+N(U54)+N(Y54)</f>
        <v>0</v>
      </c>
      <c r="AB54" s="24" t="n">
        <f aca="false">F54+J54+N54+R54+V54+Z54</f>
        <v>0</v>
      </c>
      <c r="AC54" s="81" t="str">
        <f aca="false">IF(B54="","",IF(AB54&lt;=0,"Clear",IF(AA54&gt;0,"Partial","Due")))</f>
        <v/>
      </c>
    </row>
    <row r="55" customFormat="false" ht="15" hidden="false" customHeight="false" outlineLevel="0" collapsed="false">
      <c r="A55" s="25" t="n">
        <v>40</v>
      </c>
      <c r="B55" s="82" t="str">
        <f aca="false">IF(Students!B44="","",Students!B44)</f>
        <v/>
      </c>
      <c r="C55" s="37" t="n">
        <f aca="false">'Feb 2027'!F55</f>
        <v>0</v>
      </c>
      <c r="D55" s="37" t="n">
        <f aca="false">IF(B55="",0,N(Students!E44))</f>
        <v>0</v>
      </c>
      <c r="E55" s="23"/>
      <c r="F55" s="26" t="n">
        <f aca="false">N(C55)+N(D55)-N(E55)</f>
        <v>0</v>
      </c>
      <c r="G55" s="37" t="n">
        <f aca="false">'Feb 2027'!J55</f>
        <v>0</v>
      </c>
      <c r="H55" s="37" t="n">
        <f aca="false">IF(B55="",0,N(Students!F44))</f>
        <v>0</v>
      </c>
      <c r="I55" s="23"/>
      <c r="J55" s="26" t="n">
        <f aca="false">N(G55)+N(H55)-N(I55)</f>
        <v>0</v>
      </c>
      <c r="K55" s="37" t="n">
        <f aca="false">'Feb 2027'!N55</f>
        <v>0</v>
      </c>
      <c r="L55" s="37" t="n">
        <f aca="false">IF(B55="",0,N(Students!G44))</f>
        <v>0</v>
      </c>
      <c r="M55" s="23"/>
      <c r="N55" s="26" t="n">
        <f aca="false">N(K55)+N(L55)-N(M55)</f>
        <v>0</v>
      </c>
      <c r="O55" s="37" t="n">
        <f aca="false">'Feb 2027'!R55</f>
        <v>0</v>
      </c>
      <c r="P55" s="37" t="n">
        <f aca="false">IF(B55="",0,N(Students!H44))</f>
        <v>0</v>
      </c>
      <c r="Q55" s="23"/>
      <c r="R55" s="26" t="n">
        <f aca="false">N(O55)+N(P55)-N(Q55)</f>
        <v>0</v>
      </c>
      <c r="S55" s="37" t="n">
        <f aca="false">'Feb 2027'!V55</f>
        <v>0</v>
      </c>
      <c r="T55" s="37" t="n">
        <f aca="false">IF(B55="",0,N(Students!I44))</f>
        <v>0</v>
      </c>
      <c r="U55" s="23"/>
      <c r="V55" s="26" t="n">
        <f aca="false">N(S55)+N(T55)-N(U55)</f>
        <v>0</v>
      </c>
      <c r="W55" s="37" t="n">
        <f aca="false">'Feb 2027'!Z55</f>
        <v>0</v>
      </c>
      <c r="X55" s="37" t="n">
        <f aca="false">IF(B55="",0,N(Students!J44))</f>
        <v>0</v>
      </c>
      <c r="Y55" s="23"/>
      <c r="Z55" s="26" t="n">
        <f aca="false">N(W55)+N(X55)-N(Y55)</f>
        <v>0</v>
      </c>
      <c r="AA55" s="37" t="n">
        <f aca="false">N(E55)+N(I55)+N(M55)+N(Q55)+N(U55)+N(Y55)</f>
        <v>0</v>
      </c>
      <c r="AB55" s="26" t="n">
        <f aca="false">F55+J55+N55+R55+V55+Z55</f>
        <v>0</v>
      </c>
      <c r="AC55" s="83" t="str">
        <f aca="false">IF(B55="","",IF(AB55&lt;=0,"Clear",IF(AA55&gt;0,"Partial","Due")))</f>
        <v/>
      </c>
    </row>
    <row r="56" customFormat="false" ht="15" hidden="false" customHeight="false" outlineLevel="0" collapsed="false">
      <c r="A56" s="21" t="n">
        <v>41</v>
      </c>
      <c r="B56" s="46" t="str">
        <f aca="false">IF(Students!B45="","",Students!B45)</f>
        <v/>
      </c>
      <c r="C56" s="33" t="n">
        <f aca="false">'Feb 2027'!F56</f>
        <v>0</v>
      </c>
      <c r="D56" s="33" t="n">
        <f aca="false">IF(B56="",0,N(Students!E45))</f>
        <v>0</v>
      </c>
      <c r="E56" s="23"/>
      <c r="F56" s="24" t="n">
        <f aca="false">N(C56)+N(D56)-N(E56)</f>
        <v>0</v>
      </c>
      <c r="G56" s="33" t="n">
        <f aca="false">'Feb 2027'!J56</f>
        <v>0</v>
      </c>
      <c r="H56" s="33" t="n">
        <f aca="false">IF(B56="",0,N(Students!F45))</f>
        <v>0</v>
      </c>
      <c r="I56" s="23"/>
      <c r="J56" s="24" t="n">
        <f aca="false">N(G56)+N(H56)-N(I56)</f>
        <v>0</v>
      </c>
      <c r="K56" s="33" t="n">
        <f aca="false">'Feb 2027'!N56</f>
        <v>0</v>
      </c>
      <c r="L56" s="33" t="n">
        <f aca="false">IF(B56="",0,N(Students!G45))</f>
        <v>0</v>
      </c>
      <c r="M56" s="23"/>
      <c r="N56" s="24" t="n">
        <f aca="false">N(K56)+N(L56)-N(M56)</f>
        <v>0</v>
      </c>
      <c r="O56" s="33" t="n">
        <f aca="false">'Feb 2027'!R56</f>
        <v>0</v>
      </c>
      <c r="P56" s="33" t="n">
        <f aca="false">IF(B56="",0,N(Students!H45))</f>
        <v>0</v>
      </c>
      <c r="Q56" s="23"/>
      <c r="R56" s="24" t="n">
        <f aca="false">N(O56)+N(P56)-N(Q56)</f>
        <v>0</v>
      </c>
      <c r="S56" s="33" t="n">
        <f aca="false">'Feb 2027'!V56</f>
        <v>0</v>
      </c>
      <c r="T56" s="33" t="n">
        <f aca="false">IF(B56="",0,N(Students!I45))</f>
        <v>0</v>
      </c>
      <c r="U56" s="23"/>
      <c r="V56" s="24" t="n">
        <f aca="false">N(S56)+N(T56)-N(U56)</f>
        <v>0</v>
      </c>
      <c r="W56" s="33" t="n">
        <f aca="false">'Feb 2027'!Z56</f>
        <v>0</v>
      </c>
      <c r="X56" s="33" t="n">
        <f aca="false">IF(B56="",0,N(Students!J45))</f>
        <v>0</v>
      </c>
      <c r="Y56" s="23"/>
      <c r="Z56" s="24" t="n">
        <f aca="false">N(W56)+N(X56)-N(Y56)</f>
        <v>0</v>
      </c>
      <c r="AA56" s="33" t="n">
        <f aca="false">N(E56)+N(I56)+N(M56)+N(Q56)+N(U56)+N(Y56)</f>
        <v>0</v>
      </c>
      <c r="AB56" s="24" t="n">
        <f aca="false">F56+J56+N56+R56+V56+Z56</f>
        <v>0</v>
      </c>
      <c r="AC56" s="81" t="str">
        <f aca="false">IF(B56="","",IF(AB56&lt;=0,"Clear",IF(AA56&gt;0,"Partial","Due")))</f>
        <v/>
      </c>
    </row>
    <row r="57" customFormat="false" ht="15" hidden="false" customHeight="false" outlineLevel="0" collapsed="false">
      <c r="A57" s="25" t="n">
        <v>42</v>
      </c>
      <c r="B57" s="82" t="str">
        <f aca="false">IF(Students!B46="","",Students!B46)</f>
        <v/>
      </c>
      <c r="C57" s="37" t="n">
        <f aca="false">'Feb 2027'!F57</f>
        <v>0</v>
      </c>
      <c r="D57" s="37" t="n">
        <f aca="false">IF(B57="",0,N(Students!E46))</f>
        <v>0</v>
      </c>
      <c r="E57" s="23"/>
      <c r="F57" s="26" t="n">
        <f aca="false">N(C57)+N(D57)-N(E57)</f>
        <v>0</v>
      </c>
      <c r="G57" s="37" t="n">
        <f aca="false">'Feb 2027'!J57</f>
        <v>0</v>
      </c>
      <c r="H57" s="37" t="n">
        <f aca="false">IF(B57="",0,N(Students!F46))</f>
        <v>0</v>
      </c>
      <c r="I57" s="23"/>
      <c r="J57" s="26" t="n">
        <f aca="false">N(G57)+N(H57)-N(I57)</f>
        <v>0</v>
      </c>
      <c r="K57" s="37" t="n">
        <f aca="false">'Feb 2027'!N57</f>
        <v>0</v>
      </c>
      <c r="L57" s="37" t="n">
        <f aca="false">IF(B57="",0,N(Students!G46))</f>
        <v>0</v>
      </c>
      <c r="M57" s="23"/>
      <c r="N57" s="26" t="n">
        <f aca="false">N(K57)+N(L57)-N(M57)</f>
        <v>0</v>
      </c>
      <c r="O57" s="37" t="n">
        <f aca="false">'Feb 2027'!R57</f>
        <v>0</v>
      </c>
      <c r="P57" s="37" t="n">
        <f aca="false">IF(B57="",0,N(Students!H46))</f>
        <v>0</v>
      </c>
      <c r="Q57" s="23"/>
      <c r="R57" s="26" t="n">
        <f aca="false">N(O57)+N(P57)-N(Q57)</f>
        <v>0</v>
      </c>
      <c r="S57" s="37" t="n">
        <f aca="false">'Feb 2027'!V57</f>
        <v>0</v>
      </c>
      <c r="T57" s="37" t="n">
        <f aca="false">IF(B57="",0,N(Students!I46))</f>
        <v>0</v>
      </c>
      <c r="U57" s="23"/>
      <c r="V57" s="26" t="n">
        <f aca="false">N(S57)+N(T57)-N(U57)</f>
        <v>0</v>
      </c>
      <c r="W57" s="37" t="n">
        <f aca="false">'Feb 2027'!Z57</f>
        <v>0</v>
      </c>
      <c r="X57" s="37" t="n">
        <f aca="false">IF(B57="",0,N(Students!J46))</f>
        <v>0</v>
      </c>
      <c r="Y57" s="23"/>
      <c r="Z57" s="26" t="n">
        <f aca="false">N(W57)+N(X57)-N(Y57)</f>
        <v>0</v>
      </c>
      <c r="AA57" s="37" t="n">
        <f aca="false">N(E57)+N(I57)+N(M57)+N(Q57)+N(U57)+N(Y57)</f>
        <v>0</v>
      </c>
      <c r="AB57" s="26" t="n">
        <f aca="false">F57+J57+N57+R57+V57+Z57</f>
        <v>0</v>
      </c>
      <c r="AC57" s="83" t="str">
        <f aca="false">IF(B57="","",IF(AB57&lt;=0,"Clear",IF(AA57&gt;0,"Partial","Due")))</f>
        <v/>
      </c>
    </row>
    <row r="58" customFormat="false" ht="15" hidden="false" customHeight="false" outlineLevel="0" collapsed="false">
      <c r="A58" s="21" t="n">
        <v>43</v>
      </c>
      <c r="B58" s="46" t="str">
        <f aca="false">IF(Students!B47="","",Students!B47)</f>
        <v/>
      </c>
      <c r="C58" s="33" t="n">
        <f aca="false">'Feb 2027'!F58</f>
        <v>0</v>
      </c>
      <c r="D58" s="33" t="n">
        <f aca="false">IF(B58="",0,N(Students!E47))</f>
        <v>0</v>
      </c>
      <c r="E58" s="23"/>
      <c r="F58" s="24" t="n">
        <f aca="false">N(C58)+N(D58)-N(E58)</f>
        <v>0</v>
      </c>
      <c r="G58" s="33" t="n">
        <f aca="false">'Feb 2027'!J58</f>
        <v>0</v>
      </c>
      <c r="H58" s="33" t="n">
        <f aca="false">IF(B58="",0,N(Students!F47))</f>
        <v>0</v>
      </c>
      <c r="I58" s="23"/>
      <c r="J58" s="24" t="n">
        <f aca="false">N(G58)+N(H58)-N(I58)</f>
        <v>0</v>
      </c>
      <c r="K58" s="33" t="n">
        <f aca="false">'Feb 2027'!N58</f>
        <v>0</v>
      </c>
      <c r="L58" s="33" t="n">
        <f aca="false">IF(B58="",0,N(Students!G47))</f>
        <v>0</v>
      </c>
      <c r="M58" s="23"/>
      <c r="N58" s="24" t="n">
        <f aca="false">N(K58)+N(L58)-N(M58)</f>
        <v>0</v>
      </c>
      <c r="O58" s="33" t="n">
        <f aca="false">'Feb 2027'!R58</f>
        <v>0</v>
      </c>
      <c r="P58" s="33" t="n">
        <f aca="false">IF(B58="",0,N(Students!H47))</f>
        <v>0</v>
      </c>
      <c r="Q58" s="23"/>
      <c r="R58" s="24" t="n">
        <f aca="false">N(O58)+N(P58)-N(Q58)</f>
        <v>0</v>
      </c>
      <c r="S58" s="33" t="n">
        <f aca="false">'Feb 2027'!V58</f>
        <v>0</v>
      </c>
      <c r="T58" s="33" t="n">
        <f aca="false">IF(B58="",0,N(Students!I47))</f>
        <v>0</v>
      </c>
      <c r="U58" s="23"/>
      <c r="V58" s="24" t="n">
        <f aca="false">N(S58)+N(T58)-N(U58)</f>
        <v>0</v>
      </c>
      <c r="W58" s="33" t="n">
        <f aca="false">'Feb 2027'!Z58</f>
        <v>0</v>
      </c>
      <c r="X58" s="33" t="n">
        <f aca="false">IF(B58="",0,N(Students!J47))</f>
        <v>0</v>
      </c>
      <c r="Y58" s="23"/>
      <c r="Z58" s="24" t="n">
        <f aca="false">N(W58)+N(X58)-N(Y58)</f>
        <v>0</v>
      </c>
      <c r="AA58" s="33" t="n">
        <f aca="false">N(E58)+N(I58)+N(M58)+N(Q58)+N(U58)+N(Y58)</f>
        <v>0</v>
      </c>
      <c r="AB58" s="24" t="n">
        <f aca="false">F58+J58+N58+R58+V58+Z58</f>
        <v>0</v>
      </c>
      <c r="AC58" s="81" t="str">
        <f aca="false">IF(B58="","",IF(AB58&lt;=0,"Clear",IF(AA58&gt;0,"Partial","Due")))</f>
        <v/>
      </c>
    </row>
    <row r="59" customFormat="false" ht="15" hidden="false" customHeight="false" outlineLevel="0" collapsed="false">
      <c r="A59" s="25" t="n">
        <v>44</v>
      </c>
      <c r="B59" s="82" t="str">
        <f aca="false">IF(Students!B48="","",Students!B48)</f>
        <v/>
      </c>
      <c r="C59" s="37" t="n">
        <f aca="false">'Feb 2027'!F59</f>
        <v>0</v>
      </c>
      <c r="D59" s="37" t="n">
        <f aca="false">IF(B59="",0,N(Students!E48))</f>
        <v>0</v>
      </c>
      <c r="E59" s="23"/>
      <c r="F59" s="26" t="n">
        <f aca="false">N(C59)+N(D59)-N(E59)</f>
        <v>0</v>
      </c>
      <c r="G59" s="37" t="n">
        <f aca="false">'Feb 2027'!J59</f>
        <v>0</v>
      </c>
      <c r="H59" s="37" t="n">
        <f aca="false">IF(B59="",0,N(Students!F48))</f>
        <v>0</v>
      </c>
      <c r="I59" s="23"/>
      <c r="J59" s="26" t="n">
        <f aca="false">N(G59)+N(H59)-N(I59)</f>
        <v>0</v>
      </c>
      <c r="K59" s="37" t="n">
        <f aca="false">'Feb 2027'!N59</f>
        <v>0</v>
      </c>
      <c r="L59" s="37" t="n">
        <f aca="false">IF(B59="",0,N(Students!G48))</f>
        <v>0</v>
      </c>
      <c r="M59" s="23"/>
      <c r="N59" s="26" t="n">
        <f aca="false">N(K59)+N(L59)-N(M59)</f>
        <v>0</v>
      </c>
      <c r="O59" s="37" t="n">
        <f aca="false">'Feb 2027'!R59</f>
        <v>0</v>
      </c>
      <c r="P59" s="37" t="n">
        <f aca="false">IF(B59="",0,N(Students!H48))</f>
        <v>0</v>
      </c>
      <c r="Q59" s="23"/>
      <c r="R59" s="26" t="n">
        <f aca="false">N(O59)+N(P59)-N(Q59)</f>
        <v>0</v>
      </c>
      <c r="S59" s="37" t="n">
        <f aca="false">'Feb 2027'!V59</f>
        <v>0</v>
      </c>
      <c r="T59" s="37" t="n">
        <f aca="false">IF(B59="",0,N(Students!I48))</f>
        <v>0</v>
      </c>
      <c r="U59" s="23"/>
      <c r="V59" s="26" t="n">
        <f aca="false">N(S59)+N(T59)-N(U59)</f>
        <v>0</v>
      </c>
      <c r="W59" s="37" t="n">
        <f aca="false">'Feb 2027'!Z59</f>
        <v>0</v>
      </c>
      <c r="X59" s="37" t="n">
        <f aca="false">IF(B59="",0,N(Students!J48))</f>
        <v>0</v>
      </c>
      <c r="Y59" s="23"/>
      <c r="Z59" s="26" t="n">
        <f aca="false">N(W59)+N(X59)-N(Y59)</f>
        <v>0</v>
      </c>
      <c r="AA59" s="37" t="n">
        <f aca="false">N(E59)+N(I59)+N(M59)+N(Q59)+N(U59)+N(Y59)</f>
        <v>0</v>
      </c>
      <c r="AB59" s="26" t="n">
        <f aca="false">F59+J59+N59+R59+V59+Z59</f>
        <v>0</v>
      </c>
      <c r="AC59" s="83" t="str">
        <f aca="false">IF(B59="","",IF(AB59&lt;=0,"Clear",IF(AA59&gt;0,"Partial","Due")))</f>
        <v/>
      </c>
    </row>
    <row r="60" customFormat="false" ht="15" hidden="false" customHeight="false" outlineLevel="0" collapsed="false">
      <c r="A60" s="21" t="n">
        <v>45</v>
      </c>
      <c r="B60" s="46" t="str">
        <f aca="false">IF(Students!B49="","",Students!B49)</f>
        <v/>
      </c>
      <c r="C60" s="33" t="n">
        <f aca="false">'Feb 2027'!F60</f>
        <v>0</v>
      </c>
      <c r="D60" s="33" t="n">
        <f aca="false">IF(B60="",0,N(Students!E49))</f>
        <v>0</v>
      </c>
      <c r="E60" s="23"/>
      <c r="F60" s="24" t="n">
        <f aca="false">N(C60)+N(D60)-N(E60)</f>
        <v>0</v>
      </c>
      <c r="G60" s="33" t="n">
        <f aca="false">'Feb 2027'!J60</f>
        <v>0</v>
      </c>
      <c r="H60" s="33" t="n">
        <f aca="false">IF(B60="",0,N(Students!F49))</f>
        <v>0</v>
      </c>
      <c r="I60" s="23"/>
      <c r="J60" s="24" t="n">
        <f aca="false">N(G60)+N(H60)-N(I60)</f>
        <v>0</v>
      </c>
      <c r="K60" s="33" t="n">
        <f aca="false">'Feb 2027'!N60</f>
        <v>0</v>
      </c>
      <c r="L60" s="33" t="n">
        <f aca="false">IF(B60="",0,N(Students!G49))</f>
        <v>0</v>
      </c>
      <c r="M60" s="23"/>
      <c r="N60" s="24" t="n">
        <f aca="false">N(K60)+N(L60)-N(M60)</f>
        <v>0</v>
      </c>
      <c r="O60" s="33" t="n">
        <f aca="false">'Feb 2027'!R60</f>
        <v>0</v>
      </c>
      <c r="P60" s="33" t="n">
        <f aca="false">IF(B60="",0,N(Students!H49))</f>
        <v>0</v>
      </c>
      <c r="Q60" s="23"/>
      <c r="R60" s="24" t="n">
        <f aca="false">N(O60)+N(P60)-N(Q60)</f>
        <v>0</v>
      </c>
      <c r="S60" s="33" t="n">
        <f aca="false">'Feb 2027'!V60</f>
        <v>0</v>
      </c>
      <c r="T60" s="33" t="n">
        <f aca="false">IF(B60="",0,N(Students!I49))</f>
        <v>0</v>
      </c>
      <c r="U60" s="23"/>
      <c r="V60" s="24" t="n">
        <f aca="false">N(S60)+N(T60)-N(U60)</f>
        <v>0</v>
      </c>
      <c r="W60" s="33" t="n">
        <f aca="false">'Feb 2027'!Z60</f>
        <v>0</v>
      </c>
      <c r="X60" s="33" t="n">
        <f aca="false">IF(B60="",0,N(Students!J49))</f>
        <v>0</v>
      </c>
      <c r="Y60" s="23"/>
      <c r="Z60" s="24" t="n">
        <f aca="false">N(W60)+N(X60)-N(Y60)</f>
        <v>0</v>
      </c>
      <c r="AA60" s="33" t="n">
        <f aca="false">N(E60)+N(I60)+N(M60)+N(Q60)+N(U60)+N(Y60)</f>
        <v>0</v>
      </c>
      <c r="AB60" s="24" t="n">
        <f aca="false">F60+J60+N60+R60+V60+Z60</f>
        <v>0</v>
      </c>
      <c r="AC60" s="81" t="str">
        <f aca="false">IF(B60="","",IF(AB60&lt;=0,"Clear",IF(AA60&gt;0,"Partial","Due")))</f>
        <v/>
      </c>
    </row>
    <row r="61" customFormat="false" ht="15" hidden="false" customHeight="false" outlineLevel="0" collapsed="false">
      <c r="A61" s="25" t="n">
        <v>46</v>
      </c>
      <c r="B61" s="82" t="str">
        <f aca="false">IF(Students!B50="","",Students!B50)</f>
        <v/>
      </c>
      <c r="C61" s="37" t="n">
        <f aca="false">'Feb 2027'!F61</f>
        <v>0</v>
      </c>
      <c r="D61" s="37" t="n">
        <f aca="false">IF(B61="",0,N(Students!E50))</f>
        <v>0</v>
      </c>
      <c r="E61" s="23"/>
      <c r="F61" s="26" t="n">
        <f aca="false">N(C61)+N(D61)-N(E61)</f>
        <v>0</v>
      </c>
      <c r="G61" s="37" t="n">
        <f aca="false">'Feb 2027'!J61</f>
        <v>0</v>
      </c>
      <c r="H61" s="37" t="n">
        <f aca="false">IF(B61="",0,N(Students!F50))</f>
        <v>0</v>
      </c>
      <c r="I61" s="23"/>
      <c r="J61" s="26" t="n">
        <f aca="false">N(G61)+N(H61)-N(I61)</f>
        <v>0</v>
      </c>
      <c r="K61" s="37" t="n">
        <f aca="false">'Feb 2027'!N61</f>
        <v>0</v>
      </c>
      <c r="L61" s="37" t="n">
        <f aca="false">IF(B61="",0,N(Students!G50))</f>
        <v>0</v>
      </c>
      <c r="M61" s="23"/>
      <c r="N61" s="26" t="n">
        <f aca="false">N(K61)+N(L61)-N(M61)</f>
        <v>0</v>
      </c>
      <c r="O61" s="37" t="n">
        <f aca="false">'Feb 2027'!R61</f>
        <v>0</v>
      </c>
      <c r="P61" s="37" t="n">
        <f aca="false">IF(B61="",0,N(Students!H50))</f>
        <v>0</v>
      </c>
      <c r="Q61" s="23"/>
      <c r="R61" s="26" t="n">
        <f aca="false">N(O61)+N(P61)-N(Q61)</f>
        <v>0</v>
      </c>
      <c r="S61" s="37" t="n">
        <f aca="false">'Feb 2027'!V61</f>
        <v>0</v>
      </c>
      <c r="T61" s="37" t="n">
        <f aca="false">IF(B61="",0,N(Students!I50))</f>
        <v>0</v>
      </c>
      <c r="U61" s="23"/>
      <c r="V61" s="26" t="n">
        <f aca="false">N(S61)+N(T61)-N(U61)</f>
        <v>0</v>
      </c>
      <c r="W61" s="37" t="n">
        <f aca="false">'Feb 2027'!Z61</f>
        <v>0</v>
      </c>
      <c r="X61" s="37" t="n">
        <f aca="false">IF(B61="",0,N(Students!J50))</f>
        <v>0</v>
      </c>
      <c r="Y61" s="23"/>
      <c r="Z61" s="26" t="n">
        <f aca="false">N(W61)+N(X61)-N(Y61)</f>
        <v>0</v>
      </c>
      <c r="AA61" s="37" t="n">
        <f aca="false">N(E61)+N(I61)+N(M61)+N(Q61)+N(U61)+N(Y61)</f>
        <v>0</v>
      </c>
      <c r="AB61" s="26" t="n">
        <f aca="false">F61+J61+N61+R61+V61+Z61</f>
        <v>0</v>
      </c>
      <c r="AC61" s="83" t="str">
        <f aca="false">IF(B61="","",IF(AB61&lt;=0,"Clear",IF(AA61&gt;0,"Partial","Due")))</f>
        <v/>
      </c>
    </row>
    <row r="62" customFormat="false" ht="15" hidden="false" customHeight="false" outlineLevel="0" collapsed="false">
      <c r="A62" s="21" t="n">
        <v>47</v>
      </c>
      <c r="B62" s="46" t="str">
        <f aca="false">IF(Students!B51="","",Students!B51)</f>
        <v/>
      </c>
      <c r="C62" s="33" t="n">
        <f aca="false">'Feb 2027'!F62</f>
        <v>0</v>
      </c>
      <c r="D62" s="33" t="n">
        <f aca="false">IF(B62="",0,N(Students!E51))</f>
        <v>0</v>
      </c>
      <c r="E62" s="23"/>
      <c r="F62" s="24" t="n">
        <f aca="false">N(C62)+N(D62)-N(E62)</f>
        <v>0</v>
      </c>
      <c r="G62" s="33" t="n">
        <f aca="false">'Feb 2027'!J62</f>
        <v>0</v>
      </c>
      <c r="H62" s="33" t="n">
        <f aca="false">IF(B62="",0,N(Students!F51))</f>
        <v>0</v>
      </c>
      <c r="I62" s="23"/>
      <c r="J62" s="24" t="n">
        <f aca="false">N(G62)+N(H62)-N(I62)</f>
        <v>0</v>
      </c>
      <c r="K62" s="33" t="n">
        <f aca="false">'Feb 2027'!N62</f>
        <v>0</v>
      </c>
      <c r="L62" s="33" t="n">
        <f aca="false">IF(B62="",0,N(Students!G51))</f>
        <v>0</v>
      </c>
      <c r="M62" s="23"/>
      <c r="N62" s="24" t="n">
        <f aca="false">N(K62)+N(L62)-N(M62)</f>
        <v>0</v>
      </c>
      <c r="O62" s="33" t="n">
        <f aca="false">'Feb 2027'!R62</f>
        <v>0</v>
      </c>
      <c r="P62" s="33" t="n">
        <f aca="false">IF(B62="",0,N(Students!H51))</f>
        <v>0</v>
      </c>
      <c r="Q62" s="23"/>
      <c r="R62" s="24" t="n">
        <f aca="false">N(O62)+N(P62)-N(Q62)</f>
        <v>0</v>
      </c>
      <c r="S62" s="33" t="n">
        <f aca="false">'Feb 2027'!V62</f>
        <v>0</v>
      </c>
      <c r="T62" s="33" t="n">
        <f aca="false">IF(B62="",0,N(Students!I51))</f>
        <v>0</v>
      </c>
      <c r="U62" s="23"/>
      <c r="V62" s="24" t="n">
        <f aca="false">N(S62)+N(T62)-N(U62)</f>
        <v>0</v>
      </c>
      <c r="W62" s="33" t="n">
        <f aca="false">'Feb 2027'!Z62</f>
        <v>0</v>
      </c>
      <c r="X62" s="33" t="n">
        <f aca="false">IF(B62="",0,N(Students!J51))</f>
        <v>0</v>
      </c>
      <c r="Y62" s="23"/>
      <c r="Z62" s="24" t="n">
        <f aca="false">N(W62)+N(X62)-N(Y62)</f>
        <v>0</v>
      </c>
      <c r="AA62" s="33" t="n">
        <f aca="false">N(E62)+N(I62)+N(M62)+N(Q62)+N(U62)+N(Y62)</f>
        <v>0</v>
      </c>
      <c r="AB62" s="24" t="n">
        <f aca="false">F62+J62+N62+R62+V62+Z62</f>
        <v>0</v>
      </c>
      <c r="AC62" s="81" t="str">
        <f aca="false">IF(B62="","",IF(AB62&lt;=0,"Clear",IF(AA62&gt;0,"Partial","Due")))</f>
        <v/>
      </c>
    </row>
    <row r="63" customFormat="false" ht="15" hidden="false" customHeight="false" outlineLevel="0" collapsed="false">
      <c r="A63" s="25" t="n">
        <v>48</v>
      </c>
      <c r="B63" s="82" t="str">
        <f aca="false">IF(Students!B52="","",Students!B52)</f>
        <v/>
      </c>
      <c r="C63" s="37" t="n">
        <f aca="false">'Feb 2027'!F63</f>
        <v>0</v>
      </c>
      <c r="D63" s="37" t="n">
        <f aca="false">IF(B63="",0,N(Students!E52))</f>
        <v>0</v>
      </c>
      <c r="E63" s="23"/>
      <c r="F63" s="26" t="n">
        <f aca="false">N(C63)+N(D63)-N(E63)</f>
        <v>0</v>
      </c>
      <c r="G63" s="37" t="n">
        <f aca="false">'Feb 2027'!J63</f>
        <v>0</v>
      </c>
      <c r="H63" s="37" t="n">
        <f aca="false">IF(B63="",0,N(Students!F52))</f>
        <v>0</v>
      </c>
      <c r="I63" s="23"/>
      <c r="J63" s="26" t="n">
        <f aca="false">N(G63)+N(H63)-N(I63)</f>
        <v>0</v>
      </c>
      <c r="K63" s="37" t="n">
        <f aca="false">'Feb 2027'!N63</f>
        <v>0</v>
      </c>
      <c r="L63" s="37" t="n">
        <f aca="false">IF(B63="",0,N(Students!G52))</f>
        <v>0</v>
      </c>
      <c r="M63" s="23"/>
      <c r="N63" s="26" t="n">
        <f aca="false">N(K63)+N(L63)-N(M63)</f>
        <v>0</v>
      </c>
      <c r="O63" s="37" t="n">
        <f aca="false">'Feb 2027'!R63</f>
        <v>0</v>
      </c>
      <c r="P63" s="37" t="n">
        <f aca="false">IF(B63="",0,N(Students!H52))</f>
        <v>0</v>
      </c>
      <c r="Q63" s="23"/>
      <c r="R63" s="26" t="n">
        <f aca="false">N(O63)+N(P63)-N(Q63)</f>
        <v>0</v>
      </c>
      <c r="S63" s="37" t="n">
        <f aca="false">'Feb 2027'!V63</f>
        <v>0</v>
      </c>
      <c r="T63" s="37" t="n">
        <f aca="false">IF(B63="",0,N(Students!I52))</f>
        <v>0</v>
      </c>
      <c r="U63" s="23"/>
      <c r="V63" s="26" t="n">
        <f aca="false">N(S63)+N(T63)-N(U63)</f>
        <v>0</v>
      </c>
      <c r="W63" s="37" t="n">
        <f aca="false">'Feb 2027'!Z63</f>
        <v>0</v>
      </c>
      <c r="X63" s="37" t="n">
        <f aca="false">IF(B63="",0,N(Students!J52))</f>
        <v>0</v>
      </c>
      <c r="Y63" s="23"/>
      <c r="Z63" s="26" t="n">
        <f aca="false">N(W63)+N(X63)-N(Y63)</f>
        <v>0</v>
      </c>
      <c r="AA63" s="37" t="n">
        <f aca="false">N(E63)+N(I63)+N(M63)+N(Q63)+N(U63)+N(Y63)</f>
        <v>0</v>
      </c>
      <c r="AB63" s="26" t="n">
        <f aca="false">F63+J63+N63+R63+V63+Z63</f>
        <v>0</v>
      </c>
      <c r="AC63" s="83" t="str">
        <f aca="false">IF(B63="","",IF(AB63&lt;=0,"Clear",IF(AA63&gt;0,"Partial","Due")))</f>
        <v/>
      </c>
    </row>
    <row r="64" customFormat="false" ht="15" hidden="false" customHeight="false" outlineLevel="0" collapsed="false">
      <c r="A64" s="21" t="n">
        <v>49</v>
      </c>
      <c r="B64" s="46" t="str">
        <f aca="false">IF(Students!B53="","",Students!B53)</f>
        <v/>
      </c>
      <c r="C64" s="33" t="n">
        <f aca="false">'Feb 2027'!F64</f>
        <v>0</v>
      </c>
      <c r="D64" s="33" t="n">
        <f aca="false">IF(B64="",0,N(Students!E53))</f>
        <v>0</v>
      </c>
      <c r="E64" s="23"/>
      <c r="F64" s="24" t="n">
        <f aca="false">N(C64)+N(D64)-N(E64)</f>
        <v>0</v>
      </c>
      <c r="G64" s="33" t="n">
        <f aca="false">'Feb 2027'!J64</f>
        <v>0</v>
      </c>
      <c r="H64" s="33" t="n">
        <f aca="false">IF(B64="",0,N(Students!F53))</f>
        <v>0</v>
      </c>
      <c r="I64" s="23"/>
      <c r="J64" s="24" t="n">
        <f aca="false">N(G64)+N(H64)-N(I64)</f>
        <v>0</v>
      </c>
      <c r="K64" s="33" t="n">
        <f aca="false">'Feb 2027'!N64</f>
        <v>0</v>
      </c>
      <c r="L64" s="33" t="n">
        <f aca="false">IF(B64="",0,N(Students!G53))</f>
        <v>0</v>
      </c>
      <c r="M64" s="23"/>
      <c r="N64" s="24" t="n">
        <f aca="false">N(K64)+N(L64)-N(M64)</f>
        <v>0</v>
      </c>
      <c r="O64" s="33" t="n">
        <f aca="false">'Feb 2027'!R64</f>
        <v>0</v>
      </c>
      <c r="P64" s="33" t="n">
        <f aca="false">IF(B64="",0,N(Students!H53))</f>
        <v>0</v>
      </c>
      <c r="Q64" s="23"/>
      <c r="R64" s="24" t="n">
        <f aca="false">N(O64)+N(P64)-N(Q64)</f>
        <v>0</v>
      </c>
      <c r="S64" s="33" t="n">
        <f aca="false">'Feb 2027'!V64</f>
        <v>0</v>
      </c>
      <c r="T64" s="33" t="n">
        <f aca="false">IF(B64="",0,N(Students!I53))</f>
        <v>0</v>
      </c>
      <c r="U64" s="23"/>
      <c r="V64" s="24" t="n">
        <f aca="false">N(S64)+N(T64)-N(U64)</f>
        <v>0</v>
      </c>
      <c r="W64" s="33" t="n">
        <f aca="false">'Feb 2027'!Z64</f>
        <v>0</v>
      </c>
      <c r="X64" s="33" t="n">
        <f aca="false">IF(B64="",0,N(Students!J53))</f>
        <v>0</v>
      </c>
      <c r="Y64" s="23"/>
      <c r="Z64" s="24" t="n">
        <f aca="false">N(W64)+N(X64)-N(Y64)</f>
        <v>0</v>
      </c>
      <c r="AA64" s="33" t="n">
        <f aca="false">N(E64)+N(I64)+N(M64)+N(Q64)+N(U64)+N(Y64)</f>
        <v>0</v>
      </c>
      <c r="AB64" s="24" t="n">
        <f aca="false">F64+J64+N64+R64+V64+Z64</f>
        <v>0</v>
      </c>
      <c r="AC64" s="81" t="str">
        <f aca="false">IF(B64="","",IF(AB64&lt;=0,"Clear",IF(AA64&gt;0,"Partial","Due")))</f>
        <v/>
      </c>
    </row>
    <row r="65" customFormat="false" ht="15" hidden="false" customHeight="false" outlineLevel="0" collapsed="false">
      <c r="A65" s="25" t="n">
        <v>50</v>
      </c>
      <c r="B65" s="82" t="str">
        <f aca="false">IF(Students!B54="","",Students!B54)</f>
        <v/>
      </c>
      <c r="C65" s="37" t="n">
        <f aca="false">'Feb 2027'!F65</f>
        <v>0</v>
      </c>
      <c r="D65" s="37" t="n">
        <f aca="false">IF(B65="",0,N(Students!E54))</f>
        <v>0</v>
      </c>
      <c r="E65" s="23"/>
      <c r="F65" s="26" t="n">
        <f aca="false">N(C65)+N(D65)-N(E65)</f>
        <v>0</v>
      </c>
      <c r="G65" s="37" t="n">
        <f aca="false">'Feb 2027'!J65</f>
        <v>0</v>
      </c>
      <c r="H65" s="37" t="n">
        <f aca="false">IF(B65="",0,N(Students!F54))</f>
        <v>0</v>
      </c>
      <c r="I65" s="23"/>
      <c r="J65" s="26" t="n">
        <f aca="false">N(G65)+N(H65)-N(I65)</f>
        <v>0</v>
      </c>
      <c r="K65" s="37" t="n">
        <f aca="false">'Feb 2027'!N65</f>
        <v>0</v>
      </c>
      <c r="L65" s="37" t="n">
        <f aca="false">IF(B65="",0,N(Students!G54))</f>
        <v>0</v>
      </c>
      <c r="M65" s="23"/>
      <c r="N65" s="26" t="n">
        <f aca="false">N(K65)+N(L65)-N(M65)</f>
        <v>0</v>
      </c>
      <c r="O65" s="37" t="n">
        <f aca="false">'Feb 2027'!R65</f>
        <v>0</v>
      </c>
      <c r="P65" s="37" t="n">
        <f aca="false">IF(B65="",0,N(Students!H54))</f>
        <v>0</v>
      </c>
      <c r="Q65" s="23"/>
      <c r="R65" s="26" t="n">
        <f aca="false">N(O65)+N(P65)-N(Q65)</f>
        <v>0</v>
      </c>
      <c r="S65" s="37" t="n">
        <f aca="false">'Feb 2027'!V65</f>
        <v>0</v>
      </c>
      <c r="T65" s="37" t="n">
        <f aca="false">IF(B65="",0,N(Students!I54))</f>
        <v>0</v>
      </c>
      <c r="U65" s="23"/>
      <c r="V65" s="26" t="n">
        <f aca="false">N(S65)+N(T65)-N(U65)</f>
        <v>0</v>
      </c>
      <c r="W65" s="37" t="n">
        <f aca="false">'Feb 2027'!Z65</f>
        <v>0</v>
      </c>
      <c r="X65" s="37" t="n">
        <f aca="false">IF(B65="",0,N(Students!J54))</f>
        <v>0</v>
      </c>
      <c r="Y65" s="23"/>
      <c r="Z65" s="26" t="n">
        <f aca="false">N(W65)+N(X65)-N(Y65)</f>
        <v>0</v>
      </c>
      <c r="AA65" s="37" t="n">
        <f aca="false">N(E65)+N(I65)+N(M65)+N(Q65)+N(U65)+N(Y65)</f>
        <v>0</v>
      </c>
      <c r="AB65" s="26" t="n">
        <f aca="false">F65+J65+N65+R65+V65+Z65</f>
        <v>0</v>
      </c>
      <c r="AC65" s="83" t="str">
        <f aca="false">IF(B65="","",IF(AB65&lt;=0,"Clear",IF(AA65&gt;0,"Partial","Due")))</f>
        <v/>
      </c>
    </row>
    <row r="66" customFormat="false" ht="15" hidden="false" customHeight="false" outlineLevel="0" collapsed="false">
      <c r="A66" s="21" t="n">
        <v>51</v>
      </c>
      <c r="B66" s="46" t="str">
        <f aca="false">IF(Students!B55="","",Students!B55)</f>
        <v/>
      </c>
      <c r="C66" s="33" t="n">
        <f aca="false">'Feb 2027'!F66</f>
        <v>0</v>
      </c>
      <c r="D66" s="33" t="n">
        <f aca="false">IF(B66="",0,N(Students!E55))</f>
        <v>0</v>
      </c>
      <c r="E66" s="23"/>
      <c r="F66" s="24" t="n">
        <f aca="false">N(C66)+N(D66)-N(E66)</f>
        <v>0</v>
      </c>
      <c r="G66" s="33" t="n">
        <f aca="false">'Feb 2027'!J66</f>
        <v>0</v>
      </c>
      <c r="H66" s="33" t="n">
        <f aca="false">IF(B66="",0,N(Students!F55))</f>
        <v>0</v>
      </c>
      <c r="I66" s="23"/>
      <c r="J66" s="24" t="n">
        <f aca="false">N(G66)+N(H66)-N(I66)</f>
        <v>0</v>
      </c>
      <c r="K66" s="33" t="n">
        <f aca="false">'Feb 2027'!N66</f>
        <v>0</v>
      </c>
      <c r="L66" s="33" t="n">
        <f aca="false">IF(B66="",0,N(Students!G55))</f>
        <v>0</v>
      </c>
      <c r="M66" s="23"/>
      <c r="N66" s="24" t="n">
        <f aca="false">N(K66)+N(L66)-N(M66)</f>
        <v>0</v>
      </c>
      <c r="O66" s="33" t="n">
        <f aca="false">'Feb 2027'!R66</f>
        <v>0</v>
      </c>
      <c r="P66" s="33" t="n">
        <f aca="false">IF(B66="",0,N(Students!H55))</f>
        <v>0</v>
      </c>
      <c r="Q66" s="23"/>
      <c r="R66" s="24" t="n">
        <f aca="false">N(O66)+N(P66)-N(Q66)</f>
        <v>0</v>
      </c>
      <c r="S66" s="33" t="n">
        <f aca="false">'Feb 2027'!V66</f>
        <v>0</v>
      </c>
      <c r="T66" s="33" t="n">
        <f aca="false">IF(B66="",0,N(Students!I55))</f>
        <v>0</v>
      </c>
      <c r="U66" s="23"/>
      <c r="V66" s="24" t="n">
        <f aca="false">N(S66)+N(T66)-N(U66)</f>
        <v>0</v>
      </c>
      <c r="W66" s="33" t="n">
        <f aca="false">'Feb 2027'!Z66</f>
        <v>0</v>
      </c>
      <c r="X66" s="33" t="n">
        <f aca="false">IF(B66="",0,N(Students!J55))</f>
        <v>0</v>
      </c>
      <c r="Y66" s="23"/>
      <c r="Z66" s="24" t="n">
        <f aca="false">N(W66)+N(X66)-N(Y66)</f>
        <v>0</v>
      </c>
      <c r="AA66" s="33" t="n">
        <f aca="false">N(E66)+N(I66)+N(M66)+N(Q66)+N(U66)+N(Y66)</f>
        <v>0</v>
      </c>
      <c r="AB66" s="24" t="n">
        <f aca="false">F66+J66+N66+R66+V66+Z66</f>
        <v>0</v>
      </c>
      <c r="AC66" s="81" t="str">
        <f aca="false">IF(B66="","",IF(AB66&lt;=0,"Clear",IF(AA66&gt;0,"Partial","Due")))</f>
        <v/>
      </c>
    </row>
    <row r="67" customFormat="false" ht="15" hidden="false" customHeight="false" outlineLevel="0" collapsed="false">
      <c r="A67" s="25" t="n">
        <v>52</v>
      </c>
      <c r="B67" s="82" t="str">
        <f aca="false">IF(Students!B56="","",Students!B56)</f>
        <v/>
      </c>
      <c r="C67" s="37" t="n">
        <f aca="false">'Feb 2027'!F67</f>
        <v>0</v>
      </c>
      <c r="D67" s="37" t="n">
        <f aca="false">IF(B67="",0,N(Students!E56))</f>
        <v>0</v>
      </c>
      <c r="E67" s="23"/>
      <c r="F67" s="26" t="n">
        <f aca="false">N(C67)+N(D67)-N(E67)</f>
        <v>0</v>
      </c>
      <c r="G67" s="37" t="n">
        <f aca="false">'Feb 2027'!J67</f>
        <v>0</v>
      </c>
      <c r="H67" s="37" t="n">
        <f aca="false">IF(B67="",0,N(Students!F56))</f>
        <v>0</v>
      </c>
      <c r="I67" s="23"/>
      <c r="J67" s="26" t="n">
        <f aca="false">N(G67)+N(H67)-N(I67)</f>
        <v>0</v>
      </c>
      <c r="K67" s="37" t="n">
        <f aca="false">'Feb 2027'!N67</f>
        <v>0</v>
      </c>
      <c r="L67" s="37" t="n">
        <f aca="false">IF(B67="",0,N(Students!G56))</f>
        <v>0</v>
      </c>
      <c r="M67" s="23"/>
      <c r="N67" s="26" t="n">
        <f aca="false">N(K67)+N(L67)-N(M67)</f>
        <v>0</v>
      </c>
      <c r="O67" s="37" t="n">
        <f aca="false">'Feb 2027'!R67</f>
        <v>0</v>
      </c>
      <c r="P67" s="37" t="n">
        <f aca="false">IF(B67="",0,N(Students!H56))</f>
        <v>0</v>
      </c>
      <c r="Q67" s="23"/>
      <c r="R67" s="26" t="n">
        <f aca="false">N(O67)+N(P67)-N(Q67)</f>
        <v>0</v>
      </c>
      <c r="S67" s="37" t="n">
        <f aca="false">'Feb 2027'!V67</f>
        <v>0</v>
      </c>
      <c r="T67" s="37" t="n">
        <f aca="false">IF(B67="",0,N(Students!I56))</f>
        <v>0</v>
      </c>
      <c r="U67" s="23"/>
      <c r="V67" s="26" t="n">
        <f aca="false">N(S67)+N(T67)-N(U67)</f>
        <v>0</v>
      </c>
      <c r="W67" s="37" t="n">
        <f aca="false">'Feb 2027'!Z67</f>
        <v>0</v>
      </c>
      <c r="X67" s="37" t="n">
        <f aca="false">IF(B67="",0,N(Students!J56))</f>
        <v>0</v>
      </c>
      <c r="Y67" s="23"/>
      <c r="Z67" s="26" t="n">
        <f aca="false">N(W67)+N(X67)-N(Y67)</f>
        <v>0</v>
      </c>
      <c r="AA67" s="37" t="n">
        <f aca="false">N(E67)+N(I67)+N(M67)+N(Q67)+N(U67)+N(Y67)</f>
        <v>0</v>
      </c>
      <c r="AB67" s="26" t="n">
        <f aca="false">F67+J67+N67+R67+V67+Z67</f>
        <v>0</v>
      </c>
      <c r="AC67" s="83" t="str">
        <f aca="false">IF(B67="","",IF(AB67&lt;=0,"Clear",IF(AA67&gt;0,"Partial","Due")))</f>
        <v/>
      </c>
    </row>
    <row r="68" customFormat="false" ht="15" hidden="false" customHeight="false" outlineLevel="0" collapsed="false">
      <c r="A68" s="21" t="n">
        <v>53</v>
      </c>
      <c r="B68" s="46" t="str">
        <f aca="false">IF(Students!B57="","",Students!B57)</f>
        <v/>
      </c>
      <c r="C68" s="33" t="n">
        <f aca="false">'Feb 2027'!F68</f>
        <v>0</v>
      </c>
      <c r="D68" s="33" t="n">
        <f aca="false">IF(B68="",0,N(Students!E57))</f>
        <v>0</v>
      </c>
      <c r="E68" s="23"/>
      <c r="F68" s="24" t="n">
        <f aca="false">N(C68)+N(D68)-N(E68)</f>
        <v>0</v>
      </c>
      <c r="G68" s="33" t="n">
        <f aca="false">'Feb 2027'!J68</f>
        <v>0</v>
      </c>
      <c r="H68" s="33" t="n">
        <f aca="false">IF(B68="",0,N(Students!F57))</f>
        <v>0</v>
      </c>
      <c r="I68" s="23"/>
      <c r="J68" s="24" t="n">
        <f aca="false">N(G68)+N(H68)-N(I68)</f>
        <v>0</v>
      </c>
      <c r="K68" s="33" t="n">
        <f aca="false">'Feb 2027'!N68</f>
        <v>0</v>
      </c>
      <c r="L68" s="33" t="n">
        <f aca="false">IF(B68="",0,N(Students!G57))</f>
        <v>0</v>
      </c>
      <c r="M68" s="23"/>
      <c r="N68" s="24" t="n">
        <f aca="false">N(K68)+N(L68)-N(M68)</f>
        <v>0</v>
      </c>
      <c r="O68" s="33" t="n">
        <f aca="false">'Feb 2027'!R68</f>
        <v>0</v>
      </c>
      <c r="P68" s="33" t="n">
        <f aca="false">IF(B68="",0,N(Students!H57))</f>
        <v>0</v>
      </c>
      <c r="Q68" s="23"/>
      <c r="R68" s="24" t="n">
        <f aca="false">N(O68)+N(P68)-N(Q68)</f>
        <v>0</v>
      </c>
      <c r="S68" s="33" t="n">
        <f aca="false">'Feb 2027'!V68</f>
        <v>0</v>
      </c>
      <c r="T68" s="33" t="n">
        <f aca="false">IF(B68="",0,N(Students!I57))</f>
        <v>0</v>
      </c>
      <c r="U68" s="23"/>
      <c r="V68" s="24" t="n">
        <f aca="false">N(S68)+N(T68)-N(U68)</f>
        <v>0</v>
      </c>
      <c r="W68" s="33" t="n">
        <f aca="false">'Feb 2027'!Z68</f>
        <v>0</v>
      </c>
      <c r="X68" s="33" t="n">
        <f aca="false">IF(B68="",0,N(Students!J57))</f>
        <v>0</v>
      </c>
      <c r="Y68" s="23"/>
      <c r="Z68" s="24" t="n">
        <f aca="false">N(W68)+N(X68)-N(Y68)</f>
        <v>0</v>
      </c>
      <c r="AA68" s="33" t="n">
        <f aca="false">N(E68)+N(I68)+N(M68)+N(Q68)+N(U68)+N(Y68)</f>
        <v>0</v>
      </c>
      <c r="AB68" s="24" t="n">
        <f aca="false">F68+J68+N68+R68+V68+Z68</f>
        <v>0</v>
      </c>
      <c r="AC68" s="81" t="str">
        <f aca="false">IF(B68="","",IF(AB68&lt;=0,"Clear",IF(AA68&gt;0,"Partial","Due")))</f>
        <v/>
      </c>
    </row>
    <row r="69" customFormat="false" ht="15" hidden="false" customHeight="false" outlineLevel="0" collapsed="false">
      <c r="A69" s="25" t="n">
        <v>54</v>
      </c>
      <c r="B69" s="82" t="str">
        <f aca="false">IF(Students!B58="","",Students!B58)</f>
        <v/>
      </c>
      <c r="C69" s="37" t="n">
        <f aca="false">'Feb 2027'!F69</f>
        <v>0</v>
      </c>
      <c r="D69" s="37" t="n">
        <f aca="false">IF(B69="",0,N(Students!E58))</f>
        <v>0</v>
      </c>
      <c r="E69" s="23"/>
      <c r="F69" s="26" t="n">
        <f aca="false">N(C69)+N(D69)-N(E69)</f>
        <v>0</v>
      </c>
      <c r="G69" s="37" t="n">
        <f aca="false">'Feb 2027'!J69</f>
        <v>0</v>
      </c>
      <c r="H69" s="37" t="n">
        <f aca="false">IF(B69="",0,N(Students!F58))</f>
        <v>0</v>
      </c>
      <c r="I69" s="23"/>
      <c r="J69" s="26" t="n">
        <f aca="false">N(G69)+N(H69)-N(I69)</f>
        <v>0</v>
      </c>
      <c r="K69" s="37" t="n">
        <f aca="false">'Feb 2027'!N69</f>
        <v>0</v>
      </c>
      <c r="L69" s="37" t="n">
        <f aca="false">IF(B69="",0,N(Students!G58))</f>
        <v>0</v>
      </c>
      <c r="M69" s="23"/>
      <c r="N69" s="26" t="n">
        <f aca="false">N(K69)+N(L69)-N(M69)</f>
        <v>0</v>
      </c>
      <c r="O69" s="37" t="n">
        <f aca="false">'Feb 2027'!R69</f>
        <v>0</v>
      </c>
      <c r="P69" s="37" t="n">
        <f aca="false">IF(B69="",0,N(Students!H58))</f>
        <v>0</v>
      </c>
      <c r="Q69" s="23"/>
      <c r="R69" s="26" t="n">
        <f aca="false">N(O69)+N(P69)-N(Q69)</f>
        <v>0</v>
      </c>
      <c r="S69" s="37" t="n">
        <f aca="false">'Feb 2027'!V69</f>
        <v>0</v>
      </c>
      <c r="T69" s="37" t="n">
        <f aca="false">IF(B69="",0,N(Students!I58))</f>
        <v>0</v>
      </c>
      <c r="U69" s="23"/>
      <c r="V69" s="26" t="n">
        <f aca="false">N(S69)+N(T69)-N(U69)</f>
        <v>0</v>
      </c>
      <c r="W69" s="37" t="n">
        <f aca="false">'Feb 2027'!Z69</f>
        <v>0</v>
      </c>
      <c r="X69" s="37" t="n">
        <f aca="false">IF(B69="",0,N(Students!J58))</f>
        <v>0</v>
      </c>
      <c r="Y69" s="23"/>
      <c r="Z69" s="26" t="n">
        <f aca="false">N(W69)+N(X69)-N(Y69)</f>
        <v>0</v>
      </c>
      <c r="AA69" s="37" t="n">
        <f aca="false">N(E69)+N(I69)+N(M69)+N(Q69)+N(U69)+N(Y69)</f>
        <v>0</v>
      </c>
      <c r="AB69" s="26" t="n">
        <f aca="false">F69+J69+N69+R69+V69+Z69</f>
        <v>0</v>
      </c>
      <c r="AC69" s="83" t="str">
        <f aca="false">IF(B69="","",IF(AB69&lt;=0,"Clear",IF(AA69&gt;0,"Partial","Due")))</f>
        <v/>
      </c>
    </row>
    <row r="70" customFormat="false" ht="15" hidden="false" customHeight="false" outlineLevel="0" collapsed="false">
      <c r="A70" s="21" t="n">
        <v>55</v>
      </c>
      <c r="B70" s="46" t="str">
        <f aca="false">IF(Students!B59="","",Students!B59)</f>
        <v/>
      </c>
      <c r="C70" s="33" t="n">
        <f aca="false">'Feb 2027'!F70</f>
        <v>0</v>
      </c>
      <c r="D70" s="33" t="n">
        <f aca="false">IF(B70="",0,N(Students!E59))</f>
        <v>0</v>
      </c>
      <c r="E70" s="23"/>
      <c r="F70" s="24" t="n">
        <f aca="false">N(C70)+N(D70)-N(E70)</f>
        <v>0</v>
      </c>
      <c r="G70" s="33" t="n">
        <f aca="false">'Feb 2027'!J70</f>
        <v>0</v>
      </c>
      <c r="H70" s="33" t="n">
        <f aca="false">IF(B70="",0,N(Students!F59))</f>
        <v>0</v>
      </c>
      <c r="I70" s="23"/>
      <c r="J70" s="24" t="n">
        <f aca="false">N(G70)+N(H70)-N(I70)</f>
        <v>0</v>
      </c>
      <c r="K70" s="33" t="n">
        <f aca="false">'Feb 2027'!N70</f>
        <v>0</v>
      </c>
      <c r="L70" s="33" t="n">
        <f aca="false">IF(B70="",0,N(Students!G59))</f>
        <v>0</v>
      </c>
      <c r="M70" s="23"/>
      <c r="N70" s="24" t="n">
        <f aca="false">N(K70)+N(L70)-N(M70)</f>
        <v>0</v>
      </c>
      <c r="O70" s="33" t="n">
        <f aca="false">'Feb 2027'!R70</f>
        <v>0</v>
      </c>
      <c r="P70" s="33" t="n">
        <f aca="false">IF(B70="",0,N(Students!H59))</f>
        <v>0</v>
      </c>
      <c r="Q70" s="23"/>
      <c r="R70" s="24" t="n">
        <f aca="false">N(O70)+N(P70)-N(Q70)</f>
        <v>0</v>
      </c>
      <c r="S70" s="33" t="n">
        <f aca="false">'Feb 2027'!V70</f>
        <v>0</v>
      </c>
      <c r="T70" s="33" t="n">
        <f aca="false">IF(B70="",0,N(Students!I59))</f>
        <v>0</v>
      </c>
      <c r="U70" s="23"/>
      <c r="V70" s="24" t="n">
        <f aca="false">N(S70)+N(T70)-N(U70)</f>
        <v>0</v>
      </c>
      <c r="W70" s="33" t="n">
        <f aca="false">'Feb 2027'!Z70</f>
        <v>0</v>
      </c>
      <c r="X70" s="33" t="n">
        <f aca="false">IF(B70="",0,N(Students!J59))</f>
        <v>0</v>
      </c>
      <c r="Y70" s="23"/>
      <c r="Z70" s="24" t="n">
        <f aca="false">N(W70)+N(X70)-N(Y70)</f>
        <v>0</v>
      </c>
      <c r="AA70" s="33" t="n">
        <f aca="false">N(E70)+N(I70)+N(M70)+N(Q70)+N(U70)+N(Y70)</f>
        <v>0</v>
      </c>
      <c r="AB70" s="24" t="n">
        <f aca="false">F70+J70+N70+R70+V70+Z70</f>
        <v>0</v>
      </c>
      <c r="AC70" s="81" t="str">
        <f aca="false">IF(B70="","",IF(AB70&lt;=0,"Clear",IF(AA70&gt;0,"Partial","Due")))</f>
        <v/>
      </c>
    </row>
    <row r="71" customFormat="false" ht="15" hidden="false" customHeight="false" outlineLevel="0" collapsed="false">
      <c r="A71" s="25" t="n">
        <v>56</v>
      </c>
      <c r="B71" s="82" t="str">
        <f aca="false">IF(Students!B60="","",Students!B60)</f>
        <v/>
      </c>
      <c r="C71" s="37" t="n">
        <f aca="false">'Feb 2027'!F71</f>
        <v>0</v>
      </c>
      <c r="D71" s="37" t="n">
        <f aca="false">IF(B71="",0,N(Students!E60))</f>
        <v>0</v>
      </c>
      <c r="E71" s="23"/>
      <c r="F71" s="26" t="n">
        <f aca="false">N(C71)+N(D71)-N(E71)</f>
        <v>0</v>
      </c>
      <c r="G71" s="37" t="n">
        <f aca="false">'Feb 2027'!J71</f>
        <v>0</v>
      </c>
      <c r="H71" s="37" t="n">
        <f aca="false">IF(B71="",0,N(Students!F60))</f>
        <v>0</v>
      </c>
      <c r="I71" s="23"/>
      <c r="J71" s="26" t="n">
        <f aca="false">N(G71)+N(H71)-N(I71)</f>
        <v>0</v>
      </c>
      <c r="K71" s="37" t="n">
        <f aca="false">'Feb 2027'!N71</f>
        <v>0</v>
      </c>
      <c r="L71" s="37" t="n">
        <f aca="false">IF(B71="",0,N(Students!G60))</f>
        <v>0</v>
      </c>
      <c r="M71" s="23"/>
      <c r="N71" s="26" t="n">
        <f aca="false">N(K71)+N(L71)-N(M71)</f>
        <v>0</v>
      </c>
      <c r="O71" s="37" t="n">
        <f aca="false">'Feb 2027'!R71</f>
        <v>0</v>
      </c>
      <c r="P71" s="37" t="n">
        <f aca="false">IF(B71="",0,N(Students!H60))</f>
        <v>0</v>
      </c>
      <c r="Q71" s="23"/>
      <c r="R71" s="26" t="n">
        <f aca="false">N(O71)+N(P71)-N(Q71)</f>
        <v>0</v>
      </c>
      <c r="S71" s="37" t="n">
        <f aca="false">'Feb 2027'!V71</f>
        <v>0</v>
      </c>
      <c r="T71" s="37" t="n">
        <f aca="false">IF(B71="",0,N(Students!I60))</f>
        <v>0</v>
      </c>
      <c r="U71" s="23"/>
      <c r="V71" s="26" t="n">
        <f aca="false">N(S71)+N(T71)-N(U71)</f>
        <v>0</v>
      </c>
      <c r="W71" s="37" t="n">
        <f aca="false">'Feb 2027'!Z71</f>
        <v>0</v>
      </c>
      <c r="X71" s="37" t="n">
        <f aca="false">IF(B71="",0,N(Students!J60))</f>
        <v>0</v>
      </c>
      <c r="Y71" s="23"/>
      <c r="Z71" s="26" t="n">
        <f aca="false">N(W71)+N(X71)-N(Y71)</f>
        <v>0</v>
      </c>
      <c r="AA71" s="37" t="n">
        <f aca="false">N(E71)+N(I71)+N(M71)+N(Q71)+N(U71)+N(Y71)</f>
        <v>0</v>
      </c>
      <c r="AB71" s="26" t="n">
        <f aca="false">F71+J71+N71+R71+V71+Z71</f>
        <v>0</v>
      </c>
      <c r="AC71" s="83" t="str">
        <f aca="false">IF(B71="","",IF(AB71&lt;=0,"Clear",IF(AA71&gt;0,"Partial","Due")))</f>
        <v/>
      </c>
    </row>
    <row r="72" customFormat="false" ht="15" hidden="false" customHeight="false" outlineLevel="0" collapsed="false">
      <c r="A72" s="21" t="n">
        <v>57</v>
      </c>
      <c r="B72" s="46" t="str">
        <f aca="false">IF(Students!B61="","",Students!B61)</f>
        <v/>
      </c>
      <c r="C72" s="33" t="n">
        <f aca="false">'Feb 2027'!F72</f>
        <v>0</v>
      </c>
      <c r="D72" s="33" t="n">
        <f aca="false">IF(B72="",0,N(Students!E61))</f>
        <v>0</v>
      </c>
      <c r="E72" s="23"/>
      <c r="F72" s="24" t="n">
        <f aca="false">N(C72)+N(D72)-N(E72)</f>
        <v>0</v>
      </c>
      <c r="G72" s="33" t="n">
        <f aca="false">'Feb 2027'!J72</f>
        <v>0</v>
      </c>
      <c r="H72" s="33" t="n">
        <f aca="false">IF(B72="",0,N(Students!F61))</f>
        <v>0</v>
      </c>
      <c r="I72" s="23"/>
      <c r="J72" s="24" t="n">
        <f aca="false">N(G72)+N(H72)-N(I72)</f>
        <v>0</v>
      </c>
      <c r="K72" s="33" t="n">
        <f aca="false">'Feb 2027'!N72</f>
        <v>0</v>
      </c>
      <c r="L72" s="33" t="n">
        <f aca="false">IF(B72="",0,N(Students!G61))</f>
        <v>0</v>
      </c>
      <c r="M72" s="23"/>
      <c r="N72" s="24" t="n">
        <f aca="false">N(K72)+N(L72)-N(M72)</f>
        <v>0</v>
      </c>
      <c r="O72" s="33" t="n">
        <f aca="false">'Feb 2027'!R72</f>
        <v>0</v>
      </c>
      <c r="P72" s="33" t="n">
        <f aca="false">IF(B72="",0,N(Students!H61))</f>
        <v>0</v>
      </c>
      <c r="Q72" s="23"/>
      <c r="R72" s="24" t="n">
        <f aca="false">N(O72)+N(P72)-N(Q72)</f>
        <v>0</v>
      </c>
      <c r="S72" s="33" t="n">
        <f aca="false">'Feb 2027'!V72</f>
        <v>0</v>
      </c>
      <c r="T72" s="33" t="n">
        <f aca="false">IF(B72="",0,N(Students!I61))</f>
        <v>0</v>
      </c>
      <c r="U72" s="23"/>
      <c r="V72" s="24" t="n">
        <f aca="false">N(S72)+N(T72)-N(U72)</f>
        <v>0</v>
      </c>
      <c r="W72" s="33" t="n">
        <f aca="false">'Feb 2027'!Z72</f>
        <v>0</v>
      </c>
      <c r="X72" s="33" t="n">
        <f aca="false">IF(B72="",0,N(Students!J61))</f>
        <v>0</v>
      </c>
      <c r="Y72" s="23"/>
      <c r="Z72" s="24" t="n">
        <f aca="false">N(W72)+N(X72)-N(Y72)</f>
        <v>0</v>
      </c>
      <c r="AA72" s="33" t="n">
        <f aca="false">N(E72)+N(I72)+N(M72)+N(Q72)+N(U72)+N(Y72)</f>
        <v>0</v>
      </c>
      <c r="AB72" s="24" t="n">
        <f aca="false">F72+J72+N72+R72+V72+Z72</f>
        <v>0</v>
      </c>
      <c r="AC72" s="81" t="str">
        <f aca="false">IF(B72="","",IF(AB72&lt;=0,"Clear",IF(AA72&gt;0,"Partial","Due")))</f>
        <v/>
      </c>
    </row>
    <row r="73" customFormat="false" ht="15" hidden="false" customHeight="false" outlineLevel="0" collapsed="false">
      <c r="A73" s="25" t="n">
        <v>58</v>
      </c>
      <c r="B73" s="82" t="str">
        <f aca="false">IF(Students!B62="","",Students!B62)</f>
        <v/>
      </c>
      <c r="C73" s="37" t="n">
        <f aca="false">'Feb 2027'!F73</f>
        <v>0</v>
      </c>
      <c r="D73" s="37" t="n">
        <f aca="false">IF(B73="",0,N(Students!E62))</f>
        <v>0</v>
      </c>
      <c r="E73" s="23"/>
      <c r="F73" s="26" t="n">
        <f aca="false">N(C73)+N(D73)-N(E73)</f>
        <v>0</v>
      </c>
      <c r="G73" s="37" t="n">
        <f aca="false">'Feb 2027'!J73</f>
        <v>0</v>
      </c>
      <c r="H73" s="37" t="n">
        <f aca="false">IF(B73="",0,N(Students!F62))</f>
        <v>0</v>
      </c>
      <c r="I73" s="23"/>
      <c r="J73" s="26" t="n">
        <f aca="false">N(G73)+N(H73)-N(I73)</f>
        <v>0</v>
      </c>
      <c r="K73" s="37" t="n">
        <f aca="false">'Feb 2027'!N73</f>
        <v>0</v>
      </c>
      <c r="L73" s="37" t="n">
        <f aca="false">IF(B73="",0,N(Students!G62))</f>
        <v>0</v>
      </c>
      <c r="M73" s="23"/>
      <c r="N73" s="26" t="n">
        <f aca="false">N(K73)+N(L73)-N(M73)</f>
        <v>0</v>
      </c>
      <c r="O73" s="37" t="n">
        <f aca="false">'Feb 2027'!R73</f>
        <v>0</v>
      </c>
      <c r="P73" s="37" t="n">
        <f aca="false">IF(B73="",0,N(Students!H62))</f>
        <v>0</v>
      </c>
      <c r="Q73" s="23"/>
      <c r="R73" s="26" t="n">
        <f aca="false">N(O73)+N(P73)-N(Q73)</f>
        <v>0</v>
      </c>
      <c r="S73" s="37" t="n">
        <f aca="false">'Feb 2027'!V73</f>
        <v>0</v>
      </c>
      <c r="T73" s="37" t="n">
        <f aca="false">IF(B73="",0,N(Students!I62))</f>
        <v>0</v>
      </c>
      <c r="U73" s="23"/>
      <c r="V73" s="26" t="n">
        <f aca="false">N(S73)+N(T73)-N(U73)</f>
        <v>0</v>
      </c>
      <c r="W73" s="37" t="n">
        <f aca="false">'Feb 2027'!Z73</f>
        <v>0</v>
      </c>
      <c r="X73" s="37" t="n">
        <f aca="false">IF(B73="",0,N(Students!J62))</f>
        <v>0</v>
      </c>
      <c r="Y73" s="23"/>
      <c r="Z73" s="26" t="n">
        <f aca="false">N(W73)+N(X73)-N(Y73)</f>
        <v>0</v>
      </c>
      <c r="AA73" s="37" t="n">
        <f aca="false">N(E73)+N(I73)+N(M73)+N(Q73)+N(U73)+N(Y73)</f>
        <v>0</v>
      </c>
      <c r="AB73" s="26" t="n">
        <f aca="false">F73+J73+N73+R73+V73+Z73</f>
        <v>0</v>
      </c>
      <c r="AC73" s="83" t="str">
        <f aca="false">IF(B73="","",IF(AB73&lt;=0,"Clear",IF(AA73&gt;0,"Partial","Due")))</f>
        <v/>
      </c>
    </row>
    <row r="74" customFormat="false" ht="15" hidden="false" customHeight="false" outlineLevel="0" collapsed="false">
      <c r="A74" s="21" t="n">
        <v>59</v>
      </c>
      <c r="B74" s="46" t="str">
        <f aca="false">IF(Students!B63="","",Students!B63)</f>
        <v/>
      </c>
      <c r="C74" s="33" t="n">
        <f aca="false">'Feb 2027'!F74</f>
        <v>0</v>
      </c>
      <c r="D74" s="33" t="n">
        <f aca="false">IF(B74="",0,N(Students!E63))</f>
        <v>0</v>
      </c>
      <c r="E74" s="23"/>
      <c r="F74" s="24" t="n">
        <f aca="false">N(C74)+N(D74)-N(E74)</f>
        <v>0</v>
      </c>
      <c r="G74" s="33" t="n">
        <f aca="false">'Feb 2027'!J74</f>
        <v>0</v>
      </c>
      <c r="H74" s="33" t="n">
        <f aca="false">IF(B74="",0,N(Students!F63))</f>
        <v>0</v>
      </c>
      <c r="I74" s="23"/>
      <c r="J74" s="24" t="n">
        <f aca="false">N(G74)+N(H74)-N(I74)</f>
        <v>0</v>
      </c>
      <c r="K74" s="33" t="n">
        <f aca="false">'Feb 2027'!N74</f>
        <v>0</v>
      </c>
      <c r="L74" s="33" t="n">
        <f aca="false">IF(B74="",0,N(Students!G63))</f>
        <v>0</v>
      </c>
      <c r="M74" s="23"/>
      <c r="N74" s="24" t="n">
        <f aca="false">N(K74)+N(L74)-N(M74)</f>
        <v>0</v>
      </c>
      <c r="O74" s="33" t="n">
        <f aca="false">'Feb 2027'!R74</f>
        <v>0</v>
      </c>
      <c r="P74" s="33" t="n">
        <f aca="false">IF(B74="",0,N(Students!H63))</f>
        <v>0</v>
      </c>
      <c r="Q74" s="23"/>
      <c r="R74" s="24" t="n">
        <f aca="false">N(O74)+N(P74)-N(Q74)</f>
        <v>0</v>
      </c>
      <c r="S74" s="33" t="n">
        <f aca="false">'Feb 2027'!V74</f>
        <v>0</v>
      </c>
      <c r="T74" s="33" t="n">
        <f aca="false">IF(B74="",0,N(Students!I63))</f>
        <v>0</v>
      </c>
      <c r="U74" s="23"/>
      <c r="V74" s="24" t="n">
        <f aca="false">N(S74)+N(T74)-N(U74)</f>
        <v>0</v>
      </c>
      <c r="W74" s="33" t="n">
        <f aca="false">'Feb 2027'!Z74</f>
        <v>0</v>
      </c>
      <c r="X74" s="33" t="n">
        <f aca="false">IF(B74="",0,N(Students!J63))</f>
        <v>0</v>
      </c>
      <c r="Y74" s="23"/>
      <c r="Z74" s="24" t="n">
        <f aca="false">N(W74)+N(X74)-N(Y74)</f>
        <v>0</v>
      </c>
      <c r="AA74" s="33" t="n">
        <f aca="false">N(E74)+N(I74)+N(M74)+N(Q74)+N(U74)+N(Y74)</f>
        <v>0</v>
      </c>
      <c r="AB74" s="24" t="n">
        <f aca="false">F74+J74+N74+R74+V74+Z74</f>
        <v>0</v>
      </c>
      <c r="AC74" s="81" t="str">
        <f aca="false">IF(B74="","",IF(AB74&lt;=0,"Clear",IF(AA74&gt;0,"Partial","Due")))</f>
        <v/>
      </c>
    </row>
    <row r="75" customFormat="false" ht="15" hidden="false" customHeight="false" outlineLevel="0" collapsed="false">
      <c r="A75" s="25" t="n">
        <v>60</v>
      </c>
      <c r="B75" s="82" t="str">
        <f aca="false">IF(Students!B64="","",Students!B64)</f>
        <v/>
      </c>
      <c r="C75" s="37" t="n">
        <f aca="false">'Feb 2027'!F75</f>
        <v>0</v>
      </c>
      <c r="D75" s="37" t="n">
        <f aca="false">IF(B75="",0,N(Students!E64))</f>
        <v>0</v>
      </c>
      <c r="E75" s="23"/>
      <c r="F75" s="26" t="n">
        <f aca="false">N(C75)+N(D75)-N(E75)</f>
        <v>0</v>
      </c>
      <c r="G75" s="37" t="n">
        <f aca="false">'Feb 2027'!J75</f>
        <v>0</v>
      </c>
      <c r="H75" s="37" t="n">
        <f aca="false">IF(B75="",0,N(Students!F64))</f>
        <v>0</v>
      </c>
      <c r="I75" s="23"/>
      <c r="J75" s="26" t="n">
        <f aca="false">N(G75)+N(H75)-N(I75)</f>
        <v>0</v>
      </c>
      <c r="K75" s="37" t="n">
        <f aca="false">'Feb 2027'!N75</f>
        <v>0</v>
      </c>
      <c r="L75" s="37" t="n">
        <f aca="false">IF(B75="",0,N(Students!G64))</f>
        <v>0</v>
      </c>
      <c r="M75" s="23"/>
      <c r="N75" s="26" t="n">
        <f aca="false">N(K75)+N(L75)-N(M75)</f>
        <v>0</v>
      </c>
      <c r="O75" s="37" t="n">
        <f aca="false">'Feb 2027'!R75</f>
        <v>0</v>
      </c>
      <c r="P75" s="37" t="n">
        <f aca="false">IF(B75="",0,N(Students!H64))</f>
        <v>0</v>
      </c>
      <c r="Q75" s="23"/>
      <c r="R75" s="26" t="n">
        <f aca="false">N(O75)+N(P75)-N(Q75)</f>
        <v>0</v>
      </c>
      <c r="S75" s="37" t="n">
        <f aca="false">'Feb 2027'!V75</f>
        <v>0</v>
      </c>
      <c r="T75" s="37" t="n">
        <f aca="false">IF(B75="",0,N(Students!I64))</f>
        <v>0</v>
      </c>
      <c r="U75" s="23"/>
      <c r="V75" s="26" t="n">
        <f aca="false">N(S75)+N(T75)-N(U75)</f>
        <v>0</v>
      </c>
      <c r="W75" s="37" t="n">
        <f aca="false">'Feb 2027'!Z75</f>
        <v>0</v>
      </c>
      <c r="X75" s="37" t="n">
        <f aca="false">IF(B75="",0,N(Students!J64))</f>
        <v>0</v>
      </c>
      <c r="Y75" s="23"/>
      <c r="Z75" s="26" t="n">
        <f aca="false">N(W75)+N(X75)-N(Y75)</f>
        <v>0</v>
      </c>
      <c r="AA75" s="37" t="n">
        <f aca="false">N(E75)+N(I75)+N(M75)+N(Q75)+N(U75)+N(Y75)</f>
        <v>0</v>
      </c>
      <c r="AB75" s="26" t="n">
        <f aca="false">F75+J75+N75+R75+V75+Z75</f>
        <v>0</v>
      </c>
      <c r="AC75" s="83" t="str">
        <f aca="false">IF(B75="","",IF(AB75&lt;=0,"Clear",IF(AA75&gt;0,"Partial","Due")))</f>
        <v/>
      </c>
    </row>
    <row r="76" customFormat="false" ht="15" hidden="false" customHeight="false" outlineLevel="0" collapsed="false">
      <c r="A76" s="21" t="n">
        <v>61</v>
      </c>
      <c r="B76" s="46" t="str">
        <f aca="false">IF(Students!B65="","",Students!B65)</f>
        <v/>
      </c>
      <c r="C76" s="33" t="n">
        <f aca="false">'Feb 2027'!F76</f>
        <v>0</v>
      </c>
      <c r="D76" s="33" t="n">
        <f aca="false">IF(B76="",0,N(Students!E65))</f>
        <v>0</v>
      </c>
      <c r="E76" s="23"/>
      <c r="F76" s="24" t="n">
        <f aca="false">N(C76)+N(D76)-N(E76)</f>
        <v>0</v>
      </c>
      <c r="G76" s="33" t="n">
        <f aca="false">'Feb 2027'!J76</f>
        <v>0</v>
      </c>
      <c r="H76" s="33" t="n">
        <f aca="false">IF(B76="",0,N(Students!F65))</f>
        <v>0</v>
      </c>
      <c r="I76" s="23"/>
      <c r="J76" s="24" t="n">
        <f aca="false">N(G76)+N(H76)-N(I76)</f>
        <v>0</v>
      </c>
      <c r="K76" s="33" t="n">
        <f aca="false">'Feb 2027'!N76</f>
        <v>0</v>
      </c>
      <c r="L76" s="33" t="n">
        <f aca="false">IF(B76="",0,N(Students!G65))</f>
        <v>0</v>
      </c>
      <c r="M76" s="23"/>
      <c r="N76" s="24" t="n">
        <f aca="false">N(K76)+N(L76)-N(M76)</f>
        <v>0</v>
      </c>
      <c r="O76" s="33" t="n">
        <f aca="false">'Feb 2027'!R76</f>
        <v>0</v>
      </c>
      <c r="P76" s="33" t="n">
        <f aca="false">IF(B76="",0,N(Students!H65))</f>
        <v>0</v>
      </c>
      <c r="Q76" s="23"/>
      <c r="R76" s="24" t="n">
        <f aca="false">N(O76)+N(P76)-N(Q76)</f>
        <v>0</v>
      </c>
      <c r="S76" s="33" t="n">
        <f aca="false">'Feb 2027'!V76</f>
        <v>0</v>
      </c>
      <c r="T76" s="33" t="n">
        <f aca="false">IF(B76="",0,N(Students!I65))</f>
        <v>0</v>
      </c>
      <c r="U76" s="23"/>
      <c r="V76" s="24" t="n">
        <f aca="false">N(S76)+N(T76)-N(U76)</f>
        <v>0</v>
      </c>
      <c r="W76" s="33" t="n">
        <f aca="false">'Feb 2027'!Z76</f>
        <v>0</v>
      </c>
      <c r="X76" s="33" t="n">
        <f aca="false">IF(B76="",0,N(Students!J65))</f>
        <v>0</v>
      </c>
      <c r="Y76" s="23"/>
      <c r="Z76" s="24" t="n">
        <f aca="false">N(W76)+N(X76)-N(Y76)</f>
        <v>0</v>
      </c>
      <c r="AA76" s="33" t="n">
        <f aca="false">N(E76)+N(I76)+N(M76)+N(Q76)+N(U76)+N(Y76)</f>
        <v>0</v>
      </c>
      <c r="AB76" s="24" t="n">
        <f aca="false">F76+J76+N76+R76+V76+Z76</f>
        <v>0</v>
      </c>
      <c r="AC76" s="81" t="str">
        <f aca="false">IF(B76="","",IF(AB76&lt;=0,"Clear",IF(AA76&gt;0,"Partial","Due")))</f>
        <v/>
      </c>
    </row>
    <row r="77" customFormat="false" ht="15" hidden="false" customHeight="false" outlineLevel="0" collapsed="false">
      <c r="A77" s="25" t="n">
        <v>62</v>
      </c>
      <c r="B77" s="82" t="str">
        <f aca="false">IF(Students!B66="","",Students!B66)</f>
        <v/>
      </c>
      <c r="C77" s="37" t="n">
        <f aca="false">'Feb 2027'!F77</f>
        <v>0</v>
      </c>
      <c r="D77" s="37" t="n">
        <f aca="false">IF(B77="",0,N(Students!E66))</f>
        <v>0</v>
      </c>
      <c r="E77" s="23"/>
      <c r="F77" s="26" t="n">
        <f aca="false">N(C77)+N(D77)-N(E77)</f>
        <v>0</v>
      </c>
      <c r="G77" s="37" t="n">
        <f aca="false">'Feb 2027'!J77</f>
        <v>0</v>
      </c>
      <c r="H77" s="37" t="n">
        <f aca="false">IF(B77="",0,N(Students!F66))</f>
        <v>0</v>
      </c>
      <c r="I77" s="23"/>
      <c r="J77" s="26" t="n">
        <f aca="false">N(G77)+N(H77)-N(I77)</f>
        <v>0</v>
      </c>
      <c r="K77" s="37" t="n">
        <f aca="false">'Feb 2027'!N77</f>
        <v>0</v>
      </c>
      <c r="L77" s="37" t="n">
        <f aca="false">IF(B77="",0,N(Students!G66))</f>
        <v>0</v>
      </c>
      <c r="M77" s="23"/>
      <c r="N77" s="26" t="n">
        <f aca="false">N(K77)+N(L77)-N(M77)</f>
        <v>0</v>
      </c>
      <c r="O77" s="37" t="n">
        <f aca="false">'Feb 2027'!R77</f>
        <v>0</v>
      </c>
      <c r="P77" s="37" t="n">
        <f aca="false">IF(B77="",0,N(Students!H66))</f>
        <v>0</v>
      </c>
      <c r="Q77" s="23"/>
      <c r="R77" s="26" t="n">
        <f aca="false">N(O77)+N(P77)-N(Q77)</f>
        <v>0</v>
      </c>
      <c r="S77" s="37" t="n">
        <f aca="false">'Feb 2027'!V77</f>
        <v>0</v>
      </c>
      <c r="T77" s="37" t="n">
        <f aca="false">IF(B77="",0,N(Students!I66))</f>
        <v>0</v>
      </c>
      <c r="U77" s="23"/>
      <c r="V77" s="26" t="n">
        <f aca="false">N(S77)+N(T77)-N(U77)</f>
        <v>0</v>
      </c>
      <c r="W77" s="37" t="n">
        <f aca="false">'Feb 2027'!Z77</f>
        <v>0</v>
      </c>
      <c r="X77" s="37" t="n">
        <f aca="false">IF(B77="",0,N(Students!J66))</f>
        <v>0</v>
      </c>
      <c r="Y77" s="23"/>
      <c r="Z77" s="26" t="n">
        <f aca="false">N(W77)+N(X77)-N(Y77)</f>
        <v>0</v>
      </c>
      <c r="AA77" s="37" t="n">
        <f aca="false">N(E77)+N(I77)+N(M77)+N(Q77)+N(U77)+N(Y77)</f>
        <v>0</v>
      </c>
      <c r="AB77" s="26" t="n">
        <f aca="false">F77+J77+N77+R77+V77+Z77</f>
        <v>0</v>
      </c>
      <c r="AC77" s="83" t="str">
        <f aca="false">IF(B77="","",IF(AB77&lt;=0,"Clear",IF(AA77&gt;0,"Partial","Due")))</f>
        <v/>
      </c>
    </row>
    <row r="78" customFormat="false" ht="15" hidden="false" customHeight="false" outlineLevel="0" collapsed="false">
      <c r="A78" s="21" t="n">
        <v>63</v>
      </c>
      <c r="B78" s="46" t="str">
        <f aca="false">IF(Students!B67="","",Students!B67)</f>
        <v/>
      </c>
      <c r="C78" s="33" t="n">
        <f aca="false">'Feb 2027'!F78</f>
        <v>0</v>
      </c>
      <c r="D78" s="33" t="n">
        <f aca="false">IF(B78="",0,N(Students!E67))</f>
        <v>0</v>
      </c>
      <c r="E78" s="23"/>
      <c r="F78" s="24" t="n">
        <f aca="false">N(C78)+N(D78)-N(E78)</f>
        <v>0</v>
      </c>
      <c r="G78" s="33" t="n">
        <f aca="false">'Feb 2027'!J78</f>
        <v>0</v>
      </c>
      <c r="H78" s="33" t="n">
        <f aca="false">IF(B78="",0,N(Students!F67))</f>
        <v>0</v>
      </c>
      <c r="I78" s="23"/>
      <c r="J78" s="24" t="n">
        <f aca="false">N(G78)+N(H78)-N(I78)</f>
        <v>0</v>
      </c>
      <c r="K78" s="33" t="n">
        <f aca="false">'Feb 2027'!N78</f>
        <v>0</v>
      </c>
      <c r="L78" s="33" t="n">
        <f aca="false">IF(B78="",0,N(Students!G67))</f>
        <v>0</v>
      </c>
      <c r="M78" s="23"/>
      <c r="N78" s="24" t="n">
        <f aca="false">N(K78)+N(L78)-N(M78)</f>
        <v>0</v>
      </c>
      <c r="O78" s="33" t="n">
        <f aca="false">'Feb 2027'!R78</f>
        <v>0</v>
      </c>
      <c r="P78" s="33" t="n">
        <f aca="false">IF(B78="",0,N(Students!H67))</f>
        <v>0</v>
      </c>
      <c r="Q78" s="23"/>
      <c r="R78" s="24" t="n">
        <f aca="false">N(O78)+N(P78)-N(Q78)</f>
        <v>0</v>
      </c>
      <c r="S78" s="33" t="n">
        <f aca="false">'Feb 2027'!V78</f>
        <v>0</v>
      </c>
      <c r="T78" s="33" t="n">
        <f aca="false">IF(B78="",0,N(Students!I67))</f>
        <v>0</v>
      </c>
      <c r="U78" s="23"/>
      <c r="V78" s="24" t="n">
        <f aca="false">N(S78)+N(T78)-N(U78)</f>
        <v>0</v>
      </c>
      <c r="W78" s="33" t="n">
        <f aca="false">'Feb 2027'!Z78</f>
        <v>0</v>
      </c>
      <c r="X78" s="33" t="n">
        <f aca="false">IF(B78="",0,N(Students!J67))</f>
        <v>0</v>
      </c>
      <c r="Y78" s="23"/>
      <c r="Z78" s="24" t="n">
        <f aca="false">N(W78)+N(X78)-N(Y78)</f>
        <v>0</v>
      </c>
      <c r="AA78" s="33" t="n">
        <f aca="false">N(E78)+N(I78)+N(M78)+N(Q78)+N(U78)+N(Y78)</f>
        <v>0</v>
      </c>
      <c r="AB78" s="24" t="n">
        <f aca="false">F78+J78+N78+R78+V78+Z78</f>
        <v>0</v>
      </c>
      <c r="AC78" s="81" t="str">
        <f aca="false">IF(B78="","",IF(AB78&lt;=0,"Clear",IF(AA78&gt;0,"Partial","Due")))</f>
        <v/>
      </c>
    </row>
    <row r="79" customFormat="false" ht="15" hidden="false" customHeight="false" outlineLevel="0" collapsed="false">
      <c r="A79" s="25" t="n">
        <v>64</v>
      </c>
      <c r="B79" s="82" t="str">
        <f aca="false">IF(Students!B68="","",Students!B68)</f>
        <v/>
      </c>
      <c r="C79" s="37" t="n">
        <f aca="false">'Feb 2027'!F79</f>
        <v>0</v>
      </c>
      <c r="D79" s="37" t="n">
        <f aca="false">IF(B79="",0,N(Students!E68))</f>
        <v>0</v>
      </c>
      <c r="E79" s="23"/>
      <c r="F79" s="26" t="n">
        <f aca="false">N(C79)+N(D79)-N(E79)</f>
        <v>0</v>
      </c>
      <c r="G79" s="37" t="n">
        <f aca="false">'Feb 2027'!J79</f>
        <v>0</v>
      </c>
      <c r="H79" s="37" t="n">
        <f aca="false">IF(B79="",0,N(Students!F68))</f>
        <v>0</v>
      </c>
      <c r="I79" s="23"/>
      <c r="J79" s="26" t="n">
        <f aca="false">N(G79)+N(H79)-N(I79)</f>
        <v>0</v>
      </c>
      <c r="K79" s="37" t="n">
        <f aca="false">'Feb 2027'!N79</f>
        <v>0</v>
      </c>
      <c r="L79" s="37" t="n">
        <f aca="false">IF(B79="",0,N(Students!G68))</f>
        <v>0</v>
      </c>
      <c r="M79" s="23"/>
      <c r="N79" s="26" t="n">
        <f aca="false">N(K79)+N(L79)-N(M79)</f>
        <v>0</v>
      </c>
      <c r="O79" s="37" t="n">
        <f aca="false">'Feb 2027'!R79</f>
        <v>0</v>
      </c>
      <c r="P79" s="37" t="n">
        <f aca="false">IF(B79="",0,N(Students!H68))</f>
        <v>0</v>
      </c>
      <c r="Q79" s="23"/>
      <c r="R79" s="26" t="n">
        <f aca="false">N(O79)+N(P79)-N(Q79)</f>
        <v>0</v>
      </c>
      <c r="S79" s="37" t="n">
        <f aca="false">'Feb 2027'!V79</f>
        <v>0</v>
      </c>
      <c r="T79" s="37" t="n">
        <f aca="false">IF(B79="",0,N(Students!I68))</f>
        <v>0</v>
      </c>
      <c r="U79" s="23"/>
      <c r="V79" s="26" t="n">
        <f aca="false">N(S79)+N(T79)-N(U79)</f>
        <v>0</v>
      </c>
      <c r="W79" s="37" t="n">
        <f aca="false">'Feb 2027'!Z79</f>
        <v>0</v>
      </c>
      <c r="X79" s="37" t="n">
        <f aca="false">IF(B79="",0,N(Students!J68))</f>
        <v>0</v>
      </c>
      <c r="Y79" s="23"/>
      <c r="Z79" s="26" t="n">
        <f aca="false">N(W79)+N(X79)-N(Y79)</f>
        <v>0</v>
      </c>
      <c r="AA79" s="37" t="n">
        <f aca="false">N(E79)+N(I79)+N(M79)+N(Q79)+N(U79)+N(Y79)</f>
        <v>0</v>
      </c>
      <c r="AB79" s="26" t="n">
        <f aca="false">F79+J79+N79+R79+V79+Z79</f>
        <v>0</v>
      </c>
      <c r="AC79" s="83" t="str">
        <f aca="false">IF(B79="","",IF(AB79&lt;=0,"Clear",IF(AA79&gt;0,"Partial","Due")))</f>
        <v/>
      </c>
    </row>
    <row r="80" customFormat="false" ht="15" hidden="false" customHeight="false" outlineLevel="0" collapsed="false">
      <c r="A80" s="21" t="n">
        <v>65</v>
      </c>
      <c r="B80" s="46" t="str">
        <f aca="false">IF(Students!B69="","",Students!B69)</f>
        <v/>
      </c>
      <c r="C80" s="33" t="n">
        <f aca="false">'Feb 2027'!F80</f>
        <v>0</v>
      </c>
      <c r="D80" s="33" t="n">
        <f aca="false">IF(B80="",0,N(Students!E69))</f>
        <v>0</v>
      </c>
      <c r="E80" s="23"/>
      <c r="F80" s="24" t="n">
        <f aca="false">N(C80)+N(D80)-N(E80)</f>
        <v>0</v>
      </c>
      <c r="G80" s="33" t="n">
        <f aca="false">'Feb 2027'!J80</f>
        <v>0</v>
      </c>
      <c r="H80" s="33" t="n">
        <f aca="false">IF(B80="",0,N(Students!F69))</f>
        <v>0</v>
      </c>
      <c r="I80" s="23"/>
      <c r="J80" s="24" t="n">
        <f aca="false">N(G80)+N(H80)-N(I80)</f>
        <v>0</v>
      </c>
      <c r="K80" s="33" t="n">
        <f aca="false">'Feb 2027'!N80</f>
        <v>0</v>
      </c>
      <c r="L80" s="33" t="n">
        <f aca="false">IF(B80="",0,N(Students!G69))</f>
        <v>0</v>
      </c>
      <c r="M80" s="23"/>
      <c r="N80" s="24" t="n">
        <f aca="false">N(K80)+N(L80)-N(M80)</f>
        <v>0</v>
      </c>
      <c r="O80" s="33" t="n">
        <f aca="false">'Feb 2027'!R80</f>
        <v>0</v>
      </c>
      <c r="P80" s="33" t="n">
        <f aca="false">IF(B80="",0,N(Students!H69))</f>
        <v>0</v>
      </c>
      <c r="Q80" s="23"/>
      <c r="R80" s="24" t="n">
        <f aca="false">N(O80)+N(P80)-N(Q80)</f>
        <v>0</v>
      </c>
      <c r="S80" s="33" t="n">
        <f aca="false">'Feb 2027'!V80</f>
        <v>0</v>
      </c>
      <c r="T80" s="33" t="n">
        <f aca="false">IF(B80="",0,N(Students!I69))</f>
        <v>0</v>
      </c>
      <c r="U80" s="23"/>
      <c r="V80" s="24" t="n">
        <f aca="false">N(S80)+N(T80)-N(U80)</f>
        <v>0</v>
      </c>
      <c r="W80" s="33" t="n">
        <f aca="false">'Feb 2027'!Z80</f>
        <v>0</v>
      </c>
      <c r="X80" s="33" t="n">
        <f aca="false">IF(B80="",0,N(Students!J69))</f>
        <v>0</v>
      </c>
      <c r="Y80" s="23"/>
      <c r="Z80" s="24" t="n">
        <f aca="false">N(W80)+N(X80)-N(Y80)</f>
        <v>0</v>
      </c>
      <c r="AA80" s="33" t="n">
        <f aca="false">N(E80)+N(I80)+N(M80)+N(Q80)+N(U80)+N(Y80)</f>
        <v>0</v>
      </c>
      <c r="AB80" s="24" t="n">
        <f aca="false">F80+J80+N80+R80+V80+Z80</f>
        <v>0</v>
      </c>
      <c r="AC80" s="81" t="str">
        <f aca="false">IF(B80="","",IF(AB80&lt;=0,"Clear",IF(AA80&gt;0,"Partial","Due")))</f>
        <v/>
      </c>
    </row>
    <row r="81" customFormat="false" ht="15" hidden="false" customHeight="false" outlineLevel="0" collapsed="false">
      <c r="A81" s="25" t="n">
        <v>66</v>
      </c>
      <c r="B81" s="82" t="str">
        <f aca="false">IF(Students!B70="","",Students!B70)</f>
        <v/>
      </c>
      <c r="C81" s="37" t="n">
        <f aca="false">'Feb 2027'!F81</f>
        <v>0</v>
      </c>
      <c r="D81" s="37" t="n">
        <f aca="false">IF(B81="",0,N(Students!E70))</f>
        <v>0</v>
      </c>
      <c r="E81" s="23"/>
      <c r="F81" s="26" t="n">
        <f aca="false">N(C81)+N(D81)-N(E81)</f>
        <v>0</v>
      </c>
      <c r="G81" s="37" t="n">
        <f aca="false">'Feb 2027'!J81</f>
        <v>0</v>
      </c>
      <c r="H81" s="37" t="n">
        <f aca="false">IF(B81="",0,N(Students!F70))</f>
        <v>0</v>
      </c>
      <c r="I81" s="23"/>
      <c r="J81" s="26" t="n">
        <f aca="false">N(G81)+N(H81)-N(I81)</f>
        <v>0</v>
      </c>
      <c r="K81" s="37" t="n">
        <f aca="false">'Feb 2027'!N81</f>
        <v>0</v>
      </c>
      <c r="L81" s="37" t="n">
        <f aca="false">IF(B81="",0,N(Students!G70))</f>
        <v>0</v>
      </c>
      <c r="M81" s="23"/>
      <c r="N81" s="26" t="n">
        <f aca="false">N(K81)+N(L81)-N(M81)</f>
        <v>0</v>
      </c>
      <c r="O81" s="37" t="n">
        <f aca="false">'Feb 2027'!R81</f>
        <v>0</v>
      </c>
      <c r="P81" s="37" t="n">
        <f aca="false">IF(B81="",0,N(Students!H70))</f>
        <v>0</v>
      </c>
      <c r="Q81" s="23"/>
      <c r="R81" s="26" t="n">
        <f aca="false">N(O81)+N(P81)-N(Q81)</f>
        <v>0</v>
      </c>
      <c r="S81" s="37" t="n">
        <f aca="false">'Feb 2027'!V81</f>
        <v>0</v>
      </c>
      <c r="T81" s="37" t="n">
        <f aca="false">IF(B81="",0,N(Students!I70))</f>
        <v>0</v>
      </c>
      <c r="U81" s="23"/>
      <c r="V81" s="26" t="n">
        <f aca="false">N(S81)+N(T81)-N(U81)</f>
        <v>0</v>
      </c>
      <c r="W81" s="37" t="n">
        <f aca="false">'Feb 2027'!Z81</f>
        <v>0</v>
      </c>
      <c r="X81" s="37" t="n">
        <f aca="false">IF(B81="",0,N(Students!J70))</f>
        <v>0</v>
      </c>
      <c r="Y81" s="23"/>
      <c r="Z81" s="26" t="n">
        <f aca="false">N(W81)+N(X81)-N(Y81)</f>
        <v>0</v>
      </c>
      <c r="AA81" s="37" t="n">
        <f aca="false">N(E81)+N(I81)+N(M81)+N(Q81)+N(U81)+N(Y81)</f>
        <v>0</v>
      </c>
      <c r="AB81" s="26" t="n">
        <f aca="false">F81+J81+N81+R81+V81+Z81</f>
        <v>0</v>
      </c>
      <c r="AC81" s="83" t="str">
        <f aca="false">IF(B81="","",IF(AB81&lt;=0,"Clear",IF(AA81&gt;0,"Partial","Due")))</f>
        <v/>
      </c>
    </row>
    <row r="82" customFormat="false" ht="15" hidden="false" customHeight="false" outlineLevel="0" collapsed="false">
      <c r="A82" s="21" t="n">
        <v>67</v>
      </c>
      <c r="B82" s="46" t="str">
        <f aca="false">IF(Students!B71="","",Students!B71)</f>
        <v/>
      </c>
      <c r="C82" s="33" t="n">
        <f aca="false">'Feb 2027'!F82</f>
        <v>0</v>
      </c>
      <c r="D82" s="33" t="n">
        <f aca="false">IF(B82="",0,N(Students!E71))</f>
        <v>0</v>
      </c>
      <c r="E82" s="23"/>
      <c r="F82" s="24" t="n">
        <f aca="false">N(C82)+N(D82)-N(E82)</f>
        <v>0</v>
      </c>
      <c r="G82" s="33" t="n">
        <f aca="false">'Feb 2027'!J82</f>
        <v>0</v>
      </c>
      <c r="H82" s="33" t="n">
        <f aca="false">IF(B82="",0,N(Students!F71))</f>
        <v>0</v>
      </c>
      <c r="I82" s="23"/>
      <c r="J82" s="24" t="n">
        <f aca="false">N(G82)+N(H82)-N(I82)</f>
        <v>0</v>
      </c>
      <c r="K82" s="33" t="n">
        <f aca="false">'Feb 2027'!N82</f>
        <v>0</v>
      </c>
      <c r="L82" s="33" t="n">
        <f aca="false">IF(B82="",0,N(Students!G71))</f>
        <v>0</v>
      </c>
      <c r="M82" s="23"/>
      <c r="N82" s="24" t="n">
        <f aca="false">N(K82)+N(L82)-N(M82)</f>
        <v>0</v>
      </c>
      <c r="O82" s="33" t="n">
        <f aca="false">'Feb 2027'!R82</f>
        <v>0</v>
      </c>
      <c r="P82" s="33" t="n">
        <f aca="false">IF(B82="",0,N(Students!H71))</f>
        <v>0</v>
      </c>
      <c r="Q82" s="23"/>
      <c r="R82" s="24" t="n">
        <f aca="false">N(O82)+N(P82)-N(Q82)</f>
        <v>0</v>
      </c>
      <c r="S82" s="33" t="n">
        <f aca="false">'Feb 2027'!V82</f>
        <v>0</v>
      </c>
      <c r="T82" s="33" t="n">
        <f aca="false">IF(B82="",0,N(Students!I71))</f>
        <v>0</v>
      </c>
      <c r="U82" s="23"/>
      <c r="V82" s="24" t="n">
        <f aca="false">N(S82)+N(T82)-N(U82)</f>
        <v>0</v>
      </c>
      <c r="W82" s="33" t="n">
        <f aca="false">'Feb 2027'!Z82</f>
        <v>0</v>
      </c>
      <c r="X82" s="33" t="n">
        <f aca="false">IF(B82="",0,N(Students!J71))</f>
        <v>0</v>
      </c>
      <c r="Y82" s="23"/>
      <c r="Z82" s="24" t="n">
        <f aca="false">N(W82)+N(X82)-N(Y82)</f>
        <v>0</v>
      </c>
      <c r="AA82" s="33" t="n">
        <f aca="false">N(E82)+N(I82)+N(M82)+N(Q82)+N(U82)+N(Y82)</f>
        <v>0</v>
      </c>
      <c r="AB82" s="24" t="n">
        <f aca="false">F82+J82+N82+R82+V82+Z82</f>
        <v>0</v>
      </c>
      <c r="AC82" s="81" t="str">
        <f aca="false">IF(B82="","",IF(AB82&lt;=0,"Clear",IF(AA82&gt;0,"Partial","Due")))</f>
        <v/>
      </c>
    </row>
    <row r="83" customFormat="false" ht="15" hidden="false" customHeight="false" outlineLevel="0" collapsed="false">
      <c r="A83" s="25" t="n">
        <v>68</v>
      </c>
      <c r="B83" s="82" t="str">
        <f aca="false">IF(Students!B72="","",Students!B72)</f>
        <v/>
      </c>
      <c r="C83" s="37" t="n">
        <f aca="false">'Feb 2027'!F83</f>
        <v>0</v>
      </c>
      <c r="D83" s="37" t="n">
        <f aca="false">IF(B83="",0,N(Students!E72))</f>
        <v>0</v>
      </c>
      <c r="E83" s="23"/>
      <c r="F83" s="26" t="n">
        <f aca="false">N(C83)+N(D83)-N(E83)</f>
        <v>0</v>
      </c>
      <c r="G83" s="37" t="n">
        <f aca="false">'Feb 2027'!J83</f>
        <v>0</v>
      </c>
      <c r="H83" s="37" t="n">
        <f aca="false">IF(B83="",0,N(Students!F72))</f>
        <v>0</v>
      </c>
      <c r="I83" s="23"/>
      <c r="J83" s="26" t="n">
        <f aca="false">N(G83)+N(H83)-N(I83)</f>
        <v>0</v>
      </c>
      <c r="K83" s="37" t="n">
        <f aca="false">'Feb 2027'!N83</f>
        <v>0</v>
      </c>
      <c r="L83" s="37" t="n">
        <f aca="false">IF(B83="",0,N(Students!G72))</f>
        <v>0</v>
      </c>
      <c r="M83" s="23"/>
      <c r="N83" s="26" t="n">
        <f aca="false">N(K83)+N(L83)-N(M83)</f>
        <v>0</v>
      </c>
      <c r="O83" s="37" t="n">
        <f aca="false">'Feb 2027'!R83</f>
        <v>0</v>
      </c>
      <c r="P83" s="37" t="n">
        <f aca="false">IF(B83="",0,N(Students!H72))</f>
        <v>0</v>
      </c>
      <c r="Q83" s="23"/>
      <c r="R83" s="26" t="n">
        <f aca="false">N(O83)+N(P83)-N(Q83)</f>
        <v>0</v>
      </c>
      <c r="S83" s="37" t="n">
        <f aca="false">'Feb 2027'!V83</f>
        <v>0</v>
      </c>
      <c r="T83" s="37" t="n">
        <f aca="false">IF(B83="",0,N(Students!I72))</f>
        <v>0</v>
      </c>
      <c r="U83" s="23"/>
      <c r="V83" s="26" t="n">
        <f aca="false">N(S83)+N(T83)-N(U83)</f>
        <v>0</v>
      </c>
      <c r="W83" s="37" t="n">
        <f aca="false">'Feb 2027'!Z83</f>
        <v>0</v>
      </c>
      <c r="X83" s="37" t="n">
        <f aca="false">IF(B83="",0,N(Students!J72))</f>
        <v>0</v>
      </c>
      <c r="Y83" s="23"/>
      <c r="Z83" s="26" t="n">
        <f aca="false">N(W83)+N(X83)-N(Y83)</f>
        <v>0</v>
      </c>
      <c r="AA83" s="37" t="n">
        <f aca="false">N(E83)+N(I83)+N(M83)+N(Q83)+N(U83)+N(Y83)</f>
        <v>0</v>
      </c>
      <c r="AB83" s="26" t="n">
        <f aca="false">F83+J83+N83+R83+V83+Z83</f>
        <v>0</v>
      </c>
      <c r="AC83" s="83" t="str">
        <f aca="false">IF(B83="","",IF(AB83&lt;=0,"Clear",IF(AA83&gt;0,"Partial","Due")))</f>
        <v/>
      </c>
    </row>
    <row r="84" customFormat="false" ht="15" hidden="false" customHeight="false" outlineLevel="0" collapsed="false">
      <c r="A84" s="21" t="n">
        <v>69</v>
      </c>
      <c r="B84" s="46" t="str">
        <f aca="false">IF(Students!B73="","",Students!B73)</f>
        <v/>
      </c>
      <c r="C84" s="33" t="n">
        <f aca="false">'Feb 2027'!F84</f>
        <v>0</v>
      </c>
      <c r="D84" s="33" t="n">
        <f aca="false">IF(B84="",0,N(Students!E73))</f>
        <v>0</v>
      </c>
      <c r="E84" s="23"/>
      <c r="F84" s="24" t="n">
        <f aca="false">N(C84)+N(D84)-N(E84)</f>
        <v>0</v>
      </c>
      <c r="G84" s="33" t="n">
        <f aca="false">'Feb 2027'!J84</f>
        <v>0</v>
      </c>
      <c r="H84" s="33" t="n">
        <f aca="false">IF(B84="",0,N(Students!F73))</f>
        <v>0</v>
      </c>
      <c r="I84" s="23"/>
      <c r="J84" s="24" t="n">
        <f aca="false">N(G84)+N(H84)-N(I84)</f>
        <v>0</v>
      </c>
      <c r="K84" s="33" t="n">
        <f aca="false">'Feb 2027'!N84</f>
        <v>0</v>
      </c>
      <c r="L84" s="33" t="n">
        <f aca="false">IF(B84="",0,N(Students!G73))</f>
        <v>0</v>
      </c>
      <c r="M84" s="23"/>
      <c r="N84" s="24" t="n">
        <f aca="false">N(K84)+N(L84)-N(M84)</f>
        <v>0</v>
      </c>
      <c r="O84" s="33" t="n">
        <f aca="false">'Feb 2027'!R84</f>
        <v>0</v>
      </c>
      <c r="P84" s="33" t="n">
        <f aca="false">IF(B84="",0,N(Students!H73))</f>
        <v>0</v>
      </c>
      <c r="Q84" s="23"/>
      <c r="R84" s="24" t="n">
        <f aca="false">N(O84)+N(P84)-N(Q84)</f>
        <v>0</v>
      </c>
      <c r="S84" s="33" t="n">
        <f aca="false">'Feb 2027'!V84</f>
        <v>0</v>
      </c>
      <c r="T84" s="33" t="n">
        <f aca="false">IF(B84="",0,N(Students!I73))</f>
        <v>0</v>
      </c>
      <c r="U84" s="23"/>
      <c r="V84" s="24" t="n">
        <f aca="false">N(S84)+N(T84)-N(U84)</f>
        <v>0</v>
      </c>
      <c r="W84" s="33" t="n">
        <f aca="false">'Feb 2027'!Z84</f>
        <v>0</v>
      </c>
      <c r="X84" s="33" t="n">
        <f aca="false">IF(B84="",0,N(Students!J73))</f>
        <v>0</v>
      </c>
      <c r="Y84" s="23"/>
      <c r="Z84" s="24" t="n">
        <f aca="false">N(W84)+N(X84)-N(Y84)</f>
        <v>0</v>
      </c>
      <c r="AA84" s="33" t="n">
        <f aca="false">N(E84)+N(I84)+N(M84)+N(Q84)+N(U84)+N(Y84)</f>
        <v>0</v>
      </c>
      <c r="AB84" s="24" t="n">
        <f aca="false">F84+J84+N84+R84+V84+Z84</f>
        <v>0</v>
      </c>
      <c r="AC84" s="81" t="str">
        <f aca="false">IF(B84="","",IF(AB84&lt;=0,"Clear",IF(AA84&gt;0,"Partial","Due")))</f>
        <v/>
      </c>
    </row>
    <row r="85" customFormat="false" ht="15" hidden="false" customHeight="false" outlineLevel="0" collapsed="false">
      <c r="A85" s="25" t="n">
        <v>70</v>
      </c>
      <c r="B85" s="82" t="str">
        <f aca="false">IF(Students!B74="","",Students!B74)</f>
        <v/>
      </c>
      <c r="C85" s="37" t="n">
        <f aca="false">'Feb 2027'!F85</f>
        <v>0</v>
      </c>
      <c r="D85" s="37" t="n">
        <f aca="false">IF(B85="",0,N(Students!E74))</f>
        <v>0</v>
      </c>
      <c r="E85" s="23"/>
      <c r="F85" s="26" t="n">
        <f aca="false">N(C85)+N(D85)-N(E85)</f>
        <v>0</v>
      </c>
      <c r="G85" s="37" t="n">
        <f aca="false">'Feb 2027'!J85</f>
        <v>0</v>
      </c>
      <c r="H85" s="37" t="n">
        <f aca="false">IF(B85="",0,N(Students!F74))</f>
        <v>0</v>
      </c>
      <c r="I85" s="23"/>
      <c r="J85" s="26" t="n">
        <f aca="false">N(G85)+N(H85)-N(I85)</f>
        <v>0</v>
      </c>
      <c r="K85" s="37" t="n">
        <f aca="false">'Feb 2027'!N85</f>
        <v>0</v>
      </c>
      <c r="L85" s="37" t="n">
        <f aca="false">IF(B85="",0,N(Students!G74))</f>
        <v>0</v>
      </c>
      <c r="M85" s="23"/>
      <c r="N85" s="26" t="n">
        <f aca="false">N(K85)+N(L85)-N(M85)</f>
        <v>0</v>
      </c>
      <c r="O85" s="37" t="n">
        <f aca="false">'Feb 2027'!R85</f>
        <v>0</v>
      </c>
      <c r="P85" s="37" t="n">
        <f aca="false">IF(B85="",0,N(Students!H74))</f>
        <v>0</v>
      </c>
      <c r="Q85" s="23"/>
      <c r="R85" s="26" t="n">
        <f aca="false">N(O85)+N(P85)-N(Q85)</f>
        <v>0</v>
      </c>
      <c r="S85" s="37" t="n">
        <f aca="false">'Feb 2027'!V85</f>
        <v>0</v>
      </c>
      <c r="T85" s="37" t="n">
        <f aca="false">IF(B85="",0,N(Students!I74))</f>
        <v>0</v>
      </c>
      <c r="U85" s="23"/>
      <c r="V85" s="26" t="n">
        <f aca="false">N(S85)+N(T85)-N(U85)</f>
        <v>0</v>
      </c>
      <c r="W85" s="37" t="n">
        <f aca="false">'Feb 2027'!Z85</f>
        <v>0</v>
      </c>
      <c r="X85" s="37" t="n">
        <f aca="false">IF(B85="",0,N(Students!J74))</f>
        <v>0</v>
      </c>
      <c r="Y85" s="23"/>
      <c r="Z85" s="26" t="n">
        <f aca="false">N(W85)+N(X85)-N(Y85)</f>
        <v>0</v>
      </c>
      <c r="AA85" s="37" t="n">
        <f aca="false">N(E85)+N(I85)+N(M85)+N(Q85)+N(U85)+N(Y85)</f>
        <v>0</v>
      </c>
      <c r="AB85" s="26" t="n">
        <f aca="false">F85+J85+N85+R85+V85+Z85</f>
        <v>0</v>
      </c>
      <c r="AC85" s="83" t="str">
        <f aca="false">IF(B85="","",IF(AB85&lt;=0,"Clear",IF(AA85&gt;0,"Partial","Due")))</f>
        <v/>
      </c>
    </row>
    <row r="86" customFormat="false" ht="15" hidden="false" customHeight="false" outlineLevel="0" collapsed="false">
      <c r="A86" s="21" t="n">
        <v>71</v>
      </c>
      <c r="B86" s="46" t="str">
        <f aca="false">IF(Students!B75="","",Students!B75)</f>
        <v/>
      </c>
      <c r="C86" s="33" t="n">
        <f aca="false">'Feb 2027'!F86</f>
        <v>0</v>
      </c>
      <c r="D86" s="33" t="n">
        <f aca="false">IF(B86="",0,N(Students!E75))</f>
        <v>0</v>
      </c>
      <c r="E86" s="23"/>
      <c r="F86" s="24" t="n">
        <f aca="false">N(C86)+N(D86)-N(E86)</f>
        <v>0</v>
      </c>
      <c r="G86" s="33" t="n">
        <f aca="false">'Feb 2027'!J86</f>
        <v>0</v>
      </c>
      <c r="H86" s="33" t="n">
        <f aca="false">IF(B86="",0,N(Students!F75))</f>
        <v>0</v>
      </c>
      <c r="I86" s="23"/>
      <c r="J86" s="24" t="n">
        <f aca="false">N(G86)+N(H86)-N(I86)</f>
        <v>0</v>
      </c>
      <c r="K86" s="33" t="n">
        <f aca="false">'Feb 2027'!N86</f>
        <v>0</v>
      </c>
      <c r="L86" s="33" t="n">
        <f aca="false">IF(B86="",0,N(Students!G75))</f>
        <v>0</v>
      </c>
      <c r="M86" s="23"/>
      <c r="N86" s="24" t="n">
        <f aca="false">N(K86)+N(L86)-N(M86)</f>
        <v>0</v>
      </c>
      <c r="O86" s="33" t="n">
        <f aca="false">'Feb 2027'!R86</f>
        <v>0</v>
      </c>
      <c r="P86" s="33" t="n">
        <f aca="false">IF(B86="",0,N(Students!H75))</f>
        <v>0</v>
      </c>
      <c r="Q86" s="23"/>
      <c r="R86" s="24" t="n">
        <f aca="false">N(O86)+N(P86)-N(Q86)</f>
        <v>0</v>
      </c>
      <c r="S86" s="33" t="n">
        <f aca="false">'Feb 2027'!V86</f>
        <v>0</v>
      </c>
      <c r="T86" s="33" t="n">
        <f aca="false">IF(B86="",0,N(Students!I75))</f>
        <v>0</v>
      </c>
      <c r="U86" s="23"/>
      <c r="V86" s="24" t="n">
        <f aca="false">N(S86)+N(T86)-N(U86)</f>
        <v>0</v>
      </c>
      <c r="W86" s="33" t="n">
        <f aca="false">'Feb 2027'!Z86</f>
        <v>0</v>
      </c>
      <c r="X86" s="33" t="n">
        <f aca="false">IF(B86="",0,N(Students!J75))</f>
        <v>0</v>
      </c>
      <c r="Y86" s="23"/>
      <c r="Z86" s="24" t="n">
        <f aca="false">N(W86)+N(X86)-N(Y86)</f>
        <v>0</v>
      </c>
      <c r="AA86" s="33" t="n">
        <f aca="false">N(E86)+N(I86)+N(M86)+N(Q86)+N(U86)+N(Y86)</f>
        <v>0</v>
      </c>
      <c r="AB86" s="24" t="n">
        <f aca="false">F86+J86+N86+R86+V86+Z86</f>
        <v>0</v>
      </c>
      <c r="AC86" s="81" t="str">
        <f aca="false">IF(B86="","",IF(AB86&lt;=0,"Clear",IF(AA86&gt;0,"Partial","Due")))</f>
        <v/>
      </c>
    </row>
    <row r="87" customFormat="false" ht="15" hidden="false" customHeight="false" outlineLevel="0" collapsed="false">
      <c r="A87" s="25" t="n">
        <v>72</v>
      </c>
      <c r="B87" s="82" t="str">
        <f aca="false">IF(Students!B76="","",Students!B76)</f>
        <v/>
      </c>
      <c r="C87" s="37" t="n">
        <f aca="false">'Feb 2027'!F87</f>
        <v>0</v>
      </c>
      <c r="D87" s="37" t="n">
        <f aca="false">IF(B87="",0,N(Students!E76))</f>
        <v>0</v>
      </c>
      <c r="E87" s="23"/>
      <c r="F87" s="26" t="n">
        <f aca="false">N(C87)+N(D87)-N(E87)</f>
        <v>0</v>
      </c>
      <c r="G87" s="37" t="n">
        <f aca="false">'Feb 2027'!J87</f>
        <v>0</v>
      </c>
      <c r="H87" s="37" t="n">
        <f aca="false">IF(B87="",0,N(Students!F76))</f>
        <v>0</v>
      </c>
      <c r="I87" s="23"/>
      <c r="J87" s="26" t="n">
        <f aca="false">N(G87)+N(H87)-N(I87)</f>
        <v>0</v>
      </c>
      <c r="K87" s="37" t="n">
        <f aca="false">'Feb 2027'!N87</f>
        <v>0</v>
      </c>
      <c r="L87" s="37" t="n">
        <f aca="false">IF(B87="",0,N(Students!G76))</f>
        <v>0</v>
      </c>
      <c r="M87" s="23"/>
      <c r="N87" s="26" t="n">
        <f aca="false">N(K87)+N(L87)-N(M87)</f>
        <v>0</v>
      </c>
      <c r="O87" s="37" t="n">
        <f aca="false">'Feb 2027'!R87</f>
        <v>0</v>
      </c>
      <c r="P87" s="37" t="n">
        <f aca="false">IF(B87="",0,N(Students!H76))</f>
        <v>0</v>
      </c>
      <c r="Q87" s="23"/>
      <c r="R87" s="26" t="n">
        <f aca="false">N(O87)+N(P87)-N(Q87)</f>
        <v>0</v>
      </c>
      <c r="S87" s="37" t="n">
        <f aca="false">'Feb 2027'!V87</f>
        <v>0</v>
      </c>
      <c r="T87" s="37" t="n">
        <f aca="false">IF(B87="",0,N(Students!I76))</f>
        <v>0</v>
      </c>
      <c r="U87" s="23"/>
      <c r="V87" s="26" t="n">
        <f aca="false">N(S87)+N(T87)-N(U87)</f>
        <v>0</v>
      </c>
      <c r="W87" s="37" t="n">
        <f aca="false">'Feb 2027'!Z87</f>
        <v>0</v>
      </c>
      <c r="X87" s="37" t="n">
        <f aca="false">IF(B87="",0,N(Students!J76))</f>
        <v>0</v>
      </c>
      <c r="Y87" s="23"/>
      <c r="Z87" s="26" t="n">
        <f aca="false">N(W87)+N(X87)-N(Y87)</f>
        <v>0</v>
      </c>
      <c r="AA87" s="37" t="n">
        <f aca="false">N(E87)+N(I87)+N(M87)+N(Q87)+N(U87)+N(Y87)</f>
        <v>0</v>
      </c>
      <c r="AB87" s="26" t="n">
        <f aca="false">F87+J87+N87+R87+V87+Z87</f>
        <v>0</v>
      </c>
      <c r="AC87" s="83" t="str">
        <f aca="false">IF(B87="","",IF(AB87&lt;=0,"Clear",IF(AA87&gt;0,"Partial","Due")))</f>
        <v/>
      </c>
    </row>
    <row r="88" customFormat="false" ht="15" hidden="false" customHeight="false" outlineLevel="0" collapsed="false">
      <c r="A88" s="21" t="n">
        <v>73</v>
      </c>
      <c r="B88" s="46" t="str">
        <f aca="false">IF(Students!B77="","",Students!B77)</f>
        <v/>
      </c>
      <c r="C88" s="33" t="n">
        <f aca="false">'Feb 2027'!F88</f>
        <v>0</v>
      </c>
      <c r="D88" s="33" t="n">
        <f aca="false">IF(B88="",0,N(Students!E77))</f>
        <v>0</v>
      </c>
      <c r="E88" s="23"/>
      <c r="F88" s="24" t="n">
        <f aca="false">N(C88)+N(D88)-N(E88)</f>
        <v>0</v>
      </c>
      <c r="G88" s="33" t="n">
        <f aca="false">'Feb 2027'!J88</f>
        <v>0</v>
      </c>
      <c r="H88" s="33" t="n">
        <f aca="false">IF(B88="",0,N(Students!F77))</f>
        <v>0</v>
      </c>
      <c r="I88" s="23"/>
      <c r="J88" s="24" t="n">
        <f aca="false">N(G88)+N(H88)-N(I88)</f>
        <v>0</v>
      </c>
      <c r="K88" s="33" t="n">
        <f aca="false">'Feb 2027'!N88</f>
        <v>0</v>
      </c>
      <c r="L88" s="33" t="n">
        <f aca="false">IF(B88="",0,N(Students!G77))</f>
        <v>0</v>
      </c>
      <c r="M88" s="23"/>
      <c r="N88" s="24" t="n">
        <f aca="false">N(K88)+N(L88)-N(M88)</f>
        <v>0</v>
      </c>
      <c r="O88" s="33" t="n">
        <f aca="false">'Feb 2027'!R88</f>
        <v>0</v>
      </c>
      <c r="P88" s="33" t="n">
        <f aca="false">IF(B88="",0,N(Students!H77))</f>
        <v>0</v>
      </c>
      <c r="Q88" s="23"/>
      <c r="R88" s="24" t="n">
        <f aca="false">N(O88)+N(P88)-N(Q88)</f>
        <v>0</v>
      </c>
      <c r="S88" s="33" t="n">
        <f aca="false">'Feb 2027'!V88</f>
        <v>0</v>
      </c>
      <c r="T88" s="33" t="n">
        <f aca="false">IF(B88="",0,N(Students!I77))</f>
        <v>0</v>
      </c>
      <c r="U88" s="23"/>
      <c r="V88" s="24" t="n">
        <f aca="false">N(S88)+N(T88)-N(U88)</f>
        <v>0</v>
      </c>
      <c r="W88" s="33" t="n">
        <f aca="false">'Feb 2027'!Z88</f>
        <v>0</v>
      </c>
      <c r="X88" s="33" t="n">
        <f aca="false">IF(B88="",0,N(Students!J77))</f>
        <v>0</v>
      </c>
      <c r="Y88" s="23"/>
      <c r="Z88" s="24" t="n">
        <f aca="false">N(W88)+N(X88)-N(Y88)</f>
        <v>0</v>
      </c>
      <c r="AA88" s="33" t="n">
        <f aca="false">N(E88)+N(I88)+N(M88)+N(Q88)+N(U88)+N(Y88)</f>
        <v>0</v>
      </c>
      <c r="AB88" s="24" t="n">
        <f aca="false">F88+J88+N88+R88+V88+Z88</f>
        <v>0</v>
      </c>
      <c r="AC88" s="81" t="str">
        <f aca="false">IF(B88="","",IF(AB88&lt;=0,"Clear",IF(AA88&gt;0,"Partial","Due")))</f>
        <v/>
      </c>
    </row>
    <row r="89" customFormat="false" ht="15" hidden="false" customHeight="false" outlineLevel="0" collapsed="false">
      <c r="A89" s="25" t="n">
        <v>74</v>
      </c>
      <c r="B89" s="82" t="str">
        <f aca="false">IF(Students!B78="","",Students!B78)</f>
        <v/>
      </c>
      <c r="C89" s="37" t="n">
        <f aca="false">'Feb 2027'!F89</f>
        <v>0</v>
      </c>
      <c r="D89" s="37" t="n">
        <f aca="false">IF(B89="",0,N(Students!E78))</f>
        <v>0</v>
      </c>
      <c r="E89" s="23"/>
      <c r="F89" s="26" t="n">
        <f aca="false">N(C89)+N(D89)-N(E89)</f>
        <v>0</v>
      </c>
      <c r="G89" s="37" t="n">
        <f aca="false">'Feb 2027'!J89</f>
        <v>0</v>
      </c>
      <c r="H89" s="37" t="n">
        <f aca="false">IF(B89="",0,N(Students!F78))</f>
        <v>0</v>
      </c>
      <c r="I89" s="23"/>
      <c r="J89" s="26" t="n">
        <f aca="false">N(G89)+N(H89)-N(I89)</f>
        <v>0</v>
      </c>
      <c r="K89" s="37" t="n">
        <f aca="false">'Feb 2027'!N89</f>
        <v>0</v>
      </c>
      <c r="L89" s="37" t="n">
        <f aca="false">IF(B89="",0,N(Students!G78))</f>
        <v>0</v>
      </c>
      <c r="M89" s="23"/>
      <c r="N89" s="26" t="n">
        <f aca="false">N(K89)+N(L89)-N(M89)</f>
        <v>0</v>
      </c>
      <c r="O89" s="37" t="n">
        <f aca="false">'Feb 2027'!R89</f>
        <v>0</v>
      </c>
      <c r="P89" s="37" t="n">
        <f aca="false">IF(B89="",0,N(Students!H78))</f>
        <v>0</v>
      </c>
      <c r="Q89" s="23"/>
      <c r="R89" s="26" t="n">
        <f aca="false">N(O89)+N(P89)-N(Q89)</f>
        <v>0</v>
      </c>
      <c r="S89" s="37" t="n">
        <f aca="false">'Feb 2027'!V89</f>
        <v>0</v>
      </c>
      <c r="T89" s="37" t="n">
        <f aca="false">IF(B89="",0,N(Students!I78))</f>
        <v>0</v>
      </c>
      <c r="U89" s="23"/>
      <c r="V89" s="26" t="n">
        <f aca="false">N(S89)+N(T89)-N(U89)</f>
        <v>0</v>
      </c>
      <c r="W89" s="37" t="n">
        <f aca="false">'Feb 2027'!Z89</f>
        <v>0</v>
      </c>
      <c r="X89" s="37" t="n">
        <f aca="false">IF(B89="",0,N(Students!J78))</f>
        <v>0</v>
      </c>
      <c r="Y89" s="23"/>
      <c r="Z89" s="26" t="n">
        <f aca="false">N(W89)+N(X89)-N(Y89)</f>
        <v>0</v>
      </c>
      <c r="AA89" s="37" t="n">
        <f aca="false">N(E89)+N(I89)+N(M89)+N(Q89)+N(U89)+N(Y89)</f>
        <v>0</v>
      </c>
      <c r="AB89" s="26" t="n">
        <f aca="false">F89+J89+N89+R89+V89+Z89</f>
        <v>0</v>
      </c>
      <c r="AC89" s="83" t="str">
        <f aca="false">IF(B89="","",IF(AB89&lt;=0,"Clear",IF(AA89&gt;0,"Partial","Due")))</f>
        <v/>
      </c>
    </row>
    <row r="90" customFormat="false" ht="15" hidden="false" customHeight="false" outlineLevel="0" collapsed="false">
      <c r="A90" s="21" t="n">
        <v>75</v>
      </c>
      <c r="B90" s="46" t="str">
        <f aca="false">IF(Students!B79="","",Students!B79)</f>
        <v/>
      </c>
      <c r="C90" s="33" t="n">
        <f aca="false">'Feb 2027'!F90</f>
        <v>0</v>
      </c>
      <c r="D90" s="33" t="n">
        <f aca="false">IF(B90="",0,N(Students!E79))</f>
        <v>0</v>
      </c>
      <c r="E90" s="23"/>
      <c r="F90" s="24" t="n">
        <f aca="false">N(C90)+N(D90)-N(E90)</f>
        <v>0</v>
      </c>
      <c r="G90" s="33" t="n">
        <f aca="false">'Feb 2027'!J90</f>
        <v>0</v>
      </c>
      <c r="H90" s="33" t="n">
        <f aca="false">IF(B90="",0,N(Students!F79))</f>
        <v>0</v>
      </c>
      <c r="I90" s="23"/>
      <c r="J90" s="24" t="n">
        <f aca="false">N(G90)+N(H90)-N(I90)</f>
        <v>0</v>
      </c>
      <c r="K90" s="33" t="n">
        <f aca="false">'Feb 2027'!N90</f>
        <v>0</v>
      </c>
      <c r="L90" s="33" t="n">
        <f aca="false">IF(B90="",0,N(Students!G79))</f>
        <v>0</v>
      </c>
      <c r="M90" s="23"/>
      <c r="N90" s="24" t="n">
        <f aca="false">N(K90)+N(L90)-N(M90)</f>
        <v>0</v>
      </c>
      <c r="O90" s="33" t="n">
        <f aca="false">'Feb 2027'!R90</f>
        <v>0</v>
      </c>
      <c r="P90" s="33" t="n">
        <f aca="false">IF(B90="",0,N(Students!H79))</f>
        <v>0</v>
      </c>
      <c r="Q90" s="23"/>
      <c r="R90" s="24" t="n">
        <f aca="false">N(O90)+N(P90)-N(Q90)</f>
        <v>0</v>
      </c>
      <c r="S90" s="33" t="n">
        <f aca="false">'Feb 2027'!V90</f>
        <v>0</v>
      </c>
      <c r="T90" s="33" t="n">
        <f aca="false">IF(B90="",0,N(Students!I79))</f>
        <v>0</v>
      </c>
      <c r="U90" s="23"/>
      <c r="V90" s="24" t="n">
        <f aca="false">N(S90)+N(T90)-N(U90)</f>
        <v>0</v>
      </c>
      <c r="W90" s="33" t="n">
        <f aca="false">'Feb 2027'!Z90</f>
        <v>0</v>
      </c>
      <c r="X90" s="33" t="n">
        <f aca="false">IF(B90="",0,N(Students!J79))</f>
        <v>0</v>
      </c>
      <c r="Y90" s="23"/>
      <c r="Z90" s="24" t="n">
        <f aca="false">N(W90)+N(X90)-N(Y90)</f>
        <v>0</v>
      </c>
      <c r="AA90" s="33" t="n">
        <f aca="false">N(E90)+N(I90)+N(M90)+N(Q90)+N(U90)+N(Y90)</f>
        <v>0</v>
      </c>
      <c r="AB90" s="24" t="n">
        <f aca="false">F90+J90+N90+R90+V90+Z90</f>
        <v>0</v>
      </c>
      <c r="AC90" s="81" t="str">
        <f aca="false">IF(B90="","",IF(AB90&lt;=0,"Clear",IF(AA90&gt;0,"Partial","Due")))</f>
        <v/>
      </c>
    </row>
    <row r="91" customFormat="false" ht="15" hidden="false" customHeight="false" outlineLevel="0" collapsed="false">
      <c r="A91" s="25" t="n">
        <v>76</v>
      </c>
      <c r="B91" s="82" t="str">
        <f aca="false">IF(Students!B80="","",Students!B80)</f>
        <v/>
      </c>
      <c r="C91" s="37" t="n">
        <f aca="false">'Feb 2027'!F91</f>
        <v>0</v>
      </c>
      <c r="D91" s="37" t="n">
        <f aca="false">IF(B91="",0,N(Students!E80))</f>
        <v>0</v>
      </c>
      <c r="E91" s="23"/>
      <c r="F91" s="26" t="n">
        <f aca="false">N(C91)+N(D91)-N(E91)</f>
        <v>0</v>
      </c>
      <c r="G91" s="37" t="n">
        <f aca="false">'Feb 2027'!J91</f>
        <v>0</v>
      </c>
      <c r="H91" s="37" t="n">
        <f aca="false">IF(B91="",0,N(Students!F80))</f>
        <v>0</v>
      </c>
      <c r="I91" s="23"/>
      <c r="J91" s="26" t="n">
        <f aca="false">N(G91)+N(H91)-N(I91)</f>
        <v>0</v>
      </c>
      <c r="K91" s="37" t="n">
        <f aca="false">'Feb 2027'!N91</f>
        <v>0</v>
      </c>
      <c r="L91" s="37" t="n">
        <f aca="false">IF(B91="",0,N(Students!G80))</f>
        <v>0</v>
      </c>
      <c r="M91" s="23"/>
      <c r="N91" s="26" t="n">
        <f aca="false">N(K91)+N(L91)-N(M91)</f>
        <v>0</v>
      </c>
      <c r="O91" s="37" t="n">
        <f aca="false">'Feb 2027'!R91</f>
        <v>0</v>
      </c>
      <c r="P91" s="37" t="n">
        <f aca="false">IF(B91="",0,N(Students!H80))</f>
        <v>0</v>
      </c>
      <c r="Q91" s="23"/>
      <c r="R91" s="26" t="n">
        <f aca="false">N(O91)+N(P91)-N(Q91)</f>
        <v>0</v>
      </c>
      <c r="S91" s="37" t="n">
        <f aca="false">'Feb 2027'!V91</f>
        <v>0</v>
      </c>
      <c r="T91" s="37" t="n">
        <f aca="false">IF(B91="",0,N(Students!I80))</f>
        <v>0</v>
      </c>
      <c r="U91" s="23"/>
      <c r="V91" s="26" t="n">
        <f aca="false">N(S91)+N(T91)-N(U91)</f>
        <v>0</v>
      </c>
      <c r="W91" s="37" t="n">
        <f aca="false">'Feb 2027'!Z91</f>
        <v>0</v>
      </c>
      <c r="X91" s="37" t="n">
        <f aca="false">IF(B91="",0,N(Students!J80))</f>
        <v>0</v>
      </c>
      <c r="Y91" s="23"/>
      <c r="Z91" s="26" t="n">
        <f aca="false">N(W91)+N(X91)-N(Y91)</f>
        <v>0</v>
      </c>
      <c r="AA91" s="37" t="n">
        <f aca="false">N(E91)+N(I91)+N(M91)+N(Q91)+N(U91)+N(Y91)</f>
        <v>0</v>
      </c>
      <c r="AB91" s="26" t="n">
        <f aca="false">F91+J91+N91+R91+V91+Z91</f>
        <v>0</v>
      </c>
      <c r="AC91" s="83" t="str">
        <f aca="false">IF(B91="","",IF(AB91&lt;=0,"Clear",IF(AA91&gt;0,"Partial","Due")))</f>
        <v/>
      </c>
    </row>
    <row r="92" customFormat="false" ht="15" hidden="false" customHeight="false" outlineLevel="0" collapsed="false">
      <c r="A92" s="21" t="n">
        <v>77</v>
      </c>
      <c r="B92" s="46" t="str">
        <f aca="false">IF(Students!B81="","",Students!B81)</f>
        <v/>
      </c>
      <c r="C92" s="33" t="n">
        <f aca="false">'Feb 2027'!F92</f>
        <v>0</v>
      </c>
      <c r="D92" s="33" t="n">
        <f aca="false">IF(B92="",0,N(Students!E81))</f>
        <v>0</v>
      </c>
      <c r="E92" s="23"/>
      <c r="F92" s="24" t="n">
        <f aca="false">N(C92)+N(D92)-N(E92)</f>
        <v>0</v>
      </c>
      <c r="G92" s="33" t="n">
        <f aca="false">'Feb 2027'!J92</f>
        <v>0</v>
      </c>
      <c r="H92" s="33" t="n">
        <f aca="false">IF(B92="",0,N(Students!F81))</f>
        <v>0</v>
      </c>
      <c r="I92" s="23"/>
      <c r="J92" s="24" t="n">
        <f aca="false">N(G92)+N(H92)-N(I92)</f>
        <v>0</v>
      </c>
      <c r="K92" s="33" t="n">
        <f aca="false">'Feb 2027'!N92</f>
        <v>0</v>
      </c>
      <c r="L92" s="33" t="n">
        <f aca="false">IF(B92="",0,N(Students!G81))</f>
        <v>0</v>
      </c>
      <c r="M92" s="23"/>
      <c r="N92" s="24" t="n">
        <f aca="false">N(K92)+N(L92)-N(M92)</f>
        <v>0</v>
      </c>
      <c r="O92" s="33" t="n">
        <f aca="false">'Feb 2027'!R92</f>
        <v>0</v>
      </c>
      <c r="P92" s="33" t="n">
        <f aca="false">IF(B92="",0,N(Students!H81))</f>
        <v>0</v>
      </c>
      <c r="Q92" s="23"/>
      <c r="R92" s="24" t="n">
        <f aca="false">N(O92)+N(P92)-N(Q92)</f>
        <v>0</v>
      </c>
      <c r="S92" s="33" t="n">
        <f aca="false">'Feb 2027'!V92</f>
        <v>0</v>
      </c>
      <c r="T92" s="33" t="n">
        <f aca="false">IF(B92="",0,N(Students!I81))</f>
        <v>0</v>
      </c>
      <c r="U92" s="23"/>
      <c r="V92" s="24" t="n">
        <f aca="false">N(S92)+N(T92)-N(U92)</f>
        <v>0</v>
      </c>
      <c r="W92" s="33" t="n">
        <f aca="false">'Feb 2027'!Z92</f>
        <v>0</v>
      </c>
      <c r="X92" s="33" t="n">
        <f aca="false">IF(B92="",0,N(Students!J81))</f>
        <v>0</v>
      </c>
      <c r="Y92" s="23"/>
      <c r="Z92" s="24" t="n">
        <f aca="false">N(W92)+N(X92)-N(Y92)</f>
        <v>0</v>
      </c>
      <c r="AA92" s="33" t="n">
        <f aca="false">N(E92)+N(I92)+N(M92)+N(Q92)+N(U92)+N(Y92)</f>
        <v>0</v>
      </c>
      <c r="AB92" s="24" t="n">
        <f aca="false">F92+J92+N92+R92+V92+Z92</f>
        <v>0</v>
      </c>
      <c r="AC92" s="81" t="str">
        <f aca="false">IF(B92="","",IF(AB92&lt;=0,"Clear",IF(AA92&gt;0,"Partial","Due")))</f>
        <v/>
      </c>
    </row>
    <row r="93" customFormat="false" ht="15" hidden="false" customHeight="false" outlineLevel="0" collapsed="false">
      <c r="A93" s="25" t="n">
        <v>78</v>
      </c>
      <c r="B93" s="82" t="str">
        <f aca="false">IF(Students!B82="","",Students!B82)</f>
        <v/>
      </c>
      <c r="C93" s="37" t="n">
        <f aca="false">'Feb 2027'!F93</f>
        <v>0</v>
      </c>
      <c r="D93" s="37" t="n">
        <f aca="false">IF(B93="",0,N(Students!E82))</f>
        <v>0</v>
      </c>
      <c r="E93" s="23"/>
      <c r="F93" s="26" t="n">
        <f aca="false">N(C93)+N(D93)-N(E93)</f>
        <v>0</v>
      </c>
      <c r="G93" s="37" t="n">
        <f aca="false">'Feb 2027'!J93</f>
        <v>0</v>
      </c>
      <c r="H93" s="37" t="n">
        <f aca="false">IF(B93="",0,N(Students!F82))</f>
        <v>0</v>
      </c>
      <c r="I93" s="23"/>
      <c r="J93" s="26" t="n">
        <f aca="false">N(G93)+N(H93)-N(I93)</f>
        <v>0</v>
      </c>
      <c r="K93" s="37" t="n">
        <f aca="false">'Feb 2027'!N93</f>
        <v>0</v>
      </c>
      <c r="L93" s="37" t="n">
        <f aca="false">IF(B93="",0,N(Students!G82))</f>
        <v>0</v>
      </c>
      <c r="M93" s="23"/>
      <c r="N93" s="26" t="n">
        <f aca="false">N(K93)+N(L93)-N(M93)</f>
        <v>0</v>
      </c>
      <c r="O93" s="37" t="n">
        <f aca="false">'Feb 2027'!R93</f>
        <v>0</v>
      </c>
      <c r="P93" s="37" t="n">
        <f aca="false">IF(B93="",0,N(Students!H82))</f>
        <v>0</v>
      </c>
      <c r="Q93" s="23"/>
      <c r="R93" s="26" t="n">
        <f aca="false">N(O93)+N(P93)-N(Q93)</f>
        <v>0</v>
      </c>
      <c r="S93" s="37" t="n">
        <f aca="false">'Feb 2027'!V93</f>
        <v>0</v>
      </c>
      <c r="T93" s="37" t="n">
        <f aca="false">IF(B93="",0,N(Students!I82))</f>
        <v>0</v>
      </c>
      <c r="U93" s="23"/>
      <c r="V93" s="26" t="n">
        <f aca="false">N(S93)+N(T93)-N(U93)</f>
        <v>0</v>
      </c>
      <c r="W93" s="37" t="n">
        <f aca="false">'Feb 2027'!Z93</f>
        <v>0</v>
      </c>
      <c r="X93" s="37" t="n">
        <f aca="false">IF(B93="",0,N(Students!J82))</f>
        <v>0</v>
      </c>
      <c r="Y93" s="23"/>
      <c r="Z93" s="26" t="n">
        <f aca="false">N(W93)+N(X93)-N(Y93)</f>
        <v>0</v>
      </c>
      <c r="AA93" s="37" t="n">
        <f aca="false">N(E93)+N(I93)+N(M93)+N(Q93)+N(U93)+N(Y93)</f>
        <v>0</v>
      </c>
      <c r="AB93" s="26" t="n">
        <f aca="false">F93+J93+N93+R93+V93+Z93</f>
        <v>0</v>
      </c>
      <c r="AC93" s="83" t="str">
        <f aca="false">IF(B93="","",IF(AB93&lt;=0,"Clear",IF(AA93&gt;0,"Partial","Due")))</f>
        <v/>
      </c>
    </row>
    <row r="94" customFormat="false" ht="15" hidden="false" customHeight="false" outlineLevel="0" collapsed="false">
      <c r="A94" s="21" t="n">
        <v>79</v>
      </c>
      <c r="B94" s="46" t="str">
        <f aca="false">IF(Students!B83="","",Students!B83)</f>
        <v/>
      </c>
      <c r="C94" s="33" t="n">
        <f aca="false">'Feb 2027'!F94</f>
        <v>0</v>
      </c>
      <c r="D94" s="33" t="n">
        <f aca="false">IF(B94="",0,N(Students!E83))</f>
        <v>0</v>
      </c>
      <c r="E94" s="23"/>
      <c r="F94" s="24" t="n">
        <f aca="false">N(C94)+N(D94)-N(E94)</f>
        <v>0</v>
      </c>
      <c r="G94" s="33" t="n">
        <f aca="false">'Feb 2027'!J94</f>
        <v>0</v>
      </c>
      <c r="H94" s="33" t="n">
        <f aca="false">IF(B94="",0,N(Students!F83))</f>
        <v>0</v>
      </c>
      <c r="I94" s="23"/>
      <c r="J94" s="24" t="n">
        <f aca="false">N(G94)+N(H94)-N(I94)</f>
        <v>0</v>
      </c>
      <c r="K94" s="33" t="n">
        <f aca="false">'Feb 2027'!N94</f>
        <v>0</v>
      </c>
      <c r="L94" s="33" t="n">
        <f aca="false">IF(B94="",0,N(Students!G83))</f>
        <v>0</v>
      </c>
      <c r="M94" s="23"/>
      <c r="N94" s="24" t="n">
        <f aca="false">N(K94)+N(L94)-N(M94)</f>
        <v>0</v>
      </c>
      <c r="O94" s="33" t="n">
        <f aca="false">'Feb 2027'!R94</f>
        <v>0</v>
      </c>
      <c r="P94" s="33" t="n">
        <f aca="false">IF(B94="",0,N(Students!H83))</f>
        <v>0</v>
      </c>
      <c r="Q94" s="23"/>
      <c r="R94" s="24" t="n">
        <f aca="false">N(O94)+N(P94)-N(Q94)</f>
        <v>0</v>
      </c>
      <c r="S94" s="33" t="n">
        <f aca="false">'Feb 2027'!V94</f>
        <v>0</v>
      </c>
      <c r="T94" s="33" t="n">
        <f aca="false">IF(B94="",0,N(Students!I83))</f>
        <v>0</v>
      </c>
      <c r="U94" s="23"/>
      <c r="V94" s="24" t="n">
        <f aca="false">N(S94)+N(T94)-N(U94)</f>
        <v>0</v>
      </c>
      <c r="W94" s="33" t="n">
        <f aca="false">'Feb 2027'!Z94</f>
        <v>0</v>
      </c>
      <c r="X94" s="33" t="n">
        <f aca="false">IF(B94="",0,N(Students!J83))</f>
        <v>0</v>
      </c>
      <c r="Y94" s="23"/>
      <c r="Z94" s="24" t="n">
        <f aca="false">N(W94)+N(X94)-N(Y94)</f>
        <v>0</v>
      </c>
      <c r="AA94" s="33" t="n">
        <f aca="false">N(E94)+N(I94)+N(M94)+N(Q94)+N(U94)+N(Y94)</f>
        <v>0</v>
      </c>
      <c r="AB94" s="24" t="n">
        <f aca="false">F94+J94+N94+R94+V94+Z94</f>
        <v>0</v>
      </c>
      <c r="AC94" s="81" t="str">
        <f aca="false">IF(B94="","",IF(AB94&lt;=0,"Clear",IF(AA94&gt;0,"Partial","Due")))</f>
        <v/>
      </c>
    </row>
    <row r="95" customFormat="false" ht="15" hidden="false" customHeight="false" outlineLevel="0" collapsed="false">
      <c r="A95" s="25" t="n">
        <v>80</v>
      </c>
      <c r="B95" s="82" t="str">
        <f aca="false">IF(Students!B84="","",Students!B84)</f>
        <v/>
      </c>
      <c r="C95" s="37" t="n">
        <f aca="false">'Feb 2027'!F95</f>
        <v>0</v>
      </c>
      <c r="D95" s="37" t="n">
        <f aca="false">IF(B95="",0,N(Students!E84))</f>
        <v>0</v>
      </c>
      <c r="E95" s="23"/>
      <c r="F95" s="26" t="n">
        <f aca="false">N(C95)+N(D95)-N(E95)</f>
        <v>0</v>
      </c>
      <c r="G95" s="37" t="n">
        <f aca="false">'Feb 2027'!J95</f>
        <v>0</v>
      </c>
      <c r="H95" s="37" t="n">
        <f aca="false">IF(B95="",0,N(Students!F84))</f>
        <v>0</v>
      </c>
      <c r="I95" s="23"/>
      <c r="J95" s="26" t="n">
        <f aca="false">N(G95)+N(H95)-N(I95)</f>
        <v>0</v>
      </c>
      <c r="K95" s="37" t="n">
        <f aca="false">'Feb 2027'!N95</f>
        <v>0</v>
      </c>
      <c r="L95" s="37" t="n">
        <f aca="false">IF(B95="",0,N(Students!G84))</f>
        <v>0</v>
      </c>
      <c r="M95" s="23"/>
      <c r="N95" s="26" t="n">
        <f aca="false">N(K95)+N(L95)-N(M95)</f>
        <v>0</v>
      </c>
      <c r="O95" s="37" t="n">
        <f aca="false">'Feb 2027'!R95</f>
        <v>0</v>
      </c>
      <c r="P95" s="37" t="n">
        <f aca="false">IF(B95="",0,N(Students!H84))</f>
        <v>0</v>
      </c>
      <c r="Q95" s="23"/>
      <c r="R95" s="26" t="n">
        <f aca="false">N(O95)+N(P95)-N(Q95)</f>
        <v>0</v>
      </c>
      <c r="S95" s="37" t="n">
        <f aca="false">'Feb 2027'!V95</f>
        <v>0</v>
      </c>
      <c r="T95" s="37" t="n">
        <f aca="false">IF(B95="",0,N(Students!I84))</f>
        <v>0</v>
      </c>
      <c r="U95" s="23"/>
      <c r="V95" s="26" t="n">
        <f aca="false">N(S95)+N(T95)-N(U95)</f>
        <v>0</v>
      </c>
      <c r="W95" s="37" t="n">
        <f aca="false">'Feb 2027'!Z95</f>
        <v>0</v>
      </c>
      <c r="X95" s="37" t="n">
        <f aca="false">IF(B95="",0,N(Students!J84))</f>
        <v>0</v>
      </c>
      <c r="Y95" s="23"/>
      <c r="Z95" s="26" t="n">
        <f aca="false">N(W95)+N(X95)-N(Y95)</f>
        <v>0</v>
      </c>
      <c r="AA95" s="37" t="n">
        <f aca="false">N(E95)+N(I95)+N(M95)+N(Q95)+N(U95)+N(Y95)</f>
        <v>0</v>
      </c>
      <c r="AB95" s="26" t="n">
        <f aca="false">F95+J95+N95+R95+V95+Z95</f>
        <v>0</v>
      </c>
      <c r="AC95" s="83" t="str">
        <f aca="false">IF(B95="","",IF(AB95&lt;=0,"Clear",IF(AA95&gt;0,"Partial","Due")))</f>
        <v/>
      </c>
    </row>
    <row r="96" customFormat="false" ht="15" hidden="false" customHeight="false" outlineLevel="0" collapsed="false">
      <c r="A96" s="21" t="n">
        <v>81</v>
      </c>
      <c r="B96" s="46" t="str">
        <f aca="false">IF(Students!B85="","",Students!B85)</f>
        <v/>
      </c>
      <c r="C96" s="33" t="n">
        <f aca="false">'Feb 2027'!F96</f>
        <v>0</v>
      </c>
      <c r="D96" s="33" t="n">
        <f aca="false">IF(B96="",0,N(Students!E85))</f>
        <v>0</v>
      </c>
      <c r="E96" s="23"/>
      <c r="F96" s="24" t="n">
        <f aca="false">N(C96)+N(D96)-N(E96)</f>
        <v>0</v>
      </c>
      <c r="G96" s="33" t="n">
        <f aca="false">'Feb 2027'!J96</f>
        <v>0</v>
      </c>
      <c r="H96" s="33" t="n">
        <f aca="false">IF(B96="",0,N(Students!F85))</f>
        <v>0</v>
      </c>
      <c r="I96" s="23"/>
      <c r="J96" s="24" t="n">
        <f aca="false">N(G96)+N(H96)-N(I96)</f>
        <v>0</v>
      </c>
      <c r="K96" s="33" t="n">
        <f aca="false">'Feb 2027'!N96</f>
        <v>0</v>
      </c>
      <c r="L96" s="33" t="n">
        <f aca="false">IF(B96="",0,N(Students!G85))</f>
        <v>0</v>
      </c>
      <c r="M96" s="23"/>
      <c r="N96" s="24" t="n">
        <f aca="false">N(K96)+N(L96)-N(M96)</f>
        <v>0</v>
      </c>
      <c r="O96" s="33" t="n">
        <f aca="false">'Feb 2027'!R96</f>
        <v>0</v>
      </c>
      <c r="P96" s="33" t="n">
        <f aca="false">IF(B96="",0,N(Students!H85))</f>
        <v>0</v>
      </c>
      <c r="Q96" s="23"/>
      <c r="R96" s="24" t="n">
        <f aca="false">N(O96)+N(P96)-N(Q96)</f>
        <v>0</v>
      </c>
      <c r="S96" s="33" t="n">
        <f aca="false">'Feb 2027'!V96</f>
        <v>0</v>
      </c>
      <c r="T96" s="33" t="n">
        <f aca="false">IF(B96="",0,N(Students!I85))</f>
        <v>0</v>
      </c>
      <c r="U96" s="23"/>
      <c r="V96" s="24" t="n">
        <f aca="false">N(S96)+N(T96)-N(U96)</f>
        <v>0</v>
      </c>
      <c r="W96" s="33" t="n">
        <f aca="false">'Feb 2027'!Z96</f>
        <v>0</v>
      </c>
      <c r="X96" s="33" t="n">
        <f aca="false">IF(B96="",0,N(Students!J85))</f>
        <v>0</v>
      </c>
      <c r="Y96" s="23"/>
      <c r="Z96" s="24" t="n">
        <f aca="false">N(W96)+N(X96)-N(Y96)</f>
        <v>0</v>
      </c>
      <c r="AA96" s="33" t="n">
        <f aca="false">N(E96)+N(I96)+N(M96)+N(Q96)+N(U96)+N(Y96)</f>
        <v>0</v>
      </c>
      <c r="AB96" s="24" t="n">
        <f aca="false">F96+J96+N96+R96+V96+Z96</f>
        <v>0</v>
      </c>
      <c r="AC96" s="81" t="str">
        <f aca="false">IF(B96="","",IF(AB96&lt;=0,"Clear",IF(AA96&gt;0,"Partial","Due")))</f>
        <v/>
      </c>
    </row>
    <row r="97" customFormat="false" ht="15" hidden="false" customHeight="false" outlineLevel="0" collapsed="false">
      <c r="A97" s="25" t="n">
        <v>82</v>
      </c>
      <c r="B97" s="82" t="str">
        <f aca="false">IF(Students!B86="","",Students!B86)</f>
        <v/>
      </c>
      <c r="C97" s="37" t="n">
        <f aca="false">'Feb 2027'!F97</f>
        <v>0</v>
      </c>
      <c r="D97" s="37" t="n">
        <f aca="false">IF(B97="",0,N(Students!E86))</f>
        <v>0</v>
      </c>
      <c r="E97" s="23"/>
      <c r="F97" s="26" t="n">
        <f aca="false">N(C97)+N(D97)-N(E97)</f>
        <v>0</v>
      </c>
      <c r="G97" s="37" t="n">
        <f aca="false">'Feb 2027'!J97</f>
        <v>0</v>
      </c>
      <c r="H97" s="37" t="n">
        <f aca="false">IF(B97="",0,N(Students!F86))</f>
        <v>0</v>
      </c>
      <c r="I97" s="23"/>
      <c r="J97" s="26" t="n">
        <f aca="false">N(G97)+N(H97)-N(I97)</f>
        <v>0</v>
      </c>
      <c r="K97" s="37" t="n">
        <f aca="false">'Feb 2027'!N97</f>
        <v>0</v>
      </c>
      <c r="L97" s="37" t="n">
        <f aca="false">IF(B97="",0,N(Students!G86))</f>
        <v>0</v>
      </c>
      <c r="M97" s="23"/>
      <c r="N97" s="26" t="n">
        <f aca="false">N(K97)+N(L97)-N(M97)</f>
        <v>0</v>
      </c>
      <c r="O97" s="37" t="n">
        <f aca="false">'Feb 2027'!R97</f>
        <v>0</v>
      </c>
      <c r="P97" s="37" t="n">
        <f aca="false">IF(B97="",0,N(Students!H86))</f>
        <v>0</v>
      </c>
      <c r="Q97" s="23"/>
      <c r="R97" s="26" t="n">
        <f aca="false">N(O97)+N(P97)-N(Q97)</f>
        <v>0</v>
      </c>
      <c r="S97" s="37" t="n">
        <f aca="false">'Feb 2027'!V97</f>
        <v>0</v>
      </c>
      <c r="T97" s="37" t="n">
        <f aca="false">IF(B97="",0,N(Students!I86))</f>
        <v>0</v>
      </c>
      <c r="U97" s="23"/>
      <c r="V97" s="26" t="n">
        <f aca="false">N(S97)+N(T97)-N(U97)</f>
        <v>0</v>
      </c>
      <c r="W97" s="37" t="n">
        <f aca="false">'Feb 2027'!Z97</f>
        <v>0</v>
      </c>
      <c r="X97" s="37" t="n">
        <f aca="false">IF(B97="",0,N(Students!J86))</f>
        <v>0</v>
      </c>
      <c r="Y97" s="23"/>
      <c r="Z97" s="26" t="n">
        <f aca="false">N(W97)+N(X97)-N(Y97)</f>
        <v>0</v>
      </c>
      <c r="AA97" s="37" t="n">
        <f aca="false">N(E97)+N(I97)+N(M97)+N(Q97)+N(U97)+N(Y97)</f>
        <v>0</v>
      </c>
      <c r="AB97" s="26" t="n">
        <f aca="false">F97+J97+N97+R97+V97+Z97</f>
        <v>0</v>
      </c>
      <c r="AC97" s="83" t="str">
        <f aca="false">IF(B97="","",IF(AB97&lt;=0,"Clear",IF(AA97&gt;0,"Partial","Due")))</f>
        <v/>
      </c>
    </row>
    <row r="98" customFormat="false" ht="15" hidden="false" customHeight="false" outlineLevel="0" collapsed="false">
      <c r="A98" s="21" t="n">
        <v>83</v>
      </c>
      <c r="B98" s="46" t="str">
        <f aca="false">IF(Students!B87="","",Students!B87)</f>
        <v/>
      </c>
      <c r="C98" s="33" t="n">
        <f aca="false">'Feb 2027'!F98</f>
        <v>0</v>
      </c>
      <c r="D98" s="33" t="n">
        <f aca="false">IF(B98="",0,N(Students!E87))</f>
        <v>0</v>
      </c>
      <c r="E98" s="23"/>
      <c r="F98" s="24" t="n">
        <f aca="false">N(C98)+N(D98)-N(E98)</f>
        <v>0</v>
      </c>
      <c r="G98" s="33" t="n">
        <f aca="false">'Feb 2027'!J98</f>
        <v>0</v>
      </c>
      <c r="H98" s="33" t="n">
        <f aca="false">IF(B98="",0,N(Students!F87))</f>
        <v>0</v>
      </c>
      <c r="I98" s="23"/>
      <c r="J98" s="24" t="n">
        <f aca="false">N(G98)+N(H98)-N(I98)</f>
        <v>0</v>
      </c>
      <c r="K98" s="33" t="n">
        <f aca="false">'Feb 2027'!N98</f>
        <v>0</v>
      </c>
      <c r="L98" s="33" t="n">
        <f aca="false">IF(B98="",0,N(Students!G87))</f>
        <v>0</v>
      </c>
      <c r="M98" s="23"/>
      <c r="N98" s="24" t="n">
        <f aca="false">N(K98)+N(L98)-N(M98)</f>
        <v>0</v>
      </c>
      <c r="O98" s="33" t="n">
        <f aca="false">'Feb 2027'!R98</f>
        <v>0</v>
      </c>
      <c r="P98" s="33" t="n">
        <f aca="false">IF(B98="",0,N(Students!H87))</f>
        <v>0</v>
      </c>
      <c r="Q98" s="23"/>
      <c r="R98" s="24" t="n">
        <f aca="false">N(O98)+N(P98)-N(Q98)</f>
        <v>0</v>
      </c>
      <c r="S98" s="33" t="n">
        <f aca="false">'Feb 2027'!V98</f>
        <v>0</v>
      </c>
      <c r="T98" s="33" t="n">
        <f aca="false">IF(B98="",0,N(Students!I87))</f>
        <v>0</v>
      </c>
      <c r="U98" s="23"/>
      <c r="V98" s="24" t="n">
        <f aca="false">N(S98)+N(T98)-N(U98)</f>
        <v>0</v>
      </c>
      <c r="W98" s="33" t="n">
        <f aca="false">'Feb 2027'!Z98</f>
        <v>0</v>
      </c>
      <c r="X98" s="33" t="n">
        <f aca="false">IF(B98="",0,N(Students!J87))</f>
        <v>0</v>
      </c>
      <c r="Y98" s="23"/>
      <c r="Z98" s="24" t="n">
        <f aca="false">N(W98)+N(X98)-N(Y98)</f>
        <v>0</v>
      </c>
      <c r="AA98" s="33" t="n">
        <f aca="false">N(E98)+N(I98)+N(M98)+N(Q98)+N(U98)+N(Y98)</f>
        <v>0</v>
      </c>
      <c r="AB98" s="24" t="n">
        <f aca="false">F98+J98+N98+R98+V98+Z98</f>
        <v>0</v>
      </c>
      <c r="AC98" s="81" t="str">
        <f aca="false">IF(B98="","",IF(AB98&lt;=0,"Clear",IF(AA98&gt;0,"Partial","Due")))</f>
        <v/>
      </c>
    </row>
    <row r="99" customFormat="false" ht="15" hidden="false" customHeight="false" outlineLevel="0" collapsed="false">
      <c r="A99" s="25" t="n">
        <v>84</v>
      </c>
      <c r="B99" s="82" t="str">
        <f aca="false">IF(Students!B88="","",Students!B88)</f>
        <v/>
      </c>
      <c r="C99" s="37" t="n">
        <f aca="false">'Feb 2027'!F99</f>
        <v>0</v>
      </c>
      <c r="D99" s="37" t="n">
        <f aca="false">IF(B99="",0,N(Students!E88))</f>
        <v>0</v>
      </c>
      <c r="E99" s="23"/>
      <c r="F99" s="26" t="n">
        <f aca="false">N(C99)+N(D99)-N(E99)</f>
        <v>0</v>
      </c>
      <c r="G99" s="37" t="n">
        <f aca="false">'Feb 2027'!J99</f>
        <v>0</v>
      </c>
      <c r="H99" s="37" t="n">
        <f aca="false">IF(B99="",0,N(Students!F88))</f>
        <v>0</v>
      </c>
      <c r="I99" s="23"/>
      <c r="J99" s="26" t="n">
        <f aca="false">N(G99)+N(H99)-N(I99)</f>
        <v>0</v>
      </c>
      <c r="K99" s="37" t="n">
        <f aca="false">'Feb 2027'!N99</f>
        <v>0</v>
      </c>
      <c r="L99" s="37" t="n">
        <f aca="false">IF(B99="",0,N(Students!G88))</f>
        <v>0</v>
      </c>
      <c r="M99" s="23"/>
      <c r="N99" s="26" t="n">
        <f aca="false">N(K99)+N(L99)-N(M99)</f>
        <v>0</v>
      </c>
      <c r="O99" s="37" t="n">
        <f aca="false">'Feb 2027'!R99</f>
        <v>0</v>
      </c>
      <c r="P99" s="37" t="n">
        <f aca="false">IF(B99="",0,N(Students!H88))</f>
        <v>0</v>
      </c>
      <c r="Q99" s="23"/>
      <c r="R99" s="26" t="n">
        <f aca="false">N(O99)+N(P99)-N(Q99)</f>
        <v>0</v>
      </c>
      <c r="S99" s="37" t="n">
        <f aca="false">'Feb 2027'!V99</f>
        <v>0</v>
      </c>
      <c r="T99" s="37" t="n">
        <f aca="false">IF(B99="",0,N(Students!I88))</f>
        <v>0</v>
      </c>
      <c r="U99" s="23"/>
      <c r="V99" s="26" t="n">
        <f aca="false">N(S99)+N(T99)-N(U99)</f>
        <v>0</v>
      </c>
      <c r="W99" s="37" t="n">
        <f aca="false">'Feb 2027'!Z99</f>
        <v>0</v>
      </c>
      <c r="X99" s="37" t="n">
        <f aca="false">IF(B99="",0,N(Students!J88))</f>
        <v>0</v>
      </c>
      <c r="Y99" s="23"/>
      <c r="Z99" s="26" t="n">
        <f aca="false">N(W99)+N(X99)-N(Y99)</f>
        <v>0</v>
      </c>
      <c r="AA99" s="37" t="n">
        <f aca="false">N(E99)+N(I99)+N(M99)+N(Q99)+N(U99)+N(Y99)</f>
        <v>0</v>
      </c>
      <c r="AB99" s="26" t="n">
        <f aca="false">F99+J99+N99+R99+V99+Z99</f>
        <v>0</v>
      </c>
      <c r="AC99" s="83" t="str">
        <f aca="false">IF(B99="","",IF(AB99&lt;=0,"Clear",IF(AA99&gt;0,"Partial","Due")))</f>
        <v/>
      </c>
    </row>
    <row r="100" customFormat="false" ht="15" hidden="false" customHeight="false" outlineLevel="0" collapsed="false">
      <c r="A100" s="21" t="n">
        <v>85</v>
      </c>
      <c r="B100" s="46" t="str">
        <f aca="false">IF(Students!B89="","",Students!B89)</f>
        <v/>
      </c>
      <c r="C100" s="33" t="n">
        <f aca="false">'Feb 2027'!F100</f>
        <v>0</v>
      </c>
      <c r="D100" s="33" t="n">
        <f aca="false">IF(B100="",0,N(Students!E89))</f>
        <v>0</v>
      </c>
      <c r="E100" s="23"/>
      <c r="F100" s="24" t="n">
        <f aca="false">N(C100)+N(D100)-N(E100)</f>
        <v>0</v>
      </c>
      <c r="G100" s="33" t="n">
        <f aca="false">'Feb 2027'!J100</f>
        <v>0</v>
      </c>
      <c r="H100" s="33" t="n">
        <f aca="false">IF(B100="",0,N(Students!F89))</f>
        <v>0</v>
      </c>
      <c r="I100" s="23"/>
      <c r="J100" s="24" t="n">
        <f aca="false">N(G100)+N(H100)-N(I100)</f>
        <v>0</v>
      </c>
      <c r="K100" s="33" t="n">
        <f aca="false">'Feb 2027'!N100</f>
        <v>0</v>
      </c>
      <c r="L100" s="33" t="n">
        <f aca="false">IF(B100="",0,N(Students!G89))</f>
        <v>0</v>
      </c>
      <c r="M100" s="23"/>
      <c r="N100" s="24" t="n">
        <f aca="false">N(K100)+N(L100)-N(M100)</f>
        <v>0</v>
      </c>
      <c r="O100" s="33" t="n">
        <f aca="false">'Feb 2027'!R100</f>
        <v>0</v>
      </c>
      <c r="P100" s="33" t="n">
        <f aca="false">IF(B100="",0,N(Students!H89))</f>
        <v>0</v>
      </c>
      <c r="Q100" s="23"/>
      <c r="R100" s="24" t="n">
        <f aca="false">N(O100)+N(P100)-N(Q100)</f>
        <v>0</v>
      </c>
      <c r="S100" s="33" t="n">
        <f aca="false">'Feb 2027'!V100</f>
        <v>0</v>
      </c>
      <c r="T100" s="33" t="n">
        <f aca="false">IF(B100="",0,N(Students!I89))</f>
        <v>0</v>
      </c>
      <c r="U100" s="23"/>
      <c r="V100" s="24" t="n">
        <f aca="false">N(S100)+N(T100)-N(U100)</f>
        <v>0</v>
      </c>
      <c r="W100" s="33" t="n">
        <f aca="false">'Feb 2027'!Z100</f>
        <v>0</v>
      </c>
      <c r="X100" s="33" t="n">
        <f aca="false">IF(B100="",0,N(Students!J89))</f>
        <v>0</v>
      </c>
      <c r="Y100" s="23"/>
      <c r="Z100" s="24" t="n">
        <f aca="false">N(W100)+N(X100)-N(Y100)</f>
        <v>0</v>
      </c>
      <c r="AA100" s="33" t="n">
        <f aca="false">N(E100)+N(I100)+N(M100)+N(Q100)+N(U100)+N(Y100)</f>
        <v>0</v>
      </c>
      <c r="AB100" s="24" t="n">
        <f aca="false">F100+J100+N100+R100+V100+Z100</f>
        <v>0</v>
      </c>
      <c r="AC100" s="81" t="str">
        <f aca="false">IF(B100="","",IF(AB100&lt;=0,"Clear",IF(AA100&gt;0,"Partial","Due")))</f>
        <v/>
      </c>
    </row>
    <row r="101" customFormat="false" ht="15" hidden="false" customHeight="false" outlineLevel="0" collapsed="false">
      <c r="A101" s="25" t="n">
        <v>86</v>
      </c>
      <c r="B101" s="82" t="str">
        <f aca="false">IF(Students!B90="","",Students!B90)</f>
        <v/>
      </c>
      <c r="C101" s="37" t="n">
        <f aca="false">'Feb 2027'!F101</f>
        <v>0</v>
      </c>
      <c r="D101" s="37" t="n">
        <f aca="false">IF(B101="",0,N(Students!E90))</f>
        <v>0</v>
      </c>
      <c r="E101" s="23"/>
      <c r="F101" s="26" t="n">
        <f aca="false">N(C101)+N(D101)-N(E101)</f>
        <v>0</v>
      </c>
      <c r="G101" s="37" t="n">
        <f aca="false">'Feb 2027'!J101</f>
        <v>0</v>
      </c>
      <c r="H101" s="37" t="n">
        <f aca="false">IF(B101="",0,N(Students!F90))</f>
        <v>0</v>
      </c>
      <c r="I101" s="23"/>
      <c r="J101" s="26" t="n">
        <f aca="false">N(G101)+N(H101)-N(I101)</f>
        <v>0</v>
      </c>
      <c r="K101" s="37" t="n">
        <f aca="false">'Feb 2027'!N101</f>
        <v>0</v>
      </c>
      <c r="L101" s="37" t="n">
        <f aca="false">IF(B101="",0,N(Students!G90))</f>
        <v>0</v>
      </c>
      <c r="M101" s="23"/>
      <c r="N101" s="26" t="n">
        <f aca="false">N(K101)+N(L101)-N(M101)</f>
        <v>0</v>
      </c>
      <c r="O101" s="37" t="n">
        <f aca="false">'Feb 2027'!R101</f>
        <v>0</v>
      </c>
      <c r="P101" s="37" t="n">
        <f aca="false">IF(B101="",0,N(Students!H90))</f>
        <v>0</v>
      </c>
      <c r="Q101" s="23"/>
      <c r="R101" s="26" t="n">
        <f aca="false">N(O101)+N(P101)-N(Q101)</f>
        <v>0</v>
      </c>
      <c r="S101" s="37" t="n">
        <f aca="false">'Feb 2027'!V101</f>
        <v>0</v>
      </c>
      <c r="T101" s="37" t="n">
        <f aca="false">IF(B101="",0,N(Students!I90))</f>
        <v>0</v>
      </c>
      <c r="U101" s="23"/>
      <c r="V101" s="26" t="n">
        <f aca="false">N(S101)+N(T101)-N(U101)</f>
        <v>0</v>
      </c>
      <c r="W101" s="37" t="n">
        <f aca="false">'Feb 2027'!Z101</f>
        <v>0</v>
      </c>
      <c r="X101" s="37" t="n">
        <f aca="false">IF(B101="",0,N(Students!J90))</f>
        <v>0</v>
      </c>
      <c r="Y101" s="23"/>
      <c r="Z101" s="26" t="n">
        <f aca="false">N(W101)+N(X101)-N(Y101)</f>
        <v>0</v>
      </c>
      <c r="AA101" s="37" t="n">
        <f aca="false">N(E101)+N(I101)+N(M101)+N(Q101)+N(U101)+N(Y101)</f>
        <v>0</v>
      </c>
      <c r="AB101" s="26" t="n">
        <f aca="false">F101+J101+N101+R101+V101+Z101</f>
        <v>0</v>
      </c>
      <c r="AC101" s="83" t="str">
        <f aca="false">IF(B101="","",IF(AB101&lt;=0,"Clear",IF(AA101&gt;0,"Partial","Due")))</f>
        <v/>
      </c>
    </row>
    <row r="102" customFormat="false" ht="15" hidden="false" customHeight="false" outlineLevel="0" collapsed="false">
      <c r="A102" s="21" t="n">
        <v>87</v>
      </c>
      <c r="B102" s="46" t="str">
        <f aca="false">IF(Students!B91="","",Students!B91)</f>
        <v/>
      </c>
      <c r="C102" s="33" t="n">
        <f aca="false">'Feb 2027'!F102</f>
        <v>0</v>
      </c>
      <c r="D102" s="33" t="n">
        <f aca="false">IF(B102="",0,N(Students!E91))</f>
        <v>0</v>
      </c>
      <c r="E102" s="23"/>
      <c r="F102" s="24" t="n">
        <f aca="false">N(C102)+N(D102)-N(E102)</f>
        <v>0</v>
      </c>
      <c r="G102" s="33" t="n">
        <f aca="false">'Feb 2027'!J102</f>
        <v>0</v>
      </c>
      <c r="H102" s="33" t="n">
        <f aca="false">IF(B102="",0,N(Students!F91))</f>
        <v>0</v>
      </c>
      <c r="I102" s="23"/>
      <c r="J102" s="24" t="n">
        <f aca="false">N(G102)+N(H102)-N(I102)</f>
        <v>0</v>
      </c>
      <c r="K102" s="33" t="n">
        <f aca="false">'Feb 2027'!N102</f>
        <v>0</v>
      </c>
      <c r="L102" s="33" t="n">
        <f aca="false">IF(B102="",0,N(Students!G91))</f>
        <v>0</v>
      </c>
      <c r="M102" s="23"/>
      <c r="N102" s="24" t="n">
        <f aca="false">N(K102)+N(L102)-N(M102)</f>
        <v>0</v>
      </c>
      <c r="O102" s="33" t="n">
        <f aca="false">'Feb 2027'!R102</f>
        <v>0</v>
      </c>
      <c r="P102" s="33" t="n">
        <f aca="false">IF(B102="",0,N(Students!H91))</f>
        <v>0</v>
      </c>
      <c r="Q102" s="23"/>
      <c r="R102" s="24" t="n">
        <f aca="false">N(O102)+N(P102)-N(Q102)</f>
        <v>0</v>
      </c>
      <c r="S102" s="33" t="n">
        <f aca="false">'Feb 2027'!V102</f>
        <v>0</v>
      </c>
      <c r="T102" s="33" t="n">
        <f aca="false">IF(B102="",0,N(Students!I91))</f>
        <v>0</v>
      </c>
      <c r="U102" s="23"/>
      <c r="V102" s="24" t="n">
        <f aca="false">N(S102)+N(T102)-N(U102)</f>
        <v>0</v>
      </c>
      <c r="W102" s="33" t="n">
        <f aca="false">'Feb 2027'!Z102</f>
        <v>0</v>
      </c>
      <c r="X102" s="33" t="n">
        <f aca="false">IF(B102="",0,N(Students!J91))</f>
        <v>0</v>
      </c>
      <c r="Y102" s="23"/>
      <c r="Z102" s="24" t="n">
        <f aca="false">N(W102)+N(X102)-N(Y102)</f>
        <v>0</v>
      </c>
      <c r="AA102" s="33" t="n">
        <f aca="false">N(E102)+N(I102)+N(M102)+N(Q102)+N(U102)+N(Y102)</f>
        <v>0</v>
      </c>
      <c r="AB102" s="24" t="n">
        <f aca="false">F102+J102+N102+R102+V102+Z102</f>
        <v>0</v>
      </c>
      <c r="AC102" s="81" t="str">
        <f aca="false">IF(B102="","",IF(AB102&lt;=0,"Clear",IF(AA102&gt;0,"Partial","Due")))</f>
        <v/>
      </c>
    </row>
    <row r="103" customFormat="false" ht="15" hidden="false" customHeight="false" outlineLevel="0" collapsed="false">
      <c r="A103" s="25" t="n">
        <v>88</v>
      </c>
      <c r="B103" s="82" t="str">
        <f aca="false">IF(Students!B92="","",Students!B92)</f>
        <v/>
      </c>
      <c r="C103" s="37" t="n">
        <f aca="false">'Feb 2027'!F103</f>
        <v>0</v>
      </c>
      <c r="D103" s="37" t="n">
        <f aca="false">IF(B103="",0,N(Students!E92))</f>
        <v>0</v>
      </c>
      <c r="E103" s="23"/>
      <c r="F103" s="26" t="n">
        <f aca="false">N(C103)+N(D103)-N(E103)</f>
        <v>0</v>
      </c>
      <c r="G103" s="37" t="n">
        <f aca="false">'Feb 2027'!J103</f>
        <v>0</v>
      </c>
      <c r="H103" s="37" t="n">
        <f aca="false">IF(B103="",0,N(Students!F92))</f>
        <v>0</v>
      </c>
      <c r="I103" s="23"/>
      <c r="J103" s="26" t="n">
        <f aca="false">N(G103)+N(H103)-N(I103)</f>
        <v>0</v>
      </c>
      <c r="K103" s="37" t="n">
        <f aca="false">'Feb 2027'!N103</f>
        <v>0</v>
      </c>
      <c r="L103" s="37" t="n">
        <f aca="false">IF(B103="",0,N(Students!G92))</f>
        <v>0</v>
      </c>
      <c r="M103" s="23"/>
      <c r="N103" s="26" t="n">
        <f aca="false">N(K103)+N(L103)-N(M103)</f>
        <v>0</v>
      </c>
      <c r="O103" s="37" t="n">
        <f aca="false">'Feb 2027'!R103</f>
        <v>0</v>
      </c>
      <c r="P103" s="37" t="n">
        <f aca="false">IF(B103="",0,N(Students!H92))</f>
        <v>0</v>
      </c>
      <c r="Q103" s="23"/>
      <c r="R103" s="26" t="n">
        <f aca="false">N(O103)+N(P103)-N(Q103)</f>
        <v>0</v>
      </c>
      <c r="S103" s="37" t="n">
        <f aca="false">'Feb 2027'!V103</f>
        <v>0</v>
      </c>
      <c r="T103" s="37" t="n">
        <f aca="false">IF(B103="",0,N(Students!I92))</f>
        <v>0</v>
      </c>
      <c r="U103" s="23"/>
      <c r="V103" s="26" t="n">
        <f aca="false">N(S103)+N(T103)-N(U103)</f>
        <v>0</v>
      </c>
      <c r="W103" s="37" t="n">
        <f aca="false">'Feb 2027'!Z103</f>
        <v>0</v>
      </c>
      <c r="X103" s="37" t="n">
        <f aca="false">IF(B103="",0,N(Students!J92))</f>
        <v>0</v>
      </c>
      <c r="Y103" s="23"/>
      <c r="Z103" s="26" t="n">
        <f aca="false">N(W103)+N(X103)-N(Y103)</f>
        <v>0</v>
      </c>
      <c r="AA103" s="37" t="n">
        <f aca="false">N(E103)+N(I103)+N(M103)+N(Q103)+N(U103)+N(Y103)</f>
        <v>0</v>
      </c>
      <c r="AB103" s="26" t="n">
        <f aca="false">F103+J103+N103+R103+V103+Z103</f>
        <v>0</v>
      </c>
      <c r="AC103" s="83" t="str">
        <f aca="false">IF(B103="","",IF(AB103&lt;=0,"Clear",IF(AA103&gt;0,"Partial","Due")))</f>
        <v/>
      </c>
    </row>
    <row r="104" customFormat="false" ht="15" hidden="false" customHeight="false" outlineLevel="0" collapsed="false">
      <c r="A104" s="21" t="n">
        <v>89</v>
      </c>
      <c r="B104" s="46" t="str">
        <f aca="false">IF(Students!B93="","",Students!B93)</f>
        <v/>
      </c>
      <c r="C104" s="33" t="n">
        <f aca="false">'Feb 2027'!F104</f>
        <v>0</v>
      </c>
      <c r="D104" s="33" t="n">
        <f aca="false">IF(B104="",0,N(Students!E93))</f>
        <v>0</v>
      </c>
      <c r="E104" s="23"/>
      <c r="F104" s="24" t="n">
        <f aca="false">N(C104)+N(D104)-N(E104)</f>
        <v>0</v>
      </c>
      <c r="G104" s="33" t="n">
        <f aca="false">'Feb 2027'!J104</f>
        <v>0</v>
      </c>
      <c r="H104" s="33" t="n">
        <f aca="false">IF(B104="",0,N(Students!F93))</f>
        <v>0</v>
      </c>
      <c r="I104" s="23"/>
      <c r="J104" s="24" t="n">
        <f aca="false">N(G104)+N(H104)-N(I104)</f>
        <v>0</v>
      </c>
      <c r="K104" s="33" t="n">
        <f aca="false">'Feb 2027'!N104</f>
        <v>0</v>
      </c>
      <c r="L104" s="33" t="n">
        <f aca="false">IF(B104="",0,N(Students!G93))</f>
        <v>0</v>
      </c>
      <c r="M104" s="23"/>
      <c r="N104" s="24" t="n">
        <f aca="false">N(K104)+N(L104)-N(M104)</f>
        <v>0</v>
      </c>
      <c r="O104" s="33" t="n">
        <f aca="false">'Feb 2027'!R104</f>
        <v>0</v>
      </c>
      <c r="P104" s="33" t="n">
        <f aca="false">IF(B104="",0,N(Students!H93))</f>
        <v>0</v>
      </c>
      <c r="Q104" s="23"/>
      <c r="R104" s="24" t="n">
        <f aca="false">N(O104)+N(P104)-N(Q104)</f>
        <v>0</v>
      </c>
      <c r="S104" s="33" t="n">
        <f aca="false">'Feb 2027'!V104</f>
        <v>0</v>
      </c>
      <c r="T104" s="33" t="n">
        <f aca="false">IF(B104="",0,N(Students!I93))</f>
        <v>0</v>
      </c>
      <c r="U104" s="23"/>
      <c r="V104" s="24" t="n">
        <f aca="false">N(S104)+N(T104)-N(U104)</f>
        <v>0</v>
      </c>
      <c r="W104" s="33" t="n">
        <f aca="false">'Feb 2027'!Z104</f>
        <v>0</v>
      </c>
      <c r="X104" s="33" t="n">
        <f aca="false">IF(B104="",0,N(Students!J93))</f>
        <v>0</v>
      </c>
      <c r="Y104" s="23"/>
      <c r="Z104" s="24" t="n">
        <f aca="false">N(W104)+N(X104)-N(Y104)</f>
        <v>0</v>
      </c>
      <c r="AA104" s="33" t="n">
        <f aca="false">N(E104)+N(I104)+N(M104)+N(Q104)+N(U104)+N(Y104)</f>
        <v>0</v>
      </c>
      <c r="AB104" s="24" t="n">
        <f aca="false">F104+J104+N104+R104+V104+Z104</f>
        <v>0</v>
      </c>
      <c r="AC104" s="81" t="str">
        <f aca="false">IF(B104="","",IF(AB104&lt;=0,"Clear",IF(AA104&gt;0,"Partial","Due")))</f>
        <v/>
      </c>
    </row>
    <row r="105" customFormat="false" ht="15" hidden="false" customHeight="false" outlineLevel="0" collapsed="false">
      <c r="A105" s="25" t="n">
        <v>90</v>
      </c>
      <c r="B105" s="82" t="str">
        <f aca="false">IF(Students!B94="","",Students!B94)</f>
        <v/>
      </c>
      <c r="C105" s="37" t="n">
        <f aca="false">'Feb 2027'!F105</f>
        <v>0</v>
      </c>
      <c r="D105" s="37" t="n">
        <f aca="false">IF(B105="",0,N(Students!E94))</f>
        <v>0</v>
      </c>
      <c r="E105" s="23"/>
      <c r="F105" s="26" t="n">
        <f aca="false">N(C105)+N(D105)-N(E105)</f>
        <v>0</v>
      </c>
      <c r="G105" s="37" t="n">
        <f aca="false">'Feb 2027'!J105</f>
        <v>0</v>
      </c>
      <c r="H105" s="37" t="n">
        <f aca="false">IF(B105="",0,N(Students!F94))</f>
        <v>0</v>
      </c>
      <c r="I105" s="23"/>
      <c r="J105" s="26" t="n">
        <f aca="false">N(G105)+N(H105)-N(I105)</f>
        <v>0</v>
      </c>
      <c r="K105" s="37" t="n">
        <f aca="false">'Feb 2027'!N105</f>
        <v>0</v>
      </c>
      <c r="L105" s="37" t="n">
        <f aca="false">IF(B105="",0,N(Students!G94))</f>
        <v>0</v>
      </c>
      <c r="M105" s="23"/>
      <c r="N105" s="26" t="n">
        <f aca="false">N(K105)+N(L105)-N(M105)</f>
        <v>0</v>
      </c>
      <c r="O105" s="37" t="n">
        <f aca="false">'Feb 2027'!R105</f>
        <v>0</v>
      </c>
      <c r="P105" s="37" t="n">
        <f aca="false">IF(B105="",0,N(Students!H94))</f>
        <v>0</v>
      </c>
      <c r="Q105" s="23"/>
      <c r="R105" s="26" t="n">
        <f aca="false">N(O105)+N(P105)-N(Q105)</f>
        <v>0</v>
      </c>
      <c r="S105" s="37" t="n">
        <f aca="false">'Feb 2027'!V105</f>
        <v>0</v>
      </c>
      <c r="T105" s="37" t="n">
        <f aca="false">IF(B105="",0,N(Students!I94))</f>
        <v>0</v>
      </c>
      <c r="U105" s="23"/>
      <c r="V105" s="26" t="n">
        <f aca="false">N(S105)+N(T105)-N(U105)</f>
        <v>0</v>
      </c>
      <c r="W105" s="37" t="n">
        <f aca="false">'Feb 2027'!Z105</f>
        <v>0</v>
      </c>
      <c r="X105" s="37" t="n">
        <f aca="false">IF(B105="",0,N(Students!J94))</f>
        <v>0</v>
      </c>
      <c r="Y105" s="23"/>
      <c r="Z105" s="26" t="n">
        <f aca="false">N(W105)+N(X105)-N(Y105)</f>
        <v>0</v>
      </c>
      <c r="AA105" s="37" t="n">
        <f aca="false">N(E105)+N(I105)+N(M105)+N(Q105)+N(U105)+N(Y105)</f>
        <v>0</v>
      </c>
      <c r="AB105" s="26" t="n">
        <f aca="false">F105+J105+N105+R105+V105+Z105</f>
        <v>0</v>
      </c>
      <c r="AC105" s="83" t="str">
        <f aca="false">IF(B105="","",IF(AB105&lt;=0,"Clear",IF(AA105&gt;0,"Partial","Due")))</f>
        <v/>
      </c>
    </row>
    <row r="106" customFormat="false" ht="15" hidden="false" customHeight="false" outlineLevel="0" collapsed="false">
      <c r="A106" s="21" t="n">
        <v>91</v>
      </c>
      <c r="B106" s="46" t="str">
        <f aca="false">IF(Students!B95="","",Students!B95)</f>
        <v/>
      </c>
      <c r="C106" s="33" t="n">
        <f aca="false">'Feb 2027'!F106</f>
        <v>0</v>
      </c>
      <c r="D106" s="33" t="n">
        <f aca="false">IF(B106="",0,N(Students!E95))</f>
        <v>0</v>
      </c>
      <c r="E106" s="23"/>
      <c r="F106" s="24" t="n">
        <f aca="false">N(C106)+N(D106)-N(E106)</f>
        <v>0</v>
      </c>
      <c r="G106" s="33" t="n">
        <f aca="false">'Feb 2027'!J106</f>
        <v>0</v>
      </c>
      <c r="H106" s="33" t="n">
        <f aca="false">IF(B106="",0,N(Students!F95))</f>
        <v>0</v>
      </c>
      <c r="I106" s="23"/>
      <c r="J106" s="24" t="n">
        <f aca="false">N(G106)+N(H106)-N(I106)</f>
        <v>0</v>
      </c>
      <c r="K106" s="33" t="n">
        <f aca="false">'Feb 2027'!N106</f>
        <v>0</v>
      </c>
      <c r="L106" s="33" t="n">
        <f aca="false">IF(B106="",0,N(Students!G95))</f>
        <v>0</v>
      </c>
      <c r="M106" s="23"/>
      <c r="N106" s="24" t="n">
        <f aca="false">N(K106)+N(L106)-N(M106)</f>
        <v>0</v>
      </c>
      <c r="O106" s="33" t="n">
        <f aca="false">'Feb 2027'!R106</f>
        <v>0</v>
      </c>
      <c r="P106" s="33" t="n">
        <f aca="false">IF(B106="",0,N(Students!H95))</f>
        <v>0</v>
      </c>
      <c r="Q106" s="23"/>
      <c r="R106" s="24" t="n">
        <f aca="false">N(O106)+N(P106)-N(Q106)</f>
        <v>0</v>
      </c>
      <c r="S106" s="33" t="n">
        <f aca="false">'Feb 2027'!V106</f>
        <v>0</v>
      </c>
      <c r="T106" s="33" t="n">
        <f aca="false">IF(B106="",0,N(Students!I95))</f>
        <v>0</v>
      </c>
      <c r="U106" s="23"/>
      <c r="V106" s="24" t="n">
        <f aca="false">N(S106)+N(T106)-N(U106)</f>
        <v>0</v>
      </c>
      <c r="W106" s="33" t="n">
        <f aca="false">'Feb 2027'!Z106</f>
        <v>0</v>
      </c>
      <c r="X106" s="33" t="n">
        <f aca="false">IF(B106="",0,N(Students!J95))</f>
        <v>0</v>
      </c>
      <c r="Y106" s="23"/>
      <c r="Z106" s="24" t="n">
        <f aca="false">N(W106)+N(X106)-N(Y106)</f>
        <v>0</v>
      </c>
      <c r="AA106" s="33" t="n">
        <f aca="false">N(E106)+N(I106)+N(M106)+N(Q106)+N(U106)+N(Y106)</f>
        <v>0</v>
      </c>
      <c r="AB106" s="24" t="n">
        <f aca="false">F106+J106+N106+R106+V106+Z106</f>
        <v>0</v>
      </c>
      <c r="AC106" s="81" t="str">
        <f aca="false">IF(B106="","",IF(AB106&lt;=0,"Clear",IF(AA106&gt;0,"Partial","Due")))</f>
        <v/>
      </c>
    </row>
    <row r="107" customFormat="false" ht="15" hidden="false" customHeight="false" outlineLevel="0" collapsed="false">
      <c r="A107" s="25" t="n">
        <v>92</v>
      </c>
      <c r="B107" s="82" t="str">
        <f aca="false">IF(Students!B96="","",Students!B96)</f>
        <v/>
      </c>
      <c r="C107" s="37" t="n">
        <f aca="false">'Feb 2027'!F107</f>
        <v>0</v>
      </c>
      <c r="D107" s="37" t="n">
        <f aca="false">IF(B107="",0,N(Students!E96))</f>
        <v>0</v>
      </c>
      <c r="E107" s="23"/>
      <c r="F107" s="26" t="n">
        <f aca="false">N(C107)+N(D107)-N(E107)</f>
        <v>0</v>
      </c>
      <c r="G107" s="37" t="n">
        <f aca="false">'Feb 2027'!J107</f>
        <v>0</v>
      </c>
      <c r="H107" s="37" t="n">
        <f aca="false">IF(B107="",0,N(Students!F96))</f>
        <v>0</v>
      </c>
      <c r="I107" s="23"/>
      <c r="J107" s="26" t="n">
        <f aca="false">N(G107)+N(H107)-N(I107)</f>
        <v>0</v>
      </c>
      <c r="K107" s="37" t="n">
        <f aca="false">'Feb 2027'!N107</f>
        <v>0</v>
      </c>
      <c r="L107" s="37" t="n">
        <f aca="false">IF(B107="",0,N(Students!G96))</f>
        <v>0</v>
      </c>
      <c r="M107" s="23"/>
      <c r="N107" s="26" t="n">
        <f aca="false">N(K107)+N(L107)-N(M107)</f>
        <v>0</v>
      </c>
      <c r="O107" s="37" t="n">
        <f aca="false">'Feb 2027'!R107</f>
        <v>0</v>
      </c>
      <c r="P107" s="37" t="n">
        <f aca="false">IF(B107="",0,N(Students!H96))</f>
        <v>0</v>
      </c>
      <c r="Q107" s="23"/>
      <c r="R107" s="26" t="n">
        <f aca="false">N(O107)+N(P107)-N(Q107)</f>
        <v>0</v>
      </c>
      <c r="S107" s="37" t="n">
        <f aca="false">'Feb 2027'!V107</f>
        <v>0</v>
      </c>
      <c r="T107" s="37" t="n">
        <f aca="false">IF(B107="",0,N(Students!I96))</f>
        <v>0</v>
      </c>
      <c r="U107" s="23"/>
      <c r="V107" s="26" t="n">
        <f aca="false">N(S107)+N(T107)-N(U107)</f>
        <v>0</v>
      </c>
      <c r="W107" s="37" t="n">
        <f aca="false">'Feb 2027'!Z107</f>
        <v>0</v>
      </c>
      <c r="X107" s="37" t="n">
        <f aca="false">IF(B107="",0,N(Students!J96))</f>
        <v>0</v>
      </c>
      <c r="Y107" s="23"/>
      <c r="Z107" s="26" t="n">
        <f aca="false">N(W107)+N(X107)-N(Y107)</f>
        <v>0</v>
      </c>
      <c r="AA107" s="37" t="n">
        <f aca="false">N(E107)+N(I107)+N(M107)+N(Q107)+N(U107)+N(Y107)</f>
        <v>0</v>
      </c>
      <c r="AB107" s="26" t="n">
        <f aca="false">F107+J107+N107+R107+V107+Z107</f>
        <v>0</v>
      </c>
      <c r="AC107" s="83" t="str">
        <f aca="false">IF(B107="","",IF(AB107&lt;=0,"Clear",IF(AA107&gt;0,"Partial","Due")))</f>
        <v/>
      </c>
    </row>
    <row r="108" customFormat="false" ht="15" hidden="false" customHeight="false" outlineLevel="0" collapsed="false">
      <c r="A108" s="21" t="n">
        <v>93</v>
      </c>
      <c r="B108" s="46" t="str">
        <f aca="false">IF(Students!B97="","",Students!B97)</f>
        <v/>
      </c>
      <c r="C108" s="33" t="n">
        <f aca="false">'Feb 2027'!F108</f>
        <v>0</v>
      </c>
      <c r="D108" s="33" t="n">
        <f aca="false">IF(B108="",0,N(Students!E97))</f>
        <v>0</v>
      </c>
      <c r="E108" s="23"/>
      <c r="F108" s="24" t="n">
        <f aca="false">N(C108)+N(D108)-N(E108)</f>
        <v>0</v>
      </c>
      <c r="G108" s="33" t="n">
        <f aca="false">'Feb 2027'!J108</f>
        <v>0</v>
      </c>
      <c r="H108" s="33" t="n">
        <f aca="false">IF(B108="",0,N(Students!F97))</f>
        <v>0</v>
      </c>
      <c r="I108" s="23"/>
      <c r="J108" s="24" t="n">
        <f aca="false">N(G108)+N(H108)-N(I108)</f>
        <v>0</v>
      </c>
      <c r="K108" s="33" t="n">
        <f aca="false">'Feb 2027'!N108</f>
        <v>0</v>
      </c>
      <c r="L108" s="33" t="n">
        <f aca="false">IF(B108="",0,N(Students!G97))</f>
        <v>0</v>
      </c>
      <c r="M108" s="23"/>
      <c r="N108" s="24" t="n">
        <f aca="false">N(K108)+N(L108)-N(M108)</f>
        <v>0</v>
      </c>
      <c r="O108" s="33" t="n">
        <f aca="false">'Feb 2027'!R108</f>
        <v>0</v>
      </c>
      <c r="P108" s="33" t="n">
        <f aca="false">IF(B108="",0,N(Students!H97))</f>
        <v>0</v>
      </c>
      <c r="Q108" s="23"/>
      <c r="R108" s="24" t="n">
        <f aca="false">N(O108)+N(P108)-N(Q108)</f>
        <v>0</v>
      </c>
      <c r="S108" s="33" t="n">
        <f aca="false">'Feb 2027'!V108</f>
        <v>0</v>
      </c>
      <c r="T108" s="33" t="n">
        <f aca="false">IF(B108="",0,N(Students!I97))</f>
        <v>0</v>
      </c>
      <c r="U108" s="23"/>
      <c r="V108" s="24" t="n">
        <f aca="false">N(S108)+N(T108)-N(U108)</f>
        <v>0</v>
      </c>
      <c r="W108" s="33" t="n">
        <f aca="false">'Feb 2027'!Z108</f>
        <v>0</v>
      </c>
      <c r="X108" s="33" t="n">
        <f aca="false">IF(B108="",0,N(Students!J97))</f>
        <v>0</v>
      </c>
      <c r="Y108" s="23"/>
      <c r="Z108" s="24" t="n">
        <f aca="false">N(W108)+N(X108)-N(Y108)</f>
        <v>0</v>
      </c>
      <c r="AA108" s="33" t="n">
        <f aca="false">N(E108)+N(I108)+N(M108)+N(Q108)+N(U108)+N(Y108)</f>
        <v>0</v>
      </c>
      <c r="AB108" s="24" t="n">
        <f aca="false">F108+J108+N108+R108+V108+Z108</f>
        <v>0</v>
      </c>
      <c r="AC108" s="81" t="str">
        <f aca="false">IF(B108="","",IF(AB108&lt;=0,"Clear",IF(AA108&gt;0,"Partial","Due")))</f>
        <v/>
      </c>
    </row>
    <row r="109" customFormat="false" ht="15" hidden="false" customHeight="false" outlineLevel="0" collapsed="false">
      <c r="A109" s="25" t="n">
        <v>94</v>
      </c>
      <c r="B109" s="82" t="str">
        <f aca="false">IF(Students!B98="","",Students!B98)</f>
        <v/>
      </c>
      <c r="C109" s="37" t="n">
        <f aca="false">'Feb 2027'!F109</f>
        <v>0</v>
      </c>
      <c r="D109" s="37" t="n">
        <f aca="false">IF(B109="",0,N(Students!E98))</f>
        <v>0</v>
      </c>
      <c r="E109" s="23"/>
      <c r="F109" s="26" t="n">
        <f aca="false">N(C109)+N(D109)-N(E109)</f>
        <v>0</v>
      </c>
      <c r="G109" s="37" t="n">
        <f aca="false">'Feb 2027'!J109</f>
        <v>0</v>
      </c>
      <c r="H109" s="37" t="n">
        <f aca="false">IF(B109="",0,N(Students!F98))</f>
        <v>0</v>
      </c>
      <c r="I109" s="23"/>
      <c r="J109" s="26" t="n">
        <f aca="false">N(G109)+N(H109)-N(I109)</f>
        <v>0</v>
      </c>
      <c r="K109" s="37" t="n">
        <f aca="false">'Feb 2027'!N109</f>
        <v>0</v>
      </c>
      <c r="L109" s="37" t="n">
        <f aca="false">IF(B109="",0,N(Students!G98))</f>
        <v>0</v>
      </c>
      <c r="M109" s="23"/>
      <c r="N109" s="26" t="n">
        <f aca="false">N(K109)+N(L109)-N(M109)</f>
        <v>0</v>
      </c>
      <c r="O109" s="37" t="n">
        <f aca="false">'Feb 2027'!R109</f>
        <v>0</v>
      </c>
      <c r="P109" s="37" t="n">
        <f aca="false">IF(B109="",0,N(Students!H98))</f>
        <v>0</v>
      </c>
      <c r="Q109" s="23"/>
      <c r="R109" s="26" t="n">
        <f aca="false">N(O109)+N(P109)-N(Q109)</f>
        <v>0</v>
      </c>
      <c r="S109" s="37" t="n">
        <f aca="false">'Feb 2027'!V109</f>
        <v>0</v>
      </c>
      <c r="T109" s="37" t="n">
        <f aca="false">IF(B109="",0,N(Students!I98))</f>
        <v>0</v>
      </c>
      <c r="U109" s="23"/>
      <c r="V109" s="26" t="n">
        <f aca="false">N(S109)+N(T109)-N(U109)</f>
        <v>0</v>
      </c>
      <c r="W109" s="37" t="n">
        <f aca="false">'Feb 2027'!Z109</f>
        <v>0</v>
      </c>
      <c r="X109" s="37" t="n">
        <f aca="false">IF(B109="",0,N(Students!J98))</f>
        <v>0</v>
      </c>
      <c r="Y109" s="23"/>
      <c r="Z109" s="26" t="n">
        <f aca="false">N(W109)+N(X109)-N(Y109)</f>
        <v>0</v>
      </c>
      <c r="AA109" s="37" t="n">
        <f aca="false">N(E109)+N(I109)+N(M109)+N(Q109)+N(U109)+N(Y109)</f>
        <v>0</v>
      </c>
      <c r="AB109" s="26" t="n">
        <f aca="false">F109+J109+N109+R109+V109+Z109</f>
        <v>0</v>
      </c>
      <c r="AC109" s="83" t="str">
        <f aca="false">IF(B109="","",IF(AB109&lt;=0,"Clear",IF(AA109&gt;0,"Partial","Due")))</f>
        <v/>
      </c>
    </row>
    <row r="110" customFormat="false" ht="15" hidden="false" customHeight="false" outlineLevel="0" collapsed="false">
      <c r="A110" s="21" t="n">
        <v>95</v>
      </c>
      <c r="B110" s="46" t="str">
        <f aca="false">IF(Students!B99="","",Students!B99)</f>
        <v/>
      </c>
      <c r="C110" s="33" t="n">
        <f aca="false">'Feb 2027'!F110</f>
        <v>0</v>
      </c>
      <c r="D110" s="33" t="n">
        <f aca="false">IF(B110="",0,N(Students!E99))</f>
        <v>0</v>
      </c>
      <c r="E110" s="23"/>
      <c r="F110" s="24" t="n">
        <f aca="false">N(C110)+N(D110)-N(E110)</f>
        <v>0</v>
      </c>
      <c r="G110" s="33" t="n">
        <f aca="false">'Feb 2027'!J110</f>
        <v>0</v>
      </c>
      <c r="H110" s="33" t="n">
        <f aca="false">IF(B110="",0,N(Students!F99))</f>
        <v>0</v>
      </c>
      <c r="I110" s="23"/>
      <c r="J110" s="24" t="n">
        <f aca="false">N(G110)+N(H110)-N(I110)</f>
        <v>0</v>
      </c>
      <c r="K110" s="33" t="n">
        <f aca="false">'Feb 2027'!N110</f>
        <v>0</v>
      </c>
      <c r="L110" s="33" t="n">
        <f aca="false">IF(B110="",0,N(Students!G99))</f>
        <v>0</v>
      </c>
      <c r="M110" s="23"/>
      <c r="N110" s="24" t="n">
        <f aca="false">N(K110)+N(L110)-N(M110)</f>
        <v>0</v>
      </c>
      <c r="O110" s="33" t="n">
        <f aca="false">'Feb 2027'!R110</f>
        <v>0</v>
      </c>
      <c r="P110" s="33" t="n">
        <f aca="false">IF(B110="",0,N(Students!H99))</f>
        <v>0</v>
      </c>
      <c r="Q110" s="23"/>
      <c r="R110" s="24" t="n">
        <f aca="false">N(O110)+N(P110)-N(Q110)</f>
        <v>0</v>
      </c>
      <c r="S110" s="33" t="n">
        <f aca="false">'Feb 2027'!V110</f>
        <v>0</v>
      </c>
      <c r="T110" s="33" t="n">
        <f aca="false">IF(B110="",0,N(Students!I99))</f>
        <v>0</v>
      </c>
      <c r="U110" s="23"/>
      <c r="V110" s="24" t="n">
        <f aca="false">N(S110)+N(T110)-N(U110)</f>
        <v>0</v>
      </c>
      <c r="W110" s="33" t="n">
        <f aca="false">'Feb 2027'!Z110</f>
        <v>0</v>
      </c>
      <c r="X110" s="33" t="n">
        <f aca="false">IF(B110="",0,N(Students!J99))</f>
        <v>0</v>
      </c>
      <c r="Y110" s="23"/>
      <c r="Z110" s="24" t="n">
        <f aca="false">N(W110)+N(X110)-N(Y110)</f>
        <v>0</v>
      </c>
      <c r="AA110" s="33" t="n">
        <f aca="false">N(E110)+N(I110)+N(M110)+N(Q110)+N(U110)+N(Y110)</f>
        <v>0</v>
      </c>
      <c r="AB110" s="24" t="n">
        <f aca="false">F110+J110+N110+R110+V110+Z110</f>
        <v>0</v>
      </c>
      <c r="AC110" s="81" t="str">
        <f aca="false">IF(B110="","",IF(AB110&lt;=0,"Clear",IF(AA110&gt;0,"Partial","Due")))</f>
        <v/>
      </c>
    </row>
    <row r="111" customFormat="false" ht="15" hidden="false" customHeight="false" outlineLevel="0" collapsed="false">
      <c r="A111" s="25" t="n">
        <v>96</v>
      </c>
      <c r="B111" s="82" t="str">
        <f aca="false">IF(Students!B100="","",Students!B100)</f>
        <v/>
      </c>
      <c r="C111" s="37" t="n">
        <f aca="false">'Feb 2027'!F111</f>
        <v>0</v>
      </c>
      <c r="D111" s="37" t="n">
        <f aca="false">IF(B111="",0,N(Students!E100))</f>
        <v>0</v>
      </c>
      <c r="E111" s="23"/>
      <c r="F111" s="26" t="n">
        <f aca="false">N(C111)+N(D111)-N(E111)</f>
        <v>0</v>
      </c>
      <c r="G111" s="37" t="n">
        <f aca="false">'Feb 2027'!J111</f>
        <v>0</v>
      </c>
      <c r="H111" s="37" t="n">
        <f aca="false">IF(B111="",0,N(Students!F100))</f>
        <v>0</v>
      </c>
      <c r="I111" s="23"/>
      <c r="J111" s="26" t="n">
        <f aca="false">N(G111)+N(H111)-N(I111)</f>
        <v>0</v>
      </c>
      <c r="K111" s="37" t="n">
        <f aca="false">'Feb 2027'!N111</f>
        <v>0</v>
      </c>
      <c r="L111" s="37" t="n">
        <f aca="false">IF(B111="",0,N(Students!G100))</f>
        <v>0</v>
      </c>
      <c r="M111" s="23"/>
      <c r="N111" s="26" t="n">
        <f aca="false">N(K111)+N(L111)-N(M111)</f>
        <v>0</v>
      </c>
      <c r="O111" s="37" t="n">
        <f aca="false">'Feb 2027'!R111</f>
        <v>0</v>
      </c>
      <c r="P111" s="37" t="n">
        <f aca="false">IF(B111="",0,N(Students!H100))</f>
        <v>0</v>
      </c>
      <c r="Q111" s="23"/>
      <c r="R111" s="26" t="n">
        <f aca="false">N(O111)+N(P111)-N(Q111)</f>
        <v>0</v>
      </c>
      <c r="S111" s="37" t="n">
        <f aca="false">'Feb 2027'!V111</f>
        <v>0</v>
      </c>
      <c r="T111" s="37" t="n">
        <f aca="false">IF(B111="",0,N(Students!I100))</f>
        <v>0</v>
      </c>
      <c r="U111" s="23"/>
      <c r="V111" s="26" t="n">
        <f aca="false">N(S111)+N(T111)-N(U111)</f>
        <v>0</v>
      </c>
      <c r="W111" s="37" t="n">
        <f aca="false">'Feb 2027'!Z111</f>
        <v>0</v>
      </c>
      <c r="X111" s="37" t="n">
        <f aca="false">IF(B111="",0,N(Students!J100))</f>
        <v>0</v>
      </c>
      <c r="Y111" s="23"/>
      <c r="Z111" s="26" t="n">
        <f aca="false">N(W111)+N(X111)-N(Y111)</f>
        <v>0</v>
      </c>
      <c r="AA111" s="37" t="n">
        <f aca="false">N(E111)+N(I111)+N(M111)+N(Q111)+N(U111)+N(Y111)</f>
        <v>0</v>
      </c>
      <c r="AB111" s="26" t="n">
        <f aca="false">F111+J111+N111+R111+V111+Z111</f>
        <v>0</v>
      </c>
      <c r="AC111" s="83" t="str">
        <f aca="false">IF(B111="","",IF(AB111&lt;=0,"Clear",IF(AA111&gt;0,"Partial","Due")))</f>
        <v/>
      </c>
    </row>
    <row r="112" customFormat="false" ht="15" hidden="false" customHeight="false" outlineLevel="0" collapsed="false">
      <c r="A112" s="21" t="n">
        <v>97</v>
      </c>
      <c r="B112" s="46" t="str">
        <f aca="false">IF(Students!B101="","",Students!B101)</f>
        <v/>
      </c>
      <c r="C112" s="33" t="n">
        <f aca="false">'Feb 2027'!F112</f>
        <v>0</v>
      </c>
      <c r="D112" s="33" t="n">
        <f aca="false">IF(B112="",0,N(Students!E101))</f>
        <v>0</v>
      </c>
      <c r="E112" s="23"/>
      <c r="F112" s="24" t="n">
        <f aca="false">N(C112)+N(D112)-N(E112)</f>
        <v>0</v>
      </c>
      <c r="G112" s="33" t="n">
        <f aca="false">'Feb 2027'!J112</f>
        <v>0</v>
      </c>
      <c r="H112" s="33" t="n">
        <f aca="false">IF(B112="",0,N(Students!F101))</f>
        <v>0</v>
      </c>
      <c r="I112" s="23"/>
      <c r="J112" s="24" t="n">
        <f aca="false">N(G112)+N(H112)-N(I112)</f>
        <v>0</v>
      </c>
      <c r="K112" s="33" t="n">
        <f aca="false">'Feb 2027'!N112</f>
        <v>0</v>
      </c>
      <c r="L112" s="33" t="n">
        <f aca="false">IF(B112="",0,N(Students!G101))</f>
        <v>0</v>
      </c>
      <c r="M112" s="23"/>
      <c r="N112" s="24" t="n">
        <f aca="false">N(K112)+N(L112)-N(M112)</f>
        <v>0</v>
      </c>
      <c r="O112" s="33" t="n">
        <f aca="false">'Feb 2027'!R112</f>
        <v>0</v>
      </c>
      <c r="P112" s="33" t="n">
        <f aca="false">IF(B112="",0,N(Students!H101))</f>
        <v>0</v>
      </c>
      <c r="Q112" s="23"/>
      <c r="R112" s="24" t="n">
        <f aca="false">N(O112)+N(P112)-N(Q112)</f>
        <v>0</v>
      </c>
      <c r="S112" s="33" t="n">
        <f aca="false">'Feb 2027'!V112</f>
        <v>0</v>
      </c>
      <c r="T112" s="33" t="n">
        <f aca="false">IF(B112="",0,N(Students!I101))</f>
        <v>0</v>
      </c>
      <c r="U112" s="23"/>
      <c r="V112" s="24" t="n">
        <f aca="false">N(S112)+N(T112)-N(U112)</f>
        <v>0</v>
      </c>
      <c r="W112" s="33" t="n">
        <f aca="false">'Feb 2027'!Z112</f>
        <v>0</v>
      </c>
      <c r="X112" s="33" t="n">
        <f aca="false">IF(B112="",0,N(Students!J101))</f>
        <v>0</v>
      </c>
      <c r="Y112" s="23"/>
      <c r="Z112" s="24" t="n">
        <f aca="false">N(W112)+N(X112)-N(Y112)</f>
        <v>0</v>
      </c>
      <c r="AA112" s="33" t="n">
        <f aca="false">N(E112)+N(I112)+N(M112)+N(Q112)+N(U112)+N(Y112)</f>
        <v>0</v>
      </c>
      <c r="AB112" s="24" t="n">
        <f aca="false">F112+J112+N112+R112+V112+Z112</f>
        <v>0</v>
      </c>
      <c r="AC112" s="81" t="str">
        <f aca="false">IF(B112="","",IF(AB112&lt;=0,"Clear",IF(AA112&gt;0,"Partial","Due")))</f>
        <v/>
      </c>
    </row>
    <row r="113" customFormat="false" ht="15" hidden="false" customHeight="false" outlineLevel="0" collapsed="false">
      <c r="A113" s="25" t="n">
        <v>98</v>
      </c>
      <c r="B113" s="82" t="str">
        <f aca="false">IF(Students!B102="","",Students!B102)</f>
        <v/>
      </c>
      <c r="C113" s="37" t="n">
        <f aca="false">'Feb 2027'!F113</f>
        <v>0</v>
      </c>
      <c r="D113" s="37" t="n">
        <f aca="false">IF(B113="",0,N(Students!E102))</f>
        <v>0</v>
      </c>
      <c r="E113" s="23"/>
      <c r="F113" s="26" t="n">
        <f aca="false">N(C113)+N(D113)-N(E113)</f>
        <v>0</v>
      </c>
      <c r="G113" s="37" t="n">
        <f aca="false">'Feb 2027'!J113</f>
        <v>0</v>
      </c>
      <c r="H113" s="37" t="n">
        <f aca="false">IF(B113="",0,N(Students!F102))</f>
        <v>0</v>
      </c>
      <c r="I113" s="23"/>
      <c r="J113" s="26" t="n">
        <f aca="false">N(G113)+N(H113)-N(I113)</f>
        <v>0</v>
      </c>
      <c r="K113" s="37" t="n">
        <f aca="false">'Feb 2027'!N113</f>
        <v>0</v>
      </c>
      <c r="L113" s="37" t="n">
        <f aca="false">IF(B113="",0,N(Students!G102))</f>
        <v>0</v>
      </c>
      <c r="M113" s="23"/>
      <c r="N113" s="26" t="n">
        <f aca="false">N(K113)+N(L113)-N(M113)</f>
        <v>0</v>
      </c>
      <c r="O113" s="37" t="n">
        <f aca="false">'Feb 2027'!R113</f>
        <v>0</v>
      </c>
      <c r="P113" s="37" t="n">
        <f aca="false">IF(B113="",0,N(Students!H102))</f>
        <v>0</v>
      </c>
      <c r="Q113" s="23"/>
      <c r="R113" s="26" t="n">
        <f aca="false">N(O113)+N(P113)-N(Q113)</f>
        <v>0</v>
      </c>
      <c r="S113" s="37" t="n">
        <f aca="false">'Feb 2027'!V113</f>
        <v>0</v>
      </c>
      <c r="T113" s="37" t="n">
        <f aca="false">IF(B113="",0,N(Students!I102))</f>
        <v>0</v>
      </c>
      <c r="U113" s="23"/>
      <c r="V113" s="26" t="n">
        <f aca="false">N(S113)+N(T113)-N(U113)</f>
        <v>0</v>
      </c>
      <c r="W113" s="37" t="n">
        <f aca="false">'Feb 2027'!Z113</f>
        <v>0</v>
      </c>
      <c r="X113" s="37" t="n">
        <f aca="false">IF(B113="",0,N(Students!J102))</f>
        <v>0</v>
      </c>
      <c r="Y113" s="23"/>
      <c r="Z113" s="26" t="n">
        <f aca="false">N(W113)+N(X113)-N(Y113)</f>
        <v>0</v>
      </c>
      <c r="AA113" s="37" t="n">
        <f aca="false">N(E113)+N(I113)+N(M113)+N(Q113)+N(U113)+N(Y113)</f>
        <v>0</v>
      </c>
      <c r="AB113" s="26" t="n">
        <f aca="false">F113+J113+N113+R113+V113+Z113</f>
        <v>0</v>
      </c>
      <c r="AC113" s="83" t="str">
        <f aca="false">IF(B113="","",IF(AB113&lt;=0,"Clear",IF(AA113&gt;0,"Partial","Due")))</f>
        <v/>
      </c>
    </row>
    <row r="114" customFormat="false" ht="15" hidden="false" customHeight="false" outlineLevel="0" collapsed="false">
      <c r="A114" s="21" t="n">
        <v>99</v>
      </c>
      <c r="B114" s="46" t="str">
        <f aca="false">IF(Students!B103="","",Students!B103)</f>
        <v/>
      </c>
      <c r="C114" s="33" t="n">
        <f aca="false">'Feb 2027'!F114</f>
        <v>0</v>
      </c>
      <c r="D114" s="33" t="n">
        <f aca="false">IF(B114="",0,N(Students!E103))</f>
        <v>0</v>
      </c>
      <c r="E114" s="23"/>
      <c r="F114" s="24" t="n">
        <f aca="false">N(C114)+N(D114)-N(E114)</f>
        <v>0</v>
      </c>
      <c r="G114" s="33" t="n">
        <f aca="false">'Feb 2027'!J114</f>
        <v>0</v>
      </c>
      <c r="H114" s="33" t="n">
        <f aca="false">IF(B114="",0,N(Students!F103))</f>
        <v>0</v>
      </c>
      <c r="I114" s="23"/>
      <c r="J114" s="24" t="n">
        <f aca="false">N(G114)+N(H114)-N(I114)</f>
        <v>0</v>
      </c>
      <c r="K114" s="33" t="n">
        <f aca="false">'Feb 2027'!N114</f>
        <v>0</v>
      </c>
      <c r="L114" s="33" t="n">
        <f aca="false">IF(B114="",0,N(Students!G103))</f>
        <v>0</v>
      </c>
      <c r="M114" s="23"/>
      <c r="N114" s="24" t="n">
        <f aca="false">N(K114)+N(L114)-N(M114)</f>
        <v>0</v>
      </c>
      <c r="O114" s="33" t="n">
        <f aca="false">'Feb 2027'!R114</f>
        <v>0</v>
      </c>
      <c r="P114" s="33" t="n">
        <f aca="false">IF(B114="",0,N(Students!H103))</f>
        <v>0</v>
      </c>
      <c r="Q114" s="23"/>
      <c r="R114" s="24" t="n">
        <f aca="false">N(O114)+N(P114)-N(Q114)</f>
        <v>0</v>
      </c>
      <c r="S114" s="33" t="n">
        <f aca="false">'Feb 2027'!V114</f>
        <v>0</v>
      </c>
      <c r="T114" s="33" t="n">
        <f aca="false">IF(B114="",0,N(Students!I103))</f>
        <v>0</v>
      </c>
      <c r="U114" s="23"/>
      <c r="V114" s="24" t="n">
        <f aca="false">N(S114)+N(T114)-N(U114)</f>
        <v>0</v>
      </c>
      <c r="W114" s="33" t="n">
        <f aca="false">'Feb 2027'!Z114</f>
        <v>0</v>
      </c>
      <c r="X114" s="33" t="n">
        <f aca="false">IF(B114="",0,N(Students!J103))</f>
        <v>0</v>
      </c>
      <c r="Y114" s="23"/>
      <c r="Z114" s="24" t="n">
        <f aca="false">N(W114)+N(X114)-N(Y114)</f>
        <v>0</v>
      </c>
      <c r="AA114" s="33" t="n">
        <f aca="false">N(E114)+N(I114)+N(M114)+N(Q114)+N(U114)+N(Y114)</f>
        <v>0</v>
      </c>
      <c r="AB114" s="24" t="n">
        <f aca="false">F114+J114+N114+R114+V114+Z114</f>
        <v>0</v>
      </c>
      <c r="AC114" s="81" t="str">
        <f aca="false">IF(B114="","",IF(AB114&lt;=0,"Clear",IF(AA114&gt;0,"Partial","Due")))</f>
        <v/>
      </c>
    </row>
    <row r="115" customFormat="false" ht="15" hidden="false" customHeight="false" outlineLevel="0" collapsed="false">
      <c r="A115" s="25" t="n">
        <v>100</v>
      </c>
      <c r="B115" s="82" t="str">
        <f aca="false">IF(Students!B104="","",Students!B104)</f>
        <v/>
      </c>
      <c r="C115" s="37" t="n">
        <f aca="false">'Feb 2027'!F115</f>
        <v>0</v>
      </c>
      <c r="D115" s="37" t="n">
        <f aca="false">IF(B115="",0,N(Students!E104))</f>
        <v>0</v>
      </c>
      <c r="E115" s="23"/>
      <c r="F115" s="26" t="n">
        <f aca="false">N(C115)+N(D115)-N(E115)</f>
        <v>0</v>
      </c>
      <c r="G115" s="37" t="n">
        <f aca="false">'Feb 2027'!J115</f>
        <v>0</v>
      </c>
      <c r="H115" s="37" t="n">
        <f aca="false">IF(B115="",0,N(Students!F104))</f>
        <v>0</v>
      </c>
      <c r="I115" s="23"/>
      <c r="J115" s="26" t="n">
        <f aca="false">N(G115)+N(H115)-N(I115)</f>
        <v>0</v>
      </c>
      <c r="K115" s="37" t="n">
        <f aca="false">'Feb 2027'!N115</f>
        <v>0</v>
      </c>
      <c r="L115" s="37" t="n">
        <f aca="false">IF(B115="",0,N(Students!G104))</f>
        <v>0</v>
      </c>
      <c r="M115" s="23"/>
      <c r="N115" s="26" t="n">
        <f aca="false">N(K115)+N(L115)-N(M115)</f>
        <v>0</v>
      </c>
      <c r="O115" s="37" t="n">
        <f aca="false">'Feb 2027'!R115</f>
        <v>0</v>
      </c>
      <c r="P115" s="37" t="n">
        <f aca="false">IF(B115="",0,N(Students!H104))</f>
        <v>0</v>
      </c>
      <c r="Q115" s="23"/>
      <c r="R115" s="26" t="n">
        <f aca="false">N(O115)+N(P115)-N(Q115)</f>
        <v>0</v>
      </c>
      <c r="S115" s="37" t="n">
        <f aca="false">'Feb 2027'!V115</f>
        <v>0</v>
      </c>
      <c r="T115" s="37" t="n">
        <f aca="false">IF(B115="",0,N(Students!I104))</f>
        <v>0</v>
      </c>
      <c r="U115" s="23"/>
      <c r="V115" s="26" t="n">
        <f aca="false">N(S115)+N(T115)-N(U115)</f>
        <v>0</v>
      </c>
      <c r="W115" s="37" t="n">
        <f aca="false">'Feb 2027'!Z115</f>
        <v>0</v>
      </c>
      <c r="X115" s="37" t="n">
        <f aca="false">IF(B115="",0,N(Students!J104))</f>
        <v>0</v>
      </c>
      <c r="Y115" s="23"/>
      <c r="Z115" s="26" t="n">
        <f aca="false">N(W115)+N(X115)-N(Y115)</f>
        <v>0</v>
      </c>
      <c r="AA115" s="37" t="n">
        <f aca="false">N(E115)+N(I115)+N(M115)+N(Q115)+N(U115)+N(Y115)</f>
        <v>0</v>
      </c>
      <c r="AB115" s="26" t="n">
        <f aca="false">F115+J115+N115+R115+V115+Z115</f>
        <v>0</v>
      </c>
      <c r="AC115" s="83" t="str">
        <f aca="false">IF(B115="","",IF(AB115&lt;=0,"Clear",IF(AA115&gt;0,"Partial","Due")))</f>
        <v/>
      </c>
    </row>
    <row r="116" customFormat="false" ht="15" hidden="false" customHeight="false" outlineLevel="0" collapsed="false">
      <c r="A116" s="21" t="n">
        <v>101</v>
      </c>
      <c r="B116" s="46" t="str">
        <f aca="false">IF(Students!B105="","",Students!B105)</f>
        <v/>
      </c>
      <c r="C116" s="33" t="n">
        <f aca="false">'Feb 2027'!F116</f>
        <v>0</v>
      </c>
      <c r="D116" s="33" t="n">
        <f aca="false">IF(B116="",0,N(Students!E105))</f>
        <v>0</v>
      </c>
      <c r="E116" s="23"/>
      <c r="F116" s="24" t="n">
        <f aca="false">N(C116)+N(D116)-N(E116)</f>
        <v>0</v>
      </c>
      <c r="G116" s="33" t="n">
        <f aca="false">'Feb 2027'!J116</f>
        <v>0</v>
      </c>
      <c r="H116" s="33" t="n">
        <f aca="false">IF(B116="",0,N(Students!F105))</f>
        <v>0</v>
      </c>
      <c r="I116" s="23"/>
      <c r="J116" s="24" t="n">
        <f aca="false">N(G116)+N(H116)-N(I116)</f>
        <v>0</v>
      </c>
      <c r="K116" s="33" t="n">
        <f aca="false">'Feb 2027'!N116</f>
        <v>0</v>
      </c>
      <c r="L116" s="33" t="n">
        <f aca="false">IF(B116="",0,N(Students!G105))</f>
        <v>0</v>
      </c>
      <c r="M116" s="23"/>
      <c r="N116" s="24" t="n">
        <f aca="false">N(K116)+N(L116)-N(M116)</f>
        <v>0</v>
      </c>
      <c r="O116" s="33" t="n">
        <f aca="false">'Feb 2027'!R116</f>
        <v>0</v>
      </c>
      <c r="P116" s="33" t="n">
        <f aca="false">IF(B116="",0,N(Students!H105))</f>
        <v>0</v>
      </c>
      <c r="Q116" s="23"/>
      <c r="R116" s="24" t="n">
        <f aca="false">N(O116)+N(P116)-N(Q116)</f>
        <v>0</v>
      </c>
      <c r="S116" s="33" t="n">
        <f aca="false">'Feb 2027'!V116</f>
        <v>0</v>
      </c>
      <c r="T116" s="33" t="n">
        <f aca="false">IF(B116="",0,N(Students!I105))</f>
        <v>0</v>
      </c>
      <c r="U116" s="23"/>
      <c r="V116" s="24" t="n">
        <f aca="false">N(S116)+N(T116)-N(U116)</f>
        <v>0</v>
      </c>
      <c r="W116" s="33" t="n">
        <f aca="false">'Feb 2027'!Z116</f>
        <v>0</v>
      </c>
      <c r="X116" s="33" t="n">
        <f aca="false">IF(B116="",0,N(Students!J105))</f>
        <v>0</v>
      </c>
      <c r="Y116" s="23"/>
      <c r="Z116" s="24" t="n">
        <f aca="false">N(W116)+N(X116)-N(Y116)</f>
        <v>0</v>
      </c>
      <c r="AA116" s="33" t="n">
        <f aca="false">N(E116)+N(I116)+N(M116)+N(Q116)+N(U116)+N(Y116)</f>
        <v>0</v>
      </c>
      <c r="AB116" s="24" t="n">
        <f aca="false">F116+J116+N116+R116+V116+Z116</f>
        <v>0</v>
      </c>
      <c r="AC116" s="81" t="str">
        <f aca="false">IF(B116="","",IF(AB116&lt;=0,"Clear",IF(AA116&gt;0,"Partial","Due")))</f>
        <v/>
      </c>
    </row>
    <row r="117" customFormat="false" ht="15" hidden="false" customHeight="false" outlineLevel="0" collapsed="false">
      <c r="A117" s="25" t="n">
        <v>102</v>
      </c>
      <c r="B117" s="82" t="str">
        <f aca="false">IF(Students!B106="","",Students!B106)</f>
        <v/>
      </c>
      <c r="C117" s="37" t="n">
        <f aca="false">'Feb 2027'!F117</f>
        <v>0</v>
      </c>
      <c r="D117" s="37" t="n">
        <f aca="false">IF(B117="",0,N(Students!E106))</f>
        <v>0</v>
      </c>
      <c r="E117" s="23"/>
      <c r="F117" s="26" t="n">
        <f aca="false">N(C117)+N(D117)-N(E117)</f>
        <v>0</v>
      </c>
      <c r="G117" s="37" t="n">
        <f aca="false">'Feb 2027'!J117</f>
        <v>0</v>
      </c>
      <c r="H117" s="37" t="n">
        <f aca="false">IF(B117="",0,N(Students!F106))</f>
        <v>0</v>
      </c>
      <c r="I117" s="23"/>
      <c r="J117" s="26" t="n">
        <f aca="false">N(G117)+N(H117)-N(I117)</f>
        <v>0</v>
      </c>
      <c r="K117" s="37" t="n">
        <f aca="false">'Feb 2027'!N117</f>
        <v>0</v>
      </c>
      <c r="L117" s="37" t="n">
        <f aca="false">IF(B117="",0,N(Students!G106))</f>
        <v>0</v>
      </c>
      <c r="M117" s="23"/>
      <c r="N117" s="26" t="n">
        <f aca="false">N(K117)+N(L117)-N(M117)</f>
        <v>0</v>
      </c>
      <c r="O117" s="37" t="n">
        <f aca="false">'Feb 2027'!R117</f>
        <v>0</v>
      </c>
      <c r="P117" s="37" t="n">
        <f aca="false">IF(B117="",0,N(Students!H106))</f>
        <v>0</v>
      </c>
      <c r="Q117" s="23"/>
      <c r="R117" s="26" t="n">
        <f aca="false">N(O117)+N(P117)-N(Q117)</f>
        <v>0</v>
      </c>
      <c r="S117" s="37" t="n">
        <f aca="false">'Feb 2027'!V117</f>
        <v>0</v>
      </c>
      <c r="T117" s="37" t="n">
        <f aca="false">IF(B117="",0,N(Students!I106))</f>
        <v>0</v>
      </c>
      <c r="U117" s="23"/>
      <c r="V117" s="26" t="n">
        <f aca="false">N(S117)+N(T117)-N(U117)</f>
        <v>0</v>
      </c>
      <c r="W117" s="37" t="n">
        <f aca="false">'Feb 2027'!Z117</f>
        <v>0</v>
      </c>
      <c r="X117" s="37" t="n">
        <f aca="false">IF(B117="",0,N(Students!J106))</f>
        <v>0</v>
      </c>
      <c r="Y117" s="23"/>
      <c r="Z117" s="26" t="n">
        <f aca="false">N(W117)+N(X117)-N(Y117)</f>
        <v>0</v>
      </c>
      <c r="AA117" s="37" t="n">
        <f aca="false">N(E117)+N(I117)+N(M117)+N(Q117)+N(U117)+N(Y117)</f>
        <v>0</v>
      </c>
      <c r="AB117" s="26" t="n">
        <f aca="false">F117+J117+N117+R117+V117+Z117</f>
        <v>0</v>
      </c>
      <c r="AC117" s="83" t="str">
        <f aca="false">IF(B117="","",IF(AB117&lt;=0,"Clear",IF(AA117&gt;0,"Partial","Due")))</f>
        <v/>
      </c>
    </row>
    <row r="118" customFormat="false" ht="15" hidden="false" customHeight="false" outlineLevel="0" collapsed="false">
      <c r="A118" s="21" t="n">
        <v>103</v>
      </c>
      <c r="B118" s="46" t="str">
        <f aca="false">IF(Students!B107="","",Students!B107)</f>
        <v/>
      </c>
      <c r="C118" s="33" t="n">
        <f aca="false">'Feb 2027'!F118</f>
        <v>0</v>
      </c>
      <c r="D118" s="33" t="n">
        <f aca="false">IF(B118="",0,N(Students!E107))</f>
        <v>0</v>
      </c>
      <c r="E118" s="23"/>
      <c r="F118" s="24" t="n">
        <f aca="false">N(C118)+N(D118)-N(E118)</f>
        <v>0</v>
      </c>
      <c r="G118" s="33" t="n">
        <f aca="false">'Feb 2027'!J118</f>
        <v>0</v>
      </c>
      <c r="H118" s="33" t="n">
        <f aca="false">IF(B118="",0,N(Students!F107))</f>
        <v>0</v>
      </c>
      <c r="I118" s="23"/>
      <c r="J118" s="24" t="n">
        <f aca="false">N(G118)+N(H118)-N(I118)</f>
        <v>0</v>
      </c>
      <c r="K118" s="33" t="n">
        <f aca="false">'Feb 2027'!N118</f>
        <v>0</v>
      </c>
      <c r="L118" s="33" t="n">
        <f aca="false">IF(B118="",0,N(Students!G107))</f>
        <v>0</v>
      </c>
      <c r="M118" s="23"/>
      <c r="N118" s="24" t="n">
        <f aca="false">N(K118)+N(L118)-N(M118)</f>
        <v>0</v>
      </c>
      <c r="O118" s="33" t="n">
        <f aca="false">'Feb 2027'!R118</f>
        <v>0</v>
      </c>
      <c r="P118" s="33" t="n">
        <f aca="false">IF(B118="",0,N(Students!H107))</f>
        <v>0</v>
      </c>
      <c r="Q118" s="23"/>
      <c r="R118" s="24" t="n">
        <f aca="false">N(O118)+N(P118)-N(Q118)</f>
        <v>0</v>
      </c>
      <c r="S118" s="33" t="n">
        <f aca="false">'Feb 2027'!V118</f>
        <v>0</v>
      </c>
      <c r="T118" s="33" t="n">
        <f aca="false">IF(B118="",0,N(Students!I107))</f>
        <v>0</v>
      </c>
      <c r="U118" s="23"/>
      <c r="V118" s="24" t="n">
        <f aca="false">N(S118)+N(T118)-N(U118)</f>
        <v>0</v>
      </c>
      <c r="W118" s="33" t="n">
        <f aca="false">'Feb 2027'!Z118</f>
        <v>0</v>
      </c>
      <c r="X118" s="33" t="n">
        <f aca="false">IF(B118="",0,N(Students!J107))</f>
        <v>0</v>
      </c>
      <c r="Y118" s="23"/>
      <c r="Z118" s="24" t="n">
        <f aca="false">N(W118)+N(X118)-N(Y118)</f>
        <v>0</v>
      </c>
      <c r="AA118" s="33" t="n">
        <f aca="false">N(E118)+N(I118)+N(M118)+N(Q118)+N(U118)+N(Y118)</f>
        <v>0</v>
      </c>
      <c r="AB118" s="24" t="n">
        <f aca="false">F118+J118+N118+R118+V118+Z118</f>
        <v>0</v>
      </c>
      <c r="AC118" s="81" t="str">
        <f aca="false">IF(B118="","",IF(AB118&lt;=0,"Clear",IF(AA118&gt;0,"Partial","Due")))</f>
        <v/>
      </c>
    </row>
    <row r="119" customFormat="false" ht="15" hidden="false" customHeight="false" outlineLevel="0" collapsed="false">
      <c r="A119" s="25" t="n">
        <v>104</v>
      </c>
      <c r="B119" s="82" t="str">
        <f aca="false">IF(Students!B108="","",Students!B108)</f>
        <v/>
      </c>
      <c r="C119" s="37" t="n">
        <f aca="false">'Feb 2027'!F119</f>
        <v>0</v>
      </c>
      <c r="D119" s="37" t="n">
        <f aca="false">IF(B119="",0,N(Students!E108))</f>
        <v>0</v>
      </c>
      <c r="E119" s="23"/>
      <c r="F119" s="26" t="n">
        <f aca="false">N(C119)+N(D119)-N(E119)</f>
        <v>0</v>
      </c>
      <c r="G119" s="37" t="n">
        <f aca="false">'Feb 2027'!J119</f>
        <v>0</v>
      </c>
      <c r="H119" s="37" t="n">
        <f aca="false">IF(B119="",0,N(Students!F108))</f>
        <v>0</v>
      </c>
      <c r="I119" s="23"/>
      <c r="J119" s="26" t="n">
        <f aca="false">N(G119)+N(H119)-N(I119)</f>
        <v>0</v>
      </c>
      <c r="K119" s="37" t="n">
        <f aca="false">'Feb 2027'!N119</f>
        <v>0</v>
      </c>
      <c r="L119" s="37" t="n">
        <f aca="false">IF(B119="",0,N(Students!G108))</f>
        <v>0</v>
      </c>
      <c r="M119" s="23"/>
      <c r="N119" s="26" t="n">
        <f aca="false">N(K119)+N(L119)-N(M119)</f>
        <v>0</v>
      </c>
      <c r="O119" s="37" t="n">
        <f aca="false">'Feb 2027'!R119</f>
        <v>0</v>
      </c>
      <c r="P119" s="37" t="n">
        <f aca="false">IF(B119="",0,N(Students!H108))</f>
        <v>0</v>
      </c>
      <c r="Q119" s="23"/>
      <c r="R119" s="26" t="n">
        <f aca="false">N(O119)+N(P119)-N(Q119)</f>
        <v>0</v>
      </c>
      <c r="S119" s="37" t="n">
        <f aca="false">'Feb 2027'!V119</f>
        <v>0</v>
      </c>
      <c r="T119" s="37" t="n">
        <f aca="false">IF(B119="",0,N(Students!I108))</f>
        <v>0</v>
      </c>
      <c r="U119" s="23"/>
      <c r="V119" s="26" t="n">
        <f aca="false">N(S119)+N(T119)-N(U119)</f>
        <v>0</v>
      </c>
      <c r="W119" s="37" t="n">
        <f aca="false">'Feb 2027'!Z119</f>
        <v>0</v>
      </c>
      <c r="X119" s="37" t="n">
        <f aca="false">IF(B119="",0,N(Students!J108))</f>
        <v>0</v>
      </c>
      <c r="Y119" s="23"/>
      <c r="Z119" s="26" t="n">
        <f aca="false">N(W119)+N(X119)-N(Y119)</f>
        <v>0</v>
      </c>
      <c r="AA119" s="37" t="n">
        <f aca="false">N(E119)+N(I119)+N(M119)+N(Q119)+N(U119)+N(Y119)</f>
        <v>0</v>
      </c>
      <c r="AB119" s="26" t="n">
        <f aca="false">F119+J119+N119+R119+V119+Z119</f>
        <v>0</v>
      </c>
      <c r="AC119" s="83" t="str">
        <f aca="false">IF(B119="","",IF(AB119&lt;=0,"Clear",IF(AA119&gt;0,"Partial","Due")))</f>
        <v/>
      </c>
    </row>
    <row r="120" customFormat="false" ht="15" hidden="false" customHeight="false" outlineLevel="0" collapsed="false">
      <c r="A120" s="21" t="n">
        <v>105</v>
      </c>
      <c r="B120" s="46" t="str">
        <f aca="false">IF(Students!B109="","",Students!B109)</f>
        <v/>
      </c>
      <c r="C120" s="33" t="n">
        <f aca="false">'Feb 2027'!F120</f>
        <v>0</v>
      </c>
      <c r="D120" s="33" t="n">
        <f aca="false">IF(B120="",0,N(Students!E109))</f>
        <v>0</v>
      </c>
      <c r="E120" s="23"/>
      <c r="F120" s="24" t="n">
        <f aca="false">N(C120)+N(D120)-N(E120)</f>
        <v>0</v>
      </c>
      <c r="G120" s="33" t="n">
        <f aca="false">'Feb 2027'!J120</f>
        <v>0</v>
      </c>
      <c r="H120" s="33" t="n">
        <f aca="false">IF(B120="",0,N(Students!F109))</f>
        <v>0</v>
      </c>
      <c r="I120" s="23"/>
      <c r="J120" s="24" t="n">
        <f aca="false">N(G120)+N(H120)-N(I120)</f>
        <v>0</v>
      </c>
      <c r="K120" s="33" t="n">
        <f aca="false">'Feb 2027'!N120</f>
        <v>0</v>
      </c>
      <c r="L120" s="33" t="n">
        <f aca="false">IF(B120="",0,N(Students!G109))</f>
        <v>0</v>
      </c>
      <c r="M120" s="23"/>
      <c r="N120" s="24" t="n">
        <f aca="false">N(K120)+N(L120)-N(M120)</f>
        <v>0</v>
      </c>
      <c r="O120" s="33" t="n">
        <f aca="false">'Feb 2027'!R120</f>
        <v>0</v>
      </c>
      <c r="P120" s="33" t="n">
        <f aca="false">IF(B120="",0,N(Students!H109))</f>
        <v>0</v>
      </c>
      <c r="Q120" s="23"/>
      <c r="R120" s="24" t="n">
        <f aca="false">N(O120)+N(P120)-N(Q120)</f>
        <v>0</v>
      </c>
      <c r="S120" s="33" t="n">
        <f aca="false">'Feb 2027'!V120</f>
        <v>0</v>
      </c>
      <c r="T120" s="33" t="n">
        <f aca="false">IF(B120="",0,N(Students!I109))</f>
        <v>0</v>
      </c>
      <c r="U120" s="23"/>
      <c r="V120" s="24" t="n">
        <f aca="false">N(S120)+N(T120)-N(U120)</f>
        <v>0</v>
      </c>
      <c r="W120" s="33" t="n">
        <f aca="false">'Feb 2027'!Z120</f>
        <v>0</v>
      </c>
      <c r="X120" s="33" t="n">
        <f aca="false">IF(B120="",0,N(Students!J109))</f>
        <v>0</v>
      </c>
      <c r="Y120" s="23"/>
      <c r="Z120" s="24" t="n">
        <f aca="false">N(W120)+N(X120)-N(Y120)</f>
        <v>0</v>
      </c>
      <c r="AA120" s="33" t="n">
        <f aca="false">N(E120)+N(I120)+N(M120)+N(Q120)+N(U120)+N(Y120)</f>
        <v>0</v>
      </c>
      <c r="AB120" s="24" t="n">
        <f aca="false">F120+J120+N120+R120+V120+Z120</f>
        <v>0</v>
      </c>
      <c r="AC120" s="81" t="str">
        <f aca="false">IF(B120="","",IF(AB120&lt;=0,"Clear",IF(AA120&gt;0,"Partial","Due")))</f>
        <v/>
      </c>
    </row>
    <row r="121" customFormat="false" ht="15" hidden="false" customHeight="false" outlineLevel="0" collapsed="false">
      <c r="A121" s="25" t="n">
        <v>106</v>
      </c>
      <c r="B121" s="82" t="str">
        <f aca="false">IF(Students!B110="","",Students!B110)</f>
        <v/>
      </c>
      <c r="C121" s="37" t="n">
        <f aca="false">'Feb 2027'!F121</f>
        <v>0</v>
      </c>
      <c r="D121" s="37" t="n">
        <f aca="false">IF(B121="",0,N(Students!E110))</f>
        <v>0</v>
      </c>
      <c r="E121" s="23"/>
      <c r="F121" s="26" t="n">
        <f aca="false">N(C121)+N(D121)-N(E121)</f>
        <v>0</v>
      </c>
      <c r="G121" s="37" t="n">
        <f aca="false">'Feb 2027'!J121</f>
        <v>0</v>
      </c>
      <c r="H121" s="37" t="n">
        <f aca="false">IF(B121="",0,N(Students!F110))</f>
        <v>0</v>
      </c>
      <c r="I121" s="23"/>
      <c r="J121" s="26" t="n">
        <f aca="false">N(G121)+N(H121)-N(I121)</f>
        <v>0</v>
      </c>
      <c r="K121" s="37" t="n">
        <f aca="false">'Feb 2027'!N121</f>
        <v>0</v>
      </c>
      <c r="L121" s="37" t="n">
        <f aca="false">IF(B121="",0,N(Students!G110))</f>
        <v>0</v>
      </c>
      <c r="M121" s="23"/>
      <c r="N121" s="26" t="n">
        <f aca="false">N(K121)+N(L121)-N(M121)</f>
        <v>0</v>
      </c>
      <c r="O121" s="37" t="n">
        <f aca="false">'Feb 2027'!R121</f>
        <v>0</v>
      </c>
      <c r="P121" s="37" t="n">
        <f aca="false">IF(B121="",0,N(Students!H110))</f>
        <v>0</v>
      </c>
      <c r="Q121" s="23"/>
      <c r="R121" s="26" t="n">
        <f aca="false">N(O121)+N(P121)-N(Q121)</f>
        <v>0</v>
      </c>
      <c r="S121" s="37" t="n">
        <f aca="false">'Feb 2027'!V121</f>
        <v>0</v>
      </c>
      <c r="T121" s="37" t="n">
        <f aca="false">IF(B121="",0,N(Students!I110))</f>
        <v>0</v>
      </c>
      <c r="U121" s="23"/>
      <c r="V121" s="26" t="n">
        <f aca="false">N(S121)+N(T121)-N(U121)</f>
        <v>0</v>
      </c>
      <c r="W121" s="37" t="n">
        <f aca="false">'Feb 2027'!Z121</f>
        <v>0</v>
      </c>
      <c r="X121" s="37" t="n">
        <f aca="false">IF(B121="",0,N(Students!J110))</f>
        <v>0</v>
      </c>
      <c r="Y121" s="23"/>
      <c r="Z121" s="26" t="n">
        <f aca="false">N(W121)+N(X121)-N(Y121)</f>
        <v>0</v>
      </c>
      <c r="AA121" s="37" t="n">
        <f aca="false">N(E121)+N(I121)+N(M121)+N(Q121)+N(U121)+N(Y121)</f>
        <v>0</v>
      </c>
      <c r="AB121" s="26" t="n">
        <f aca="false">F121+J121+N121+R121+V121+Z121</f>
        <v>0</v>
      </c>
      <c r="AC121" s="83" t="str">
        <f aca="false">IF(B121="","",IF(AB121&lt;=0,"Clear",IF(AA121&gt;0,"Partial","Due")))</f>
        <v/>
      </c>
    </row>
    <row r="122" customFormat="false" ht="15" hidden="false" customHeight="false" outlineLevel="0" collapsed="false">
      <c r="A122" s="21" t="n">
        <v>107</v>
      </c>
      <c r="B122" s="46" t="str">
        <f aca="false">IF(Students!B111="","",Students!B111)</f>
        <v/>
      </c>
      <c r="C122" s="33" t="n">
        <f aca="false">'Feb 2027'!F122</f>
        <v>0</v>
      </c>
      <c r="D122" s="33" t="n">
        <f aca="false">IF(B122="",0,N(Students!E111))</f>
        <v>0</v>
      </c>
      <c r="E122" s="23"/>
      <c r="F122" s="24" t="n">
        <f aca="false">N(C122)+N(D122)-N(E122)</f>
        <v>0</v>
      </c>
      <c r="G122" s="33" t="n">
        <f aca="false">'Feb 2027'!J122</f>
        <v>0</v>
      </c>
      <c r="H122" s="33" t="n">
        <f aca="false">IF(B122="",0,N(Students!F111))</f>
        <v>0</v>
      </c>
      <c r="I122" s="23"/>
      <c r="J122" s="24" t="n">
        <f aca="false">N(G122)+N(H122)-N(I122)</f>
        <v>0</v>
      </c>
      <c r="K122" s="33" t="n">
        <f aca="false">'Feb 2027'!N122</f>
        <v>0</v>
      </c>
      <c r="L122" s="33" t="n">
        <f aca="false">IF(B122="",0,N(Students!G111))</f>
        <v>0</v>
      </c>
      <c r="M122" s="23"/>
      <c r="N122" s="24" t="n">
        <f aca="false">N(K122)+N(L122)-N(M122)</f>
        <v>0</v>
      </c>
      <c r="O122" s="33" t="n">
        <f aca="false">'Feb 2027'!R122</f>
        <v>0</v>
      </c>
      <c r="P122" s="33" t="n">
        <f aca="false">IF(B122="",0,N(Students!H111))</f>
        <v>0</v>
      </c>
      <c r="Q122" s="23"/>
      <c r="R122" s="24" t="n">
        <f aca="false">N(O122)+N(P122)-N(Q122)</f>
        <v>0</v>
      </c>
      <c r="S122" s="33" t="n">
        <f aca="false">'Feb 2027'!V122</f>
        <v>0</v>
      </c>
      <c r="T122" s="33" t="n">
        <f aca="false">IF(B122="",0,N(Students!I111))</f>
        <v>0</v>
      </c>
      <c r="U122" s="23"/>
      <c r="V122" s="24" t="n">
        <f aca="false">N(S122)+N(T122)-N(U122)</f>
        <v>0</v>
      </c>
      <c r="W122" s="33" t="n">
        <f aca="false">'Feb 2027'!Z122</f>
        <v>0</v>
      </c>
      <c r="X122" s="33" t="n">
        <f aca="false">IF(B122="",0,N(Students!J111))</f>
        <v>0</v>
      </c>
      <c r="Y122" s="23"/>
      <c r="Z122" s="24" t="n">
        <f aca="false">N(W122)+N(X122)-N(Y122)</f>
        <v>0</v>
      </c>
      <c r="AA122" s="33" t="n">
        <f aca="false">N(E122)+N(I122)+N(M122)+N(Q122)+N(U122)+N(Y122)</f>
        <v>0</v>
      </c>
      <c r="AB122" s="24" t="n">
        <f aca="false">F122+J122+N122+R122+V122+Z122</f>
        <v>0</v>
      </c>
      <c r="AC122" s="81" t="str">
        <f aca="false">IF(B122="","",IF(AB122&lt;=0,"Clear",IF(AA122&gt;0,"Partial","Due")))</f>
        <v/>
      </c>
    </row>
    <row r="123" customFormat="false" ht="15" hidden="false" customHeight="false" outlineLevel="0" collapsed="false">
      <c r="A123" s="25" t="n">
        <v>108</v>
      </c>
      <c r="B123" s="82" t="str">
        <f aca="false">IF(Students!B112="","",Students!B112)</f>
        <v/>
      </c>
      <c r="C123" s="37" t="n">
        <f aca="false">'Feb 2027'!F123</f>
        <v>0</v>
      </c>
      <c r="D123" s="37" t="n">
        <f aca="false">IF(B123="",0,N(Students!E112))</f>
        <v>0</v>
      </c>
      <c r="E123" s="23"/>
      <c r="F123" s="26" t="n">
        <f aca="false">N(C123)+N(D123)-N(E123)</f>
        <v>0</v>
      </c>
      <c r="G123" s="37" t="n">
        <f aca="false">'Feb 2027'!J123</f>
        <v>0</v>
      </c>
      <c r="H123" s="37" t="n">
        <f aca="false">IF(B123="",0,N(Students!F112))</f>
        <v>0</v>
      </c>
      <c r="I123" s="23"/>
      <c r="J123" s="26" t="n">
        <f aca="false">N(G123)+N(H123)-N(I123)</f>
        <v>0</v>
      </c>
      <c r="K123" s="37" t="n">
        <f aca="false">'Feb 2027'!N123</f>
        <v>0</v>
      </c>
      <c r="L123" s="37" t="n">
        <f aca="false">IF(B123="",0,N(Students!G112))</f>
        <v>0</v>
      </c>
      <c r="M123" s="23"/>
      <c r="N123" s="26" t="n">
        <f aca="false">N(K123)+N(L123)-N(M123)</f>
        <v>0</v>
      </c>
      <c r="O123" s="37" t="n">
        <f aca="false">'Feb 2027'!R123</f>
        <v>0</v>
      </c>
      <c r="P123" s="37" t="n">
        <f aca="false">IF(B123="",0,N(Students!H112))</f>
        <v>0</v>
      </c>
      <c r="Q123" s="23"/>
      <c r="R123" s="26" t="n">
        <f aca="false">N(O123)+N(P123)-N(Q123)</f>
        <v>0</v>
      </c>
      <c r="S123" s="37" t="n">
        <f aca="false">'Feb 2027'!V123</f>
        <v>0</v>
      </c>
      <c r="T123" s="37" t="n">
        <f aca="false">IF(B123="",0,N(Students!I112))</f>
        <v>0</v>
      </c>
      <c r="U123" s="23"/>
      <c r="V123" s="26" t="n">
        <f aca="false">N(S123)+N(T123)-N(U123)</f>
        <v>0</v>
      </c>
      <c r="W123" s="37" t="n">
        <f aca="false">'Feb 2027'!Z123</f>
        <v>0</v>
      </c>
      <c r="X123" s="37" t="n">
        <f aca="false">IF(B123="",0,N(Students!J112))</f>
        <v>0</v>
      </c>
      <c r="Y123" s="23"/>
      <c r="Z123" s="26" t="n">
        <f aca="false">N(W123)+N(X123)-N(Y123)</f>
        <v>0</v>
      </c>
      <c r="AA123" s="37" t="n">
        <f aca="false">N(E123)+N(I123)+N(M123)+N(Q123)+N(U123)+N(Y123)</f>
        <v>0</v>
      </c>
      <c r="AB123" s="26" t="n">
        <f aca="false">F123+J123+N123+R123+V123+Z123</f>
        <v>0</v>
      </c>
      <c r="AC123" s="83" t="str">
        <f aca="false">IF(B123="","",IF(AB123&lt;=0,"Clear",IF(AA123&gt;0,"Partial","Due")))</f>
        <v/>
      </c>
    </row>
    <row r="124" customFormat="false" ht="15" hidden="false" customHeight="false" outlineLevel="0" collapsed="false">
      <c r="A124" s="21" t="n">
        <v>109</v>
      </c>
      <c r="B124" s="46" t="str">
        <f aca="false">IF(Students!B113="","",Students!B113)</f>
        <v/>
      </c>
      <c r="C124" s="33" t="n">
        <f aca="false">'Feb 2027'!F124</f>
        <v>0</v>
      </c>
      <c r="D124" s="33" t="n">
        <f aca="false">IF(B124="",0,N(Students!E113))</f>
        <v>0</v>
      </c>
      <c r="E124" s="23"/>
      <c r="F124" s="24" t="n">
        <f aca="false">N(C124)+N(D124)-N(E124)</f>
        <v>0</v>
      </c>
      <c r="G124" s="33" t="n">
        <f aca="false">'Feb 2027'!J124</f>
        <v>0</v>
      </c>
      <c r="H124" s="33" t="n">
        <f aca="false">IF(B124="",0,N(Students!F113))</f>
        <v>0</v>
      </c>
      <c r="I124" s="23"/>
      <c r="J124" s="24" t="n">
        <f aca="false">N(G124)+N(H124)-N(I124)</f>
        <v>0</v>
      </c>
      <c r="K124" s="33" t="n">
        <f aca="false">'Feb 2027'!N124</f>
        <v>0</v>
      </c>
      <c r="L124" s="33" t="n">
        <f aca="false">IF(B124="",0,N(Students!G113))</f>
        <v>0</v>
      </c>
      <c r="M124" s="23"/>
      <c r="N124" s="24" t="n">
        <f aca="false">N(K124)+N(L124)-N(M124)</f>
        <v>0</v>
      </c>
      <c r="O124" s="33" t="n">
        <f aca="false">'Feb 2027'!R124</f>
        <v>0</v>
      </c>
      <c r="P124" s="33" t="n">
        <f aca="false">IF(B124="",0,N(Students!H113))</f>
        <v>0</v>
      </c>
      <c r="Q124" s="23"/>
      <c r="R124" s="24" t="n">
        <f aca="false">N(O124)+N(P124)-N(Q124)</f>
        <v>0</v>
      </c>
      <c r="S124" s="33" t="n">
        <f aca="false">'Feb 2027'!V124</f>
        <v>0</v>
      </c>
      <c r="T124" s="33" t="n">
        <f aca="false">IF(B124="",0,N(Students!I113))</f>
        <v>0</v>
      </c>
      <c r="U124" s="23"/>
      <c r="V124" s="24" t="n">
        <f aca="false">N(S124)+N(T124)-N(U124)</f>
        <v>0</v>
      </c>
      <c r="W124" s="33" t="n">
        <f aca="false">'Feb 2027'!Z124</f>
        <v>0</v>
      </c>
      <c r="X124" s="33" t="n">
        <f aca="false">IF(B124="",0,N(Students!J113))</f>
        <v>0</v>
      </c>
      <c r="Y124" s="23"/>
      <c r="Z124" s="24" t="n">
        <f aca="false">N(W124)+N(X124)-N(Y124)</f>
        <v>0</v>
      </c>
      <c r="AA124" s="33" t="n">
        <f aca="false">N(E124)+N(I124)+N(M124)+N(Q124)+N(U124)+N(Y124)</f>
        <v>0</v>
      </c>
      <c r="AB124" s="24" t="n">
        <f aca="false">F124+J124+N124+R124+V124+Z124</f>
        <v>0</v>
      </c>
      <c r="AC124" s="81" t="str">
        <f aca="false">IF(B124="","",IF(AB124&lt;=0,"Clear",IF(AA124&gt;0,"Partial","Due")))</f>
        <v/>
      </c>
    </row>
    <row r="125" customFormat="false" ht="15" hidden="false" customHeight="false" outlineLevel="0" collapsed="false">
      <c r="A125" s="25" t="n">
        <v>110</v>
      </c>
      <c r="B125" s="82" t="str">
        <f aca="false">IF(Students!B114="","",Students!B114)</f>
        <v/>
      </c>
      <c r="C125" s="37" t="n">
        <f aca="false">'Feb 2027'!F125</f>
        <v>0</v>
      </c>
      <c r="D125" s="37" t="n">
        <f aca="false">IF(B125="",0,N(Students!E114))</f>
        <v>0</v>
      </c>
      <c r="E125" s="23"/>
      <c r="F125" s="26" t="n">
        <f aca="false">N(C125)+N(D125)-N(E125)</f>
        <v>0</v>
      </c>
      <c r="G125" s="37" t="n">
        <f aca="false">'Feb 2027'!J125</f>
        <v>0</v>
      </c>
      <c r="H125" s="37" t="n">
        <f aca="false">IF(B125="",0,N(Students!F114))</f>
        <v>0</v>
      </c>
      <c r="I125" s="23"/>
      <c r="J125" s="26" t="n">
        <f aca="false">N(G125)+N(H125)-N(I125)</f>
        <v>0</v>
      </c>
      <c r="K125" s="37" t="n">
        <f aca="false">'Feb 2027'!N125</f>
        <v>0</v>
      </c>
      <c r="L125" s="37" t="n">
        <f aca="false">IF(B125="",0,N(Students!G114))</f>
        <v>0</v>
      </c>
      <c r="M125" s="23"/>
      <c r="N125" s="26" t="n">
        <f aca="false">N(K125)+N(L125)-N(M125)</f>
        <v>0</v>
      </c>
      <c r="O125" s="37" t="n">
        <f aca="false">'Feb 2027'!R125</f>
        <v>0</v>
      </c>
      <c r="P125" s="37" t="n">
        <f aca="false">IF(B125="",0,N(Students!H114))</f>
        <v>0</v>
      </c>
      <c r="Q125" s="23"/>
      <c r="R125" s="26" t="n">
        <f aca="false">N(O125)+N(P125)-N(Q125)</f>
        <v>0</v>
      </c>
      <c r="S125" s="37" t="n">
        <f aca="false">'Feb 2027'!V125</f>
        <v>0</v>
      </c>
      <c r="T125" s="37" t="n">
        <f aca="false">IF(B125="",0,N(Students!I114))</f>
        <v>0</v>
      </c>
      <c r="U125" s="23"/>
      <c r="V125" s="26" t="n">
        <f aca="false">N(S125)+N(T125)-N(U125)</f>
        <v>0</v>
      </c>
      <c r="W125" s="37" t="n">
        <f aca="false">'Feb 2027'!Z125</f>
        <v>0</v>
      </c>
      <c r="X125" s="37" t="n">
        <f aca="false">IF(B125="",0,N(Students!J114))</f>
        <v>0</v>
      </c>
      <c r="Y125" s="23"/>
      <c r="Z125" s="26" t="n">
        <f aca="false">N(W125)+N(X125)-N(Y125)</f>
        <v>0</v>
      </c>
      <c r="AA125" s="37" t="n">
        <f aca="false">N(E125)+N(I125)+N(M125)+N(Q125)+N(U125)+N(Y125)</f>
        <v>0</v>
      </c>
      <c r="AB125" s="26" t="n">
        <f aca="false">F125+J125+N125+R125+V125+Z125</f>
        <v>0</v>
      </c>
      <c r="AC125" s="83" t="str">
        <f aca="false">IF(B125="","",IF(AB125&lt;=0,"Clear",IF(AA125&gt;0,"Partial","Due")))</f>
        <v/>
      </c>
    </row>
    <row r="126" customFormat="false" ht="15" hidden="false" customHeight="false" outlineLevel="0" collapsed="false">
      <c r="A126" s="21" t="n">
        <v>111</v>
      </c>
      <c r="B126" s="46" t="str">
        <f aca="false">IF(Students!B115="","",Students!B115)</f>
        <v/>
      </c>
      <c r="C126" s="33" t="n">
        <f aca="false">'Feb 2027'!F126</f>
        <v>0</v>
      </c>
      <c r="D126" s="33" t="n">
        <f aca="false">IF(B126="",0,N(Students!E115))</f>
        <v>0</v>
      </c>
      <c r="E126" s="23"/>
      <c r="F126" s="24" t="n">
        <f aca="false">N(C126)+N(D126)-N(E126)</f>
        <v>0</v>
      </c>
      <c r="G126" s="33" t="n">
        <f aca="false">'Feb 2027'!J126</f>
        <v>0</v>
      </c>
      <c r="H126" s="33" t="n">
        <f aca="false">IF(B126="",0,N(Students!F115))</f>
        <v>0</v>
      </c>
      <c r="I126" s="23"/>
      <c r="J126" s="24" t="n">
        <f aca="false">N(G126)+N(H126)-N(I126)</f>
        <v>0</v>
      </c>
      <c r="K126" s="33" t="n">
        <f aca="false">'Feb 2027'!N126</f>
        <v>0</v>
      </c>
      <c r="L126" s="33" t="n">
        <f aca="false">IF(B126="",0,N(Students!G115))</f>
        <v>0</v>
      </c>
      <c r="M126" s="23"/>
      <c r="N126" s="24" t="n">
        <f aca="false">N(K126)+N(L126)-N(M126)</f>
        <v>0</v>
      </c>
      <c r="O126" s="33" t="n">
        <f aca="false">'Feb 2027'!R126</f>
        <v>0</v>
      </c>
      <c r="P126" s="33" t="n">
        <f aca="false">IF(B126="",0,N(Students!H115))</f>
        <v>0</v>
      </c>
      <c r="Q126" s="23"/>
      <c r="R126" s="24" t="n">
        <f aca="false">N(O126)+N(P126)-N(Q126)</f>
        <v>0</v>
      </c>
      <c r="S126" s="33" t="n">
        <f aca="false">'Feb 2027'!V126</f>
        <v>0</v>
      </c>
      <c r="T126" s="33" t="n">
        <f aca="false">IF(B126="",0,N(Students!I115))</f>
        <v>0</v>
      </c>
      <c r="U126" s="23"/>
      <c r="V126" s="24" t="n">
        <f aca="false">N(S126)+N(T126)-N(U126)</f>
        <v>0</v>
      </c>
      <c r="W126" s="33" t="n">
        <f aca="false">'Feb 2027'!Z126</f>
        <v>0</v>
      </c>
      <c r="X126" s="33" t="n">
        <f aca="false">IF(B126="",0,N(Students!J115))</f>
        <v>0</v>
      </c>
      <c r="Y126" s="23"/>
      <c r="Z126" s="24" t="n">
        <f aca="false">N(W126)+N(X126)-N(Y126)</f>
        <v>0</v>
      </c>
      <c r="AA126" s="33" t="n">
        <f aca="false">N(E126)+N(I126)+N(M126)+N(Q126)+N(U126)+N(Y126)</f>
        <v>0</v>
      </c>
      <c r="AB126" s="24" t="n">
        <f aca="false">F126+J126+N126+R126+V126+Z126</f>
        <v>0</v>
      </c>
      <c r="AC126" s="81" t="str">
        <f aca="false">IF(B126="","",IF(AB126&lt;=0,"Clear",IF(AA126&gt;0,"Partial","Due")))</f>
        <v/>
      </c>
    </row>
    <row r="127" customFormat="false" ht="15" hidden="false" customHeight="false" outlineLevel="0" collapsed="false">
      <c r="A127" s="25" t="n">
        <v>112</v>
      </c>
      <c r="B127" s="82" t="str">
        <f aca="false">IF(Students!B116="","",Students!B116)</f>
        <v/>
      </c>
      <c r="C127" s="37" t="n">
        <f aca="false">'Feb 2027'!F127</f>
        <v>0</v>
      </c>
      <c r="D127" s="37" t="n">
        <f aca="false">IF(B127="",0,N(Students!E116))</f>
        <v>0</v>
      </c>
      <c r="E127" s="23"/>
      <c r="F127" s="26" t="n">
        <f aca="false">N(C127)+N(D127)-N(E127)</f>
        <v>0</v>
      </c>
      <c r="G127" s="37" t="n">
        <f aca="false">'Feb 2027'!J127</f>
        <v>0</v>
      </c>
      <c r="H127" s="37" t="n">
        <f aca="false">IF(B127="",0,N(Students!F116))</f>
        <v>0</v>
      </c>
      <c r="I127" s="23"/>
      <c r="J127" s="26" t="n">
        <f aca="false">N(G127)+N(H127)-N(I127)</f>
        <v>0</v>
      </c>
      <c r="K127" s="37" t="n">
        <f aca="false">'Feb 2027'!N127</f>
        <v>0</v>
      </c>
      <c r="L127" s="37" t="n">
        <f aca="false">IF(B127="",0,N(Students!G116))</f>
        <v>0</v>
      </c>
      <c r="M127" s="23"/>
      <c r="N127" s="26" t="n">
        <f aca="false">N(K127)+N(L127)-N(M127)</f>
        <v>0</v>
      </c>
      <c r="O127" s="37" t="n">
        <f aca="false">'Feb 2027'!R127</f>
        <v>0</v>
      </c>
      <c r="P127" s="37" t="n">
        <f aca="false">IF(B127="",0,N(Students!H116))</f>
        <v>0</v>
      </c>
      <c r="Q127" s="23"/>
      <c r="R127" s="26" t="n">
        <f aca="false">N(O127)+N(P127)-N(Q127)</f>
        <v>0</v>
      </c>
      <c r="S127" s="37" t="n">
        <f aca="false">'Feb 2027'!V127</f>
        <v>0</v>
      </c>
      <c r="T127" s="37" t="n">
        <f aca="false">IF(B127="",0,N(Students!I116))</f>
        <v>0</v>
      </c>
      <c r="U127" s="23"/>
      <c r="V127" s="26" t="n">
        <f aca="false">N(S127)+N(T127)-N(U127)</f>
        <v>0</v>
      </c>
      <c r="W127" s="37" t="n">
        <f aca="false">'Feb 2027'!Z127</f>
        <v>0</v>
      </c>
      <c r="X127" s="37" t="n">
        <f aca="false">IF(B127="",0,N(Students!J116))</f>
        <v>0</v>
      </c>
      <c r="Y127" s="23"/>
      <c r="Z127" s="26" t="n">
        <f aca="false">N(W127)+N(X127)-N(Y127)</f>
        <v>0</v>
      </c>
      <c r="AA127" s="37" t="n">
        <f aca="false">N(E127)+N(I127)+N(M127)+N(Q127)+N(U127)+N(Y127)</f>
        <v>0</v>
      </c>
      <c r="AB127" s="26" t="n">
        <f aca="false">F127+J127+N127+R127+V127+Z127</f>
        <v>0</v>
      </c>
      <c r="AC127" s="83" t="str">
        <f aca="false">IF(B127="","",IF(AB127&lt;=0,"Clear",IF(AA127&gt;0,"Partial","Due")))</f>
        <v/>
      </c>
    </row>
    <row r="128" customFormat="false" ht="15" hidden="false" customHeight="false" outlineLevel="0" collapsed="false">
      <c r="A128" s="21" t="n">
        <v>113</v>
      </c>
      <c r="B128" s="46" t="str">
        <f aca="false">IF(Students!B117="","",Students!B117)</f>
        <v/>
      </c>
      <c r="C128" s="33" t="n">
        <f aca="false">'Feb 2027'!F128</f>
        <v>0</v>
      </c>
      <c r="D128" s="33" t="n">
        <f aca="false">IF(B128="",0,N(Students!E117))</f>
        <v>0</v>
      </c>
      <c r="E128" s="23"/>
      <c r="F128" s="24" t="n">
        <f aca="false">N(C128)+N(D128)-N(E128)</f>
        <v>0</v>
      </c>
      <c r="G128" s="33" t="n">
        <f aca="false">'Feb 2027'!J128</f>
        <v>0</v>
      </c>
      <c r="H128" s="33" t="n">
        <f aca="false">IF(B128="",0,N(Students!F117))</f>
        <v>0</v>
      </c>
      <c r="I128" s="23"/>
      <c r="J128" s="24" t="n">
        <f aca="false">N(G128)+N(H128)-N(I128)</f>
        <v>0</v>
      </c>
      <c r="K128" s="33" t="n">
        <f aca="false">'Feb 2027'!N128</f>
        <v>0</v>
      </c>
      <c r="L128" s="33" t="n">
        <f aca="false">IF(B128="",0,N(Students!G117))</f>
        <v>0</v>
      </c>
      <c r="M128" s="23"/>
      <c r="N128" s="24" t="n">
        <f aca="false">N(K128)+N(L128)-N(M128)</f>
        <v>0</v>
      </c>
      <c r="O128" s="33" t="n">
        <f aca="false">'Feb 2027'!R128</f>
        <v>0</v>
      </c>
      <c r="P128" s="33" t="n">
        <f aca="false">IF(B128="",0,N(Students!H117))</f>
        <v>0</v>
      </c>
      <c r="Q128" s="23"/>
      <c r="R128" s="24" t="n">
        <f aca="false">N(O128)+N(P128)-N(Q128)</f>
        <v>0</v>
      </c>
      <c r="S128" s="33" t="n">
        <f aca="false">'Feb 2027'!V128</f>
        <v>0</v>
      </c>
      <c r="T128" s="33" t="n">
        <f aca="false">IF(B128="",0,N(Students!I117))</f>
        <v>0</v>
      </c>
      <c r="U128" s="23"/>
      <c r="V128" s="24" t="n">
        <f aca="false">N(S128)+N(T128)-N(U128)</f>
        <v>0</v>
      </c>
      <c r="W128" s="33" t="n">
        <f aca="false">'Feb 2027'!Z128</f>
        <v>0</v>
      </c>
      <c r="X128" s="33" t="n">
        <f aca="false">IF(B128="",0,N(Students!J117))</f>
        <v>0</v>
      </c>
      <c r="Y128" s="23"/>
      <c r="Z128" s="24" t="n">
        <f aca="false">N(W128)+N(X128)-N(Y128)</f>
        <v>0</v>
      </c>
      <c r="AA128" s="33" t="n">
        <f aca="false">N(E128)+N(I128)+N(M128)+N(Q128)+N(U128)+N(Y128)</f>
        <v>0</v>
      </c>
      <c r="AB128" s="24" t="n">
        <f aca="false">F128+J128+N128+R128+V128+Z128</f>
        <v>0</v>
      </c>
      <c r="AC128" s="81" t="str">
        <f aca="false">IF(B128="","",IF(AB128&lt;=0,"Clear",IF(AA128&gt;0,"Partial","Due")))</f>
        <v/>
      </c>
    </row>
    <row r="129" customFormat="false" ht="15" hidden="false" customHeight="false" outlineLevel="0" collapsed="false">
      <c r="A129" s="25" t="n">
        <v>114</v>
      </c>
      <c r="B129" s="82" t="str">
        <f aca="false">IF(Students!B118="","",Students!B118)</f>
        <v/>
      </c>
      <c r="C129" s="37" t="n">
        <f aca="false">'Feb 2027'!F129</f>
        <v>0</v>
      </c>
      <c r="D129" s="37" t="n">
        <f aca="false">IF(B129="",0,N(Students!E118))</f>
        <v>0</v>
      </c>
      <c r="E129" s="23"/>
      <c r="F129" s="26" t="n">
        <f aca="false">N(C129)+N(D129)-N(E129)</f>
        <v>0</v>
      </c>
      <c r="G129" s="37" t="n">
        <f aca="false">'Feb 2027'!J129</f>
        <v>0</v>
      </c>
      <c r="H129" s="37" t="n">
        <f aca="false">IF(B129="",0,N(Students!F118))</f>
        <v>0</v>
      </c>
      <c r="I129" s="23"/>
      <c r="J129" s="26" t="n">
        <f aca="false">N(G129)+N(H129)-N(I129)</f>
        <v>0</v>
      </c>
      <c r="K129" s="37" t="n">
        <f aca="false">'Feb 2027'!N129</f>
        <v>0</v>
      </c>
      <c r="L129" s="37" t="n">
        <f aca="false">IF(B129="",0,N(Students!G118))</f>
        <v>0</v>
      </c>
      <c r="M129" s="23"/>
      <c r="N129" s="26" t="n">
        <f aca="false">N(K129)+N(L129)-N(M129)</f>
        <v>0</v>
      </c>
      <c r="O129" s="37" t="n">
        <f aca="false">'Feb 2027'!R129</f>
        <v>0</v>
      </c>
      <c r="P129" s="37" t="n">
        <f aca="false">IF(B129="",0,N(Students!H118))</f>
        <v>0</v>
      </c>
      <c r="Q129" s="23"/>
      <c r="R129" s="26" t="n">
        <f aca="false">N(O129)+N(P129)-N(Q129)</f>
        <v>0</v>
      </c>
      <c r="S129" s="37" t="n">
        <f aca="false">'Feb 2027'!V129</f>
        <v>0</v>
      </c>
      <c r="T129" s="37" t="n">
        <f aca="false">IF(B129="",0,N(Students!I118))</f>
        <v>0</v>
      </c>
      <c r="U129" s="23"/>
      <c r="V129" s="26" t="n">
        <f aca="false">N(S129)+N(T129)-N(U129)</f>
        <v>0</v>
      </c>
      <c r="W129" s="37" t="n">
        <f aca="false">'Feb 2027'!Z129</f>
        <v>0</v>
      </c>
      <c r="X129" s="37" t="n">
        <f aca="false">IF(B129="",0,N(Students!J118))</f>
        <v>0</v>
      </c>
      <c r="Y129" s="23"/>
      <c r="Z129" s="26" t="n">
        <f aca="false">N(W129)+N(X129)-N(Y129)</f>
        <v>0</v>
      </c>
      <c r="AA129" s="37" t="n">
        <f aca="false">N(E129)+N(I129)+N(M129)+N(Q129)+N(U129)+N(Y129)</f>
        <v>0</v>
      </c>
      <c r="AB129" s="26" t="n">
        <f aca="false">F129+J129+N129+R129+V129+Z129</f>
        <v>0</v>
      </c>
      <c r="AC129" s="83" t="str">
        <f aca="false">IF(B129="","",IF(AB129&lt;=0,"Clear",IF(AA129&gt;0,"Partial","Due")))</f>
        <v/>
      </c>
    </row>
    <row r="130" customFormat="false" ht="15" hidden="false" customHeight="false" outlineLevel="0" collapsed="false">
      <c r="A130" s="21" t="n">
        <v>115</v>
      </c>
      <c r="B130" s="46" t="str">
        <f aca="false">IF(Students!B119="","",Students!B119)</f>
        <v/>
      </c>
      <c r="C130" s="33" t="n">
        <f aca="false">'Feb 2027'!F130</f>
        <v>0</v>
      </c>
      <c r="D130" s="33" t="n">
        <f aca="false">IF(B130="",0,N(Students!E119))</f>
        <v>0</v>
      </c>
      <c r="E130" s="23"/>
      <c r="F130" s="24" t="n">
        <f aca="false">N(C130)+N(D130)-N(E130)</f>
        <v>0</v>
      </c>
      <c r="G130" s="33" t="n">
        <f aca="false">'Feb 2027'!J130</f>
        <v>0</v>
      </c>
      <c r="H130" s="33" t="n">
        <f aca="false">IF(B130="",0,N(Students!F119))</f>
        <v>0</v>
      </c>
      <c r="I130" s="23"/>
      <c r="J130" s="24" t="n">
        <f aca="false">N(G130)+N(H130)-N(I130)</f>
        <v>0</v>
      </c>
      <c r="K130" s="33" t="n">
        <f aca="false">'Feb 2027'!N130</f>
        <v>0</v>
      </c>
      <c r="L130" s="33" t="n">
        <f aca="false">IF(B130="",0,N(Students!G119))</f>
        <v>0</v>
      </c>
      <c r="M130" s="23"/>
      <c r="N130" s="24" t="n">
        <f aca="false">N(K130)+N(L130)-N(M130)</f>
        <v>0</v>
      </c>
      <c r="O130" s="33" t="n">
        <f aca="false">'Feb 2027'!R130</f>
        <v>0</v>
      </c>
      <c r="P130" s="33" t="n">
        <f aca="false">IF(B130="",0,N(Students!H119))</f>
        <v>0</v>
      </c>
      <c r="Q130" s="23"/>
      <c r="R130" s="24" t="n">
        <f aca="false">N(O130)+N(P130)-N(Q130)</f>
        <v>0</v>
      </c>
      <c r="S130" s="33" t="n">
        <f aca="false">'Feb 2027'!V130</f>
        <v>0</v>
      </c>
      <c r="T130" s="33" t="n">
        <f aca="false">IF(B130="",0,N(Students!I119))</f>
        <v>0</v>
      </c>
      <c r="U130" s="23"/>
      <c r="V130" s="24" t="n">
        <f aca="false">N(S130)+N(T130)-N(U130)</f>
        <v>0</v>
      </c>
      <c r="W130" s="33" t="n">
        <f aca="false">'Feb 2027'!Z130</f>
        <v>0</v>
      </c>
      <c r="X130" s="33" t="n">
        <f aca="false">IF(B130="",0,N(Students!J119))</f>
        <v>0</v>
      </c>
      <c r="Y130" s="23"/>
      <c r="Z130" s="24" t="n">
        <f aca="false">N(W130)+N(X130)-N(Y130)</f>
        <v>0</v>
      </c>
      <c r="AA130" s="33" t="n">
        <f aca="false">N(E130)+N(I130)+N(M130)+N(Q130)+N(U130)+N(Y130)</f>
        <v>0</v>
      </c>
      <c r="AB130" s="24" t="n">
        <f aca="false">F130+J130+N130+R130+V130+Z130</f>
        <v>0</v>
      </c>
      <c r="AC130" s="81" t="str">
        <f aca="false">IF(B130="","",IF(AB130&lt;=0,"Clear",IF(AA130&gt;0,"Partial","Due")))</f>
        <v/>
      </c>
    </row>
    <row r="131" customFormat="false" ht="15" hidden="false" customHeight="false" outlineLevel="0" collapsed="false">
      <c r="A131" s="25" t="n">
        <v>116</v>
      </c>
      <c r="B131" s="82" t="str">
        <f aca="false">IF(Students!B120="","",Students!B120)</f>
        <v/>
      </c>
      <c r="C131" s="37" t="n">
        <f aca="false">'Feb 2027'!F131</f>
        <v>0</v>
      </c>
      <c r="D131" s="37" t="n">
        <f aca="false">IF(B131="",0,N(Students!E120))</f>
        <v>0</v>
      </c>
      <c r="E131" s="23"/>
      <c r="F131" s="26" t="n">
        <f aca="false">N(C131)+N(D131)-N(E131)</f>
        <v>0</v>
      </c>
      <c r="G131" s="37" t="n">
        <f aca="false">'Feb 2027'!J131</f>
        <v>0</v>
      </c>
      <c r="H131" s="37" t="n">
        <f aca="false">IF(B131="",0,N(Students!F120))</f>
        <v>0</v>
      </c>
      <c r="I131" s="23"/>
      <c r="J131" s="26" t="n">
        <f aca="false">N(G131)+N(H131)-N(I131)</f>
        <v>0</v>
      </c>
      <c r="K131" s="37" t="n">
        <f aca="false">'Feb 2027'!N131</f>
        <v>0</v>
      </c>
      <c r="L131" s="37" t="n">
        <f aca="false">IF(B131="",0,N(Students!G120))</f>
        <v>0</v>
      </c>
      <c r="M131" s="23"/>
      <c r="N131" s="26" t="n">
        <f aca="false">N(K131)+N(L131)-N(M131)</f>
        <v>0</v>
      </c>
      <c r="O131" s="37" t="n">
        <f aca="false">'Feb 2027'!R131</f>
        <v>0</v>
      </c>
      <c r="P131" s="37" t="n">
        <f aca="false">IF(B131="",0,N(Students!H120))</f>
        <v>0</v>
      </c>
      <c r="Q131" s="23"/>
      <c r="R131" s="26" t="n">
        <f aca="false">N(O131)+N(P131)-N(Q131)</f>
        <v>0</v>
      </c>
      <c r="S131" s="37" t="n">
        <f aca="false">'Feb 2027'!V131</f>
        <v>0</v>
      </c>
      <c r="T131" s="37" t="n">
        <f aca="false">IF(B131="",0,N(Students!I120))</f>
        <v>0</v>
      </c>
      <c r="U131" s="23"/>
      <c r="V131" s="26" t="n">
        <f aca="false">N(S131)+N(T131)-N(U131)</f>
        <v>0</v>
      </c>
      <c r="W131" s="37" t="n">
        <f aca="false">'Feb 2027'!Z131</f>
        <v>0</v>
      </c>
      <c r="X131" s="37" t="n">
        <f aca="false">IF(B131="",0,N(Students!J120))</f>
        <v>0</v>
      </c>
      <c r="Y131" s="23"/>
      <c r="Z131" s="26" t="n">
        <f aca="false">N(W131)+N(X131)-N(Y131)</f>
        <v>0</v>
      </c>
      <c r="AA131" s="37" t="n">
        <f aca="false">N(E131)+N(I131)+N(M131)+N(Q131)+N(U131)+N(Y131)</f>
        <v>0</v>
      </c>
      <c r="AB131" s="26" t="n">
        <f aca="false">F131+J131+N131+R131+V131+Z131</f>
        <v>0</v>
      </c>
      <c r="AC131" s="83" t="str">
        <f aca="false">IF(B131="","",IF(AB131&lt;=0,"Clear",IF(AA131&gt;0,"Partial","Due")))</f>
        <v/>
      </c>
    </row>
    <row r="132" customFormat="false" ht="15" hidden="false" customHeight="false" outlineLevel="0" collapsed="false">
      <c r="A132" s="21" t="n">
        <v>117</v>
      </c>
      <c r="B132" s="46" t="str">
        <f aca="false">IF(Students!B121="","",Students!B121)</f>
        <v/>
      </c>
      <c r="C132" s="33" t="n">
        <f aca="false">'Feb 2027'!F132</f>
        <v>0</v>
      </c>
      <c r="D132" s="33" t="n">
        <f aca="false">IF(B132="",0,N(Students!E121))</f>
        <v>0</v>
      </c>
      <c r="E132" s="23"/>
      <c r="F132" s="24" t="n">
        <f aca="false">N(C132)+N(D132)-N(E132)</f>
        <v>0</v>
      </c>
      <c r="G132" s="33" t="n">
        <f aca="false">'Feb 2027'!J132</f>
        <v>0</v>
      </c>
      <c r="H132" s="33" t="n">
        <f aca="false">IF(B132="",0,N(Students!F121))</f>
        <v>0</v>
      </c>
      <c r="I132" s="23"/>
      <c r="J132" s="24" t="n">
        <f aca="false">N(G132)+N(H132)-N(I132)</f>
        <v>0</v>
      </c>
      <c r="K132" s="33" t="n">
        <f aca="false">'Feb 2027'!N132</f>
        <v>0</v>
      </c>
      <c r="L132" s="33" t="n">
        <f aca="false">IF(B132="",0,N(Students!G121))</f>
        <v>0</v>
      </c>
      <c r="M132" s="23"/>
      <c r="N132" s="24" t="n">
        <f aca="false">N(K132)+N(L132)-N(M132)</f>
        <v>0</v>
      </c>
      <c r="O132" s="33" t="n">
        <f aca="false">'Feb 2027'!R132</f>
        <v>0</v>
      </c>
      <c r="P132" s="33" t="n">
        <f aca="false">IF(B132="",0,N(Students!H121))</f>
        <v>0</v>
      </c>
      <c r="Q132" s="23"/>
      <c r="R132" s="24" t="n">
        <f aca="false">N(O132)+N(P132)-N(Q132)</f>
        <v>0</v>
      </c>
      <c r="S132" s="33" t="n">
        <f aca="false">'Feb 2027'!V132</f>
        <v>0</v>
      </c>
      <c r="T132" s="33" t="n">
        <f aca="false">IF(B132="",0,N(Students!I121))</f>
        <v>0</v>
      </c>
      <c r="U132" s="23"/>
      <c r="V132" s="24" t="n">
        <f aca="false">N(S132)+N(T132)-N(U132)</f>
        <v>0</v>
      </c>
      <c r="W132" s="33" t="n">
        <f aca="false">'Feb 2027'!Z132</f>
        <v>0</v>
      </c>
      <c r="X132" s="33" t="n">
        <f aca="false">IF(B132="",0,N(Students!J121))</f>
        <v>0</v>
      </c>
      <c r="Y132" s="23"/>
      <c r="Z132" s="24" t="n">
        <f aca="false">N(W132)+N(X132)-N(Y132)</f>
        <v>0</v>
      </c>
      <c r="AA132" s="33" t="n">
        <f aca="false">N(E132)+N(I132)+N(M132)+N(Q132)+N(U132)+N(Y132)</f>
        <v>0</v>
      </c>
      <c r="AB132" s="24" t="n">
        <f aca="false">F132+J132+N132+R132+V132+Z132</f>
        <v>0</v>
      </c>
      <c r="AC132" s="81" t="str">
        <f aca="false">IF(B132="","",IF(AB132&lt;=0,"Clear",IF(AA132&gt;0,"Partial","Due")))</f>
        <v/>
      </c>
    </row>
    <row r="133" customFormat="false" ht="15" hidden="false" customHeight="false" outlineLevel="0" collapsed="false">
      <c r="A133" s="25" t="n">
        <v>118</v>
      </c>
      <c r="B133" s="82" t="str">
        <f aca="false">IF(Students!B122="","",Students!B122)</f>
        <v/>
      </c>
      <c r="C133" s="37" t="n">
        <f aca="false">'Feb 2027'!F133</f>
        <v>0</v>
      </c>
      <c r="D133" s="37" t="n">
        <f aca="false">IF(B133="",0,N(Students!E122))</f>
        <v>0</v>
      </c>
      <c r="E133" s="23"/>
      <c r="F133" s="26" t="n">
        <f aca="false">N(C133)+N(D133)-N(E133)</f>
        <v>0</v>
      </c>
      <c r="G133" s="37" t="n">
        <f aca="false">'Feb 2027'!J133</f>
        <v>0</v>
      </c>
      <c r="H133" s="37" t="n">
        <f aca="false">IF(B133="",0,N(Students!F122))</f>
        <v>0</v>
      </c>
      <c r="I133" s="23"/>
      <c r="J133" s="26" t="n">
        <f aca="false">N(G133)+N(H133)-N(I133)</f>
        <v>0</v>
      </c>
      <c r="K133" s="37" t="n">
        <f aca="false">'Feb 2027'!N133</f>
        <v>0</v>
      </c>
      <c r="L133" s="37" t="n">
        <f aca="false">IF(B133="",0,N(Students!G122))</f>
        <v>0</v>
      </c>
      <c r="M133" s="23"/>
      <c r="N133" s="26" t="n">
        <f aca="false">N(K133)+N(L133)-N(M133)</f>
        <v>0</v>
      </c>
      <c r="O133" s="37" t="n">
        <f aca="false">'Feb 2027'!R133</f>
        <v>0</v>
      </c>
      <c r="P133" s="37" t="n">
        <f aca="false">IF(B133="",0,N(Students!H122))</f>
        <v>0</v>
      </c>
      <c r="Q133" s="23"/>
      <c r="R133" s="26" t="n">
        <f aca="false">N(O133)+N(P133)-N(Q133)</f>
        <v>0</v>
      </c>
      <c r="S133" s="37" t="n">
        <f aca="false">'Feb 2027'!V133</f>
        <v>0</v>
      </c>
      <c r="T133" s="37" t="n">
        <f aca="false">IF(B133="",0,N(Students!I122))</f>
        <v>0</v>
      </c>
      <c r="U133" s="23"/>
      <c r="V133" s="26" t="n">
        <f aca="false">N(S133)+N(T133)-N(U133)</f>
        <v>0</v>
      </c>
      <c r="W133" s="37" t="n">
        <f aca="false">'Feb 2027'!Z133</f>
        <v>0</v>
      </c>
      <c r="X133" s="37" t="n">
        <f aca="false">IF(B133="",0,N(Students!J122))</f>
        <v>0</v>
      </c>
      <c r="Y133" s="23"/>
      <c r="Z133" s="26" t="n">
        <f aca="false">N(W133)+N(X133)-N(Y133)</f>
        <v>0</v>
      </c>
      <c r="AA133" s="37" t="n">
        <f aca="false">N(E133)+N(I133)+N(M133)+N(Q133)+N(U133)+N(Y133)</f>
        <v>0</v>
      </c>
      <c r="AB133" s="26" t="n">
        <f aca="false">F133+J133+N133+R133+V133+Z133</f>
        <v>0</v>
      </c>
      <c r="AC133" s="83" t="str">
        <f aca="false">IF(B133="","",IF(AB133&lt;=0,"Clear",IF(AA133&gt;0,"Partial","Due")))</f>
        <v/>
      </c>
    </row>
    <row r="134" customFormat="false" ht="15" hidden="false" customHeight="false" outlineLevel="0" collapsed="false">
      <c r="A134" s="21" t="n">
        <v>119</v>
      </c>
      <c r="B134" s="46" t="str">
        <f aca="false">IF(Students!B123="","",Students!B123)</f>
        <v/>
      </c>
      <c r="C134" s="33" t="n">
        <f aca="false">'Feb 2027'!F134</f>
        <v>0</v>
      </c>
      <c r="D134" s="33" t="n">
        <f aca="false">IF(B134="",0,N(Students!E123))</f>
        <v>0</v>
      </c>
      <c r="E134" s="23"/>
      <c r="F134" s="24" t="n">
        <f aca="false">N(C134)+N(D134)-N(E134)</f>
        <v>0</v>
      </c>
      <c r="G134" s="33" t="n">
        <f aca="false">'Feb 2027'!J134</f>
        <v>0</v>
      </c>
      <c r="H134" s="33" t="n">
        <f aca="false">IF(B134="",0,N(Students!F123))</f>
        <v>0</v>
      </c>
      <c r="I134" s="23"/>
      <c r="J134" s="24" t="n">
        <f aca="false">N(G134)+N(H134)-N(I134)</f>
        <v>0</v>
      </c>
      <c r="K134" s="33" t="n">
        <f aca="false">'Feb 2027'!N134</f>
        <v>0</v>
      </c>
      <c r="L134" s="33" t="n">
        <f aca="false">IF(B134="",0,N(Students!G123))</f>
        <v>0</v>
      </c>
      <c r="M134" s="23"/>
      <c r="N134" s="24" t="n">
        <f aca="false">N(K134)+N(L134)-N(M134)</f>
        <v>0</v>
      </c>
      <c r="O134" s="33" t="n">
        <f aca="false">'Feb 2027'!R134</f>
        <v>0</v>
      </c>
      <c r="P134" s="33" t="n">
        <f aca="false">IF(B134="",0,N(Students!H123))</f>
        <v>0</v>
      </c>
      <c r="Q134" s="23"/>
      <c r="R134" s="24" t="n">
        <f aca="false">N(O134)+N(P134)-N(Q134)</f>
        <v>0</v>
      </c>
      <c r="S134" s="33" t="n">
        <f aca="false">'Feb 2027'!V134</f>
        <v>0</v>
      </c>
      <c r="T134" s="33" t="n">
        <f aca="false">IF(B134="",0,N(Students!I123))</f>
        <v>0</v>
      </c>
      <c r="U134" s="23"/>
      <c r="V134" s="24" t="n">
        <f aca="false">N(S134)+N(T134)-N(U134)</f>
        <v>0</v>
      </c>
      <c r="W134" s="33" t="n">
        <f aca="false">'Feb 2027'!Z134</f>
        <v>0</v>
      </c>
      <c r="X134" s="33" t="n">
        <f aca="false">IF(B134="",0,N(Students!J123))</f>
        <v>0</v>
      </c>
      <c r="Y134" s="23"/>
      <c r="Z134" s="24" t="n">
        <f aca="false">N(W134)+N(X134)-N(Y134)</f>
        <v>0</v>
      </c>
      <c r="AA134" s="33" t="n">
        <f aca="false">N(E134)+N(I134)+N(M134)+N(Q134)+N(U134)+N(Y134)</f>
        <v>0</v>
      </c>
      <c r="AB134" s="24" t="n">
        <f aca="false">F134+J134+N134+R134+V134+Z134</f>
        <v>0</v>
      </c>
      <c r="AC134" s="81" t="str">
        <f aca="false">IF(B134="","",IF(AB134&lt;=0,"Clear",IF(AA134&gt;0,"Partial","Due")))</f>
        <v/>
      </c>
    </row>
    <row r="135" customFormat="false" ht="15" hidden="false" customHeight="false" outlineLevel="0" collapsed="false">
      <c r="A135" s="25" t="n">
        <v>120</v>
      </c>
      <c r="B135" s="82" t="str">
        <f aca="false">IF(Students!B124="","",Students!B124)</f>
        <v/>
      </c>
      <c r="C135" s="37" t="n">
        <f aca="false">'Feb 2027'!F135</f>
        <v>0</v>
      </c>
      <c r="D135" s="37" t="n">
        <f aca="false">IF(B135="",0,N(Students!E124))</f>
        <v>0</v>
      </c>
      <c r="E135" s="23"/>
      <c r="F135" s="26" t="n">
        <f aca="false">N(C135)+N(D135)-N(E135)</f>
        <v>0</v>
      </c>
      <c r="G135" s="37" t="n">
        <f aca="false">'Feb 2027'!J135</f>
        <v>0</v>
      </c>
      <c r="H135" s="37" t="n">
        <f aca="false">IF(B135="",0,N(Students!F124))</f>
        <v>0</v>
      </c>
      <c r="I135" s="23"/>
      <c r="J135" s="26" t="n">
        <f aca="false">N(G135)+N(H135)-N(I135)</f>
        <v>0</v>
      </c>
      <c r="K135" s="37" t="n">
        <f aca="false">'Feb 2027'!N135</f>
        <v>0</v>
      </c>
      <c r="L135" s="37" t="n">
        <f aca="false">IF(B135="",0,N(Students!G124))</f>
        <v>0</v>
      </c>
      <c r="M135" s="23"/>
      <c r="N135" s="26" t="n">
        <f aca="false">N(K135)+N(L135)-N(M135)</f>
        <v>0</v>
      </c>
      <c r="O135" s="37" t="n">
        <f aca="false">'Feb 2027'!R135</f>
        <v>0</v>
      </c>
      <c r="P135" s="37" t="n">
        <f aca="false">IF(B135="",0,N(Students!H124))</f>
        <v>0</v>
      </c>
      <c r="Q135" s="23"/>
      <c r="R135" s="26" t="n">
        <f aca="false">N(O135)+N(P135)-N(Q135)</f>
        <v>0</v>
      </c>
      <c r="S135" s="37" t="n">
        <f aca="false">'Feb 2027'!V135</f>
        <v>0</v>
      </c>
      <c r="T135" s="37" t="n">
        <f aca="false">IF(B135="",0,N(Students!I124))</f>
        <v>0</v>
      </c>
      <c r="U135" s="23"/>
      <c r="V135" s="26" t="n">
        <f aca="false">N(S135)+N(T135)-N(U135)</f>
        <v>0</v>
      </c>
      <c r="W135" s="37" t="n">
        <f aca="false">'Feb 2027'!Z135</f>
        <v>0</v>
      </c>
      <c r="X135" s="37" t="n">
        <f aca="false">IF(B135="",0,N(Students!J124))</f>
        <v>0</v>
      </c>
      <c r="Y135" s="23"/>
      <c r="Z135" s="26" t="n">
        <f aca="false">N(W135)+N(X135)-N(Y135)</f>
        <v>0</v>
      </c>
      <c r="AA135" s="37" t="n">
        <f aca="false">N(E135)+N(I135)+N(M135)+N(Q135)+N(U135)+N(Y135)</f>
        <v>0</v>
      </c>
      <c r="AB135" s="26" t="n">
        <f aca="false">F135+J135+N135+R135+V135+Z135</f>
        <v>0</v>
      </c>
      <c r="AC135" s="83" t="str">
        <f aca="false">IF(B135="","",IF(AB135&lt;=0,"Clear",IF(AA135&gt;0,"Partial","Due")))</f>
        <v/>
      </c>
    </row>
    <row r="136" customFormat="false" ht="15" hidden="false" customHeight="false" outlineLevel="0" collapsed="false">
      <c r="A136" s="21" t="n">
        <v>121</v>
      </c>
      <c r="B136" s="46" t="str">
        <f aca="false">IF(Students!B125="","",Students!B125)</f>
        <v/>
      </c>
      <c r="C136" s="33" t="n">
        <f aca="false">'Feb 2027'!F136</f>
        <v>0</v>
      </c>
      <c r="D136" s="33" t="n">
        <f aca="false">IF(B136="",0,N(Students!E125))</f>
        <v>0</v>
      </c>
      <c r="E136" s="23"/>
      <c r="F136" s="24" t="n">
        <f aca="false">N(C136)+N(D136)-N(E136)</f>
        <v>0</v>
      </c>
      <c r="G136" s="33" t="n">
        <f aca="false">'Feb 2027'!J136</f>
        <v>0</v>
      </c>
      <c r="H136" s="33" t="n">
        <f aca="false">IF(B136="",0,N(Students!F125))</f>
        <v>0</v>
      </c>
      <c r="I136" s="23"/>
      <c r="J136" s="24" t="n">
        <f aca="false">N(G136)+N(H136)-N(I136)</f>
        <v>0</v>
      </c>
      <c r="K136" s="33" t="n">
        <f aca="false">'Feb 2027'!N136</f>
        <v>0</v>
      </c>
      <c r="L136" s="33" t="n">
        <f aca="false">IF(B136="",0,N(Students!G125))</f>
        <v>0</v>
      </c>
      <c r="M136" s="23"/>
      <c r="N136" s="24" t="n">
        <f aca="false">N(K136)+N(L136)-N(M136)</f>
        <v>0</v>
      </c>
      <c r="O136" s="33" t="n">
        <f aca="false">'Feb 2027'!R136</f>
        <v>0</v>
      </c>
      <c r="P136" s="33" t="n">
        <f aca="false">IF(B136="",0,N(Students!H125))</f>
        <v>0</v>
      </c>
      <c r="Q136" s="23"/>
      <c r="R136" s="24" t="n">
        <f aca="false">N(O136)+N(P136)-N(Q136)</f>
        <v>0</v>
      </c>
      <c r="S136" s="33" t="n">
        <f aca="false">'Feb 2027'!V136</f>
        <v>0</v>
      </c>
      <c r="T136" s="33" t="n">
        <f aca="false">IF(B136="",0,N(Students!I125))</f>
        <v>0</v>
      </c>
      <c r="U136" s="23"/>
      <c r="V136" s="24" t="n">
        <f aca="false">N(S136)+N(T136)-N(U136)</f>
        <v>0</v>
      </c>
      <c r="W136" s="33" t="n">
        <f aca="false">'Feb 2027'!Z136</f>
        <v>0</v>
      </c>
      <c r="X136" s="33" t="n">
        <f aca="false">IF(B136="",0,N(Students!J125))</f>
        <v>0</v>
      </c>
      <c r="Y136" s="23"/>
      <c r="Z136" s="24" t="n">
        <f aca="false">N(W136)+N(X136)-N(Y136)</f>
        <v>0</v>
      </c>
      <c r="AA136" s="33" t="n">
        <f aca="false">N(E136)+N(I136)+N(M136)+N(Q136)+N(U136)+N(Y136)</f>
        <v>0</v>
      </c>
      <c r="AB136" s="24" t="n">
        <f aca="false">F136+J136+N136+R136+V136+Z136</f>
        <v>0</v>
      </c>
      <c r="AC136" s="81" t="str">
        <f aca="false">IF(B136="","",IF(AB136&lt;=0,"Clear",IF(AA136&gt;0,"Partial","Due")))</f>
        <v/>
      </c>
    </row>
    <row r="137" customFormat="false" ht="15" hidden="false" customHeight="false" outlineLevel="0" collapsed="false">
      <c r="A137" s="25" t="n">
        <v>122</v>
      </c>
      <c r="B137" s="82" t="str">
        <f aca="false">IF(Students!B126="","",Students!B126)</f>
        <v/>
      </c>
      <c r="C137" s="37" t="n">
        <f aca="false">'Feb 2027'!F137</f>
        <v>0</v>
      </c>
      <c r="D137" s="37" t="n">
        <f aca="false">IF(B137="",0,N(Students!E126))</f>
        <v>0</v>
      </c>
      <c r="E137" s="23"/>
      <c r="F137" s="26" t="n">
        <f aca="false">N(C137)+N(D137)-N(E137)</f>
        <v>0</v>
      </c>
      <c r="G137" s="37" t="n">
        <f aca="false">'Feb 2027'!J137</f>
        <v>0</v>
      </c>
      <c r="H137" s="37" t="n">
        <f aca="false">IF(B137="",0,N(Students!F126))</f>
        <v>0</v>
      </c>
      <c r="I137" s="23"/>
      <c r="J137" s="26" t="n">
        <f aca="false">N(G137)+N(H137)-N(I137)</f>
        <v>0</v>
      </c>
      <c r="K137" s="37" t="n">
        <f aca="false">'Feb 2027'!N137</f>
        <v>0</v>
      </c>
      <c r="L137" s="37" t="n">
        <f aca="false">IF(B137="",0,N(Students!G126))</f>
        <v>0</v>
      </c>
      <c r="M137" s="23"/>
      <c r="N137" s="26" t="n">
        <f aca="false">N(K137)+N(L137)-N(M137)</f>
        <v>0</v>
      </c>
      <c r="O137" s="37" t="n">
        <f aca="false">'Feb 2027'!R137</f>
        <v>0</v>
      </c>
      <c r="P137" s="37" t="n">
        <f aca="false">IF(B137="",0,N(Students!H126))</f>
        <v>0</v>
      </c>
      <c r="Q137" s="23"/>
      <c r="R137" s="26" t="n">
        <f aca="false">N(O137)+N(P137)-N(Q137)</f>
        <v>0</v>
      </c>
      <c r="S137" s="37" t="n">
        <f aca="false">'Feb 2027'!V137</f>
        <v>0</v>
      </c>
      <c r="T137" s="37" t="n">
        <f aca="false">IF(B137="",0,N(Students!I126))</f>
        <v>0</v>
      </c>
      <c r="U137" s="23"/>
      <c r="V137" s="26" t="n">
        <f aca="false">N(S137)+N(T137)-N(U137)</f>
        <v>0</v>
      </c>
      <c r="W137" s="37" t="n">
        <f aca="false">'Feb 2027'!Z137</f>
        <v>0</v>
      </c>
      <c r="X137" s="37" t="n">
        <f aca="false">IF(B137="",0,N(Students!J126))</f>
        <v>0</v>
      </c>
      <c r="Y137" s="23"/>
      <c r="Z137" s="26" t="n">
        <f aca="false">N(W137)+N(X137)-N(Y137)</f>
        <v>0</v>
      </c>
      <c r="AA137" s="37" t="n">
        <f aca="false">N(E137)+N(I137)+N(M137)+N(Q137)+N(U137)+N(Y137)</f>
        <v>0</v>
      </c>
      <c r="AB137" s="26" t="n">
        <f aca="false">F137+J137+N137+R137+V137+Z137</f>
        <v>0</v>
      </c>
      <c r="AC137" s="83" t="str">
        <f aca="false">IF(B137="","",IF(AB137&lt;=0,"Clear",IF(AA137&gt;0,"Partial","Due")))</f>
        <v/>
      </c>
    </row>
    <row r="138" customFormat="false" ht="15" hidden="false" customHeight="false" outlineLevel="0" collapsed="false">
      <c r="A138" s="21" t="n">
        <v>123</v>
      </c>
      <c r="B138" s="46" t="str">
        <f aca="false">IF(Students!B127="","",Students!B127)</f>
        <v/>
      </c>
      <c r="C138" s="33" t="n">
        <f aca="false">'Feb 2027'!F138</f>
        <v>0</v>
      </c>
      <c r="D138" s="33" t="n">
        <f aca="false">IF(B138="",0,N(Students!E127))</f>
        <v>0</v>
      </c>
      <c r="E138" s="23"/>
      <c r="F138" s="24" t="n">
        <f aca="false">N(C138)+N(D138)-N(E138)</f>
        <v>0</v>
      </c>
      <c r="G138" s="33" t="n">
        <f aca="false">'Feb 2027'!J138</f>
        <v>0</v>
      </c>
      <c r="H138" s="33" t="n">
        <f aca="false">IF(B138="",0,N(Students!F127))</f>
        <v>0</v>
      </c>
      <c r="I138" s="23"/>
      <c r="J138" s="24" t="n">
        <f aca="false">N(G138)+N(H138)-N(I138)</f>
        <v>0</v>
      </c>
      <c r="K138" s="33" t="n">
        <f aca="false">'Feb 2027'!N138</f>
        <v>0</v>
      </c>
      <c r="L138" s="33" t="n">
        <f aca="false">IF(B138="",0,N(Students!G127))</f>
        <v>0</v>
      </c>
      <c r="M138" s="23"/>
      <c r="N138" s="24" t="n">
        <f aca="false">N(K138)+N(L138)-N(M138)</f>
        <v>0</v>
      </c>
      <c r="O138" s="33" t="n">
        <f aca="false">'Feb 2027'!R138</f>
        <v>0</v>
      </c>
      <c r="P138" s="33" t="n">
        <f aca="false">IF(B138="",0,N(Students!H127))</f>
        <v>0</v>
      </c>
      <c r="Q138" s="23"/>
      <c r="R138" s="24" t="n">
        <f aca="false">N(O138)+N(P138)-N(Q138)</f>
        <v>0</v>
      </c>
      <c r="S138" s="33" t="n">
        <f aca="false">'Feb 2027'!V138</f>
        <v>0</v>
      </c>
      <c r="T138" s="33" t="n">
        <f aca="false">IF(B138="",0,N(Students!I127))</f>
        <v>0</v>
      </c>
      <c r="U138" s="23"/>
      <c r="V138" s="24" t="n">
        <f aca="false">N(S138)+N(T138)-N(U138)</f>
        <v>0</v>
      </c>
      <c r="W138" s="33" t="n">
        <f aca="false">'Feb 2027'!Z138</f>
        <v>0</v>
      </c>
      <c r="X138" s="33" t="n">
        <f aca="false">IF(B138="",0,N(Students!J127))</f>
        <v>0</v>
      </c>
      <c r="Y138" s="23"/>
      <c r="Z138" s="24" t="n">
        <f aca="false">N(W138)+N(X138)-N(Y138)</f>
        <v>0</v>
      </c>
      <c r="AA138" s="33" t="n">
        <f aca="false">N(E138)+N(I138)+N(M138)+N(Q138)+N(U138)+N(Y138)</f>
        <v>0</v>
      </c>
      <c r="AB138" s="24" t="n">
        <f aca="false">F138+J138+N138+R138+V138+Z138</f>
        <v>0</v>
      </c>
      <c r="AC138" s="81" t="str">
        <f aca="false">IF(B138="","",IF(AB138&lt;=0,"Clear",IF(AA138&gt;0,"Partial","Due")))</f>
        <v/>
      </c>
    </row>
    <row r="139" customFormat="false" ht="15" hidden="false" customHeight="false" outlineLevel="0" collapsed="false">
      <c r="A139" s="25" t="n">
        <v>124</v>
      </c>
      <c r="B139" s="82" t="str">
        <f aca="false">IF(Students!B128="","",Students!B128)</f>
        <v/>
      </c>
      <c r="C139" s="37" t="n">
        <f aca="false">'Feb 2027'!F139</f>
        <v>0</v>
      </c>
      <c r="D139" s="37" t="n">
        <f aca="false">IF(B139="",0,N(Students!E128))</f>
        <v>0</v>
      </c>
      <c r="E139" s="23"/>
      <c r="F139" s="26" t="n">
        <f aca="false">N(C139)+N(D139)-N(E139)</f>
        <v>0</v>
      </c>
      <c r="G139" s="37" t="n">
        <f aca="false">'Feb 2027'!J139</f>
        <v>0</v>
      </c>
      <c r="H139" s="37" t="n">
        <f aca="false">IF(B139="",0,N(Students!F128))</f>
        <v>0</v>
      </c>
      <c r="I139" s="23"/>
      <c r="J139" s="26" t="n">
        <f aca="false">N(G139)+N(H139)-N(I139)</f>
        <v>0</v>
      </c>
      <c r="K139" s="37" t="n">
        <f aca="false">'Feb 2027'!N139</f>
        <v>0</v>
      </c>
      <c r="L139" s="37" t="n">
        <f aca="false">IF(B139="",0,N(Students!G128))</f>
        <v>0</v>
      </c>
      <c r="M139" s="23"/>
      <c r="N139" s="26" t="n">
        <f aca="false">N(K139)+N(L139)-N(M139)</f>
        <v>0</v>
      </c>
      <c r="O139" s="37" t="n">
        <f aca="false">'Feb 2027'!R139</f>
        <v>0</v>
      </c>
      <c r="P139" s="37" t="n">
        <f aca="false">IF(B139="",0,N(Students!H128))</f>
        <v>0</v>
      </c>
      <c r="Q139" s="23"/>
      <c r="R139" s="26" t="n">
        <f aca="false">N(O139)+N(P139)-N(Q139)</f>
        <v>0</v>
      </c>
      <c r="S139" s="37" t="n">
        <f aca="false">'Feb 2027'!V139</f>
        <v>0</v>
      </c>
      <c r="T139" s="37" t="n">
        <f aca="false">IF(B139="",0,N(Students!I128))</f>
        <v>0</v>
      </c>
      <c r="U139" s="23"/>
      <c r="V139" s="26" t="n">
        <f aca="false">N(S139)+N(T139)-N(U139)</f>
        <v>0</v>
      </c>
      <c r="W139" s="37" t="n">
        <f aca="false">'Feb 2027'!Z139</f>
        <v>0</v>
      </c>
      <c r="X139" s="37" t="n">
        <f aca="false">IF(B139="",0,N(Students!J128))</f>
        <v>0</v>
      </c>
      <c r="Y139" s="23"/>
      <c r="Z139" s="26" t="n">
        <f aca="false">N(W139)+N(X139)-N(Y139)</f>
        <v>0</v>
      </c>
      <c r="AA139" s="37" t="n">
        <f aca="false">N(E139)+N(I139)+N(M139)+N(Q139)+N(U139)+N(Y139)</f>
        <v>0</v>
      </c>
      <c r="AB139" s="26" t="n">
        <f aca="false">F139+J139+N139+R139+V139+Z139</f>
        <v>0</v>
      </c>
      <c r="AC139" s="83" t="str">
        <f aca="false">IF(B139="","",IF(AB139&lt;=0,"Clear",IF(AA139&gt;0,"Partial","Due")))</f>
        <v/>
      </c>
    </row>
    <row r="140" customFormat="false" ht="15" hidden="false" customHeight="false" outlineLevel="0" collapsed="false">
      <c r="A140" s="21" t="n">
        <v>125</v>
      </c>
      <c r="B140" s="46" t="str">
        <f aca="false">IF(Students!B129="","",Students!B129)</f>
        <v/>
      </c>
      <c r="C140" s="33" t="n">
        <f aca="false">'Feb 2027'!F140</f>
        <v>0</v>
      </c>
      <c r="D140" s="33" t="n">
        <f aca="false">IF(B140="",0,N(Students!E129))</f>
        <v>0</v>
      </c>
      <c r="E140" s="23"/>
      <c r="F140" s="24" t="n">
        <f aca="false">N(C140)+N(D140)-N(E140)</f>
        <v>0</v>
      </c>
      <c r="G140" s="33" t="n">
        <f aca="false">'Feb 2027'!J140</f>
        <v>0</v>
      </c>
      <c r="H140" s="33" t="n">
        <f aca="false">IF(B140="",0,N(Students!F129))</f>
        <v>0</v>
      </c>
      <c r="I140" s="23"/>
      <c r="J140" s="24" t="n">
        <f aca="false">N(G140)+N(H140)-N(I140)</f>
        <v>0</v>
      </c>
      <c r="K140" s="33" t="n">
        <f aca="false">'Feb 2027'!N140</f>
        <v>0</v>
      </c>
      <c r="L140" s="33" t="n">
        <f aca="false">IF(B140="",0,N(Students!G129))</f>
        <v>0</v>
      </c>
      <c r="M140" s="23"/>
      <c r="N140" s="24" t="n">
        <f aca="false">N(K140)+N(L140)-N(M140)</f>
        <v>0</v>
      </c>
      <c r="O140" s="33" t="n">
        <f aca="false">'Feb 2027'!R140</f>
        <v>0</v>
      </c>
      <c r="P140" s="33" t="n">
        <f aca="false">IF(B140="",0,N(Students!H129))</f>
        <v>0</v>
      </c>
      <c r="Q140" s="23"/>
      <c r="R140" s="24" t="n">
        <f aca="false">N(O140)+N(P140)-N(Q140)</f>
        <v>0</v>
      </c>
      <c r="S140" s="33" t="n">
        <f aca="false">'Feb 2027'!V140</f>
        <v>0</v>
      </c>
      <c r="T140" s="33" t="n">
        <f aca="false">IF(B140="",0,N(Students!I129))</f>
        <v>0</v>
      </c>
      <c r="U140" s="23"/>
      <c r="V140" s="24" t="n">
        <f aca="false">N(S140)+N(T140)-N(U140)</f>
        <v>0</v>
      </c>
      <c r="W140" s="33" t="n">
        <f aca="false">'Feb 2027'!Z140</f>
        <v>0</v>
      </c>
      <c r="X140" s="33" t="n">
        <f aca="false">IF(B140="",0,N(Students!J129))</f>
        <v>0</v>
      </c>
      <c r="Y140" s="23"/>
      <c r="Z140" s="24" t="n">
        <f aca="false">N(W140)+N(X140)-N(Y140)</f>
        <v>0</v>
      </c>
      <c r="AA140" s="33" t="n">
        <f aca="false">N(E140)+N(I140)+N(M140)+N(Q140)+N(U140)+N(Y140)</f>
        <v>0</v>
      </c>
      <c r="AB140" s="24" t="n">
        <f aca="false">F140+J140+N140+R140+V140+Z140</f>
        <v>0</v>
      </c>
      <c r="AC140" s="81" t="str">
        <f aca="false">IF(B140="","",IF(AB140&lt;=0,"Clear",IF(AA140&gt;0,"Partial","Due")))</f>
        <v/>
      </c>
    </row>
    <row r="141" customFormat="false" ht="15" hidden="false" customHeight="false" outlineLevel="0" collapsed="false">
      <c r="A141" s="25" t="n">
        <v>126</v>
      </c>
      <c r="B141" s="82" t="str">
        <f aca="false">IF(Students!B130="","",Students!B130)</f>
        <v/>
      </c>
      <c r="C141" s="37" t="n">
        <f aca="false">'Feb 2027'!F141</f>
        <v>0</v>
      </c>
      <c r="D141" s="37" t="n">
        <f aca="false">IF(B141="",0,N(Students!E130))</f>
        <v>0</v>
      </c>
      <c r="E141" s="23"/>
      <c r="F141" s="26" t="n">
        <f aca="false">N(C141)+N(D141)-N(E141)</f>
        <v>0</v>
      </c>
      <c r="G141" s="37" t="n">
        <f aca="false">'Feb 2027'!J141</f>
        <v>0</v>
      </c>
      <c r="H141" s="37" t="n">
        <f aca="false">IF(B141="",0,N(Students!F130))</f>
        <v>0</v>
      </c>
      <c r="I141" s="23"/>
      <c r="J141" s="26" t="n">
        <f aca="false">N(G141)+N(H141)-N(I141)</f>
        <v>0</v>
      </c>
      <c r="K141" s="37" t="n">
        <f aca="false">'Feb 2027'!N141</f>
        <v>0</v>
      </c>
      <c r="L141" s="37" t="n">
        <f aca="false">IF(B141="",0,N(Students!G130))</f>
        <v>0</v>
      </c>
      <c r="M141" s="23"/>
      <c r="N141" s="26" t="n">
        <f aca="false">N(K141)+N(L141)-N(M141)</f>
        <v>0</v>
      </c>
      <c r="O141" s="37" t="n">
        <f aca="false">'Feb 2027'!R141</f>
        <v>0</v>
      </c>
      <c r="P141" s="37" t="n">
        <f aca="false">IF(B141="",0,N(Students!H130))</f>
        <v>0</v>
      </c>
      <c r="Q141" s="23"/>
      <c r="R141" s="26" t="n">
        <f aca="false">N(O141)+N(P141)-N(Q141)</f>
        <v>0</v>
      </c>
      <c r="S141" s="37" t="n">
        <f aca="false">'Feb 2027'!V141</f>
        <v>0</v>
      </c>
      <c r="T141" s="37" t="n">
        <f aca="false">IF(B141="",0,N(Students!I130))</f>
        <v>0</v>
      </c>
      <c r="U141" s="23"/>
      <c r="V141" s="26" t="n">
        <f aca="false">N(S141)+N(T141)-N(U141)</f>
        <v>0</v>
      </c>
      <c r="W141" s="37" t="n">
        <f aca="false">'Feb 2027'!Z141</f>
        <v>0</v>
      </c>
      <c r="X141" s="37" t="n">
        <f aca="false">IF(B141="",0,N(Students!J130))</f>
        <v>0</v>
      </c>
      <c r="Y141" s="23"/>
      <c r="Z141" s="26" t="n">
        <f aca="false">N(W141)+N(X141)-N(Y141)</f>
        <v>0</v>
      </c>
      <c r="AA141" s="37" t="n">
        <f aca="false">N(E141)+N(I141)+N(M141)+N(Q141)+N(U141)+N(Y141)</f>
        <v>0</v>
      </c>
      <c r="AB141" s="26" t="n">
        <f aca="false">F141+J141+N141+R141+V141+Z141</f>
        <v>0</v>
      </c>
      <c r="AC141" s="83" t="str">
        <f aca="false">IF(B141="","",IF(AB141&lt;=0,"Clear",IF(AA141&gt;0,"Partial","Due")))</f>
        <v/>
      </c>
    </row>
    <row r="142" customFormat="false" ht="15" hidden="false" customHeight="false" outlineLevel="0" collapsed="false">
      <c r="A142" s="21" t="n">
        <v>127</v>
      </c>
      <c r="B142" s="46" t="str">
        <f aca="false">IF(Students!B131="","",Students!B131)</f>
        <v/>
      </c>
      <c r="C142" s="33" t="n">
        <f aca="false">'Feb 2027'!F142</f>
        <v>0</v>
      </c>
      <c r="D142" s="33" t="n">
        <f aca="false">IF(B142="",0,N(Students!E131))</f>
        <v>0</v>
      </c>
      <c r="E142" s="23"/>
      <c r="F142" s="24" t="n">
        <f aca="false">N(C142)+N(D142)-N(E142)</f>
        <v>0</v>
      </c>
      <c r="G142" s="33" t="n">
        <f aca="false">'Feb 2027'!J142</f>
        <v>0</v>
      </c>
      <c r="H142" s="33" t="n">
        <f aca="false">IF(B142="",0,N(Students!F131))</f>
        <v>0</v>
      </c>
      <c r="I142" s="23"/>
      <c r="J142" s="24" t="n">
        <f aca="false">N(G142)+N(H142)-N(I142)</f>
        <v>0</v>
      </c>
      <c r="K142" s="33" t="n">
        <f aca="false">'Feb 2027'!N142</f>
        <v>0</v>
      </c>
      <c r="L142" s="33" t="n">
        <f aca="false">IF(B142="",0,N(Students!G131))</f>
        <v>0</v>
      </c>
      <c r="M142" s="23"/>
      <c r="N142" s="24" t="n">
        <f aca="false">N(K142)+N(L142)-N(M142)</f>
        <v>0</v>
      </c>
      <c r="O142" s="33" t="n">
        <f aca="false">'Feb 2027'!R142</f>
        <v>0</v>
      </c>
      <c r="P142" s="33" t="n">
        <f aca="false">IF(B142="",0,N(Students!H131))</f>
        <v>0</v>
      </c>
      <c r="Q142" s="23"/>
      <c r="R142" s="24" t="n">
        <f aca="false">N(O142)+N(P142)-N(Q142)</f>
        <v>0</v>
      </c>
      <c r="S142" s="33" t="n">
        <f aca="false">'Feb 2027'!V142</f>
        <v>0</v>
      </c>
      <c r="T142" s="33" t="n">
        <f aca="false">IF(B142="",0,N(Students!I131))</f>
        <v>0</v>
      </c>
      <c r="U142" s="23"/>
      <c r="V142" s="24" t="n">
        <f aca="false">N(S142)+N(T142)-N(U142)</f>
        <v>0</v>
      </c>
      <c r="W142" s="33" t="n">
        <f aca="false">'Feb 2027'!Z142</f>
        <v>0</v>
      </c>
      <c r="X142" s="33" t="n">
        <f aca="false">IF(B142="",0,N(Students!J131))</f>
        <v>0</v>
      </c>
      <c r="Y142" s="23"/>
      <c r="Z142" s="24" t="n">
        <f aca="false">N(W142)+N(X142)-N(Y142)</f>
        <v>0</v>
      </c>
      <c r="AA142" s="33" t="n">
        <f aca="false">N(E142)+N(I142)+N(M142)+N(Q142)+N(U142)+N(Y142)</f>
        <v>0</v>
      </c>
      <c r="AB142" s="24" t="n">
        <f aca="false">F142+J142+N142+R142+V142+Z142</f>
        <v>0</v>
      </c>
      <c r="AC142" s="81" t="str">
        <f aca="false">IF(B142="","",IF(AB142&lt;=0,"Clear",IF(AA142&gt;0,"Partial","Due")))</f>
        <v/>
      </c>
    </row>
    <row r="143" customFormat="false" ht="15" hidden="false" customHeight="false" outlineLevel="0" collapsed="false">
      <c r="A143" s="25" t="n">
        <v>128</v>
      </c>
      <c r="B143" s="82" t="str">
        <f aca="false">IF(Students!B132="","",Students!B132)</f>
        <v/>
      </c>
      <c r="C143" s="37" t="n">
        <f aca="false">'Feb 2027'!F143</f>
        <v>0</v>
      </c>
      <c r="D143" s="37" t="n">
        <f aca="false">IF(B143="",0,N(Students!E132))</f>
        <v>0</v>
      </c>
      <c r="E143" s="23"/>
      <c r="F143" s="26" t="n">
        <f aca="false">N(C143)+N(D143)-N(E143)</f>
        <v>0</v>
      </c>
      <c r="G143" s="37" t="n">
        <f aca="false">'Feb 2027'!J143</f>
        <v>0</v>
      </c>
      <c r="H143" s="37" t="n">
        <f aca="false">IF(B143="",0,N(Students!F132))</f>
        <v>0</v>
      </c>
      <c r="I143" s="23"/>
      <c r="J143" s="26" t="n">
        <f aca="false">N(G143)+N(H143)-N(I143)</f>
        <v>0</v>
      </c>
      <c r="K143" s="37" t="n">
        <f aca="false">'Feb 2027'!N143</f>
        <v>0</v>
      </c>
      <c r="L143" s="37" t="n">
        <f aca="false">IF(B143="",0,N(Students!G132))</f>
        <v>0</v>
      </c>
      <c r="M143" s="23"/>
      <c r="N143" s="26" t="n">
        <f aca="false">N(K143)+N(L143)-N(M143)</f>
        <v>0</v>
      </c>
      <c r="O143" s="37" t="n">
        <f aca="false">'Feb 2027'!R143</f>
        <v>0</v>
      </c>
      <c r="P143" s="37" t="n">
        <f aca="false">IF(B143="",0,N(Students!H132))</f>
        <v>0</v>
      </c>
      <c r="Q143" s="23"/>
      <c r="R143" s="26" t="n">
        <f aca="false">N(O143)+N(P143)-N(Q143)</f>
        <v>0</v>
      </c>
      <c r="S143" s="37" t="n">
        <f aca="false">'Feb 2027'!V143</f>
        <v>0</v>
      </c>
      <c r="T143" s="37" t="n">
        <f aca="false">IF(B143="",0,N(Students!I132))</f>
        <v>0</v>
      </c>
      <c r="U143" s="23"/>
      <c r="V143" s="26" t="n">
        <f aca="false">N(S143)+N(T143)-N(U143)</f>
        <v>0</v>
      </c>
      <c r="W143" s="37" t="n">
        <f aca="false">'Feb 2027'!Z143</f>
        <v>0</v>
      </c>
      <c r="X143" s="37" t="n">
        <f aca="false">IF(B143="",0,N(Students!J132))</f>
        <v>0</v>
      </c>
      <c r="Y143" s="23"/>
      <c r="Z143" s="26" t="n">
        <f aca="false">N(W143)+N(X143)-N(Y143)</f>
        <v>0</v>
      </c>
      <c r="AA143" s="37" t="n">
        <f aca="false">N(E143)+N(I143)+N(M143)+N(Q143)+N(U143)+N(Y143)</f>
        <v>0</v>
      </c>
      <c r="AB143" s="26" t="n">
        <f aca="false">F143+J143+N143+R143+V143+Z143</f>
        <v>0</v>
      </c>
      <c r="AC143" s="83" t="str">
        <f aca="false">IF(B143="","",IF(AB143&lt;=0,"Clear",IF(AA143&gt;0,"Partial","Due")))</f>
        <v/>
      </c>
    </row>
    <row r="144" customFormat="false" ht="15" hidden="false" customHeight="false" outlineLevel="0" collapsed="false">
      <c r="A144" s="21" t="n">
        <v>129</v>
      </c>
      <c r="B144" s="46" t="str">
        <f aca="false">IF(Students!B133="","",Students!B133)</f>
        <v/>
      </c>
      <c r="C144" s="33" t="n">
        <f aca="false">'Feb 2027'!F144</f>
        <v>0</v>
      </c>
      <c r="D144" s="33" t="n">
        <f aca="false">IF(B144="",0,N(Students!E133))</f>
        <v>0</v>
      </c>
      <c r="E144" s="23"/>
      <c r="F144" s="24" t="n">
        <f aca="false">N(C144)+N(D144)-N(E144)</f>
        <v>0</v>
      </c>
      <c r="G144" s="33" t="n">
        <f aca="false">'Feb 2027'!J144</f>
        <v>0</v>
      </c>
      <c r="H144" s="33" t="n">
        <f aca="false">IF(B144="",0,N(Students!F133))</f>
        <v>0</v>
      </c>
      <c r="I144" s="23"/>
      <c r="J144" s="24" t="n">
        <f aca="false">N(G144)+N(H144)-N(I144)</f>
        <v>0</v>
      </c>
      <c r="K144" s="33" t="n">
        <f aca="false">'Feb 2027'!N144</f>
        <v>0</v>
      </c>
      <c r="L144" s="33" t="n">
        <f aca="false">IF(B144="",0,N(Students!G133))</f>
        <v>0</v>
      </c>
      <c r="M144" s="23"/>
      <c r="N144" s="24" t="n">
        <f aca="false">N(K144)+N(L144)-N(M144)</f>
        <v>0</v>
      </c>
      <c r="O144" s="33" t="n">
        <f aca="false">'Feb 2027'!R144</f>
        <v>0</v>
      </c>
      <c r="P144" s="33" t="n">
        <f aca="false">IF(B144="",0,N(Students!H133))</f>
        <v>0</v>
      </c>
      <c r="Q144" s="23"/>
      <c r="R144" s="24" t="n">
        <f aca="false">N(O144)+N(P144)-N(Q144)</f>
        <v>0</v>
      </c>
      <c r="S144" s="33" t="n">
        <f aca="false">'Feb 2027'!V144</f>
        <v>0</v>
      </c>
      <c r="T144" s="33" t="n">
        <f aca="false">IF(B144="",0,N(Students!I133))</f>
        <v>0</v>
      </c>
      <c r="U144" s="23"/>
      <c r="V144" s="24" t="n">
        <f aca="false">N(S144)+N(T144)-N(U144)</f>
        <v>0</v>
      </c>
      <c r="W144" s="33" t="n">
        <f aca="false">'Feb 2027'!Z144</f>
        <v>0</v>
      </c>
      <c r="X144" s="33" t="n">
        <f aca="false">IF(B144="",0,N(Students!J133))</f>
        <v>0</v>
      </c>
      <c r="Y144" s="23"/>
      <c r="Z144" s="24" t="n">
        <f aca="false">N(W144)+N(X144)-N(Y144)</f>
        <v>0</v>
      </c>
      <c r="AA144" s="33" t="n">
        <f aca="false">N(E144)+N(I144)+N(M144)+N(Q144)+N(U144)+N(Y144)</f>
        <v>0</v>
      </c>
      <c r="AB144" s="24" t="n">
        <f aca="false">F144+J144+N144+R144+V144+Z144</f>
        <v>0</v>
      </c>
      <c r="AC144" s="81" t="str">
        <f aca="false">IF(B144="","",IF(AB144&lt;=0,"Clear",IF(AA144&gt;0,"Partial","Due")))</f>
        <v/>
      </c>
    </row>
    <row r="145" customFormat="false" ht="15" hidden="false" customHeight="false" outlineLevel="0" collapsed="false">
      <c r="A145" s="25" t="n">
        <v>130</v>
      </c>
      <c r="B145" s="82" t="str">
        <f aca="false">IF(Students!B134="","",Students!B134)</f>
        <v/>
      </c>
      <c r="C145" s="37" t="n">
        <f aca="false">'Feb 2027'!F145</f>
        <v>0</v>
      </c>
      <c r="D145" s="37" t="n">
        <f aca="false">IF(B145="",0,N(Students!E134))</f>
        <v>0</v>
      </c>
      <c r="E145" s="23"/>
      <c r="F145" s="26" t="n">
        <f aca="false">N(C145)+N(D145)-N(E145)</f>
        <v>0</v>
      </c>
      <c r="G145" s="37" t="n">
        <f aca="false">'Feb 2027'!J145</f>
        <v>0</v>
      </c>
      <c r="H145" s="37" t="n">
        <f aca="false">IF(B145="",0,N(Students!F134))</f>
        <v>0</v>
      </c>
      <c r="I145" s="23"/>
      <c r="J145" s="26" t="n">
        <f aca="false">N(G145)+N(H145)-N(I145)</f>
        <v>0</v>
      </c>
      <c r="K145" s="37" t="n">
        <f aca="false">'Feb 2027'!N145</f>
        <v>0</v>
      </c>
      <c r="L145" s="37" t="n">
        <f aca="false">IF(B145="",0,N(Students!G134))</f>
        <v>0</v>
      </c>
      <c r="M145" s="23"/>
      <c r="N145" s="26" t="n">
        <f aca="false">N(K145)+N(L145)-N(M145)</f>
        <v>0</v>
      </c>
      <c r="O145" s="37" t="n">
        <f aca="false">'Feb 2027'!R145</f>
        <v>0</v>
      </c>
      <c r="P145" s="37" t="n">
        <f aca="false">IF(B145="",0,N(Students!H134))</f>
        <v>0</v>
      </c>
      <c r="Q145" s="23"/>
      <c r="R145" s="26" t="n">
        <f aca="false">N(O145)+N(P145)-N(Q145)</f>
        <v>0</v>
      </c>
      <c r="S145" s="37" t="n">
        <f aca="false">'Feb 2027'!V145</f>
        <v>0</v>
      </c>
      <c r="T145" s="37" t="n">
        <f aca="false">IF(B145="",0,N(Students!I134))</f>
        <v>0</v>
      </c>
      <c r="U145" s="23"/>
      <c r="V145" s="26" t="n">
        <f aca="false">N(S145)+N(T145)-N(U145)</f>
        <v>0</v>
      </c>
      <c r="W145" s="37" t="n">
        <f aca="false">'Feb 2027'!Z145</f>
        <v>0</v>
      </c>
      <c r="X145" s="37" t="n">
        <f aca="false">IF(B145="",0,N(Students!J134))</f>
        <v>0</v>
      </c>
      <c r="Y145" s="23"/>
      <c r="Z145" s="26" t="n">
        <f aca="false">N(W145)+N(X145)-N(Y145)</f>
        <v>0</v>
      </c>
      <c r="AA145" s="37" t="n">
        <f aca="false">N(E145)+N(I145)+N(M145)+N(Q145)+N(U145)+N(Y145)</f>
        <v>0</v>
      </c>
      <c r="AB145" s="26" t="n">
        <f aca="false">F145+J145+N145+R145+V145+Z145</f>
        <v>0</v>
      </c>
      <c r="AC145" s="83" t="str">
        <f aca="false">IF(B145="","",IF(AB145&lt;=0,"Clear",IF(AA145&gt;0,"Partial","Due")))</f>
        <v/>
      </c>
    </row>
    <row r="146" customFormat="false" ht="15" hidden="false" customHeight="false" outlineLevel="0" collapsed="false">
      <c r="A146" s="21" t="n">
        <v>131</v>
      </c>
      <c r="B146" s="46" t="str">
        <f aca="false">IF(Students!B135="","",Students!B135)</f>
        <v/>
      </c>
      <c r="C146" s="33" t="n">
        <f aca="false">'Feb 2027'!F146</f>
        <v>0</v>
      </c>
      <c r="D146" s="33" t="n">
        <f aca="false">IF(B146="",0,N(Students!E135))</f>
        <v>0</v>
      </c>
      <c r="E146" s="23"/>
      <c r="F146" s="24" t="n">
        <f aca="false">N(C146)+N(D146)-N(E146)</f>
        <v>0</v>
      </c>
      <c r="G146" s="33" t="n">
        <f aca="false">'Feb 2027'!J146</f>
        <v>0</v>
      </c>
      <c r="H146" s="33" t="n">
        <f aca="false">IF(B146="",0,N(Students!F135))</f>
        <v>0</v>
      </c>
      <c r="I146" s="23"/>
      <c r="J146" s="24" t="n">
        <f aca="false">N(G146)+N(H146)-N(I146)</f>
        <v>0</v>
      </c>
      <c r="K146" s="33" t="n">
        <f aca="false">'Feb 2027'!N146</f>
        <v>0</v>
      </c>
      <c r="L146" s="33" t="n">
        <f aca="false">IF(B146="",0,N(Students!G135))</f>
        <v>0</v>
      </c>
      <c r="M146" s="23"/>
      <c r="N146" s="24" t="n">
        <f aca="false">N(K146)+N(L146)-N(M146)</f>
        <v>0</v>
      </c>
      <c r="O146" s="33" t="n">
        <f aca="false">'Feb 2027'!R146</f>
        <v>0</v>
      </c>
      <c r="P146" s="33" t="n">
        <f aca="false">IF(B146="",0,N(Students!H135))</f>
        <v>0</v>
      </c>
      <c r="Q146" s="23"/>
      <c r="R146" s="24" t="n">
        <f aca="false">N(O146)+N(P146)-N(Q146)</f>
        <v>0</v>
      </c>
      <c r="S146" s="33" t="n">
        <f aca="false">'Feb 2027'!V146</f>
        <v>0</v>
      </c>
      <c r="T146" s="33" t="n">
        <f aca="false">IF(B146="",0,N(Students!I135))</f>
        <v>0</v>
      </c>
      <c r="U146" s="23"/>
      <c r="V146" s="24" t="n">
        <f aca="false">N(S146)+N(T146)-N(U146)</f>
        <v>0</v>
      </c>
      <c r="W146" s="33" t="n">
        <f aca="false">'Feb 2027'!Z146</f>
        <v>0</v>
      </c>
      <c r="X146" s="33" t="n">
        <f aca="false">IF(B146="",0,N(Students!J135))</f>
        <v>0</v>
      </c>
      <c r="Y146" s="23"/>
      <c r="Z146" s="24" t="n">
        <f aca="false">N(W146)+N(X146)-N(Y146)</f>
        <v>0</v>
      </c>
      <c r="AA146" s="33" t="n">
        <f aca="false">N(E146)+N(I146)+N(M146)+N(Q146)+N(U146)+N(Y146)</f>
        <v>0</v>
      </c>
      <c r="AB146" s="24" t="n">
        <f aca="false">F146+J146+N146+R146+V146+Z146</f>
        <v>0</v>
      </c>
      <c r="AC146" s="81" t="str">
        <f aca="false">IF(B146="","",IF(AB146&lt;=0,"Clear",IF(AA146&gt;0,"Partial","Due")))</f>
        <v/>
      </c>
    </row>
    <row r="147" customFormat="false" ht="15" hidden="false" customHeight="false" outlineLevel="0" collapsed="false">
      <c r="A147" s="25" t="n">
        <v>132</v>
      </c>
      <c r="B147" s="82" t="str">
        <f aca="false">IF(Students!B136="","",Students!B136)</f>
        <v/>
      </c>
      <c r="C147" s="37" t="n">
        <f aca="false">'Feb 2027'!F147</f>
        <v>0</v>
      </c>
      <c r="D147" s="37" t="n">
        <f aca="false">IF(B147="",0,N(Students!E136))</f>
        <v>0</v>
      </c>
      <c r="E147" s="23"/>
      <c r="F147" s="26" t="n">
        <f aca="false">N(C147)+N(D147)-N(E147)</f>
        <v>0</v>
      </c>
      <c r="G147" s="37" t="n">
        <f aca="false">'Feb 2027'!J147</f>
        <v>0</v>
      </c>
      <c r="H147" s="37" t="n">
        <f aca="false">IF(B147="",0,N(Students!F136))</f>
        <v>0</v>
      </c>
      <c r="I147" s="23"/>
      <c r="J147" s="26" t="n">
        <f aca="false">N(G147)+N(H147)-N(I147)</f>
        <v>0</v>
      </c>
      <c r="K147" s="37" t="n">
        <f aca="false">'Feb 2027'!N147</f>
        <v>0</v>
      </c>
      <c r="L147" s="37" t="n">
        <f aca="false">IF(B147="",0,N(Students!G136))</f>
        <v>0</v>
      </c>
      <c r="M147" s="23"/>
      <c r="N147" s="26" t="n">
        <f aca="false">N(K147)+N(L147)-N(M147)</f>
        <v>0</v>
      </c>
      <c r="O147" s="37" t="n">
        <f aca="false">'Feb 2027'!R147</f>
        <v>0</v>
      </c>
      <c r="P147" s="37" t="n">
        <f aca="false">IF(B147="",0,N(Students!H136))</f>
        <v>0</v>
      </c>
      <c r="Q147" s="23"/>
      <c r="R147" s="26" t="n">
        <f aca="false">N(O147)+N(P147)-N(Q147)</f>
        <v>0</v>
      </c>
      <c r="S147" s="37" t="n">
        <f aca="false">'Feb 2027'!V147</f>
        <v>0</v>
      </c>
      <c r="T147" s="37" t="n">
        <f aca="false">IF(B147="",0,N(Students!I136))</f>
        <v>0</v>
      </c>
      <c r="U147" s="23"/>
      <c r="V147" s="26" t="n">
        <f aca="false">N(S147)+N(T147)-N(U147)</f>
        <v>0</v>
      </c>
      <c r="W147" s="37" t="n">
        <f aca="false">'Feb 2027'!Z147</f>
        <v>0</v>
      </c>
      <c r="X147" s="37" t="n">
        <f aca="false">IF(B147="",0,N(Students!J136))</f>
        <v>0</v>
      </c>
      <c r="Y147" s="23"/>
      <c r="Z147" s="26" t="n">
        <f aca="false">N(W147)+N(X147)-N(Y147)</f>
        <v>0</v>
      </c>
      <c r="AA147" s="37" t="n">
        <f aca="false">N(E147)+N(I147)+N(M147)+N(Q147)+N(U147)+N(Y147)</f>
        <v>0</v>
      </c>
      <c r="AB147" s="26" t="n">
        <f aca="false">F147+J147+N147+R147+V147+Z147</f>
        <v>0</v>
      </c>
      <c r="AC147" s="83" t="str">
        <f aca="false">IF(B147="","",IF(AB147&lt;=0,"Clear",IF(AA147&gt;0,"Partial","Due")))</f>
        <v/>
      </c>
    </row>
    <row r="148" customFormat="false" ht="15" hidden="false" customHeight="false" outlineLevel="0" collapsed="false">
      <c r="A148" s="21" t="n">
        <v>133</v>
      </c>
      <c r="B148" s="46" t="str">
        <f aca="false">IF(Students!B137="","",Students!B137)</f>
        <v/>
      </c>
      <c r="C148" s="33" t="n">
        <f aca="false">'Feb 2027'!F148</f>
        <v>0</v>
      </c>
      <c r="D148" s="33" t="n">
        <f aca="false">IF(B148="",0,N(Students!E137))</f>
        <v>0</v>
      </c>
      <c r="E148" s="23"/>
      <c r="F148" s="24" t="n">
        <f aca="false">N(C148)+N(D148)-N(E148)</f>
        <v>0</v>
      </c>
      <c r="G148" s="33" t="n">
        <f aca="false">'Feb 2027'!J148</f>
        <v>0</v>
      </c>
      <c r="H148" s="33" t="n">
        <f aca="false">IF(B148="",0,N(Students!F137))</f>
        <v>0</v>
      </c>
      <c r="I148" s="23"/>
      <c r="J148" s="24" t="n">
        <f aca="false">N(G148)+N(H148)-N(I148)</f>
        <v>0</v>
      </c>
      <c r="K148" s="33" t="n">
        <f aca="false">'Feb 2027'!N148</f>
        <v>0</v>
      </c>
      <c r="L148" s="33" t="n">
        <f aca="false">IF(B148="",0,N(Students!G137))</f>
        <v>0</v>
      </c>
      <c r="M148" s="23"/>
      <c r="N148" s="24" t="n">
        <f aca="false">N(K148)+N(L148)-N(M148)</f>
        <v>0</v>
      </c>
      <c r="O148" s="33" t="n">
        <f aca="false">'Feb 2027'!R148</f>
        <v>0</v>
      </c>
      <c r="P148" s="33" t="n">
        <f aca="false">IF(B148="",0,N(Students!H137))</f>
        <v>0</v>
      </c>
      <c r="Q148" s="23"/>
      <c r="R148" s="24" t="n">
        <f aca="false">N(O148)+N(P148)-N(Q148)</f>
        <v>0</v>
      </c>
      <c r="S148" s="33" t="n">
        <f aca="false">'Feb 2027'!V148</f>
        <v>0</v>
      </c>
      <c r="T148" s="33" t="n">
        <f aca="false">IF(B148="",0,N(Students!I137))</f>
        <v>0</v>
      </c>
      <c r="U148" s="23"/>
      <c r="V148" s="24" t="n">
        <f aca="false">N(S148)+N(T148)-N(U148)</f>
        <v>0</v>
      </c>
      <c r="W148" s="33" t="n">
        <f aca="false">'Feb 2027'!Z148</f>
        <v>0</v>
      </c>
      <c r="X148" s="33" t="n">
        <f aca="false">IF(B148="",0,N(Students!J137))</f>
        <v>0</v>
      </c>
      <c r="Y148" s="23"/>
      <c r="Z148" s="24" t="n">
        <f aca="false">N(W148)+N(X148)-N(Y148)</f>
        <v>0</v>
      </c>
      <c r="AA148" s="33" t="n">
        <f aca="false">N(E148)+N(I148)+N(M148)+N(Q148)+N(U148)+N(Y148)</f>
        <v>0</v>
      </c>
      <c r="AB148" s="24" t="n">
        <f aca="false">F148+J148+N148+R148+V148+Z148</f>
        <v>0</v>
      </c>
      <c r="AC148" s="81" t="str">
        <f aca="false">IF(B148="","",IF(AB148&lt;=0,"Clear",IF(AA148&gt;0,"Partial","Due")))</f>
        <v/>
      </c>
    </row>
    <row r="149" customFormat="false" ht="15" hidden="false" customHeight="false" outlineLevel="0" collapsed="false">
      <c r="A149" s="25" t="n">
        <v>134</v>
      </c>
      <c r="B149" s="82" t="str">
        <f aca="false">IF(Students!B138="","",Students!B138)</f>
        <v/>
      </c>
      <c r="C149" s="37" t="n">
        <f aca="false">'Feb 2027'!F149</f>
        <v>0</v>
      </c>
      <c r="D149" s="37" t="n">
        <f aca="false">IF(B149="",0,N(Students!E138))</f>
        <v>0</v>
      </c>
      <c r="E149" s="23"/>
      <c r="F149" s="26" t="n">
        <f aca="false">N(C149)+N(D149)-N(E149)</f>
        <v>0</v>
      </c>
      <c r="G149" s="37" t="n">
        <f aca="false">'Feb 2027'!J149</f>
        <v>0</v>
      </c>
      <c r="H149" s="37" t="n">
        <f aca="false">IF(B149="",0,N(Students!F138))</f>
        <v>0</v>
      </c>
      <c r="I149" s="23"/>
      <c r="J149" s="26" t="n">
        <f aca="false">N(G149)+N(H149)-N(I149)</f>
        <v>0</v>
      </c>
      <c r="K149" s="37" t="n">
        <f aca="false">'Feb 2027'!N149</f>
        <v>0</v>
      </c>
      <c r="L149" s="37" t="n">
        <f aca="false">IF(B149="",0,N(Students!G138))</f>
        <v>0</v>
      </c>
      <c r="M149" s="23"/>
      <c r="N149" s="26" t="n">
        <f aca="false">N(K149)+N(L149)-N(M149)</f>
        <v>0</v>
      </c>
      <c r="O149" s="37" t="n">
        <f aca="false">'Feb 2027'!R149</f>
        <v>0</v>
      </c>
      <c r="P149" s="37" t="n">
        <f aca="false">IF(B149="",0,N(Students!H138))</f>
        <v>0</v>
      </c>
      <c r="Q149" s="23"/>
      <c r="R149" s="26" t="n">
        <f aca="false">N(O149)+N(P149)-N(Q149)</f>
        <v>0</v>
      </c>
      <c r="S149" s="37" t="n">
        <f aca="false">'Feb 2027'!V149</f>
        <v>0</v>
      </c>
      <c r="T149" s="37" t="n">
        <f aca="false">IF(B149="",0,N(Students!I138))</f>
        <v>0</v>
      </c>
      <c r="U149" s="23"/>
      <c r="V149" s="26" t="n">
        <f aca="false">N(S149)+N(T149)-N(U149)</f>
        <v>0</v>
      </c>
      <c r="W149" s="37" t="n">
        <f aca="false">'Feb 2027'!Z149</f>
        <v>0</v>
      </c>
      <c r="X149" s="37" t="n">
        <f aca="false">IF(B149="",0,N(Students!J138))</f>
        <v>0</v>
      </c>
      <c r="Y149" s="23"/>
      <c r="Z149" s="26" t="n">
        <f aca="false">N(W149)+N(X149)-N(Y149)</f>
        <v>0</v>
      </c>
      <c r="AA149" s="37" t="n">
        <f aca="false">N(E149)+N(I149)+N(M149)+N(Q149)+N(U149)+N(Y149)</f>
        <v>0</v>
      </c>
      <c r="AB149" s="26" t="n">
        <f aca="false">F149+J149+N149+R149+V149+Z149</f>
        <v>0</v>
      </c>
      <c r="AC149" s="83" t="str">
        <f aca="false">IF(B149="","",IF(AB149&lt;=0,"Clear",IF(AA149&gt;0,"Partial","Due")))</f>
        <v/>
      </c>
    </row>
    <row r="150" customFormat="false" ht="15" hidden="false" customHeight="false" outlineLevel="0" collapsed="false">
      <c r="A150" s="21" t="n">
        <v>135</v>
      </c>
      <c r="B150" s="46" t="str">
        <f aca="false">IF(Students!B139="","",Students!B139)</f>
        <v/>
      </c>
      <c r="C150" s="33" t="n">
        <f aca="false">'Feb 2027'!F150</f>
        <v>0</v>
      </c>
      <c r="D150" s="33" t="n">
        <f aca="false">IF(B150="",0,N(Students!E139))</f>
        <v>0</v>
      </c>
      <c r="E150" s="23"/>
      <c r="F150" s="24" t="n">
        <f aca="false">N(C150)+N(D150)-N(E150)</f>
        <v>0</v>
      </c>
      <c r="G150" s="33" t="n">
        <f aca="false">'Feb 2027'!J150</f>
        <v>0</v>
      </c>
      <c r="H150" s="33" t="n">
        <f aca="false">IF(B150="",0,N(Students!F139))</f>
        <v>0</v>
      </c>
      <c r="I150" s="23"/>
      <c r="J150" s="24" t="n">
        <f aca="false">N(G150)+N(H150)-N(I150)</f>
        <v>0</v>
      </c>
      <c r="K150" s="33" t="n">
        <f aca="false">'Feb 2027'!N150</f>
        <v>0</v>
      </c>
      <c r="L150" s="33" t="n">
        <f aca="false">IF(B150="",0,N(Students!G139))</f>
        <v>0</v>
      </c>
      <c r="M150" s="23"/>
      <c r="N150" s="24" t="n">
        <f aca="false">N(K150)+N(L150)-N(M150)</f>
        <v>0</v>
      </c>
      <c r="O150" s="33" t="n">
        <f aca="false">'Feb 2027'!R150</f>
        <v>0</v>
      </c>
      <c r="P150" s="33" t="n">
        <f aca="false">IF(B150="",0,N(Students!H139))</f>
        <v>0</v>
      </c>
      <c r="Q150" s="23"/>
      <c r="R150" s="24" t="n">
        <f aca="false">N(O150)+N(P150)-N(Q150)</f>
        <v>0</v>
      </c>
      <c r="S150" s="33" t="n">
        <f aca="false">'Feb 2027'!V150</f>
        <v>0</v>
      </c>
      <c r="T150" s="33" t="n">
        <f aca="false">IF(B150="",0,N(Students!I139))</f>
        <v>0</v>
      </c>
      <c r="U150" s="23"/>
      <c r="V150" s="24" t="n">
        <f aca="false">N(S150)+N(T150)-N(U150)</f>
        <v>0</v>
      </c>
      <c r="W150" s="33" t="n">
        <f aca="false">'Feb 2027'!Z150</f>
        <v>0</v>
      </c>
      <c r="X150" s="33" t="n">
        <f aca="false">IF(B150="",0,N(Students!J139))</f>
        <v>0</v>
      </c>
      <c r="Y150" s="23"/>
      <c r="Z150" s="24" t="n">
        <f aca="false">N(W150)+N(X150)-N(Y150)</f>
        <v>0</v>
      </c>
      <c r="AA150" s="33" t="n">
        <f aca="false">N(E150)+N(I150)+N(M150)+N(Q150)+N(U150)+N(Y150)</f>
        <v>0</v>
      </c>
      <c r="AB150" s="24" t="n">
        <f aca="false">F150+J150+N150+R150+V150+Z150</f>
        <v>0</v>
      </c>
      <c r="AC150" s="81" t="str">
        <f aca="false">IF(B150="","",IF(AB150&lt;=0,"Clear",IF(AA150&gt;0,"Partial","Due")))</f>
        <v/>
      </c>
    </row>
    <row r="151" customFormat="false" ht="15" hidden="false" customHeight="false" outlineLevel="0" collapsed="false">
      <c r="A151" s="25" t="n">
        <v>136</v>
      </c>
      <c r="B151" s="82" t="str">
        <f aca="false">IF(Students!B140="","",Students!B140)</f>
        <v/>
      </c>
      <c r="C151" s="37" t="n">
        <f aca="false">'Feb 2027'!F151</f>
        <v>0</v>
      </c>
      <c r="D151" s="37" t="n">
        <f aca="false">IF(B151="",0,N(Students!E140))</f>
        <v>0</v>
      </c>
      <c r="E151" s="23"/>
      <c r="F151" s="26" t="n">
        <f aca="false">N(C151)+N(D151)-N(E151)</f>
        <v>0</v>
      </c>
      <c r="G151" s="37" t="n">
        <f aca="false">'Feb 2027'!J151</f>
        <v>0</v>
      </c>
      <c r="H151" s="37" t="n">
        <f aca="false">IF(B151="",0,N(Students!F140))</f>
        <v>0</v>
      </c>
      <c r="I151" s="23"/>
      <c r="J151" s="26" t="n">
        <f aca="false">N(G151)+N(H151)-N(I151)</f>
        <v>0</v>
      </c>
      <c r="K151" s="37" t="n">
        <f aca="false">'Feb 2027'!N151</f>
        <v>0</v>
      </c>
      <c r="L151" s="37" t="n">
        <f aca="false">IF(B151="",0,N(Students!G140))</f>
        <v>0</v>
      </c>
      <c r="M151" s="23"/>
      <c r="N151" s="26" t="n">
        <f aca="false">N(K151)+N(L151)-N(M151)</f>
        <v>0</v>
      </c>
      <c r="O151" s="37" t="n">
        <f aca="false">'Feb 2027'!R151</f>
        <v>0</v>
      </c>
      <c r="P151" s="37" t="n">
        <f aca="false">IF(B151="",0,N(Students!H140))</f>
        <v>0</v>
      </c>
      <c r="Q151" s="23"/>
      <c r="R151" s="26" t="n">
        <f aca="false">N(O151)+N(P151)-N(Q151)</f>
        <v>0</v>
      </c>
      <c r="S151" s="37" t="n">
        <f aca="false">'Feb 2027'!V151</f>
        <v>0</v>
      </c>
      <c r="T151" s="37" t="n">
        <f aca="false">IF(B151="",0,N(Students!I140))</f>
        <v>0</v>
      </c>
      <c r="U151" s="23"/>
      <c r="V151" s="26" t="n">
        <f aca="false">N(S151)+N(T151)-N(U151)</f>
        <v>0</v>
      </c>
      <c r="W151" s="37" t="n">
        <f aca="false">'Feb 2027'!Z151</f>
        <v>0</v>
      </c>
      <c r="X151" s="37" t="n">
        <f aca="false">IF(B151="",0,N(Students!J140))</f>
        <v>0</v>
      </c>
      <c r="Y151" s="23"/>
      <c r="Z151" s="26" t="n">
        <f aca="false">N(W151)+N(X151)-N(Y151)</f>
        <v>0</v>
      </c>
      <c r="AA151" s="37" t="n">
        <f aca="false">N(E151)+N(I151)+N(M151)+N(Q151)+N(U151)+N(Y151)</f>
        <v>0</v>
      </c>
      <c r="AB151" s="26" t="n">
        <f aca="false">F151+J151+N151+R151+V151+Z151</f>
        <v>0</v>
      </c>
      <c r="AC151" s="83" t="str">
        <f aca="false">IF(B151="","",IF(AB151&lt;=0,"Clear",IF(AA151&gt;0,"Partial","Due")))</f>
        <v/>
      </c>
    </row>
    <row r="152" customFormat="false" ht="15" hidden="false" customHeight="false" outlineLevel="0" collapsed="false">
      <c r="A152" s="21" t="n">
        <v>137</v>
      </c>
      <c r="B152" s="46" t="str">
        <f aca="false">IF(Students!B141="","",Students!B141)</f>
        <v/>
      </c>
      <c r="C152" s="33" t="n">
        <f aca="false">'Feb 2027'!F152</f>
        <v>0</v>
      </c>
      <c r="D152" s="33" t="n">
        <f aca="false">IF(B152="",0,N(Students!E141))</f>
        <v>0</v>
      </c>
      <c r="E152" s="23"/>
      <c r="F152" s="24" t="n">
        <f aca="false">N(C152)+N(D152)-N(E152)</f>
        <v>0</v>
      </c>
      <c r="G152" s="33" t="n">
        <f aca="false">'Feb 2027'!J152</f>
        <v>0</v>
      </c>
      <c r="H152" s="33" t="n">
        <f aca="false">IF(B152="",0,N(Students!F141))</f>
        <v>0</v>
      </c>
      <c r="I152" s="23"/>
      <c r="J152" s="24" t="n">
        <f aca="false">N(G152)+N(H152)-N(I152)</f>
        <v>0</v>
      </c>
      <c r="K152" s="33" t="n">
        <f aca="false">'Feb 2027'!N152</f>
        <v>0</v>
      </c>
      <c r="L152" s="33" t="n">
        <f aca="false">IF(B152="",0,N(Students!G141))</f>
        <v>0</v>
      </c>
      <c r="M152" s="23"/>
      <c r="N152" s="24" t="n">
        <f aca="false">N(K152)+N(L152)-N(M152)</f>
        <v>0</v>
      </c>
      <c r="O152" s="33" t="n">
        <f aca="false">'Feb 2027'!R152</f>
        <v>0</v>
      </c>
      <c r="P152" s="33" t="n">
        <f aca="false">IF(B152="",0,N(Students!H141))</f>
        <v>0</v>
      </c>
      <c r="Q152" s="23"/>
      <c r="R152" s="24" t="n">
        <f aca="false">N(O152)+N(P152)-N(Q152)</f>
        <v>0</v>
      </c>
      <c r="S152" s="33" t="n">
        <f aca="false">'Feb 2027'!V152</f>
        <v>0</v>
      </c>
      <c r="T152" s="33" t="n">
        <f aca="false">IF(B152="",0,N(Students!I141))</f>
        <v>0</v>
      </c>
      <c r="U152" s="23"/>
      <c r="V152" s="24" t="n">
        <f aca="false">N(S152)+N(T152)-N(U152)</f>
        <v>0</v>
      </c>
      <c r="W152" s="33" t="n">
        <f aca="false">'Feb 2027'!Z152</f>
        <v>0</v>
      </c>
      <c r="X152" s="33" t="n">
        <f aca="false">IF(B152="",0,N(Students!J141))</f>
        <v>0</v>
      </c>
      <c r="Y152" s="23"/>
      <c r="Z152" s="24" t="n">
        <f aca="false">N(W152)+N(X152)-N(Y152)</f>
        <v>0</v>
      </c>
      <c r="AA152" s="33" t="n">
        <f aca="false">N(E152)+N(I152)+N(M152)+N(Q152)+N(U152)+N(Y152)</f>
        <v>0</v>
      </c>
      <c r="AB152" s="24" t="n">
        <f aca="false">F152+J152+N152+R152+V152+Z152</f>
        <v>0</v>
      </c>
      <c r="AC152" s="81" t="str">
        <f aca="false">IF(B152="","",IF(AB152&lt;=0,"Clear",IF(AA152&gt;0,"Partial","Due")))</f>
        <v/>
      </c>
    </row>
    <row r="153" customFormat="false" ht="15" hidden="false" customHeight="false" outlineLevel="0" collapsed="false">
      <c r="A153" s="25" t="n">
        <v>138</v>
      </c>
      <c r="B153" s="82" t="str">
        <f aca="false">IF(Students!B142="","",Students!B142)</f>
        <v/>
      </c>
      <c r="C153" s="37" t="n">
        <f aca="false">'Feb 2027'!F153</f>
        <v>0</v>
      </c>
      <c r="D153" s="37" t="n">
        <f aca="false">IF(B153="",0,N(Students!E142))</f>
        <v>0</v>
      </c>
      <c r="E153" s="23"/>
      <c r="F153" s="26" t="n">
        <f aca="false">N(C153)+N(D153)-N(E153)</f>
        <v>0</v>
      </c>
      <c r="G153" s="37" t="n">
        <f aca="false">'Feb 2027'!J153</f>
        <v>0</v>
      </c>
      <c r="H153" s="37" t="n">
        <f aca="false">IF(B153="",0,N(Students!F142))</f>
        <v>0</v>
      </c>
      <c r="I153" s="23"/>
      <c r="J153" s="26" t="n">
        <f aca="false">N(G153)+N(H153)-N(I153)</f>
        <v>0</v>
      </c>
      <c r="K153" s="37" t="n">
        <f aca="false">'Feb 2027'!N153</f>
        <v>0</v>
      </c>
      <c r="L153" s="37" t="n">
        <f aca="false">IF(B153="",0,N(Students!G142))</f>
        <v>0</v>
      </c>
      <c r="M153" s="23"/>
      <c r="N153" s="26" t="n">
        <f aca="false">N(K153)+N(L153)-N(M153)</f>
        <v>0</v>
      </c>
      <c r="O153" s="37" t="n">
        <f aca="false">'Feb 2027'!R153</f>
        <v>0</v>
      </c>
      <c r="P153" s="37" t="n">
        <f aca="false">IF(B153="",0,N(Students!H142))</f>
        <v>0</v>
      </c>
      <c r="Q153" s="23"/>
      <c r="R153" s="26" t="n">
        <f aca="false">N(O153)+N(P153)-N(Q153)</f>
        <v>0</v>
      </c>
      <c r="S153" s="37" t="n">
        <f aca="false">'Feb 2027'!V153</f>
        <v>0</v>
      </c>
      <c r="T153" s="37" t="n">
        <f aca="false">IF(B153="",0,N(Students!I142))</f>
        <v>0</v>
      </c>
      <c r="U153" s="23"/>
      <c r="V153" s="26" t="n">
        <f aca="false">N(S153)+N(T153)-N(U153)</f>
        <v>0</v>
      </c>
      <c r="W153" s="37" t="n">
        <f aca="false">'Feb 2027'!Z153</f>
        <v>0</v>
      </c>
      <c r="X153" s="37" t="n">
        <f aca="false">IF(B153="",0,N(Students!J142))</f>
        <v>0</v>
      </c>
      <c r="Y153" s="23"/>
      <c r="Z153" s="26" t="n">
        <f aca="false">N(W153)+N(X153)-N(Y153)</f>
        <v>0</v>
      </c>
      <c r="AA153" s="37" t="n">
        <f aca="false">N(E153)+N(I153)+N(M153)+N(Q153)+N(U153)+N(Y153)</f>
        <v>0</v>
      </c>
      <c r="AB153" s="26" t="n">
        <f aca="false">F153+J153+N153+R153+V153+Z153</f>
        <v>0</v>
      </c>
      <c r="AC153" s="83" t="str">
        <f aca="false">IF(B153="","",IF(AB153&lt;=0,"Clear",IF(AA153&gt;0,"Partial","Due")))</f>
        <v/>
      </c>
    </row>
    <row r="154" customFormat="false" ht="15" hidden="false" customHeight="false" outlineLevel="0" collapsed="false">
      <c r="A154" s="21" t="n">
        <v>139</v>
      </c>
      <c r="B154" s="46" t="str">
        <f aca="false">IF(Students!B143="","",Students!B143)</f>
        <v/>
      </c>
      <c r="C154" s="33" t="n">
        <f aca="false">'Feb 2027'!F154</f>
        <v>0</v>
      </c>
      <c r="D154" s="33" t="n">
        <f aca="false">IF(B154="",0,N(Students!E143))</f>
        <v>0</v>
      </c>
      <c r="E154" s="23"/>
      <c r="F154" s="24" t="n">
        <f aca="false">N(C154)+N(D154)-N(E154)</f>
        <v>0</v>
      </c>
      <c r="G154" s="33" t="n">
        <f aca="false">'Feb 2027'!J154</f>
        <v>0</v>
      </c>
      <c r="H154" s="33" t="n">
        <f aca="false">IF(B154="",0,N(Students!F143))</f>
        <v>0</v>
      </c>
      <c r="I154" s="23"/>
      <c r="J154" s="24" t="n">
        <f aca="false">N(G154)+N(H154)-N(I154)</f>
        <v>0</v>
      </c>
      <c r="K154" s="33" t="n">
        <f aca="false">'Feb 2027'!N154</f>
        <v>0</v>
      </c>
      <c r="L154" s="33" t="n">
        <f aca="false">IF(B154="",0,N(Students!G143))</f>
        <v>0</v>
      </c>
      <c r="M154" s="23"/>
      <c r="N154" s="24" t="n">
        <f aca="false">N(K154)+N(L154)-N(M154)</f>
        <v>0</v>
      </c>
      <c r="O154" s="33" t="n">
        <f aca="false">'Feb 2027'!R154</f>
        <v>0</v>
      </c>
      <c r="P154" s="33" t="n">
        <f aca="false">IF(B154="",0,N(Students!H143))</f>
        <v>0</v>
      </c>
      <c r="Q154" s="23"/>
      <c r="R154" s="24" t="n">
        <f aca="false">N(O154)+N(P154)-N(Q154)</f>
        <v>0</v>
      </c>
      <c r="S154" s="33" t="n">
        <f aca="false">'Feb 2027'!V154</f>
        <v>0</v>
      </c>
      <c r="T154" s="33" t="n">
        <f aca="false">IF(B154="",0,N(Students!I143))</f>
        <v>0</v>
      </c>
      <c r="U154" s="23"/>
      <c r="V154" s="24" t="n">
        <f aca="false">N(S154)+N(T154)-N(U154)</f>
        <v>0</v>
      </c>
      <c r="W154" s="33" t="n">
        <f aca="false">'Feb 2027'!Z154</f>
        <v>0</v>
      </c>
      <c r="X154" s="33" t="n">
        <f aca="false">IF(B154="",0,N(Students!J143))</f>
        <v>0</v>
      </c>
      <c r="Y154" s="23"/>
      <c r="Z154" s="24" t="n">
        <f aca="false">N(W154)+N(X154)-N(Y154)</f>
        <v>0</v>
      </c>
      <c r="AA154" s="33" t="n">
        <f aca="false">N(E154)+N(I154)+N(M154)+N(Q154)+N(U154)+N(Y154)</f>
        <v>0</v>
      </c>
      <c r="AB154" s="24" t="n">
        <f aca="false">F154+J154+N154+R154+V154+Z154</f>
        <v>0</v>
      </c>
      <c r="AC154" s="81" t="str">
        <f aca="false">IF(B154="","",IF(AB154&lt;=0,"Clear",IF(AA154&gt;0,"Partial","Due")))</f>
        <v/>
      </c>
    </row>
    <row r="155" customFormat="false" ht="15" hidden="false" customHeight="false" outlineLevel="0" collapsed="false">
      <c r="A155" s="25" t="n">
        <v>140</v>
      </c>
      <c r="B155" s="82" t="str">
        <f aca="false">IF(Students!B144="","",Students!B144)</f>
        <v/>
      </c>
      <c r="C155" s="37" t="n">
        <f aca="false">'Feb 2027'!F155</f>
        <v>0</v>
      </c>
      <c r="D155" s="37" t="n">
        <f aca="false">IF(B155="",0,N(Students!E144))</f>
        <v>0</v>
      </c>
      <c r="E155" s="23"/>
      <c r="F155" s="26" t="n">
        <f aca="false">N(C155)+N(D155)-N(E155)</f>
        <v>0</v>
      </c>
      <c r="G155" s="37" t="n">
        <f aca="false">'Feb 2027'!J155</f>
        <v>0</v>
      </c>
      <c r="H155" s="37" t="n">
        <f aca="false">IF(B155="",0,N(Students!F144))</f>
        <v>0</v>
      </c>
      <c r="I155" s="23"/>
      <c r="J155" s="26" t="n">
        <f aca="false">N(G155)+N(H155)-N(I155)</f>
        <v>0</v>
      </c>
      <c r="K155" s="37" t="n">
        <f aca="false">'Feb 2027'!N155</f>
        <v>0</v>
      </c>
      <c r="L155" s="37" t="n">
        <f aca="false">IF(B155="",0,N(Students!G144))</f>
        <v>0</v>
      </c>
      <c r="M155" s="23"/>
      <c r="N155" s="26" t="n">
        <f aca="false">N(K155)+N(L155)-N(M155)</f>
        <v>0</v>
      </c>
      <c r="O155" s="37" t="n">
        <f aca="false">'Feb 2027'!R155</f>
        <v>0</v>
      </c>
      <c r="P155" s="37" t="n">
        <f aca="false">IF(B155="",0,N(Students!H144))</f>
        <v>0</v>
      </c>
      <c r="Q155" s="23"/>
      <c r="R155" s="26" t="n">
        <f aca="false">N(O155)+N(P155)-N(Q155)</f>
        <v>0</v>
      </c>
      <c r="S155" s="37" t="n">
        <f aca="false">'Feb 2027'!V155</f>
        <v>0</v>
      </c>
      <c r="T155" s="37" t="n">
        <f aca="false">IF(B155="",0,N(Students!I144))</f>
        <v>0</v>
      </c>
      <c r="U155" s="23"/>
      <c r="V155" s="26" t="n">
        <f aca="false">N(S155)+N(T155)-N(U155)</f>
        <v>0</v>
      </c>
      <c r="W155" s="37" t="n">
        <f aca="false">'Feb 2027'!Z155</f>
        <v>0</v>
      </c>
      <c r="X155" s="37" t="n">
        <f aca="false">IF(B155="",0,N(Students!J144))</f>
        <v>0</v>
      </c>
      <c r="Y155" s="23"/>
      <c r="Z155" s="26" t="n">
        <f aca="false">N(W155)+N(X155)-N(Y155)</f>
        <v>0</v>
      </c>
      <c r="AA155" s="37" t="n">
        <f aca="false">N(E155)+N(I155)+N(M155)+N(Q155)+N(U155)+N(Y155)</f>
        <v>0</v>
      </c>
      <c r="AB155" s="26" t="n">
        <f aca="false">F155+J155+N155+R155+V155+Z155</f>
        <v>0</v>
      </c>
      <c r="AC155" s="83" t="str">
        <f aca="false">IF(B155="","",IF(AB155&lt;=0,"Clear",IF(AA155&gt;0,"Partial","Due")))</f>
        <v/>
      </c>
    </row>
    <row r="156" customFormat="false" ht="15" hidden="false" customHeight="false" outlineLevel="0" collapsed="false">
      <c r="A156" s="21" t="n">
        <v>141</v>
      </c>
      <c r="B156" s="46" t="str">
        <f aca="false">IF(Students!B145="","",Students!B145)</f>
        <v/>
      </c>
      <c r="C156" s="33" t="n">
        <f aca="false">'Feb 2027'!F156</f>
        <v>0</v>
      </c>
      <c r="D156" s="33" t="n">
        <f aca="false">IF(B156="",0,N(Students!E145))</f>
        <v>0</v>
      </c>
      <c r="E156" s="23"/>
      <c r="F156" s="24" t="n">
        <f aca="false">N(C156)+N(D156)-N(E156)</f>
        <v>0</v>
      </c>
      <c r="G156" s="33" t="n">
        <f aca="false">'Feb 2027'!J156</f>
        <v>0</v>
      </c>
      <c r="H156" s="33" t="n">
        <f aca="false">IF(B156="",0,N(Students!F145))</f>
        <v>0</v>
      </c>
      <c r="I156" s="23"/>
      <c r="J156" s="24" t="n">
        <f aca="false">N(G156)+N(H156)-N(I156)</f>
        <v>0</v>
      </c>
      <c r="K156" s="33" t="n">
        <f aca="false">'Feb 2027'!N156</f>
        <v>0</v>
      </c>
      <c r="L156" s="33" t="n">
        <f aca="false">IF(B156="",0,N(Students!G145))</f>
        <v>0</v>
      </c>
      <c r="M156" s="23"/>
      <c r="N156" s="24" t="n">
        <f aca="false">N(K156)+N(L156)-N(M156)</f>
        <v>0</v>
      </c>
      <c r="O156" s="33" t="n">
        <f aca="false">'Feb 2027'!R156</f>
        <v>0</v>
      </c>
      <c r="P156" s="33" t="n">
        <f aca="false">IF(B156="",0,N(Students!H145))</f>
        <v>0</v>
      </c>
      <c r="Q156" s="23"/>
      <c r="R156" s="24" t="n">
        <f aca="false">N(O156)+N(P156)-N(Q156)</f>
        <v>0</v>
      </c>
      <c r="S156" s="33" t="n">
        <f aca="false">'Feb 2027'!V156</f>
        <v>0</v>
      </c>
      <c r="T156" s="33" t="n">
        <f aca="false">IF(B156="",0,N(Students!I145))</f>
        <v>0</v>
      </c>
      <c r="U156" s="23"/>
      <c r="V156" s="24" t="n">
        <f aca="false">N(S156)+N(T156)-N(U156)</f>
        <v>0</v>
      </c>
      <c r="W156" s="33" t="n">
        <f aca="false">'Feb 2027'!Z156</f>
        <v>0</v>
      </c>
      <c r="X156" s="33" t="n">
        <f aca="false">IF(B156="",0,N(Students!J145))</f>
        <v>0</v>
      </c>
      <c r="Y156" s="23"/>
      <c r="Z156" s="24" t="n">
        <f aca="false">N(W156)+N(X156)-N(Y156)</f>
        <v>0</v>
      </c>
      <c r="AA156" s="33" t="n">
        <f aca="false">N(E156)+N(I156)+N(M156)+N(Q156)+N(U156)+N(Y156)</f>
        <v>0</v>
      </c>
      <c r="AB156" s="24" t="n">
        <f aca="false">F156+J156+N156+R156+V156+Z156</f>
        <v>0</v>
      </c>
      <c r="AC156" s="81" t="str">
        <f aca="false">IF(B156="","",IF(AB156&lt;=0,"Clear",IF(AA156&gt;0,"Partial","Due")))</f>
        <v/>
      </c>
    </row>
    <row r="157" customFormat="false" ht="15" hidden="false" customHeight="false" outlineLevel="0" collapsed="false">
      <c r="A157" s="25" t="n">
        <v>142</v>
      </c>
      <c r="B157" s="82" t="str">
        <f aca="false">IF(Students!B146="","",Students!B146)</f>
        <v/>
      </c>
      <c r="C157" s="37" t="n">
        <f aca="false">'Feb 2027'!F157</f>
        <v>0</v>
      </c>
      <c r="D157" s="37" t="n">
        <f aca="false">IF(B157="",0,N(Students!E146))</f>
        <v>0</v>
      </c>
      <c r="E157" s="23"/>
      <c r="F157" s="26" t="n">
        <f aca="false">N(C157)+N(D157)-N(E157)</f>
        <v>0</v>
      </c>
      <c r="G157" s="37" t="n">
        <f aca="false">'Feb 2027'!J157</f>
        <v>0</v>
      </c>
      <c r="H157" s="37" t="n">
        <f aca="false">IF(B157="",0,N(Students!F146))</f>
        <v>0</v>
      </c>
      <c r="I157" s="23"/>
      <c r="J157" s="26" t="n">
        <f aca="false">N(G157)+N(H157)-N(I157)</f>
        <v>0</v>
      </c>
      <c r="K157" s="37" t="n">
        <f aca="false">'Feb 2027'!N157</f>
        <v>0</v>
      </c>
      <c r="L157" s="37" t="n">
        <f aca="false">IF(B157="",0,N(Students!G146))</f>
        <v>0</v>
      </c>
      <c r="M157" s="23"/>
      <c r="N157" s="26" t="n">
        <f aca="false">N(K157)+N(L157)-N(M157)</f>
        <v>0</v>
      </c>
      <c r="O157" s="37" t="n">
        <f aca="false">'Feb 2027'!R157</f>
        <v>0</v>
      </c>
      <c r="P157" s="37" t="n">
        <f aca="false">IF(B157="",0,N(Students!H146))</f>
        <v>0</v>
      </c>
      <c r="Q157" s="23"/>
      <c r="R157" s="26" t="n">
        <f aca="false">N(O157)+N(P157)-N(Q157)</f>
        <v>0</v>
      </c>
      <c r="S157" s="37" t="n">
        <f aca="false">'Feb 2027'!V157</f>
        <v>0</v>
      </c>
      <c r="T157" s="37" t="n">
        <f aca="false">IF(B157="",0,N(Students!I146))</f>
        <v>0</v>
      </c>
      <c r="U157" s="23"/>
      <c r="V157" s="26" t="n">
        <f aca="false">N(S157)+N(T157)-N(U157)</f>
        <v>0</v>
      </c>
      <c r="W157" s="37" t="n">
        <f aca="false">'Feb 2027'!Z157</f>
        <v>0</v>
      </c>
      <c r="X157" s="37" t="n">
        <f aca="false">IF(B157="",0,N(Students!J146))</f>
        <v>0</v>
      </c>
      <c r="Y157" s="23"/>
      <c r="Z157" s="26" t="n">
        <f aca="false">N(W157)+N(X157)-N(Y157)</f>
        <v>0</v>
      </c>
      <c r="AA157" s="37" t="n">
        <f aca="false">N(E157)+N(I157)+N(M157)+N(Q157)+N(U157)+N(Y157)</f>
        <v>0</v>
      </c>
      <c r="AB157" s="26" t="n">
        <f aca="false">F157+J157+N157+R157+V157+Z157</f>
        <v>0</v>
      </c>
      <c r="AC157" s="83" t="str">
        <f aca="false">IF(B157="","",IF(AB157&lt;=0,"Clear",IF(AA157&gt;0,"Partial","Due")))</f>
        <v/>
      </c>
    </row>
    <row r="158" customFormat="false" ht="15" hidden="false" customHeight="false" outlineLevel="0" collapsed="false">
      <c r="A158" s="21" t="n">
        <v>143</v>
      </c>
      <c r="B158" s="46" t="str">
        <f aca="false">IF(Students!B147="","",Students!B147)</f>
        <v/>
      </c>
      <c r="C158" s="33" t="n">
        <f aca="false">'Feb 2027'!F158</f>
        <v>0</v>
      </c>
      <c r="D158" s="33" t="n">
        <f aca="false">IF(B158="",0,N(Students!E147))</f>
        <v>0</v>
      </c>
      <c r="E158" s="23"/>
      <c r="F158" s="24" t="n">
        <f aca="false">N(C158)+N(D158)-N(E158)</f>
        <v>0</v>
      </c>
      <c r="G158" s="33" t="n">
        <f aca="false">'Feb 2027'!J158</f>
        <v>0</v>
      </c>
      <c r="H158" s="33" t="n">
        <f aca="false">IF(B158="",0,N(Students!F147))</f>
        <v>0</v>
      </c>
      <c r="I158" s="23"/>
      <c r="J158" s="24" t="n">
        <f aca="false">N(G158)+N(H158)-N(I158)</f>
        <v>0</v>
      </c>
      <c r="K158" s="33" t="n">
        <f aca="false">'Feb 2027'!N158</f>
        <v>0</v>
      </c>
      <c r="L158" s="33" t="n">
        <f aca="false">IF(B158="",0,N(Students!G147))</f>
        <v>0</v>
      </c>
      <c r="M158" s="23"/>
      <c r="N158" s="24" t="n">
        <f aca="false">N(K158)+N(L158)-N(M158)</f>
        <v>0</v>
      </c>
      <c r="O158" s="33" t="n">
        <f aca="false">'Feb 2027'!R158</f>
        <v>0</v>
      </c>
      <c r="P158" s="33" t="n">
        <f aca="false">IF(B158="",0,N(Students!H147))</f>
        <v>0</v>
      </c>
      <c r="Q158" s="23"/>
      <c r="R158" s="24" t="n">
        <f aca="false">N(O158)+N(P158)-N(Q158)</f>
        <v>0</v>
      </c>
      <c r="S158" s="33" t="n">
        <f aca="false">'Feb 2027'!V158</f>
        <v>0</v>
      </c>
      <c r="T158" s="33" t="n">
        <f aca="false">IF(B158="",0,N(Students!I147))</f>
        <v>0</v>
      </c>
      <c r="U158" s="23"/>
      <c r="V158" s="24" t="n">
        <f aca="false">N(S158)+N(T158)-N(U158)</f>
        <v>0</v>
      </c>
      <c r="W158" s="33" t="n">
        <f aca="false">'Feb 2027'!Z158</f>
        <v>0</v>
      </c>
      <c r="X158" s="33" t="n">
        <f aca="false">IF(B158="",0,N(Students!J147))</f>
        <v>0</v>
      </c>
      <c r="Y158" s="23"/>
      <c r="Z158" s="24" t="n">
        <f aca="false">N(W158)+N(X158)-N(Y158)</f>
        <v>0</v>
      </c>
      <c r="AA158" s="33" t="n">
        <f aca="false">N(E158)+N(I158)+N(M158)+N(Q158)+N(U158)+N(Y158)</f>
        <v>0</v>
      </c>
      <c r="AB158" s="24" t="n">
        <f aca="false">F158+J158+N158+R158+V158+Z158</f>
        <v>0</v>
      </c>
      <c r="AC158" s="81" t="str">
        <f aca="false">IF(B158="","",IF(AB158&lt;=0,"Clear",IF(AA158&gt;0,"Partial","Due")))</f>
        <v/>
      </c>
    </row>
    <row r="159" customFormat="false" ht="15" hidden="false" customHeight="false" outlineLevel="0" collapsed="false">
      <c r="A159" s="25" t="n">
        <v>144</v>
      </c>
      <c r="B159" s="82" t="str">
        <f aca="false">IF(Students!B148="","",Students!B148)</f>
        <v/>
      </c>
      <c r="C159" s="37" t="n">
        <f aca="false">'Feb 2027'!F159</f>
        <v>0</v>
      </c>
      <c r="D159" s="37" t="n">
        <f aca="false">IF(B159="",0,N(Students!E148))</f>
        <v>0</v>
      </c>
      <c r="E159" s="23"/>
      <c r="F159" s="26" t="n">
        <f aca="false">N(C159)+N(D159)-N(E159)</f>
        <v>0</v>
      </c>
      <c r="G159" s="37" t="n">
        <f aca="false">'Feb 2027'!J159</f>
        <v>0</v>
      </c>
      <c r="H159" s="37" t="n">
        <f aca="false">IF(B159="",0,N(Students!F148))</f>
        <v>0</v>
      </c>
      <c r="I159" s="23"/>
      <c r="J159" s="26" t="n">
        <f aca="false">N(G159)+N(H159)-N(I159)</f>
        <v>0</v>
      </c>
      <c r="K159" s="37" t="n">
        <f aca="false">'Feb 2027'!N159</f>
        <v>0</v>
      </c>
      <c r="L159" s="37" t="n">
        <f aca="false">IF(B159="",0,N(Students!G148))</f>
        <v>0</v>
      </c>
      <c r="M159" s="23"/>
      <c r="N159" s="26" t="n">
        <f aca="false">N(K159)+N(L159)-N(M159)</f>
        <v>0</v>
      </c>
      <c r="O159" s="37" t="n">
        <f aca="false">'Feb 2027'!R159</f>
        <v>0</v>
      </c>
      <c r="P159" s="37" t="n">
        <f aca="false">IF(B159="",0,N(Students!H148))</f>
        <v>0</v>
      </c>
      <c r="Q159" s="23"/>
      <c r="R159" s="26" t="n">
        <f aca="false">N(O159)+N(P159)-N(Q159)</f>
        <v>0</v>
      </c>
      <c r="S159" s="37" t="n">
        <f aca="false">'Feb 2027'!V159</f>
        <v>0</v>
      </c>
      <c r="T159" s="37" t="n">
        <f aca="false">IF(B159="",0,N(Students!I148))</f>
        <v>0</v>
      </c>
      <c r="U159" s="23"/>
      <c r="V159" s="26" t="n">
        <f aca="false">N(S159)+N(T159)-N(U159)</f>
        <v>0</v>
      </c>
      <c r="W159" s="37" t="n">
        <f aca="false">'Feb 2027'!Z159</f>
        <v>0</v>
      </c>
      <c r="X159" s="37" t="n">
        <f aca="false">IF(B159="",0,N(Students!J148))</f>
        <v>0</v>
      </c>
      <c r="Y159" s="23"/>
      <c r="Z159" s="26" t="n">
        <f aca="false">N(W159)+N(X159)-N(Y159)</f>
        <v>0</v>
      </c>
      <c r="AA159" s="37" t="n">
        <f aca="false">N(E159)+N(I159)+N(M159)+N(Q159)+N(U159)+N(Y159)</f>
        <v>0</v>
      </c>
      <c r="AB159" s="26" t="n">
        <f aca="false">F159+J159+N159+R159+V159+Z159</f>
        <v>0</v>
      </c>
      <c r="AC159" s="83" t="str">
        <f aca="false">IF(B159="","",IF(AB159&lt;=0,"Clear",IF(AA159&gt;0,"Partial","Due")))</f>
        <v/>
      </c>
    </row>
    <row r="160" customFormat="false" ht="15" hidden="false" customHeight="false" outlineLevel="0" collapsed="false">
      <c r="A160" s="21" t="n">
        <v>145</v>
      </c>
      <c r="B160" s="46" t="str">
        <f aca="false">IF(Students!B149="","",Students!B149)</f>
        <v/>
      </c>
      <c r="C160" s="33" t="n">
        <f aca="false">'Feb 2027'!F160</f>
        <v>0</v>
      </c>
      <c r="D160" s="33" t="n">
        <f aca="false">IF(B160="",0,N(Students!E149))</f>
        <v>0</v>
      </c>
      <c r="E160" s="23"/>
      <c r="F160" s="24" t="n">
        <f aca="false">N(C160)+N(D160)-N(E160)</f>
        <v>0</v>
      </c>
      <c r="G160" s="33" t="n">
        <f aca="false">'Feb 2027'!J160</f>
        <v>0</v>
      </c>
      <c r="H160" s="33" t="n">
        <f aca="false">IF(B160="",0,N(Students!F149))</f>
        <v>0</v>
      </c>
      <c r="I160" s="23"/>
      <c r="J160" s="24" t="n">
        <f aca="false">N(G160)+N(H160)-N(I160)</f>
        <v>0</v>
      </c>
      <c r="K160" s="33" t="n">
        <f aca="false">'Feb 2027'!N160</f>
        <v>0</v>
      </c>
      <c r="L160" s="33" t="n">
        <f aca="false">IF(B160="",0,N(Students!G149))</f>
        <v>0</v>
      </c>
      <c r="M160" s="23"/>
      <c r="N160" s="24" t="n">
        <f aca="false">N(K160)+N(L160)-N(M160)</f>
        <v>0</v>
      </c>
      <c r="O160" s="33" t="n">
        <f aca="false">'Feb 2027'!R160</f>
        <v>0</v>
      </c>
      <c r="P160" s="33" t="n">
        <f aca="false">IF(B160="",0,N(Students!H149))</f>
        <v>0</v>
      </c>
      <c r="Q160" s="23"/>
      <c r="R160" s="24" t="n">
        <f aca="false">N(O160)+N(P160)-N(Q160)</f>
        <v>0</v>
      </c>
      <c r="S160" s="33" t="n">
        <f aca="false">'Feb 2027'!V160</f>
        <v>0</v>
      </c>
      <c r="T160" s="33" t="n">
        <f aca="false">IF(B160="",0,N(Students!I149))</f>
        <v>0</v>
      </c>
      <c r="U160" s="23"/>
      <c r="V160" s="24" t="n">
        <f aca="false">N(S160)+N(T160)-N(U160)</f>
        <v>0</v>
      </c>
      <c r="W160" s="33" t="n">
        <f aca="false">'Feb 2027'!Z160</f>
        <v>0</v>
      </c>
      <c r="X160" s="33" t="n">
        <f aca="false">IF(B160="",0,N(Students!J149))</f>
        <v>0</v>
      </c>
      <c r="Y160" s="23"/>
      <c r="Z160" s="24" t="n">
        <f aca="false">N(W160)+N(X160)-N(Y160)</f>
        <v>0</v>
      </c>
      <c r="AA160" s="33" t="n">
        <f aca="false">N(E160)+N(I160)+N(M160)+N(Q160)+N(U160)+N(Y160)</f>
        <v>0</v>
      </c>
      <c r="AB160" s="24" t="n">
        <f aca="false">F160+J160+N160+R160+V160+Z160</f>
        <v>0</v>
      </c>
      <c r="AC160" s="81" t="str">
        <f aca="false">IF(B160="","",IF(AB160&lt;=0,"Clear",IF(AA160&gt;0,"Partial","Due")))</f>
        <v/>
      </c>
    </row>
    <row r="161" customFormat="false" ht="15" hidden="false" customHeight="false" outlineLevel="0" collapsed="false">
      <c r="A161" s="25" t="n">
        <v>146</v>
      </c>
      <c r="B161" s="82" t="str">
        <f aca="false">IF(Students!B150="","",Students!B150)</f>
        <v/>
      </c>
      <c r="C161" s="37" t="n">
        <f aca="false">'Feb 2027'!F161</f>
        <v>0</v>
      </c>
      <c r="D161" s="37" t="n">
        <f aca="false">IF(B161="",0,N(Students!E150))</f>
        <v>0</v>
      </c>
      <c r="E161" s="23"/>
      <c r="F161" s="26" t="n">
        <f aca="false">N(C161)+N(D161)-N(E161)</f>
        <v>0</v>
      </c>
      <c r="G161" s="37" t="n">
        <f aca="false">'Feb 2027'!J161</f>
        <v>0</v>
      </c>
      <c r="H161" s="37" t="n">
        <f aca="false">IF(B161="",0,N(Students!F150))</f>
        <v>0</v>
      </c>
      <c r="I161" s="23"/>
      <c r="J161" s="26" t="n">
        <f aca="false">N(G161)+N(H161)-N(I161)</f>
        <v>0</v>
      </c>
      <c r="K161" s="37" t="n">
        <f aca="false">'Feb 2027'!N161</f>
        <v>0</v>
      </c>
      <c r="L161" s="37" t="n">
        <f aca="false">IF(B161="",0,N(Students!G150))</f>
        <v>0</v>
      </c>
      <c r="M161" s="23"/>
      <c r="N161" s="26" t="n">
        <f aca="false">N(K161)+N(L161)-N(M161)</f>
        <v>0</v>
      </c>
      <c r="O161" s="37" t="n">
        <f aca="false">'Feb 2027'!R161</f>
        <v>0</v>
      </c>
      <c r="P161" s="37" t="n">
        <f aca="false">IF(B161="",0,N(Students!H150))</f>
        <v>0</v>
      </c>
      <c r="Q161" s="23"/>
      <c r="R161" s="26" t="n">
        <f aca="false">N(O161)+N(P161)-N(Q161)</f>
        <v>0</v>
      </c>
      <c r="S161" s="37" t="n">
        <f aca="false">'Feb 2027'!V161</f>
        <v>0</v>
      </c>
      <c r="T161" s="37" t="n">
        <f aca="false">IF(B161="",0,N(Students!I150))</f>
        <v>0</v>
      </c>
      <c r="U161" s="23"/>
      <c r="V161" s="26" t="n">
        <f aca="false">N(S161)+N(T161)-N(U161)</f>
        <v>0</v>
      </c>
      <c r="W161" s="37" t="n">
        <f aca="false">'Feb 2027'!Z161</f>
        <v>0</v>
      </c>
      <c r="X161" s="37" t="n">
        <f aca="false">IF(B161="",0,N(Students!J150))</f>
        <v>0</v>
      </c>
      <c r="Y161" s="23"/>
      <c r="Z161" s="26" t="n">
        <f aca="false">N(W161)+N(X161)-N(Y161)</f>
        <v>0</v>
      </c>
      <c r="AA161" s="37" t="n">
        <f aca="false">N(E161)+N(I161)+N(M161)+N(Q161)+N(U161)+N(Y161)</f>
        <v>0</v>
      </c>
      <c r="AB161" s="26" t="n">
        <f aca="false">F161+J161+N161+R161+V161+Z161</f>
        <v>0</v>
      </c>
      <c r="AC161" s="83" t="str">
        <f aca="false">IF(B161="","",IF(AB161&lt;=0,"Clear",IF(AA161&gt;0,"Partial","Due")))</f>
        <v/>
      </c>
    </row>
    <row r="162" customFormat="false" ht="15" hidden="false" customHeight="false" outlineLevel="0" collapsed="false">
      <c r="A162" s="21" t="n">
        <v>147</v>
      </c>
      <c r="B162" s="46" t="str">
        <f aca="false">IF(Students!B151="","",Students!B151)</f>
        <v/>
      </c>
      <c r="C162" s="33" t="n">
        <f aca="false">'Feb 2027'!F162</f>
        <v>0</v>
      </c>
      <c r="D162" s="33" t="n">
        <f aca="false">IF(B162="",0,N(Students!E151))</f>
        <v>0</v>
      </c>
      <c r="E162" s="23"/>
      <c r="F162" s="24" t="n">
        <f aca="false">N(C162)+N(D162)-N(E162)</f>
        <v>0</v>
      </c>
      <c r="G162" s="33" t="n">
        <f aca="false">'Feb 2027'!J162</f>
        <v>0</v>
      </c>
      <c r="H162" s="33" t="n">
        <f aca="false">IF(B162="",0,N(Students!F151))</f>
        <v>0</v>
      </c>
      <c r="I162" s="23"/>
      <c r="J162" s="24" t="n">
        <f aca="false">N(G162)+N(H162)-N(I162)</f>
        <v>0</v>
      </c>
      <c r="K162" s="33" t="n">
        <f aca="false">'Feb 2027'!N162</f>
        <v>0</v>
      </c>
      <c r="L162" s="33" t="n">
        <f aca="false">IF(B162="",0,N(Students!G151))</f>
        <v>0</v>
      </c>
      <c r="M162" s="23"/>
      <c r="N162" s="24" t="n">
        <f aca="false">N(K162)+N(L162)-N(M162)</f>
        <v>0</v>
      </c>
      <c r="O162" s="33" t="n">
        <f aca="false">'Feb 2027'!R162</f>
        <v>0</v>
      </c>
      <c r="P162" s="33" t="n">
        <f aca="false">IF(B162="",0,N(Students!H151))</f>
        <v>0</v>
      </c>
      <c r="Q162" s="23"/>
      <c r="R162" s="24" t="n">
        <f aca="false">N(O162)+N(P162)-N(Q162)</f>
        <v>0</v>
      </c>
      <c r="S162" s="33" t="n">
        <f aca="false">'Feb 2027'!V162</f>
        <v>0</v>
      </c>
      <c r="T162" s="33" t="n">
        <f aca="false">IF(B162="",0,N(Students!I151))</f>
        <v>0</v>
      </c>
      <c r="U162" s="23"/>
      <c r="V162" s="24" t="n">
        <f aca="false">N(S162)+N(T162)-N(U162)</f>
        <v>0</v>
      </c>
      <c r="W162" s="33" t="n">
        <f aca="false">'Feb 2027'!Z162</f>
        <v>0</v>
      </c>
      <c r="X162" s="33" t="n">
        <f aca="false">IF(B162="",0,N(Students!J151))</f>
        <v>0</v>
      </c>
      <c r="Y162" s="23"/>
      <c r="Z162" s="24" t="n">
        <f aca="false">N(W162)+N(X162)-N(Y162)</f>
        <v>0</v>
      </c>
      <c r="AA162" s="33" t="n">
        <f aca="false">N(E162)+N(I162)+N(M162)+N(Q162)+N(U162)+N(Y162)</f>
        <v>0</v>
      </c>
      <c r="AB162" s="24" t="n">
        <f aca="false">F162+J162+N162+R162+V162+Z162</f>
        <v>0</v>
      </c>
      <c r="AC162" s="81" t="str">
        <f aca="false">IF(B162="","",IF(AB162&lt;=0,"Clear",IF(AA162&gt;0,"Partial","Due")))</f>
        <v/>
      </c>
    </row>
    <row r="163" customFormat="false" ht="15" hidden="false" customHeight="false" outlineLevel="0" collapsed="false">
      <c r="A163" s="25" t="n">
        <v>148</v>
      </c>
      <c r="B163" s="82" t="str">
        <f aca="false">IF(Students!B152="","",Students!B152)</f>
        <v/>
      </c>
      <c r="C163" s="37" t="n">
        <f aca="false">'Feb 2027'!F163</f>
        <v>0</v>
      </c>
      <c r="D163" s="37" t="n">
        <f aca="false">IF(B163="",0,N(Students!E152))</f>
        <v>0</v>
      </c>
      <c r="E163" s="23"/>
      <c r="F163" s="26" t="n">
        <f aca="false">N(C163)+N(D163)-N(E163)</f>
        <v>0</v>
      </c>
      <c r="G163" s="37" t="n">
        <f aca="false">'Feb 2027'!J163</f>
        <v>0</v>
      </c>
      <c r="H163" s="37" t="n">
        <f aca="false">IF(B163="",0,N(Students!F152))</f>
        <v>0</v>
      </c>
      <c r="I163" s="23"/>
      <c r="J163" s="26" t="n">
        <f aca="false">N(G163)+N(H163)-N(I163)</f>
        <v>0</v>
      </c>
      <c r="K163" s="37" t="n">
        <f aca="false">'Feb 2027'!N163</f>
        <v>0</v>
      </c>
      <c r="L163" s="37" t="n">
        <f aca="false">IF(B163="",0,N(Students!G152))</f>
        <v>0</v>
      </c>
      <c r="M163" s="23"/>
      <c r="N163" s="26" t="n">
        <f aca="false">N(K163)+N(L163)-N(M163)</f>
        <v>0</v>
      </c>
      <c r="O163" s="37" t="n">
        <f aca="false">'Feb 2027'!R163</f>
        <v>0</v>
      </c>
      <c r="P163" s="37" t="n">
        <f aca="false">IF(B163="",0,N(Students!H152))</f>
        <v>0</v>
      </c>
      <c r="Q163" s="23"/>
      <c r="R163" s="26" t="n">
        <f aca="false">N(O163)+N(P163)-N(Q163)</f>
        <v>0</v>
      </c>
      <c r="S163" s="37" t="n">
        <f aca="false">'Feb 2027'!V163</f>
        <v>0</v>
      </c>
      <c r="T163" s="37" t="n">
        <f aca="false">IF(B163="",0,N(Students!I152))</f>
        <v>0</v>
      </c>
      <c r="U163" s="23"/>
      <c r="V163" s="26" t="n">
        <f aca="false">N(S163)+N(T163)-N(U163)</f>
        <v>0</v>
      </c>
      <c r="W163" s="37" t="n">
        <f aca="false">'Feb 2027'!Z163</f>
        <v>0</v>
      </c>
      <c r="X163" s="37" t="n">
        <f aca="false">IF(B163="",0,N(Students!J152))</f>
        <v>0</v>
      </c>
      <c r="Y163" s="23"/>
      <c r="Z163" s="26" t="n">
        <f aca="false">N(W163)+N(X163)-N(Y163)</f>
        <v>0</v>
      </c>
      <c r="AA163" s="37" t="n">
        <f aca="false">N(E163)+N(I163)+N(M163)+N(Q163)+N(U163)+N(Y163)</f>
        <v>0</v>
      </c>
      <c r="AB163" s="26" t="n">
        <f aca="false">F163+J163+N163+R163+V163+Z163</f>
        <v>0</v>
      </c>
      <c r="AC163" s="83" t="str">
        <f aca="false">IF(B163="","",IF(AB163&lt;=0,"Clear",IF(AA163&gt;0,"Partial","Due")))</f>
        <v/>
      </c>
    </row>
    <row r="164" customFormat="false" ht="15" hidden="false" customHeight="false" outlineLevel="0" collapsed="false">
      <c r="A164" s="21" t="n">
        <v>149</v>
      </c>
      <c r="B164" s="46" t="str">
        <f aca="false">IF(Students!B153="","",Students!B153)</f>
        <v/>
      </c>
      <c r="C164" s="33" t="n">
        <f aca="false">'Feb 2027'!F164</f>
        <v>0</v>
      </c>
      <c r="D164" s="33" t="n">
        <f aca="false">IF(B164="",0,N(Students!E153))</f>
        <v>0</v>
      </c>
      <c r="E164" s="23"/>
      <c r="F164" s="24" t="n">
        <f aca="false">N(C164)+N(D164)-N(E164)</f>
        <v>0</v>
      </c>
      <c r="G164" s="33" t="n">
        <f aca="false">'Feb 2027'!J164</f>
        <v>0</v>
      </c>
      <c r="H164" s="33" t="n">
        <f aca="false">IF(B164="",0,N(Students!F153))</f>
        <v>0</v>
      </c>
      <c r="I164" s="23"/>
      <c r="J164" s="24" t="n">
        <f aca="false">N(G164)+N(H164)-N(I164)</f>
        <v>0</v>
      </c>
      <c r="K164" s="33" t="n">
        <f aca="false">'Feb 2027'!N164</f>
        <v>0</v>
      </c>
      <c r="L164" s="33" t="n">
        <f aca="false">IF(B164="",0,N(Students!G153))</f>
        <v>0</v>
      </c>
      <c r="M164" s="23"/>
      <c r="N164" s="24" t="n">
        <f aca="false">N(K164)+N(L164)-N(M164)</f>
        <v>0</v>
      </c>
      <c r="O164" s="33" t="n">
        <f aca="false">'Feb 2027'!R164</f>
        <v>0</v>
      </c>
      <c r="P164" s="33" t="n">
        <f aca="false">IF(B164="",0,N(Students!H153))</f>
        <v>0</v>
      </c>
      <c r="Q164" s="23"/>
      <c r="R164" s="24" t="n">
        <f aca="false">N(O164)+N(P164)-N(Q164)</f>
        <v>0</v>
      </c>
      <c r="S164" s="33" t="n">
        <f aca="false">'Feb 2027'!V164</f>
        <v>0</v>
      </c>
      <c r="T164" s="33" t="n">
        <f aca="false">IF(B164="",0,N(Students!I153))</f>
        <v>0</v>
      </c>
      <c r="U164" s="23"/>
      <c r="V164" s="24" t="n">
        <f aca="false">N(S164)+N(T164)-N(U164)</f>
        <v>0</v>
      </c>
      <c r="W164" s="33" t="n">
        <f aca="false">'Feb 2027'!Z164</f>
        <v>0</v>
      </c>
      <c r="X164" s="33" t="n">
        <f aca="false">IF(B164="",0,N(Students!J153))</f>
        <v>0</v>
      </c>
      <c r="Y164" s="23"/>
      <c r="Z164" s="24" t="n">
        <f aca="false">N(W164)+N(X164)-N(Y164)</f>
        <v>0</v>
      </c>
      <c r="AA164" s="33" t="n">
        <f aca="false">N(E164)+N(I164)+N(M164)+N(Q164)+N(U164)+N(Y164)</f>
        <v>0</v>
      </c>
      <c r="AB164" s="24" t="n">
        <f aca="false">F164+J164+N164+R164+V164+Z164</f>
        <v>0</v>
      </c>
      <c r="AC164" s="81" t="str">
        <f aca="false">IF(B164="","",IF(AB164&lt;=0,"Clear",IF(AA164&gt;0,"Partial","Due")))</f>
        <v/>
      </c>
    </row>
    <row r="165" customFormat="false" ht="15" hidden="false" customHeight="false" outlineLevel="0" collapsed="false">
      <c r="A165" s="25" t="n">
        <v>150</v>
      </c>
      <c r="B165" s="82" t="str">
        <f aca="false">IF(Students!B154="","",Students!B154)</f>
        <v/>
      </c>
      <c r="C165" s="37" t="n">
        <f aca="false">'Feb 2027'!F165</f>
        <v>0</v>
      </c>
      <c r="D165" s="37" t="n">
        <f aca="false">IF(B165="",0,N(Students!E154))</f>
        <v>0</v>
      </c>
      <c r="E165" s="23"/>
      <c r="F165" s="26" t="n">
        <f aca="false">N(C165)+N(D165)-N(E165)</f>
        <v>0</v>
      </c>
      <c r="G165" s="37" t="n">
        <f aca="false">'Feb 2027'!J165</f>
        <v>0</v>
      </c>
      <c r="H165" s="37" t="n">
        <f aca="false">IF(B165="",0,N(Students!F154))</f>
        <v>0</v>
      </c>
      <c r="I165" s="23"/>
      <c r="J165" s="26" t="n">
        <f aca="false">N(G165)+N(H165)-N(I165)</f>
        <v>0</v>
      </c>
      <c r="K165" s="37" t="n">
        <f aca="false">'Feb 2027'!N165</f>
        <v>0</v>
      </c>
      <c r="L165" s="37" t="n">
        <f aca="false">IF(B165="",0,N(Students!G154))</f>
        <v>0</v>
      </c>
      <c r="M165" s="23"/>
      <c r="N165" s="26" t="n">
        <f aca="false">N(K165)+N(L165)-N(M165)</f>
        <v>0</v>
      </c>
      <c r="O165" s="37" t="n">
        <f aca="false">'Feb 2027'!R165</f>
        <v>0</v>
      </c>
      <c r="P165" s="37" t="n">
        <f aca="false">IF(B165="",0,N(Students!H154))</f>
        <v>0</v>
      </c>
      <c r="Q165" s="23"/>
      <c r="R165" s="26" t="n">
        <f aca="false">N(O165)+N(P165)-N(Q165)</f>
        <v>0</v>
      </c>
      <c r="S165" s="37" t="n">
        <f aca="false">'Feb 2027'!V165</f>
        <v>0</v>
      </c>
      <c r="T165" s="37" t="n">
        <f aca="false">IF(B165="",0,N(Students!I154))</f>
        <v>0</v>
      </c>
      <c r="U165" s="23"/>
      <c r="V165" s="26" t="n">
        <f aca="false">N(S165)+N(T165)-N(U165)</f>
        <v>0</v>
      </c>
      <c r="W165" s="37" t="n">
        <f aca="false">'Feb 2027'!Z165</f>
        <v>0</v>
      </c>
      <c r="X165" s="37" t="n">
        <f aca="false">IF(B165="",0,N(Students!J154))</f>
        <v>0</v>
      </c>
      <c r="Y165" s="23"/>
      <c r="Z165" s="26" t="n">
        <f aca="false">N(W165)+N(X165)-N(Y165)</f>
        <v>0</v>
      </c>
      <c r="AA165" s="37" t="n">
        <f aca="false">N(E165)+N(I165)+N(M165)+N(Q165)+N(U165)+N(Y165)</f>
        <v>0</v>
      </c>
      <c r="AB165" s="26" t="n">
        <f aca="false">F165+J165+N165+R165+V165+Z165</f>
        <v>0</v>
      </c>
      <c r="AC165" s="83" t="str">
        <f aca="false">IF(B165="","",IF(AB165&lt;=0,"Clear",IF(AA165&gt;0,"Partial","Due")))</f>
        <v/>
      </c>
    </row>
    <row r="166" customFormat="false" ht="15" hidden="false" customHeight="true" outlineLevel="0" collapsed="false">
      <c r="A166" s="4" t="s">
        <v>79</v>
      </c>
      <c r="B166" s="4"/>
      <c r="C166" s="41" t="n">
        <f aca="false">SUM(C16:C165)</f>
        <v>0</v>
      </c>
      <c r="D166" s="41" t="n">
        <f aca="false">SUM(D16:D165)</f>
        <v>0</v>
      </c>
      <c r="E166" s="41" t="n">
        <f aca="false">SUM(E16:E165)</f>
        <v>0</v>
      </c>
      <c r="F166" s="41" t="n">
        <f aca="false">SUM(F16:F165)</f>
        <v>0</v>
      </c>
      <c r="G166" s="41" t="n">
        <f aca="false">SUM(G16:G165)</f>
        <v>8000</v>
      </c>
      <c r="H166" s="41" t="n">
        <f aca="false">SUM(H16:H165)</f>
        <v>2000</v>
      </c>
      <c r="I166" s="41" t="n">
        <f aca="false">SUM(I16:I165)</f>
        <v>0</v>
      </c>
      <c r="J166" s="41" t="n">
        <f aca="false">SUM(J16:J165)</f>
        <v>10000</v>
      </c>
      <c r="K166" s="41" t="n">
        <f aca="false">SUM(K16:K165)</f>
        <v>0</v>
      </c>
      <c r="L166" s="41" t="n">
        <f aca="false">SUM(L16:L165)</f>
        <v>0</v>
      </c>
      <c r="M166" s="41" t="n">
        <f aca="false">SUM(M16:M165)</f>
        <v>0</v>
      </c>
      <c r="N166" s="41" t="n">
        <f aca="false">SUM(N16:N165)</f>
        <v>0</v>
      </c>
      <c r="O166" s="41" t="n">
        <f aca="false">SUM(O16:O165)</f>
        <v>6500</v>
      </c>
      <c r="P166" s="41" t="n">
        <f aca="false">SUM(P16:P165)</f>
        <v>1500</v>
      </c>
      <c r="Q166" s="41" t="n">
        <f aca="false">SUM(Q16:Q165)</f>
        <v>0</v>
      </c>
      <c r="R166" s="41" t="n">
        <f aca="false">SUM(R16:R165)</f>
        <v>8000</v>
      </c>
      <c r="S166" s="41" t="n">
        <f aca="false">SUM(S16:S165)</f>
        <v>0</v>
      </c>
      <c r="T166" s="41" t="n">
        <f aca="false">SUM(T16:T165)</f>
        <v>0</v>
      </c>
      <c r="U166" s="41" t="n">
        <f aca="false">SUM(U16:U165)</f>
        <v>0</v>
      </c>
      <c r="V166" s="41" t="n">
        <f aca="false">SUM(V16:V165)</f>
        <v>0</v>
      </c>
      <c r="W166" s="41" t="n">
        <f aca="false">SUM(W16:W165)</f>
        <v>0</v>
      </c>
      <c r="X166" s="41" t="n">
        <f aca="false">SUM(X16:X165)</f>
        <v>0</v>
      </c>
      <c r="Y166" s="41" t="n">
        <f aca="false">SUM(Y16:Y165)</f>
        <v>0</v>
      </c>
      <c r="Z166" s="41" t="n">
        <f aca="false">SUM(Z16:Z165)</f>
        <v>0</v>
      </c>
      <c r="AA166" s="41" t="n">
        <f aca="false">SUM(AA16:AA165)</f>
        <v>0</v>
      </c>
      <c r="AB166" s="41" t="n">
        <f aca="false">SUM(AB16:AB165)</f>
        <v>18000</v>
      </c>
      <c r="AC166" s="43"/>
    </row>
  </sheetData>
  <mergeCells count="34">
    <mergeCell ref="A1:AC1"/>
    <mergeCell ref="A2:AC2"/>
    <mergeCell ref="B4:I4"/>
    <mergeCell ref="K4:N4"/>
    <mergeCell ref="C5:D5"/>
    <mergeCell ref="K5:M5"/>
    <mergeCell ref="P5:R5"/>
    <mergeCell ref="T5:V5"/>
    <mergeCell ref="X5:Z5"/>
    <mergeCell ref="C6:D6"/>
    <mergeCell ref="K6:M6"/>
    <mergeCell ref="P6:R7"/>
    <mergeCell ref="T6:V7"/>
    <mergeCell ref="X6:Z7"/>
    <mergeCell ref="C7:D7"/>
    <mergeCell ref="K7:M7"/>
    <mergeCell ref="C8:D8"/>
    <mergeCell ref="K8:M8"/>
    <mergeCell ref="C9:D9"/>
    <mergeCell ref="P9:Z9"/>
    <mergeCell ref="C10:D10"/>
    <mergeCell ref="K10:M10"/>
    <mergeCell ref="C11:D11"/>
    <mergeCell ref="K11:N11"/>
    <mergeCell ref="C12:D12"/>
    <mergeCell ref="A14:B14"/>
    <mergeCell ref="C14:F14"/>
    <mergeCell ref="G14:J14"/>
    <mergeCell ref="K14:N14"/>
    <mergeCell ref="O14:R14"/>
    <mergeCell ref="S14:V14"/>
    <mergeCell ref="W14:Z14"/>
    <mergeCell ref="AA14:AC14"/>
    <mergeCell ref="A166:B166"/>
  </mergeCells>
  <conditionalFormatting sqref="AC16:AC165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F16:F165 J16:J165 N16:N165 R16:R165 V16:V165 Z16:Z165 AB16:AB165">
    <cfRule type="cellIs" priority="5" operator="greaterThan" aboveAverage="0" equalAverage="0" bottom="0" percent="0" rank="0" text="" dxfId="0">
      <formula>0</formula>
    </cfRule>
  </conditionalFormatting>
  <conditionalFormatting sqref="N10"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AC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29" min="5" style="0" width="11.5"/>
  </cols>
  <sheetData>
    <row r="1" customFormat="false" ht="31.5" hidden="false" customHeight="true" outlineLevel="0" collapsed="false">
      <c r="A1" s="54" t="str">
        <f aca="false">UPPER(Setup!B3)</f>
        <v>FUTURE TALENT ACADEMY JAMSHORO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customFormat="false" ht="21.75" hidden="false" customHeight="true" outlineLevel="0" collapsed="false">
      <c r="A2" s="55" t="s">
        <v>108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customFormat="false" ht="15" hidden="false" customHeight="true" outlineLevel="0" collapsed="false">
      <c r="B4" s="4" t="s">
        <v>82</v>
      </c>
      <c r="C4" s="4"/>
      <c r="D4" s="4"/>
      <c r="E4" s="4"/>
      <c r="F4" s="4"/>
      <c r="G4" s="4"/>
      <c r="H4" s="4"/>
      <c r="I4" s="4"/>
      <c r="K4" s="28" t="s">
        <v>83</v>
      </c>
      <c r="L4" s="28"/>
      <c r="M4" s="28"/>
      <c r="N4" s="28"/>
    </row>
    <row r="5" customFormat="false" ht="22.35" hidden="false" customHeight="true" outlineLevel="0" collapsed="false">
      <c r="B5" s="56" t="s">
        <v>76</v>
      </c>
      <c r="C5" s="56" t="s">
        <v>77</v>
      </c>
      <c r="D5" s="56"/>
      <c r="E5" s="56" t="s">
        <v>84</v>
      </c>
      <c r="F5" s="56" t="s">
        <v>85</v>
      </c>
      <c r="G5" s="56" t="s">
        <v>5</v>
      </c>
      <c r="H5" s="56" t="s">
        <v>6</v>
      </c>
      <c r="I5" s="56" t="s">
        <v>86</v>
      </c>
      <c r="K5" s="57" t="s">
        <v>87</v>
      </c>
      <c r="L5" s="57"/>
      <c r="M5" s="57"/>
      <c r="N5" s="58" t="n">
        <f aca="false">H12</f>
        <v>0</v>
      </c>
      <c r="P5" s="59" t="s">
        <v>88</v>
      </c>
      <c r="Q5" s="59"/>
      <c r="R5" s="59"/>
      <c r="T5" s="60" t="s">
        <v>89</v>
      </c>
      <c r="U5" s="60"/>
      <c r="V5" s="60"/>
      <c r="X5" s="61" t="s">
        <v>90</v>
      </c>
      <c r="Y5" s="61"/>
      <c r="Z5" s="61"/>
    </row>
    <row r="6" customFormat="false" ht="15" hidden="false" customHeight="true" outlineLevel="0" collapsed="false">
      <c r="B6" s="62" t="str">
        <f aca="false">Setup!A6</f>
        <v>English</v>
      </c>
      <c r="C6" s="63" t="str">
        <f aca="false">Setup!B6</f>
        <v>Sir Sajjad Ali Birhmani</v>
      </c>
      <c r="D6" s="63"/>
      <c r="E6" s="64" t="n">
        <f aca="false">D166</f>
        <v>0</v>
      </c>
      <c r="F6" s="58" t="n">
        <f aca="false">E166</f>
        <v>0</v>
      </c>
      <c r="G6" s="65" t="n">
        <f aca="false">F6*Setup!C6</f>
        <v>0</v>
      </c>
      <c r="H6" s="66" t="n">
        <f aca="false">F6-G6</f>
        <v>0</v>
      </c>
      <c r="I6" s="67" t="n">
        <f aca="false">F166</f>
        <v>0</v>
      </c>
      <c r="K6" s="57" t="s">
        <v>91</v>
      </c>
      <c r="L6" s="57"/>
      <c r="M6" s="57"/>
      <c r="N6" s="65" t="n">
        <f aca="false">SUMIFS(Administration!$G$5:$G$304,Administration!$C$5:$C$304,"Apr 2027",Administration!$D$5:$D$304,"Other Income")</f>
        <v>0</v>
      </c>
      <c r="P6" s="68" t="n">
        <f aca="false">F12</f>
        <v>0</v>
      </c>
      <c r="Q6" s="68"/>
      <c r="R6" s="68"/>
      <c r="T6" s="69" t="n">
        <f aca="false">G12</f>
        <v>0</v>
      </c>
      <c r="U6" s="69"/>
      <c r="V6" s="69"/>
      <c r="X6" s="70" t="n">
        <f aca="false">I12</f>
        <v>21500</v>
      </c>
      <c r="Y6" s="70"/>
      <c r="Z6" s="70"/>
    </row>
    <row r="7" customFormat="false" ht="15" hidden="false" customHeight="true" outlineLevel="0" collapsed="false">
      <c r="B7" s="71" t="str">
        <f aca="false">Setup!A7</f>
        <v>Computer</v>
      </c>
      <c r="C7" s="63" t="str">
        <f aca="false">Setup!B7</f>
        <v>Sir Nazeer Ahmed Jamali</v>
      </c>
      <c r="D7" s="63"/>
      <c r="E7" s="64" t="n">
        <f aca="false">H166</f>
        <v>2000</v>
      </c>
      <c r="F7" s="58" t="n">
        <f aca="false">I166</f>
        <v>0</v>
      </c>
      <c r="G7" s="65" t="n">
        <f aca="false">F7*Setup!C7</f>
        <v>0</v>
      </c>
      <c r="H7" s="66" t="n">
        <f aca="false">F7-G7</f>
        <v>0</v>
      </c>
      <c r="I7" s="67" t="n">
        <f aca="false">J166</f>
        <v>12000</v>
      </c>
      <c r="K7" s="57" t="s">
        <v>92</v>
      </c>
      <c r="L7" s="57"/>
      <c r="M7" s="57"/>
      <c r="N7" s="72" t="n">
        <f aca="false">SUMIFS(Administration!$G$5:$G$304,Administration!$C$5:$C$304,"Apr 2027",Administration!$D$5:$D$304,"Expense")</f>
        <v>0</v>
      </c>
      <c r="P7" s="68"/>
      <c r="Q7" s="68"/>
      <c r="R7" s="68"/>
      <c r="T7" s="69"/>
      <c r="U7" s="69"/>
      <c r="V7" s="69"/>
      <c r="X7" s="70"/>
      <c r="Y7" s="70"/>
      <c r="Z7" s="70"/>
    </row>
    <row r="8" customFormat="false" ht="15" hidden="false" customHeight="true" outlineLevel="0" collapsed="false">
      <c r="B8" s="73" t="str">
        <f aca="false">Setup!A8</f>
        <v>Biology</v>
      </c>
      <c r="C8" s="63" t="str">
        <f aca="false">Setup!B8</f>
        <v>Sir Azhar Ali Chandio</v>
      </c>
      <c r="D8" s="63"/>
      <c r="E8" s="64" t="n">
        <f aca="false">L166</f>
        <v>0</v>
      </c>
      <c r="F8" s="58" t="n">
        <f aca="false">M166</f>
        <v>0</v>
      </c>
      <c r="G8" s="65" t="n">
        <f aca="false">F8*Setup!C8</f>
        <v>0</v>
      </c>
      <c r="H8" s="66" t="n">
        <f aca="false">F8-G8</f>
        <v>0</v>
      </c>
      <c r="I8" s="67" t="n">
        <f aca="false">N166</f>
        <v>0</v>
      </c>
      <c r="K8" s="57" t="s">
        <v>93</v>
      </c>
      <c r="L8" s="57"/>
      <c r="M8" s="57"/>
      <c r="N8" s="72" t="n">
        <f aca="false">SUMIFS(Administration!$G$5:$G$304,Administration!$C$5:$C$304,"Apr 2027",Administration!$D$5:$D$304,"Investment")</f>
        <v>0</v>
      </c>
    </row>
    <row r="9" customFormat="false" ht="15" hidden="false" customHeight="false" outlineLevel="0" collapsed="false">
      <c r="B9" s="74" t="str">
        <f aca="false">Setup!A9</f>
        <v>Math</v>
      </c>
      <c r="C9" s="63" t="str">
        <f aca="false">Setup!B9</f>
        <v>Sir M. Faheem</v>
      </c>
      <c r="D9" s="63"/>
      <c r="E9" s="64" t="n">
        <f aca="false">P166</f>
        <v>1500</v>
      </c>
      <c r="F9" s="58" t="n">
        <f aca="false">Q166</f>
        <v>0</v>
      </c>
      <c r="G9" s="65" t="n">
        <f aca="false">F9*Setup!C9</f>
        <v>0</v>
      </c>
      <c r="H9" s="66" t="n">
        <f aca="false">F9-G9</f>
        <v>0</v>
      </c>
      <c r="I9" s="67" t="n">
        <f aca="false">R166</f>
        <v>9500</v>
      </c>
      <c r="P9" s="75" t="str">
        <f aca="false">COUNTIF(AC16:AC165,"Clear")&amp;" students fully paid   •   "&amp;(COUNTIF(AC16:AC165,"Due")+COUNTIF(AC16:AC165,"Partial"))&amp;" students with dues"</f>
        <v>0 students fully paid   •   1 students with dues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15" hidden="false" customHeight="true" outlineLevel="0" collapsed="false">
      <c r="B10" s="76" t="str">
        <f aca="false">Setup!A10</f>
        <v>Kids Coaching (Class 1)</v>
      </c>
      <c r="C10" s="63" t="str">
        <f aca="false">Setup!B10</f>
        <v>Miss Farzana</v>
      </c>
      <c r="D10" s="63"/>
      <c r="E10" s="64" t="n">
        <f aca="false">T166</f>
        <v>0</v>
      </c>
      <c r="F10" s="58" t="n">
        <f aca="false">U166</f>
        <v>0</v>
      </c>
      <c r="G10" s="65" t="n">
        <f aca="false">F10*Setup!C10</f>
        <v>0</v>
      </c>
      <c r="H10" s="66" t="n">
        <f aca="false">F10-G10</f>
        <v>0</v>
      </c>
      <c r="I10" s="67" t="n">
        <f aca="false">V166</f>
        <v>0</v>
      </c>
      <c r="K10" s="77" t="s">
        <v>59</v>
      </c>
      <c r="L10" s="77"/>
      <c r="M10" s="77"/>
      <c r="N10" s="78" t="n">
        <f aca="false">N5+N6-N7-N8</f>
        <v>0</v>
      </c>
    </row>
    <row r="11" customFormat="false" ht="15" hidden="false" customHeight="true" outlineLevel="0" collapsed="false">
      <c r="B11" s="79" t="str">
        <f aca="false">Setup!A11</f>
        <v>Kids Coaching (Class 2)</v>
      </c>
      <c r="C11" s="63" t="str">
        <f aca="false">Setup!B11</f>
        <v>Miss Fozia</v>
      </c>
      <c r="D11" s="63"/>
      <c r="E11" s="64" t="n">
        <f aca="false">X166</f>
        <v>0</v>
      </c>
      <c r="F11" s="58" t="n">
        <f aca="false">Y166</f>
        <v>0</v>
      </c>
      <c r="G11" s="65" t="n">
        <f aca="false">F11*Setup!C11</f>
        <v>0</v>
      </c>
      <c r="H11" s="66" t="n">
        <f aca="false">F11-G11</f>
        <v>0</v>
      </c>
      <c r="I11" s="67" t="n">
        <f aca="false">Z166</f>
        <v>0</v>
      </c>
      <c r="K11" s="53" t="s">
        <v>94</v>
      </c>
      <c r="L11" s="53"/>
      <c r="M11" s="53"/>
      <c r="N11" s="53"/>
    </row>
    <row r="12" customFormat="false" ht="15" hidden="false" customHeight="false" outlineLevel="0" collapsed="false">
      <c r="B12" s="40" t="s">
        <v>79</v>
      </c>
      <c r="C12" s="43"/>
      <c r="D12" s="43"/>
      <c r="E12" s="41" t="n">
        <f aca="false">SUM(E6:E11)</f>
        <v>3500</v>
      </c>
      <c r="F12" s="41" t="n">
        <f aca="false">SUM(F6:F11)</f>
        <v>0</v>
      </c>
      <c r="G12" s="41" t="n">
        <f aca="false">SUM(G6:G11)</f>
        <v>0</v>
      </c>
      <c r="H12" s="41" t="n">
        <f aca="false">SUM(H6:H11)</f>
        <v>0</v>
      </c>
      <c r="I12" s="41" t="n">
        <f aca="false">SUM(I6:I11)</f>
        <v>21500</v>
      </c>
    </row>
    <row r="14" customFormat="false" ht="25.5" hidden="false" customHeight="true" outlineLevel="0" collapsed="false">
      <c r="A14" s="4" t="s">
        <v>28</v>
      </c>
      <c r="B14" s="4"/>
      <c r="C14" s="14" t="str">
        <f aca="false">Setup!A6&amp;" — "&amp;Setup!B6</f>
        <v>English — Sir Sajjad Ali Birhmani</v>
      </c>
      <c r="D14" s="14"/>
      <c r="E14" s="14"/>
      <c r="F14" s="14"/>
      <c r="G14" s="15" t="str">
        <f aca="false">Setup!A7&amp;" — "&amp;Setup!B7</f>
        <v>Computer — Sir Nazeer Ahmed Jamali</v>
      </c>
      <c r="H14" s="15"/>
      <c r="I14" s="15"/>
      <c r="J14" s="15"/>
      <c r="K14" s="16" t="str">
        <f aca="false">Setup!A8&amp;" — "&amp;Setup!B8</f>
        <v>Biology — Sir Azhar Ali Chandio</v>
      </c>
      <c r="L14" s="16"/>
      <c r="M14" s="16"/>
      <c r="N14" s="16"/>
      <c r="O14" s="17" t="str">
        <f aca="false">Setup!A9&amp;" — "&amp;Setup!B9</f>
        <v>Math — Sir M. Faheem</v>
      </c>
      <c r="P14" s="17"/>
      <c r="Q14" s="17"/>
      <c r="R14" s="17"/>
      <c r="S14" s="18" t="str">
        <f aca="false">Setup!A10&amp;" — "&amp;Setup!B10</f>
        <v>Kids Coaching (Class 1) — Miss Farzana</v>
      </c>
      <c r="T14" s="18"/>
      <c r="U14" s="18"/>
      <c r="V14" s="18"/>
      <c r="W14" s="19" t="str">
        <f aca="false">Setup!A11&amp;" — "&amp;Setup!B11</f>
        <v>Kids Coaching (Class 2) — Miss Fozia</v>
      </c>
      <c r="X14" s="19"/>
      <c r="Y14" s="19"/>
      <c r="Z14" s="19"/>
      <c r="AA14" s="80" t="s">
        <v>95</v>
      </c>
      <c r="AB14" s="80"/>
      <c r="AC14" s="80"/>
    </row>
    <row r="15" customFormat="false" ht="30" hidden="false" customHeight="true" outlineLevel="0" collapsed="false">
      <c r="A15" s="13" t="s">
        <v>30</v>
      </c>
      <c r="B15" s="13" t="s">
        <v>31</v>
      </c>
      <c r="C15" s="14" t="s">
        <v>96</v>
      </c>
      <c r="D15" s="14" t="s">
        <v>97</v>
      </c>
      <c r="E15" s="14" t="s">
        <v>98</v>
      </c>
      <c r="F15" s="14" t="s">
        <v>99</v>
      </c>
      <c r="G15" s="15" t="s">
        <v>96</v>
      </c>
      <c r="H15" s="15" t="s">
        <v>97</v>
      </c>
      <c r="I15" s="15" t="s">
        <v>98</v>
      </c>
      <c r="J15" s="15" t="s">
        <v>99</v>
      </c>
      <c r="K15" s="16" t="s">
        <v>96</v>
      </c>
      <c r="L15" s="16" t="s">
        <v>97</v>
      </c>
      <c r="M15" s="16" t="s">
        <v>98</v>
      </c>
      <c r="N15" s="16" t="s">
        <v>99</v>
      </c>
      <c r="O15" s="17" t="s">
        <v>96</v>
      </c>
      <c r="P15" s="17" t="s">
        <v>97</v>
      </c>
      <c r="Q15" s="17" t="s">
        <v>98</v>
      </c>
      <c r="R15" s="17" t="s">
        <v>99</v>
      </c>
      <c r="S15" s="18" t="s">
        <v>96</v>
      </c>
      <c r="T15" s="18" t="s">
        <v>97</v>
      </c>
      <c r="U15" s="18" t="s">
        <v>98</v>
      </c>
      <c r="V15" s="18" t="s">
        <v>99</v>
      </c>
      <c r="W15" s="19" t="s">
        <v>96</v>
      </c>
      <c r="X15" s="19" t="s">
        <v>97</v>
      </c>
      <c r="Y15" s="19" t="s">
        <v>98</v>
      </c>
      <c r="Z15" s="19" t="s">
        <v>99</v>
      </c>
      <c r="AA15" s="20" t="s">
        <v>100</v>
      </c>
      <c r="AB15" s="20" t="s">
        <v>101</v>
      </c>
      <c r="AC15" s="20" t="s">
        <v>102</v>
      </c>
    </row>
    <row r="16" customFormat="false" ht="15" hidden="false" customHeight="false" outlineLevel="0" collapsed="false">
      <c r="A16" s="21" t="n">
        <v>1</v>
      </c>
      <c r="B16" s="46" t="str">
        <f aca="false">IF(Students!B5="","",Students!B5)</f>
        <v>Ali (example)</v>
      </c>
      <c r="C16" s="33" t="n">
        <f aca="false">'Mar 2027'!F16</f>
        <v>0</v>
      </c>
      <c r="D16" s="33" t="n">
        <f aca="false">IF(B16="",0,N(Students!E5))</f>
        <v>0</v>
      </c>
      <c r="E16" s="23"/>
      <c r="F16" s="24" t="n">
        <f aca="false">N(C16)+N(D16)-N(E16)</f>
        <v>0</v>
      </c>
      <c r="G16" s="33" t="n">
        <f aca="false">'Mar 2027'!J16</f>
        <v>10000</v>
      </c>
      <c r="H16" s="33" t="n">
        <f aca="false">IF(B16="",0,N(Students!F5))</f>
        <v>2000</v>
      </c>
      <c r="I16" s="23"/>
      <c r="J16" s="24" t="n">
        <f aca="false">N(G16)+N(H16)-N(I16)</f>
        <v>12000</v>
      </c>
      <c r="K16" s="33" t="n">
        <f aca="false">'Mar 2027'!N16</f>
        <v>0</v>
      </c>
      <c r="L16" s="33" t="n">
        <f aca="false">IF(B16="",0,N(Students!G5))</f>
        <v>0</v>
      </c>
      <c r="M16" s="23"/>
      <c r="N16" s="24" t="n">
        <f aca="false">N(K16)+N(L16)-N(M16)</f>
        <v>0</v>
      </c>
      <c r="O16" s="33" t="n">
        <f aca="false">'Mar 2027'!R16</f>
        <v>8000</v>
      </c>
      <c r="P16" s="33" t="n">
        <f aca="false">IF(B16="",0,N(Students!H5))</f>
        <v>1500</v>
      </c>
      <c r="Q16" s="23"/>
      <c r="R16" s="24" t="n">
        <f aca="false">N(O16)+N(P16)-N(Q16)</f>
        <v>9500</v>
      </c>
      <c r="S16" s="33" t="n">
        <f aca="false">'Mar 2027'!V16</f>
        <v>0</v>
      </c>
      <c r="T16" s="33" t="n">
        <f aca="false">IF(B16="",0,N(Students!I5))</f>
        <v>0</v>
      </c>
      <c r="U16" s="23"/>
      <c r="V16" s="24" t="n">
        <f aca="false">N(S16)+N(T16)-N(U16)</f>
        <v>0</v>
      </c>
      <c r="W16" s="33" t="n">
        <f aca="false">'Mar 2027'!Z16</f>
        <v>0</v>
      </c>
      <c r="X16" s="33" t="n">
        <f aca="false">IF(B16="",0,N(Students!J5))</f>
        <v>0</v>
      </c>
      <c r="Y16" s="23"/>
      <c r="Z16" s="24" t="n">
        <f aca="false">N(W16)+N(X16)-N(Y16)</f>
        <v>0</v>
      </c>
      <c r="AA16" s="33" t="n">
        <f aca="false">N(E16)+N(I16)+N(M16)+N(Q16)+N(U16)+N(Y16)</f>
        <v>0</v>
      </c>
      <c r="AB16" s="24" t="n">
        <f aca="false">F16+J16+N16+R16+V16+Z16</f>
        <v>21500</v>
      </c>
      <c r="AC16" s="81" t="str">
        <f aca="false">IF(B16="","",IF(AB16&lt;=0,"Clear",IF(AA16&gt;0,"Partial","Due")))</f>
        <v>Due</v>
      </c>
    </row>
    <row r="17" customFormat="false" ht="15" hidden="false" customHeight="false" outlineLevel="0" collapsed="false">
      <c r="A17" s="25" t="n">
        <v>2</v>
      </c>
      <c r="B17" s="82" t="str">
        <f aca="false">IF(Students!B6="","",Students!B6)</f>
        <v/>
      </c>
      <c r="C17" s="37" t="n">
        <f aca="false">'Mar 2027'!F17</f>
        <v>0</v>
      </c>
      <c r="D17" s="37" t="n">
        <f aca="false">IF(B17="",0,N(Students!E6))</f>
        <v>0</v>
      </c>
      <c r="E17" s="23"/>
      <c r="F17" s="26" t="n">
        <f aca="false">N(C17)+N(D17)-N(E17)</f>
        <v>0</v>
      </c>
      <c r="G17" s="37" t="n">
        <f aca="false">'Mar 2027'!J17</f>
        <v>0</v>
      </c>
      <c r="H17" s="37" t="n">
        <f aca="false">IF(B17="",0,N(Students!F6))</f>
        <v>0</v>
      </c>
      <c r="I17" s="23"/>
      <c r="J17" s="26" t="n">
        <f aca="false">N(G17)+N(H17)-N(I17)</f>
        <v>0</v>
      </c>
      <c r="K17" s="37" t="n">
        <f aca="false">'Mar 2027'!N17</f>
        <v>0</v>
      </c>
      <c r="L17" s="37" t="n">
        <f aca="false">IF(B17="",0,N(Students!G6))</f>
        <v>0</v>
      </c>
      <c r="M17" s="23"/>
      <c r="N17" s="26" t="n">
        <f aca="false">N(K17)+N(L17)-N(M17)</f>
        <v>0</v>
      </c>
      <c r="O17" s="37" t="n">
        <f aca="false">'Mar 2027'!R17</f>
        <v>0</v>
      </c>
      <c r="P17" s="37" t="n">
        <f aca="false">IF(B17="",0,N(Students!H6))</f>
        <v>0</v>
      </c>
      <c r="Q17" s="23"/>
      <c r="R17" s="26" t="n">
        <f aca="false">N(O17)+N(P17)-N(Q17)</f>
        <v>0</v>
      </c>
      <c r="S17" s="37" t="n">
        <f aca="false">'Mar 2027'!V17</f>
        <v>0</v>
      </c>
      <c r="T17" s="37" t="n">
        <f aca="false">IF(B17="",0,N(Students!I6))</f>
        <v>0</v>
      </c>
      <c r="U17" s="23"/>
      <c r="V17" s="26" t="n">
        <f aca="false">N(S17)+N(T17)-N(U17)</f>
        <v>0</v>
      </c>
      <c r="W17" s="37" t="n">
        <f aca="false">'Mar 2027'!Z17</f>
        <v>0</v>
      </c>
      <c r="X17" s="37" t="n">
        <f aca="false">IF(B17="",0,N(Students!J6))</f>
        <v>0</v>
      </c>
      <c r="Y17" s="23"/>
      <c r="Z17" s="26" t="n">
        <f aca="false">N(W17)+N(X17)-N(Y17)</f>
        <v>0</v>
      </c>
      <c r="AA17" s="37" t="n">
        <f aca="false">N(E17)+N(I17)+N(M17)+N(Q17)+N(U17)+N(Y17)</f>
        <v>0</v>
      </c>
      <c r="AB17" s="26" t="n">
        <f aca="false">F17+J17+N17+R17+V17+Z17</f>
        <v>0</v>
      </c>
      <c r="AC17" s="83" t="str">
        <f aca="false">IF(B17="","",IF(AB17&lt;=0,"Clear",IF(AA17&gt;0,"Partial","Due")))</f>
        <v/>
      </c>
    </row>
    <row r="18" customFormat="false" ht="15" hidden="false" customHeight="false" outlineLevel="0" collapsed="false">
      <c r="A18" s="21" t="n">
        <v>3</v>
      </c>
      <c r="B18" s="46" t="str">
        <f aca="false">IF(Students!B7="","",Students!B7)</f>
        <v/>
      </c>
      <c r="C18" s="33" t="n">
        <f aca="false">'Mar 2027'!F18</f>
        <v>0</v>
      </c>
      <c r="D18" s="33" t="n">
        <f aca="false">IF(B18="",0,N(Students!E7))</f>
        <v>0</v>
      </c>
      <c r="E18" s="23"/>
      <c r="F18" s="24" t="n">
        <f aca="false">N(C18)+N(D18)-N(E18)</f>
        <v>0</v>
      </c>
      <c r="G18" s="33" t="n">
        <f aca="false">'Mar 2027'!J18</f>
        <v>0</v>
      </c>
      <c r="H18" s="33" t="n">
        <f aca="false">IF(B18="",0,N(Students!F7))</f>
        <v>0</v>
      </c>
      <c r="I18" s="23"/>
      <c r="J18" s="24" t="n">
        <f aca="false">N(G18)+N(H18)-N(I18)</f>
        <v>0</v>
      </c>
      <c r="K18" s="33" t="n">
        <f aca="false">'Mar 2027'!N18</f>
        <v>0</v>
      </c>
      <c r="L18" s="33" t="n">
        <f aca="false">IF(B18="",0,N(Students!G7))</f>
        <v>0</v>
      </c>
      <c r="M18" s="23"/>
      <c r="N18" s="24" t="n">
        <f aca="false">N(K18)+N(L18)-N(M18)</f>
        <v>0</v>
      </c>
      <c r="O18" s="33" t="n">
        <f aca="false">'Mar 2027'!R18</f>
        <v>0</v>
      </c>
      <c r="P18" s="33" t="n">
        <f aca="false">IF(B18="",0,N(Students!H7))</f>
        <v>0</v>
      </c>
      <c r="Q18" s="23"/>
      <c r="R18" s="24" t="n">
        <f aca="false">N(O18)+N(P18)-N(Q18)</f>
        <v>0</v>
      </c>
      <c r="S18" s="33" t="n">
        <f aca="false">'Mar 2027'!V18</f>
        <v>0</v>
      </c>
      <c r="T18" s="33" t="n">
        <f aca="false">IF(B18="",0,N(Students!I7))</f>
        <v>0</v>
      </c>
      <c r="U18" s="23"/>
      <c r="V18" s="24" t="n">
        <f aca="false">N(S18)+N(T18)-N(U18)</f>
        <v>0</v>
      </c>
      <c r="W18" s="33" t="n">
        <f aca="false">'Mar 2027'!Z18</f>
        <v>0</v>
      </c>
      <c r="X18" s="33" t="n">
        <f aca="false">IF(B18="",0,N(Students!J7))</f>
        <v>0</v>
      </c>
      <c r="Y18" s="23"/>
      <c r="Z18" s="24" t="n">
        <f aca="false">N(W18)+N(X18)-N(Y18)</f>
        <v>0</v>
      </c>
      <c r="AA18" s="33" t="n">
        <f aca="false">N(E18)+N(I18)+N(M18)+N(Q18)+N(U18)+N(Y18)</f>
        <v>0</v>
      </c>
      <c r="AB18" s="24" t="n">
        <f aca="false">F18+J18+N18+R18+V18+Z18</f>
        <v>0</v>
      </c>
      <c r="AC18" s="81" t="str">
        <f aca="false">IF(B18="","",IF(AB18&lt;=0,"Clear",IF(AA18&gt;0,"Partial","Due")))</f>
        <v/>
      </c>
    </row>
    <row r="19" customFormat="false" ht="15" hidden="false" customHeight="false" outlineLevel="0" collapsed="false">
      <c r="A19" s="25" t="n">
        <v>4</v>
      </c>
      <c r="B19" s="82" t="str">
        <f aca="false">IF(Students!B8="","",Students!B8)</f>
        <v/>
      </c>
      <c r="C19" s="37" t="n">
        <f aca="false">'Mar 2027'!F19</f>
        <v>0</v>
      </c>
      <c r="D19" s="37" t="n">
        <f aca="false">IF(B19="",0,N(Students!E8))</f>
        <v>0</v>
      </c>
      <c r="E19" s="23"/>
      <c r="F19" s="26" t="n">
        <f aca="false">N(C19)+N(D19)-N(E19)</f>
        <v>0</v>
      </c>
      <c r="G19" s="37" t="n">
        <f aca="false">'Mar 2027'!J19</f>
        <v>0</v>
      </c>
      <c r="H19" s="37" t="n">
        <f aca="false">IF(B19="",0,N(Students!F8))</f>
        <v>0</v>
      </c>
      <c r="I19" s="23"/>
      <c r="J19" s="26" t="n">
        <f aca="false">N(G19)+N(H19)-N(I19)</f>
        <v>0</v>
      </c>
      <c r="K19" s="37" t="n">
        <f aca="false">'Mar 2027'!N19</f>
        <v>0</v>
      </c>
      <c r="L19" s="37" t="n">
        <f aca="false">IF(B19="",0,N(Students!G8))</f>
        <v>0</v>
      </c>
      <c r="M19" s="23"/>
      <c r="N19" s="26" t="n">
        <f aca="false">N(K19)+N(L19)-N(M19)</f>
        <v>0</v>
      </c>
      <c r="O19" s="37" t="n">
        <f aca="false">'Mar 2027'!R19</f>
        <v>0</v>
      </c>
      <c r="P19" s="37" t="n">
        <f aca="false">IF(B19="",0,N(Students!H8))</f>
        <v>0</v>
      </c>
      <c r="Q19" s="23"/>
      <c r="R19" s="26" t="n">
        <f aca="false">N(O19)+N(P19)-N(Q19)</f>
        <v>0</v>
      </c>
      <c r="S19" s="37" t="n">
        <f aca="false">'Mar 2027'!V19</f>
        <v>0</v>
      </c>
      <c r="T19" s="37" t="n">
        <f aca="false">IF(B19="",0,N(Students!I8))</f>
        <v>0</v>
      </c>
      <c r="U19" s="23"/>
      <c r="V19" s="26" t="n">
        <f aca="false">N(S19)+N(T19)-N(U19)</f>
        <v>0</v>
      </c>
      <c r="W19" s="37" t="n">
        <f aca="false">'Mar 2027'!Z19</f>
        <v>0</v>
      </c>
      <c r="X19" s="37" t="n">
        <f aca="false">IF(B19="",0,N(Students!J8))</f>
        <v>0</v>
      </c>
      <c r="Y19" s="23"/>
      <c r="Z19" s="26" t="n">
        <f aca="false">N(W19)+N(X19)-N(Y19)</f>
        <v>0</v>
      </c>
      <c r="AA19" s="37" t="n">
        <f aca="false">N(E19)+N(I19)+N(M19)+N(Q19)+N(U19)+N(Y19)</f>
        <v>0</v>
      </c>
      <c r="AB19" s="26" t="n">
        <f aca="false">F19+J19+N19+R19+V19+Z19</f>
        <v>0</v>
      </c>
      <c r="AC19" s="83" t="str">
        <f aca="false">IF(B19="","",IF(AB19&lt;=0,"Clear",IF(AA19&gt;0,"Partial","Due")))</f>
        <v/>
      </c>
    </row>
    <row r="20" customFormat="false" ht="15" hidden="false" customHeight="false" outlineLevel="0" collapsed="false">
      <c r="A20" s="21" t="n">
        <v>5</v>
      </c>
      <c r="B20" s="46" t="str">
        <f aca="false">IF(Students!B9="","",Students!B9)</f>
        <v/>
      </c>
      <c r="C20" s="33" t="n">
        <f aca="false">'Mar 2027'!F20</f>
        <v>0</v>
      </c>
      <c r="D20" s="33" t="n">
        <f aca="false">IF(B20="",0,N(Students!E9))</f>
        <v>0</v>
      </c>
      <c r="E20" s="23"/>
      <c r="F20" s="24" t="n">
        <f aca="false">N(C20)+N(D20)-N(E20)</f>
        <v>0</v>
      </c>
      <c r="G20" s="33" t="n">
        <f aca="false">'Mar 2027'!J20</f>
        <v>0</v>
      </c>
      <c r="H20" s="33" t="n">
        <f aca="false">IF(B20="",0,N(Students!F9))</f>
        <v>0</v>
      </c>
      <c r="I20" s="23"/>
      <c r="J20" s="24" t="n">
        <f aca="false">N(G20)+N(H20)-N(I20)</f>
        <v>0</v>
      </c>
      <c r="K20" s="33" t="n">
        <f aca="false">'Mar 2027'!N20</f>
        <v>0</v>
      </c>
      <c r="L20" s="33" t="n">
        <f aca="false">IF(B20="",0,N(Students!G9))</f>
        <v>0</v>
      </c>
      <c r="M20" s="23"/>
      <c r="N20" s="24" t="n">
        <f aca="false">N(K20)+N(L20)-N(M20)</f>
        <v>0</v>
      </c>
      <c r="O20" s="33" t="n">
        <f aca="false">'Mar 2027'!R20</f>
        <v>0</v>
      </c>
      <c r="P20" s="33" t="n">
        <f aca="false">IF(B20="",0,N(Students!H9))</f>
        <v>0</v>
      </c>
      <c r="Q20" s="23"/>
      <c r="R20" s="24" t="n">
        <f aca="false">N(O20)+N(P20)-N(Q20)</f>
        <v>0</v>
      </c>
      <c r="S20" s="33" t="n">
        <f aca="false">'Mar 2027'!V20</f>
        <v>0</v>
      </c>
      <c r="T20" s="33" t="n">
        <f aca="false">IF(B20="",0,N(Students!I9))</f>
        <v>0</v>
      </c>
      <c r="U20" s="23"/>
      <c r="V20" s="24" t="n">
        <f aca="false">N(S20)+N(T20)-N(U20)</f>
        <v>0</v>
      </c>
      <c r="W20" s="33" t="n">
        <f aca="false">'Mar 2027'!Z20</f>
        <v>0</v>
      </c>
      <c r="X20" s="33" t="n">
        <f aca="false">IF(B20="",0,N(Students!J9))</f>
        <v>0</v>
      </c>
      <c r="Y20" s="23"/>
      <c r="Z20" s="24" t="n">
        <f aca="false">N(W20)+N(X20)-N(Y20)</f>
        <v>0</v>
      </c>
      <c r="AA20" s="33" t="n">
        <f aca="false">N(E20)+N(I20)+N(M20)+N(Q20)+N(U20)+N(Y20)</f>
        <v>0</v>
      </c>
      <c r="AB20" s="24" t="n">
        <f aca="false">F20+J20+N20+R20+V20+Z20</f>
        <v>0</v>
      </c>
      <c r="AC20" s="81" t="str">
        <f aca="false">IF(B20="","",IF(AB20&lt;=0,"Clear",IF(AA20&gt;0,"Partial","Due")))</f>
        <v/>
      </c>
    </row>
    <row r="21" customFormat="false" ht="15" hidden="false" customHeight="false" outlineLevel="0" collapsed="false">
      <c r="A21" s="25" t="n">
        <v>6</v>
      </c>
      <c r="B21" s="82" t="str">
        <f aca="false">IF(Students!B10="","",Students!B10)</f>
        <v/>
      </c>
      <c r="C21" s="37" t="n">
        <f aca="false">'Mar 2027'!F21</f>
        <v>0</v>
      </c>
      <c r="D21" s="37" t="n">
        <f aca="false">IF(B21="",0,N(Students!E10))</f>
        <v>0</v>
      </c>
      <c r="E21" s="23"/>
      <c r="F21" s="26" t="n">
        <f aca="false">N(C21)+N(D21)-N(E21)</f>
        <v>0</v>
      </c>
      <c r="G21" s="37" t="n">
        <f aca="false">'Mar 2027'!J21</f>
        <v>0</v>
      </c>
      <c r="H21" s="37" t="n">
        <f aca="false">IF(B21="",0,N(Students!F10))</f>
        <v>0</v>
      </c>
      <c r="I21" s="23"/>
      <c r="J21" s="26" t="n">
        <f aca="false">N(G21)+N(H21)-N(I21)</f>
        <v>0</v>
      </c>
      <c r="K21" s="37" t="n">
        <f aca="false">'Mar 2027'!N21</f>
        <v>0</v>
      </c>
      <c r="L21" s="37" t="n">
        <f aca="false">IF(B21="",0,N(Students!G10))</f>
        <v>0</v>
      </c>
      <c r="M21" s="23"/>
      <c r="N21" s="26" t="n">
        <f aca="false">N(K21)+N(L21)-N(M21)</f>
        <v>0</v>
      </c>
      <c r="O21" s="37" t="n">
        <f aca="false">'Mar 2027'!R21</f>
        <v>0</v>
      </c>
      <c r="P21" s="37" t="n">
        <f aca="false">IF(B21="",0,N(Students!H10))</f>
        <v>0</v>
      </c>
      <c r="Q21" s="23"/>
      <c r="R21" s="26" t="n">
        <f aca="false">N(O21)+N(P21)-N(Q21)</f>
        <v>0</v>
      </c>
      <c r="S21" s="37" t="n">
        <f aca="false">'Mar 2027'!V21</f>
        <v>0</v>
      </c>
      <c r="T21" s="37" t="n">
        <f aca="false">IF(B21="",0,N(Students!I10))</f>
        <v>0</v>
      </c>
      <c r="U21" s="23"/>
      <c r="V21" s="26" t="n">
        <f aca="false">N(S21)+N(T21)-N(U21)</f>
        <v>0</v>
      </c>
      <c r="W21" s="37" t="n">
        <f aca="false">'Mar 2027'!Z21</f>
        <v>0</v>
      </c>
      <c r="X21" s="37" t="n">
        <f aca="false">IF(B21="",0,N(Students!J10))</f>
        <v>0</v>
      </c>
      <c r="Y21" s="23"/>
      <c r="Z21" s="26" t="n">
        <f aca="false">N(W21)+N(X21)-N(Y21)</f>
        <v>0</v>
      </c>
      <c r="AA21" s="37" t="n">
        <f aca="false">N(E21)+N(I21)+N(M21)+N(Q21)+N(U21)+N(Y21)</f>
        <v>0</v>
      </c>
      <c r="AB21" s="26" t="n">
        <f aca="false">F21+J21+N21+R21+V21+Z21</f>
        <v>0</v>
      </c>
      <c r="AC21" s="83" t="str">
        <f aca="false">IF(B21="","",IF(AB21&lt;=0,"Clear",IF(AA21&gt;0,"Partial","Due")))</f>
        <v/>
      </c>
    </row>
    <row r="22" customFormat="false" ht="15" hidden="false" customHeight="false" outlineLevel="0" collapsed="false">
      <c r="A22" s="21" t="n">
        <v>7</v>
      </c>
      <c r="B22" s="46" t="str">
        <f aca="false">IF(Students!B11="","",Students!B11)</f>
        <v/>
      </c>
      <c r="C22" s="33" t="n">
        <f aca="false">'Mar 2027'!F22</f>
        <v>0</v>
      </c>
      <c r="D22" s="33" t="n">
        <f aca="false">IF(B22="",0,N(Students!E11))</f>
        <v>0</v>
      </c>
      <c r="E22" s="23"/>
      <c r="F22" s="24" t="n">
        <f aca="false">N(C22)+N(D22)-N(E22)</f>
        <v>0</v>
      </c>
      <c r="G22" s="33" t="n">
        <f aca="false">'Mar 2027'!J22</f>
        <v>0</v>
      </c>
      <c r="H22" s="33" t="n">
        <f aca="false">IF(B22="",0,N(Students!F11))</f>
        <v>0</v>
      </c>
      <c r="I22" s="23"/>
      <c r="J22" s="24" t="n">
        <f aca="false">N(G22)+N(H22)-N(I22)</f>
        <v>0</v>
      </c>
      <c r="K22" s="33" t="n">
        <f aca="false">'Mar 2027'!N22</f>
        <v>0</v>
      </c>
      <c r="L22" s="33" t="n">
        <f aca="false">IF(B22="",0,N(Students!G11))</f>
        <v>0</v>
      </c>
      <c r="M22" s="23"/>
      <c r="N22" s="24" t="n">
        <f aca="false">N(K22)+N(L22)-N(M22)</f>
        <v>0</v>
      </c>
      <c r="O22" s="33" t="n">
        <f aca="false">'Mar 2027'!R22</f>
        <v>0</v>
      </c>
      <c r="P22" s="33" t="n">
        <f aca="false">IF(B22="",0,N(Students!H11))</f>
        <v>0</v>
      </c>
      <c r="Q22" s="23"/>
      <c r="R22" s="24" t="n">
        <f aca="false">N(O22)+N(P22)-N(Q22)</f>
        <v>0</v>
      </c>
      <c r="S22" s="33" t="n">
        <f aca="false">'Mar 2027'!V22</f>
        <v>0</v>
      </c>
      <c r="T22" s="33" t="n">
        <f aca="false">IF(B22="",0,N(Students!I11))</f>
        <v>0</v>
      </c>
      <c r="U22" s="23"/>
      <c r="V22" s="24" t="n">
        <f aca="false">N(S22)+N(T22)-N(U22)</f>
        <v>0</v>
      </c>
      <c r="W22" s="33" t="n">
        <f aca="false">'Mar 2027'!Z22</f>
        <v>0</v>
      </c>
      <c r="X22" s="33" t="n">
        <f aca="false">IF(B22="",0,N(Students!J11))</f>
        <v>0</v>
      </c>
      <c r="Y22" s="23"/>
      <c r="Z22" s="24" t="n">
        <f aca="false">N(W22)+N(X22)-N(Y22)</f>
        <v>0</v>
      </c>
      <c r="AA22" s="33" t="n">
        <f aca="false">N(E22)+N(I22)+N(M22)+N(Q22)+N(U22)+N(Y22)</f>
        <v>0</v>
      </c>
      <c r="AB22" s="24" t="n">
        <f aca="false">F22+J22+N22+R22+V22+Z22</f>
        <v>0</v>
      </c>
      <c r="AC22" s="81" t="str">
        <f aca="false">IF(B22="","",IF(AB22&lt;=0,"Clear",IF(AA22&gt;0,"Partial","Due")))</f>
        <v/>
      </c>
    </row>
    <row r="23" customFormat="false" ht="15" hidden="false" customHeight="false" outlineLevel="0" collapsed="false">
      <c r="A23" s="25" t="n">
        <v>8</v>
      </c>
      <c r="B23" s="82" t="str">
        <f aca="false">IF(Students!B12="","",Students!B12)</f>
        <v/>
      </c>
      <c r="C23" s="37" t="n">
        <f aca="false">'Mar 2027'!F23</f>
        <v>0</v>
      </c>
      <c r="D23" s="37" t="n">
        <f aca="false">IF(B23="",0,N(Students!E12))</f>
        <v>0</v>
      </c>
      <c r="E23" s="23"/>
      <c r="F23" s="26" t="n">
        <f aca="false">N(C23)+N(D23)-N(E23)</f>
        <v>0</v>
      </c>
      <c r="G23" s="37" t="n">
        <f aca="false">'Mar 2027'!J23</f>
        <v>0</v>
      </c>
      <c r="H23" s="37" t="n">
        <f aca="false">IF(B23="",0,N(Students!F12))</f>
        <v>0</v>
      </c>
      <c r="I23" s="23"/>
      <c r="J23" s="26" t="n">
        <f aca="false">N(G23)+N(H23)-N(I23)</f>
        <v>0</v>
      </c>
      <c r="K23" s="37" t="n">
        <f aca="false">'Mar 2027'!N23</f>
        <v>0</v>
      </c>
      <c r="L23" s="37" t="n">
        <f aca="false">IF(B23="",0,N(Students!G12))</f>
        <v>0</v>
      </c>
      <c r="M23" s="23"/>
      <c r="N23" s="26" t="n">
        <f aca="false">N(K23)+N(L23)-N(M23)</f>
        <v>0</v>
      </c>
      <c r="O23" s="37" t="n">
        <f aca="false">'Mar 2027'!R23</f>
        <v>0</v>
      </c>
      <c r="P23" s="37" t="n">
        <f aca="false">IF(B23="",0,N(Students!H12))</f>
        <v>0</v>
      </c>
      <c r="Q23" s="23"/>
      <c r="R23" s="26" t="n">
        <f aca="false">N(O23)+N(P23)-N(Q23)</f>
        <v>0</v>
      </c>
      <c r="S23" s="37" t="n">
        <f aca="false">'Mar 2027'!V23</f>
        <v>0</v>
      </c>
      <c r="T23" s="37" t="n">
        <f aca="false">IF(B23="",0,N(Students!I12))</f>
        <v>0</v>
      </c>
      <c r="U23" s="23"/>
      <c r="V23" s="26" t="n">
        <f aca="false">N(S23)+N(T23)-N(U23)</f>
        <v>0</v>
      </c>
      <c r="W23" s="37" t="n">
        <f aca="false">'Mar 2027'!Z23</f>
        <v>0</v>
      </c>
      <c r="X23" s="37" t="n">
        <f aca="false">IF(B23="",0,N(Students!J12))</f>
        <v>0</v>
      </c>
      <c r="Y23" s="23"/>
      <c r="Z23" s="26" t="n">
        <f aca="false">N(W23)+N(X23)-N(Y23)</f>
        <v>0</v>
      </c>
      <c r="AA23" s="37" t="n">
        <f aca="false">N(E23)+N(I23)+N(M23)+N(Q23)+N(U23)+N(Y23)</f>
        <v>0</v>
      </c>
      <c r="AB23" s="26" t="n">
        <f aca="false">F23+J23+N23+R23+V23+Z23</f>
        <v>0</v>
      </c>
      <c r="AC23" s="83" t="str">
        <f aca="false">IF(B23="","",IF(AB23&lt;=0,"Clear",IF(AA23&gt;0,"Partial","Due")))</f>
        <v/>
      </c>
    </row>
    <row r="24" customFormat="false" ht="15" hidden="false" customHeight="false" outlineLevel="0" collapsed="false">
      <c r="A24" s="21" t="n">
        <v>9</v>
      </c>
      <c r="B24" s="46" t="str">
        <f aca="false">IF(Students!B13="","",Students!B13)</f>
        <v/>
      </c>
      <c r="C24" s="33" t="n">
        <f aca="false">'Mar 2027'!F24</f>
        <v>0</v>
      </c>
      <c r="D24" s="33" t="n">
        <f aca="false">IF(B24="",0,N(Students!E13))</f>
        <v>0</v>
      </c>
      <c r="E24" s="23"/>
      <c r="F24" s="24" t="n">
        <f aca="false">N(C24)+N(D24)-N(E24)</f>
        <v>0</v>
      </c>
      <c r="G24" s="33" t="n">
        <f aca="false">'Mar 2027'!J24</f>
        <v>0</v>
      </c>
      <c r="H24" s="33" t="n">
        <f aca="false">IF(B24="",0,N(Students!F13))</f>
        <v>0</v>
      </c>
      <c r="I24" s="23"/>
      <c r="J24" s="24" t="n">
        <f aca="false">N(G24)+N(H24)-N(I24)</f>
        <v>0</v>
      </c>
      <c r="K24" s="33" t="n">
        <f aca="false">'Mar 2027'!N24</f>
        <v>0</v>
      </c>
      <c r="L24" s="33" t="n">
        <f aca="false">IF(B24="",0,N(Students!G13))</f>
        <v>0</v>
      </c>
      <c r="M24" s="23"/>
      <c r="N24" s="24" t="n">
        <f aca="false">N(K24)+N(L24)-N(M24)</f>
        <v>0</v>
      </c>
      <c r="O24" s="33" t="n">
        <f aca="false">'Mar 2027'!R24</f>
        <v>0</v>
      </c>
      <c r="P24" s="33" t="n">
        <f aca="false">IF(B24="",0,N(Students!H13))</f>
        <v>0</v>
      </c>
      <c r="Q24" s="23"/>
      <c r="R24" s="24" t="n">
        <f aca="false">N(O24)+N(P24)-N(Q24)</f>
        <v>0</v>
      </c>
      <c r="S24" s="33" t="n">
        <f aca="false">'Mar 2027'!V24</f>
        <v>0</v>
      </c>
      <c r="T24" s="33" t="n">
        <f aca="false">IF(B24="",0,N(Students!I13))</f>
        <v>0</v>
      </c>
      <c r="U24" s="23"/>
      <c r="V24" s="24" t="n">
        <f aca="false">N(S24)+N(T24)-N(U24)</f>
        <v>0</v>
      </c>
      <c r="W24" s="33" t="n">
        <f aca="false">'Mar 2027'!Z24</f>
        <v>0</v>
      </c>
      <c r="X24" s="33" t="n">
        <f aca="false">IF(B24="",0,N(Students!J13))</f>
        <v>0</v>
      </c>
      <c r="Y24" s="23"/>
      <c r="Z24" s="24" t="n">
        <f aca="false">N(W24)+N(X24)-N(Y24)</f>
        <v>0</v>
      </c>
      <c r="AA24" s="33" t="n">
        <f aca="false">N(E24)+N(I24)+N(M24)+N(Q24)+N(U24)+N(Y24)</f>
        <v>0</v>
      </c>
      <c r="AB24" s="24" t="n">
        <f aca="false">F24+J24+N24+R24+V24+Z24</f>
        <v>0</v>
      </c>
      <c r="AC24" s="81" t="str">
        <f aca="false">IF(B24="","",IF(AB24&lt;=0,"Clear",IF(AA24&gt;0,"Partial","Due")))</f>
        <v/>
      </c>
    </row>
    <row r="25" customFormat="false" ht="15" hidden="false" customHeight="false" outlineLevel="0" collapsed="false">
      <c r="A25" s="25" t="n">
        <v>10</v>
      </c>
      <c r="B25" s="82" t="str">
        <f aca="false">IF(Students!B14="","",Students!B14)</f>
        <v/>
      </c>
      <c r="C25" s="37" t="n">
        <f aca="false">'Mar 2027'!F25</f>
        <v>0</v>
      </c>
      <c r="D25" s="37" t="n">
        <f aca="false">IF(B25="",0,N(Students!E14))</f>
        <v>0</v>
      </c>
      <c r="E25" s="23"/>
      <c r="F25" s="26" t="n">
        <f aca="false">N(C25)+N(D25)-N(E25)</f>
        <v>0</v>
      </c>
      <c r="G25" s="37" t="n">
        <f aca="false">'Mar 2027'!J25</f>
        <v>0</v>
      </c>
      <c r="H25" s="37" t="n">
        <f aca="false">IF(B25="",0,N(Students!F14))</f>
        <v>0</v>
      </c>
      <c r="I25" s="23"/>
      <c r="J25" s="26" t="n">
        <f aca="false">N(G25)+N(H25)-N(I25)</f>
        <v>0</v>
      </c>
      <c r="K25" s="37" t="n">
        <f aca="false">'Mar 2027'!N25</f>
        <v>0</v>
      </c>
      <c r="L25" s="37" t="n">
        <f aca="false">IF(B25="",0,N(Students!G14))</f>
        <v>0</v>
      </c>
      <c r="M25" s="23"/>
      <c r="N25" s="26" t="n">
        <f aca="false">N(K25)+N(L25)-N(M25)</f>
        <v>0</v>
      </c>
      <c r="O25" s="37" t="n">
        <f aca="false">'Mar 2027'!R25</f>
        <v>0</v>
      </c>
      <c r="P25" s="37" t="n">
        <f aca="false">IF(B25="",0,N(Students!H14))</f>
        <v>0</v>
      </c>
      <c r="Q25" s="23"/>
      <c r="R25" s="26" t="n">
        <f aca="false">N(O25)+N(P25)-N(Q25)</f>
        <v>0</v>
      </c>
      <c r="S25" s="37" t="n">
        <f aca="false">'Mar 2027'!V25</f>
        <v>0</v>
      </c>
      <c r="T25" s="37" t="n">
        <f aca="false">IF(B25="",0,N(Students!I14))</f>
        <v>0</v>
      </c>
      <c r="U25" s="23"/>
      <c r="V25" s="26" t="n">
        <f aca="false">N(S25)+N(T25)-N(U25)</f>
        <v>0</v>
      </c>
      <c r="W25" s="37" t="n">
        <f aca="false">'Mar 2027'!Z25</f>
        <v>0</v>
      </c>
      <c r="X25" s="37" t="n">
        <f aca="false">IF(B25="",0,N(Students!J14))</f>
        <v>0</v>
      </c>
      <c r="Y25" s="23"/>
      <c r="Z25" s="26" t="n">
        <f aca="false">N(W25)+N(X25)-N(Y25)</f>
        <v>0</v>
      </c>
      <c r="AA25" s="37" t="n">
        <f aca="false">N(E25)+N(I25)+N(M25)+N(Q25)+N(U25)+N(Y25)</f>
        <v>0</v>
      </c>
      <c r="AB25" s="26" t="n">
        <f aca="false">F25+J25+N25+R25+V25+Z25</f>
        <v>0</v>
      </c>
      <c r="AC25" s="83" t="str">
        <f aca="false">IF(B25="","",IF(AB25&lt;=0,"Clear",IF(AA25&gt;0,"Partial","Due")))</f>
        <v/>
      </c>
    </row>
    <row r="26" customFormat="false" ht="15" hidden="false" customHeight="false" outlineLevel="0" collapsed="false">
      <c r="A26" s="21" t="n">
        <v>11</v>
      </c>
      <c r="B26" s="46" t="str">
        <f aca="false">IF(Students!B15="","",Students!B15)</f>
        <v/>
      </c>
      <c r="C26" s="33" t="n">
        <f aca="false">'Mar 2027'!F26</f>
        <v>0</v>
      </c>
      <c r="D26" s="33" t="n">
        <f aca="false">IF(B26="",0,N(Students!E15))</f>
        <v>0</v>
      </c>
      <c r="E26" s="23"/>
      <c r="F26" s="24" t="n">
        <f aca="false">N(C26)+N(D26)-N(E26)</f>
        <v>0</v>
      </c>
      <c r="G26" s="33" t="n">
        <f aca="false">'Mar 2027'!J26</f>
        <v>0</v>
      </c>
      <c r="H26" s="33" t="n">
        <f aca="false">IF(B26="",0,N(Students!F15))</f>
        <v>0</v>
      </c>
      <c r="I26" s="23"/>
      <c r="J26" s="24" t="n">
        <f aca="false">N(G26)+N(H26)-N(I26)</f>
        <v>0</v>
      </c>
      <c r="K26" s="33" t="n">
        <f aca="false">'Mar 2027'!N26</f>
        <v>0</v>
      </c>
      <c r="L26" s="33" t="n">
        <f aca="false">IF(B26="",0,N(Students!G15))</f>
        <v>0</v>
      </c>
      <c r="M26" s="23"/>
      <c r="N26" s="24" t="n">
        <f aca="false">N(K26)+N(L26)-N(M26)</f>
        <v>0</v>
      </c>
      <c r="O26" s="33" t="n">
        <f aca="false">'Mar 2027'!R26</f>
        <v>0</v>
      </c>
      <c r="P26" s="33" t="n">
        <f aca="false">IF(B26="",0,N(Students!H15))</f>
        <v>0</v>
      </c>
      <c r="Q26" s="23"/>
      <c r="R26" s="24" t="n">
        <f aca="false">N(O26)+N(P26)-N(Q26)</f>
        <v>0</v>
      </c>
      <c r="S26" s="33" t="n">
        <f aca="false">'Mar 2027'!V26</f>
        <v>0</v>
      </c>
      <c r="T26" s="33" t="n">
        <f aca="false">IF(B26="",0,N(Students!I15))</f>
        <v>0</v>
      </c>
      <c r="U26" s="23"/>
      <c r="V26" s="24" t="n">
        <f aca="false">N(S26)+N(T26)-N(U26)</f>
        <v>0</v>
      </c>
      <c r="W26" s="33" t="n">
        <f aca="false">'Mar 2027'!Z26</f>
        <v>0</v>
      </c>
      <c r="X26" s="33" t="n">
        <f aca="false">IF(B26="",0,N(Students!J15))</f>
        <v>0</v>
      </c>
      <c r="Y26" s="23"/>
      <c r="Z26" s="24" t="n">
        <f aca="false">N(W26)+N(X26)-N(Y26)</f>
        <v>0</v>
      </c>
      <c r="AA26" s="33" t="n">
        <f aca="false">N(E26)+N(I26)+N(M26)+N(Q26)+N(U26)+N(Y26)</f>
        <v>0</v>
      </c>
      <c r="AB26" s="24" t="n">
        <f aca="false">F26+J26+N26+R26+V26+Z26</f>
        <v>0</v>
      </c>
      <c r="AC26" s="81" t="str">
        <f aca="false">IF(B26="","",IF(AB26&lt;=0,"Clear",IF(AA26&gt;0,"Partial","Due")))</f>
        <v/>
      </c>
    </row>
    <row r="27" customFormat="false" ht="15" hidden="false" customHeight="false" outlineLevel="0" collapsed="false">
      <c r="A27" s="25" t="n">
        <v>12</v>
      </c>
      <c r="B27" s="82" t="str">
        <f aca="false">IF(Students!B16="","",Students!B16)</f>
        <v/>
      </c>
      <c r="C27" s="37" t="n">
        <f aca="false">'Mar 2027'!F27</f>
        <v>0</v>
      </c>
      <c r="D27" s="37" t="n">
        <f aca="false">IF(B27="",0,N(Students!E16))</f>
        <v>0</v>
      </c>
      <c r="E27" s="23"/>
      <c r="F27" s="26" t="n">
        <f aca="false">N(C27)+N(D27)-N(E27)</f>
        <v>0</v>
      </c>
      <c r="G27" s="37" t="n">
        <f aca="false">'Mar 2027'!J27</f>
        <v>0</v>
      </c>
      <c r="H27" s="37" t="n">
        <f aca="false">IF(B27="",0,N(Students!F16))</f>
        <v>0</v>
      </c>
      <c r="I27" s="23"/>
      <c r="J27" s="26" t="n">
        <f aca="false">N(G27)+N(H27)-N(I27)</f>
        <v>0</v>
      </c>
      <c r="K27" s="37" t="n">
        <f aca="false">'Mar 2027'!N27</f>
        <v>0</v>
      </c>
      <c r="L27" s="37" t="n">
        <f aca="false">IF(B27="",0,N(Students!G16))</f>
        <v>0</v>
      </c>
      <c r="M27" s="23"/>
      <c r="N27" s="26" t="n">
        <f aca="false">N(K27)+N(L27)-N(M27)</f>
        <v>0</v>
      </c>
      <c r="O27" s="37" t="n">
        <f aca="false">'Mar 2027'!R27</f>
        <v>0</v>
      </c>
      <c r="P27" s="37" t="n">
        <f aca="false">IF(B27="",0,N(Students!H16))</f>
        <v>0</v>
      </c>
      <c r="Q27" s="23"/>
      <c r="R27" s="26" t="n">
        <f aca="false">N(O27)+N(P27)-N(Q27)</f>
        <v>0</v>
      </c>
      <c r="S27" s="37" t="n">
        <f aca="false">'Mar 2027'!V27</f>
        <v>0</v>
      </c>
      <c r="T27" s="37" t="n">
        <f aca="false">IF(B27="",0,N(Students!I16))</f>
        <v>0</v>
      </c>
      <c r="U27" s="23"/>
      <c r="V27" s="26" t="n">
        <f aca="false">N(S27)+N(T27)-N(U27)</f>
        <v>0</v>
      </c>
      <c r="W27" s="37" t="n">
        <f aca="false">'Mar 2027'!Z27</f>
        <v>0</v>
      </c>
      <c r="X27" s="37" t="n">
        <f aca="false">IF(B27="",0,N(Students!J16))</f>
        <v>0</v>
      </c>
      <c r="Y27" s="23"/>
      <c r="Z27" s="26" t="n">
        <f aca="false">N(W27)+N(X27)-N(Y27)</f>
        <v>0</v>
      </c>
      <c r="AA27" s="37" t="n">
        <f aca="false">N(E27)+N(I27)+N(M27)+N(Q27)+N(U27)+N(Y27)</f>
        <v>0</v>
      </c>
      <c r="AB27" s="26" t="n">
        <f aca="false">F27+J27+N27+R27+V27+Z27</f>
        <v>0</v>
      </c>
      <c r="AC27" s="83" t="str">
        <f aca="false">IF(B27="","",IF(AB27&lt;=0,"Clear",IF(AA27&gt;0,"Partial","Due")))</f>
        <v/>
      </c>
    </row>
    <row r="28" customFormat="false" ht="15" hidden="false" customHeight="false" outlineLevel="0" collapsed="false">
      <c r="A28" s="21" t="n">
        <v>13</v>
      </c>
      <c r="B28" s="46" t="str">
        <f aca="false">IF(Students!B17="","",Students!B17)</f>
        <v/>
      </c>
      <c r="C28" s="33" t="n">
        <f aca="false">'Mar 2027'!F28</f>
        <v>0</v>
      </c>
      <c r="D28" s="33" t="n">
        <f aca="false">IF(B28="",0,N(Students!E17))</f>
        <v>0</v>
      </c>
      <c r="E28" s="23"/>
      <c r="F28" s="24" t="n">
        <f aca="false">N(C28)+N(D28)-N(E28)</f>
        <v>0</v>
      </c>
      <c r="G28" s="33" t="n">
        <f aca="false">'Mar 2027'!J28</f>
        <v>0</v>
      </c>
      <c r="H28" s="33" t="n">
        <f aca="false">IF(B28="",0,N(Students!F17))</f>
        <v>0</v>
      </c>
      <c r="I28" s="23"/>
      <c r="J28" s="24" t="n">
        <f aca="false">N(G28)+N(H28)-N(I28)</f>
        <v>0</v>
      </c>
      <c r="K28" s="33" t="n">
        <f aca="false">'Mar 2027'!N28</f>
        <v>0</v>
      </c>
      <c r="L28" s="33" t="n">
        <f aca="false">IF(B28="",0,N(Students!G17))</f>
        <v>0</v>
      </c>
      <c r="M28" s="23"/>
      <c r="N28" s="24" t="n">
        <f aca="false">N(K28)+N(L28)-N(M28)</f>
        <v>0</v>
      </c>
      <c r="O28" s="33" t="n">
        <f aca="false">'Mar 2027'!R28</f>
        <v>0</v>
      </c>
      <c r="P28" s="33" t="n">
        <f aca="false">IF(B28="",0,N(Students!H17))</f>
        <v>0</v>
      </c>
      <c r="Q28" s="23"/>
      <c r="R28" s="24" t="n">
        <f aca="false">N(O28)+N(P28)-N(Q28)</f>
        <v>0</v>
      </c>
      <c r="S28" s="33" t="n">
        <f aca="false">'Mar 2027'!V28</f>
        <v>0</v>
      </c>
      <c r="T28" s="33" t="n">
        <f aca="false">IF(B28="",0,N(Students!I17))</f>
        <v>0</v>
      </c>
      <c r="U28" s="23"/>
      <c r="V28" s="24" t="n">
        <f aca="false">N(S28)+N(T28)-N(U28)</f>
        <v>0</v>
      </c>
      <c r="W28" s="33" t="n">
        <f aca="false">'Mar 2027'!Z28</f>
        <v>0</v>
      </c>
      <c r="X28" s="33" t="n">
        <f aca="false">IF(B28="",0,N(Students!J17))</f>
        <v>0</v>
      </c>
      <c r="Y28" s="23"/>
      <c r="Z28" s="24" t="n">
        <f aca="false">N(W28)+N(X28)-N(Y28)</f>
        <v>0</v>
      </c>
      <c r="AA28" s="33" t="n">
        <f aca="false">N(E28)+N(I28)+N(M28)+N(Q28)+N(U28)+N(Y28)</f>
        <v>0</v>
      </c>
      <c r="AB28" s="24" t="n">
        <f aca="false">F28+J28+N28+R28+V28+Z28</f>
        <v>0</v>
      </c>
      <c r="AC28" s="81" t="str">
        <f aca="false">IF(B28="","",IF(AB28&lt;=0,"Clear",IF(AA28&gt;0,"Partial","Due")))</f>
        <v/>
      </c>
    </row>
    <row r="29" customFormat="false" ht="15" hidden="false" customHeight="false" outlineLevel="0" collapsed="false">
      <c r="A29" s="25" t="n">
        <v>14</v>
      </c>
      <c r="B29" s="82" t="str">
        <f aca="false">IF(Students!B18="","",Students!B18)</f>
        <v/>
      </c>
      <c r="C29" s="37" t="n">
        <f aca="false">'Mar 2027'!F29</f>
        <v>0</v>
      </c>
      <c r="D29" s="37" t="n">
        <f aca="false">IF(B29="",0,N(Students!E18))</f>
        <v>0</v>
      </c>
      <c r="E29" s="23"/>
      <c r="F29" s="26" t="n">
        <f aca="false">N(C29)+N(D29)-N(E29)</f>
        <v>0</v>
      </c>
      <c r="G29" s="37" t="n">
        <f aca="false">'Mar 2027'!J29</f>
        <v>0</v>
      </c>
      <c r="H29" s="37" t="n">
        <f aca="false">IF(B29="",0,N(Students!F18))</f>
        <v>0</v>
      </c>
      <c r="I29" s="23"/>
      <c r="J29" s="26" t="n">
        <f aca="false">N(G29)+N(H29)-N(I29)</f>
        <v>0</v>
      </c>
      <c r="K29" s="37" t="n">
        <f aca="false">'Mar 2027'!N29</f>
        <v>0</v>
      </c>
      <c r="L29" s="37" t="n">
        <f aca="false">IF(B29="",0,N(Students!G18))</f>
        <v>0</v>
      </c>
      <c r="M29" s="23"/>
      <c r="N29" s="26" t="n">
        <f aca="false">N(K29)+N(L29)-N(M29)</f>
        <v>0</v>
      </c>
      <c r="O29" s="37" t="n">
        <f aca="false">'Mar 2027'!R29</f>
        <v>0</v>
      </c>
      <c r="P29" s="37" t="n">
        <f aca="false">IF(B29="",0,N(Students!H18))</f>
        <v>0</v>
      </c>
      <c r="Q29" s="23"/>
      <c r="R29" s="26" t="n">
        <f aca="false">N(O29)+N(P29)-N(Q29)</f>
        <v>0</v>
      </c>
      <c r="S29" s="37" t="n">
        <f aca="false">'Mar 2027'!V29</f>
        <v>0</v>
      </c>
      <c r="T29" s="37" t="n">
        <f aca="false">IF(B29="",0,N(Students!I18))</f>
        <v>0</v>
      </c>
      <c r="U29" s="23"/>
      <c r="V29" s="26" t="n">
        <f aca="false">N(S29)+N(T29)-N(U29)</f>
        <v>0</v>
      </c>
      <c r="W29" s="37" t="n">
        <f aca="false">'Mar 2027'!Z29</f>
        <v>0</v>
      </c>
      <c r="X29" s="37" t="n">
        <f aca="false">IF(B29="",0,N(Students!J18))</f>
        <v>0</v>
      </c>
      <c r="Y29" s="23"/>
      <c r="Z29" s="26" t="n">
        <f aca="false">N(W29)+N(X29)-N(Y29)</f>
        <v>0</v>
      </c>
      <c r="AA29" s="37" t="n">
        <f aca="false">N(E29)+N(I29)+N(M29)+N(Q29)+N(U29)+N(Y29)</f>
        <v>0</v>
      </c>
      <c r="AB29" s="26" t="n">
        <f aca="false">F29+J29+N29+R29+V29+Z29</f>
        <v>0</v>
      </c>
      <c r="AC29" s="83" t="str">
        <f aca="false">IF(B29="","",IF(AB29&lt;=0,"Clear",IF(AA29&gt;0,"Partial","Due")))</f>
        <v/>
      </c>
    </row>
    <row r="30" customFormat="false" ht="15" hidden="false" customHeight="false" outlineLevel="0" collapsed="false">
      <c r="A30" s="21" t="n">
        <v>15</v>
      </c>
      <c r="B30" s="46" t="str">
        <f aca="false">IF(Students!B19="","",Students!B19)</f>
        <v/>
      </c>
      <c r="C30" s="33" t="n">
        <f aca="false">'Mar 2027'!F30</f>
        <v>0</v>
      </c>
      <c r="D30" s="33" t="n">
        <f aca="false">IF(B30="",0,N(Students!E19))</f>
        <v>0</v>
      </c>
      <c r="E30" s="23"/>
      <c r="F30" s="24" t="n">
        <f aca="false">N(C30)+N(D30)-N(E30)</f>
        <v>0</v>
      </c>
      <c r="G30" s="33" t="n">
        <f aca="false">'Mar 2027'!J30</f>
        <v>0</v>
      </c>
      <c r="H30" s="33" t="n">
        <f aca="false">IF(B30="",0,N(Students!F19))</f>
        <v>0</v>
      </c>
      <c r="I30" s="23"/>
      <c r="J30" s="24" t="n">
        <f aca="false">N(G30)+N(H30)-N(I30)</f>
        <v>0</v>
      </c>
      <c r="K30" s="33" t="n">
        <f aca="false">'Mar 2027'!N30</f>
        <v>0</v>
      </c>
      <c r="L30" s="33" t="n">
        <f aca="false">IF(B30="",0,N(Students!G19))</f>
        <v>0</v>
      </c>
      <c r="M30" s="23"/>
      <c r="N30" s="24" t="n">
        <f aca="false">N(K30)+N(L30)-N(M30)</f>
        <v>0</v>
      </c>
      <c r="O30" s="33" t="n">
        <f aca="false">'Mar 2027'!R30</f>
        <v>0</v>
      </c>
      <c r="P30" s="33" t="n">
        <f aca="false">IF(B30="",0,N(Students!H19))</f>
        <v>0</v>
      </c>
      <c r="Q30" s="23"/>
      <c r="R30" s="24" t="n">
        <f aca="false">N(O30)+N(P30)-N(Q30)</f>
        <v>0</v>
      </c>
      <c r="S30" s="33" t="n">
        <f aca="false">'Mar 2027'!V30</f>
        <v>0</v>
      </c>
      <c r="T30" s="33" t="n">
        <f aca="false">IF(B30="",0,N(Students!I19))</f>
        <v>0</v>
      </c>
      <c r="U30" s="23"/>
      <c r="V30" s="24" t="n">
        <f aca="false">N(S30)+N(T30)-N(U30)</f>
        <v>0</v>
      </c>
      <c r="W30" s="33" t="n">
        <f aca="false">'Mar 2027'!Z30</f>
        <v>0</v>
      </c>
      <c r="X30" s="33" t="n">
        <f aca="false">IF(B30="",0,N(Students!J19))</f>
        <v>0</v>
      </c>
      <c r="Y30" s="23"/>
      <c r="Z30" s="24" t="n">
        <f aca="false">N(W30)+N(X30)-N(Y30)</f>
        <v>0</v>
      </c>
      <c r="AA30" s="33" t="n">
        <f aca="false">N(E30)+N(I30)+N(M30)+N(Q30)+N(U30)+N(Y30)</f>
        <v>0</v>
      </c>
      <c r="AB30" s="24" t="n">
        <f aca="false">F30+J30+N30+R30+V30+Z30</f>
        <v>0</v>
      </c>
      <c r="AC30" s="81" t="str">
        <f aca="false">IF(B30="","",IF(AB30&lt;=0,"Clear",IF(AA30&gt;0,"Partial","Due")))</f>
        <v/>
      </c>
    </row>
    <row r="31" customFormat="false" ht="15" hidden="false" customHeight="false" outlineLevel="0" collapsed="false">
      <c r="A31" s="25" t="n">
        <v>16</v>
      </c>
      <c r="B31" s="82" t="str">
        <f aca="false">IF(Students!B20="","",Students!B20)</f>
        <v/>
      </c>
      <c r="C31" s="37" t="n">
        <f aca="false">'Mar 2027'!F31</f>
        <v>0</v>
      </c>
      <c r="D31" s="37" t="n">
        <f aca="false">IF(B31="",0,N(Students!E20))</f>
        <v>0</v>
      </c>
      <c r="E31" s="23"/>
      <c r="F31" s="26" t="n">
        <f aca="false">N(C31)+N(D31)-N(E31)</f>
        <v>0</v>
      </c>
      <c r="G31" s="37" t="n">
        <f aca="false">'Mar 2027'!J31</f>
        <v>0</v>
      </c>
      <c r="H31" s="37" t="n">
        <f aca="false">IF(B31="",0,N(Students!F20))</f>
        <v>0</v>
      </c>
      <c r="I31" s="23"/>
      <c r="J31" s="26" t="n">
        <f aca="false">N(G31)+N(H31)-N(I31)</f>
        <v>0</v>
      </c>
      <c r="K31" s="37" t="n">
        <f aca="false">'Mar 2027'!N31</f>
        <v>0</v>
      </c>
      <c r="L31" s="37" t="n">
        <f aca="false">IF(B31="",0,N(Students!G20))</f>
        <v>0</v>
      </c>
      <c r="M31" s="23"/>
      <c r="N31" s="26" t="n">
        <f aca="false">N(K31)+N(L31)-N(M31)</f>
        <v>0</v>
      </c>
      <c r="O31" s="37" t="n">
        <f aca="false">'Mar 2027'!R31</f>
        <v>0</v>
      </c>
      <c r="P31" s="37" t="n">
        <f aca="false">IF(B31="",0,N(Students!H20))</f>
        <v>0</v>
      </c>
      <c r="Q31" s="23"/>
      <c r="R31" s="26" t="n">
        <f aca="false">N(O31)+N(P31)-N(Q31)</f>
        <v>0</v>
      </c>
      <c r="S31" s="37" t="n">
        <f aca="false">'Mar 2027'!V31</f>
        <v>0</v>
      </c>
      <c r="T31" s="37" t="n">
        <f aca="false">IF(B31="",0,N(Students!I20))</f>
        <v>0</v>
      </c>
      <c r="U31" s="23"/>
      <c r="V31" s="26" t="n">
        <f aca="false">N(S31)+N(T31)-N(U31)</f>
        <v>0</v>
      </c>
      <c r="W31" s="37" t="n">
        <f aca="false">'Mar 2027'!Z31</f>
        <v>0</v>
      </c>
      <c r="X31" s="37" t="n">
        <f aca="false">IF(B31="",0,N(Students!J20))</f>
        <v>0</v>
      </c>
      <c r="Y31" s="23"/>
      <c r="Z31" s="26" t="n">
        <f aca="false">N(W31)+N(X31)-N(Y31)</f>
        <v>0</v>
      </c>
      <c r="AA31" s="37" t="n">
        <f aca="false">N(E31)+N(I31)+N(M31)+N(Q31)+N(U31)+N(Y31)</f>
        <v>0</v>
      </c>
      <c r="AB31" s="26" t="n">
        <f aca="false">F31+J31+N31+R31+V31+Z31</f>
        <v>0</v>
      </c>
      <c r="AC31" s="83" t="str">
        <f aca="false">IF(B31="","",IF(AB31&lt;=0,"Clear",IF(AA31&gt;0,"Partial","Due")))</f>
        <v/>
      </c>
    </row>
    <row r="32" customFormat="false" ht="15" hidden="false" customHeight="false" outlineLevel="0" collapsed="false">
      <c r="A32" s="21" t="n">
        <v>17</v>
      </c>
      <c r="B32" s="46" t="str">
        <f aca="false">IF(Students!B21="","",Students!B21)</f>
        <v/>
      </c>
      <c r="C32" s="33" t="n">
        <f aca="false">'Mar 2027'!F32</f>
        <v>0</v>
      </c>
      <c r="D32" s="33" t="n">
        <f aca="false">IF(B32="",0,N(Students!E21))</f>
        <v>0</v>
      </c>
      <c r="E32" s="23"/>
      <c r="F32" s="24" t="n">
        <f aca="false">N(C32)+N(D32)-N(E32)</f>
        <v>0</v>
      </c>
      <c r="G32" s="33" t="n">
        <f aca="false">'Mar 2027'!J32</f>
        <v>0</v>
      </c>
      <c r="H32" s="33" t="n">
        <f aca="false">IF(B32="",0,N(Students!F21))</f>
        <v>0</v>
      </c>
      <c r="I32" s="23"/>
      <c r="J32" s="24" t="n">
        <f aca="false">N(G32)+N(H32)-N(I32)</f>
        <v>0</v>
      </c>
      <c r="K32" s="33" t="n">
        <f aca="false">'Mar 2027'!N32</f>
        <v>0</v>
      </c>
      <c r="L32" s="33" t="n">
        <f aca="false">IF(B32="",0,N(Students!G21))</f>
        <v>0</v>
      </c>
      <c r="M32" s="23"/>
      <c r="N32" s="24" t="n">
        <f aca="false">N(K32)+N(L32)-N(M32)</f>
        <v>0</v>
      </c>
      <c r="O32" s="33" t="n">
        <f aca="false">'Mar 2027'!R32</f>
        <v>0</v>
      </c>
      <c r="P32" s="33" t="n">
        <f aca="false">IF(B32="",0,N(Students!H21))</f>
        <v>0</v>
      </c>
      <c r="Q32" s="23"/>
      <c r="R32" s="24" t="n">
        <f aca="false">N(O32)+N(P32)-N(Q32)</f>
        <v>0</v>
      </c>
      <c r="S32" s="33" t="n">
        <f aca="false">'Mar 2027'!V32</f>
        <v>0</v>
      </c>
      <c r="T32" s="33" t="n">
        <f aca="false">IF(B32="",0,N(Students!I21))</f>
        <v>0</v>
      </c>
      <c r="U32" s="23"/>
      <c r="V32" s="24" t="n">
        <f aca="false">N(S32)+N(T32)-N(U32)</f>
        <v>0</v>
      </c>
      <c r="W32" s="33" t="n">
        <f aca="false">'Mar 2027'!Z32</f>
        <v>0</v>
      </c>
      <c r="X32" s="33" t="n">
        <f aca="false">IF(B32="",0,N(Students!J21))</f>
        <v>0</v>
      </c>
      <c r="Y32" s="23"/>
      <c r="Z32" s="24" t="n">
        <f aca="false">N(W32)+N(X32)-N(Y32)</f>
        <v>0</v>
      </c>
      <c r="AA32" s="33" t="n">
        <f aca="false">N(E32)+N(I32)+N(M32)+N(Q32)+N(U32)+N(Y32)</f>
        <v>0</v>
      </c>
      <c r="AB32" s="24" t="n">
        <f aca="false">F32+J32+N32+R32+V32+Z32</f>
        <v>0</v>
      </c>
      <c r="AC32" s="81" t="str">
        <f aca="false">IF(B32="","",IF(AB32&lt;=0,"Clear",IF(AA32&gt;0,"Partial","Due")))</f>
        <v/>
      </c>
    </row>
    <row r="33" customFormat="false" ht="15" hidden="false" customHeight="false" outlineLevel="0" collapsed="false">
      <c r="A33" s="25" t="n">
        <v>18</v>
      </c>
      <c r="B33" s="82" t="str">
        <f aca="false">IF(Students!B22="","",Students!B22)</f>
        <v/>
      </c>
      <c r="C33" s="37" t="n">
        <f aca="false">'Mar 2027'!F33</f>
        <v>0</v>
      </c>
      <c r="D33" s="37" t="n">
        <f aca="false">IF(B33="",0,N(Students!E22))</f>
        <v>0</v>
      </c>
      <c r="E33" s="23"/>
      <c r="F33" s="26" t="n">
        <f aca="false">N(C33)+N(D33)-N(E33)</f>
        <v>0</v>
      </c>
      <c r="G33" s="37" t="n">
        <f aca="false">'Mar 2027'!J33</f>
        <v>0</v>
      </c>
      <c r="H33" s="37" t="n">
        <f aca="false">IF(B33="",0,N(Students!F22))</f>
        <v>0</v>
      </c>
      <c r="I33" s="23"/>
      <c r="J33" s="26" t="n">
        <f aca="false">N(G33)+N(H33)-N(I33)</f>
        <v>0</v>
      </c>
      <c r="K33" s="37" t="n">
        <f aca="false">'Mar 2027'!N33</f>
        <v>0</v>
      </c>
      <c r="L33" s="37" t="n">
        <f aca="false">IF(B33="",0,N(Students!G22))</f>
        <v>0</v>
      </c>
      <c r="M33" s="23"/>
      <c r="N33" s="26" t="n">
        <f aca="false">N(K33)+N(L33)-N(M33)</f>
        <v>0</v>
      </c>
      <c r="O33" s="37" t="n">
        <f aca="false">'Mar 2027'!R33</f>
        <v>0</v>
      </c>
      <c r="P33" s="37" t="n">
        <f aca="false">IF(B33="",0,N(Students!H22))</f>
        <v>0</v>
      </c>
      <c r="Q33" s="23"/>
      <c r="R33" s="26" t="n">
        <f aca="false">N(O33)+N(P33)-N(Q33)</f>
        <v>0</v>
      </c>
      <c r="S33" s="37" t="n">
        <f aca="false">'Mar 2027'!V33</f>
        <v>0</v>
      </c>
      <c r="T33" s="37" t="n">
        <f aca="false">IF(B33="",0,N(Students!I22))</f>
        <v>0</v>
      </c>
      <c r="U33" s="23"/>
      <c r="V33" s="26" t="n">
        <f aca="false">N(S33)+N(T33)-N(U33)</f>
        <v>0</v>
      </c>
      <c r="W33" s="37" t="n">
        <f aca="false">'Mar 2027'!Z33</f>
        <v>0</v>
      </c>
      <c r="X33" s="37" t="n">
        <f aca="false">IF(B33="",0,N(Students!J22))</f>
        <v>0</v>
      </c>
      <c r="Y33" s="23"/>
      <c r="Z33" s="26" t="n">
        <f aca="false">N(W33)+N(X33)-N(Y33)</f>
        <v>0</v>
      </c>
      <c r="AA33" s="37" t="n">
        <f aca="false">N(E33)+N(I33)+N(M33)+N(Q33)+N(U33)+N(Y33)</f>
        <v>0</v>
      </c>
      <c r="AB33" s="26" t="n">
        <f aca="false">F33+J33+N33+R33+V33+Z33</f>
        <v>0</v>
      </c>
      <c r="AC33" s="83" t="str">
        <f aca="false">IF(B33="","",IF(AB33&lt;=0,"Clear",IF(AA33&gt;0,"Partial","Due")))</f>
        <v/>
      </c>
    </row>
    <row r="34" customFormat="false" ht="15" hidden="false" customHeight="false" outlineLevel="0" collapsed="false">
      <c r="A34" s="21" t="n">
        <v>19</v>
      </c>
      <c r="B34" s="46" t="str">
        <f aca="false">IF(Students!B23="","",Students!B23)</f>
        <v/>
      </c>
      <c r="C34" s="33" t="n">
        <f aca="false">'Mar 2027'!F34</f>
        <v>0</v>
      </c>
      <c r="D34" s="33" t="n">
        <f aca="false">IF(B34="",0,N(Students!E23))</f>
        <v>0</v>
      </c>
      <c r="E34" s="23"/>
      <c r="F34" s="24" t="n">
        <f aca="false">N(C34)+N(D34)-N(E34)</f>
        <v>0</v>
      </c>
      <c r="G34" s="33" t="n">
        <f aca="false">'Mar 2027'!J34</f>
        <v>0</v>
      </c>
      <c r="H34" s="33" t="n">
        <f aca="false">IF(B34="",0,N(Students!F23))</f>
        <v>0</v>
      </c>
      <c r="I34" s="23"/>
      <c r="J34" s="24" t="n">
        <f aca="false">N(G34)+N(H34)-N(I34)</f>
        <v>0</v>
      </c>
      <c r="K34" s="33" t="n">
        <f aca="false">'Mar 2027'!N34</f>
        <v>0</v>
      </c>
      <c r="L34" s="33" t="n">
        <f aca="false">IF(B34="",0,N(Students!G23))</f>
        <v>0</v>
      </c>
      <c r="M34" s="23"/>
      <c r="N34" s="24" t="n">
        <f aca="false">N(K34)+N(L34)-N(M34)</f>
        <v>0</v>
      </c>
      <c r="O34" s="33" t="n">
        <f aca="false">'Mar 2027'!R34</f>
        <v>0</v>
      </c>
      <c r="P34" s="33" t="n">
        <f aca="false">IF(B34="",0,N(Students!H23))</f>
        <v>0</v>
      </c>
      <c r="Q34" s="23"/>
      <c r="R34" s="24" t="n">
        <f aca="false">N(O34)+N(P34)-N(Q34)</f>
        <v>0</v>
      </c>
      <c r="S34" s="33" t="n">
        <f aca="false">'Mar 2027'!V34</f>
        <v>0</v>
      </c>
      <c r="T34" s="33" t="n">
        <f aca="false">IF(B34="",0,N(Students!I23))</f>
        <v>0</v>
      </c>
      <c r="U34" s="23"/>
      <c r="V34" s="24" t="n">
        <f aca="false">N(S34)+N(T34)-N(U34)</f>
        <v>0</v>
      </c>
      <c r="W34" s="33" t="n">
        <f aca="false">'Mar 2027'!Z34</f>
        <v>0</v>
      </c>
      <c r="X34" s="33" t="n">
        <f aca="false">IF(B34="",0,N(Students!J23))</f>
        <v>0</v>
      </c>
      <c r="Y34" s="23"/>
      <c r="Z34" s="24" t="n">
        <f aca="false">N(W34)+N(X34)-N(Y34)</f>
        <v>0</v>
      </c>
      <c r="AA34" s="33" t="n">
        <f aca="false">N(E34)+N(I34)+N(M34)+N(Q34)+N(U34)+N(Y34)</f>
        <v>0</v>
      </c>
      <c r="AB34" s="24" t="n">
        <f aca="false">F34+J34+N34+R34+V34+Z34</f>
        <v>0</v>
      </c>
      <c r="AC34" s="81" t="str">
        <f aca="false">IF(B34="","",IF(AB34&lt;=0,"Clear",IF(AA34&gt;0,"Partial","Due")))</f>
        <v/>
      </c>
    </row>
    <row r="35" customFormat="false" ht="15" hidden="false" customHeight="false" outlineLevel="0" collapsed="false">
      <c r="A35" s="25" t="n">
        <v>20</v>
      </c>
      <c r="B35" s="82" t="str">
        <f aca="false">IF(Students!B24="","",Students!B24)</f>
        <v/>
      </c>
      <c r="C35" s="37" t="n">
        <f aca="false">'Mar 2027'!F35</f>
        <v>0</v>
      </c>
      <c r="D35" s="37" t="n">
        <f aca="false">IF(B35="",0,N(Students!E24))</f>
        <v>0</v>
      </c>
      <c r="E35" s="23"/>
      <c r="F35" s="26" t="n">
        <f aca="false">N(C35)+N(D35)-N(E35)</f>
        <v>0</v>
      </c>
      <c r="G35" s="37" t="n">
        <f aca="false">'Mar 2027'!J35</f>
        <v>0</v>
      </c>
      <c r="H35" s="37" t="n">
        <f aca="false">IF(B35="",0,N(Students!F24))</f>
        <v>0</v>
      </c>
      <c r="I35" s="23"/>
      <c r="J35" s="26" t="n">
        <f aca="false">N(G35)+N(H35)-N(I35)</f>
        <v>0</v>
      </c>
      <c r="K35" s="37" t="n">
        <f aca="false">'Mar 2027'!N35</f>
        <v>0</v>
      </c>
      <c r="L35" s="37" t="n">
        <f aca="false">IF(B35="",0,N(Students!G24))</f>
        <v>0</v>
      </c>
      <c r="M35" s="23"/>
      <c r="N35" s="26" t="n">
        <f aca="false">N(K35)+N(L35)-N(M35)</f>
        <v>0</v>
      </c>
      <c r="O35" s="37" t="n">
        <f aca="false">'Mar 2027'!R35</f>
        <v>0</v>
      </c>
      <c r="P35" s="37" t="n">
        <f aca="false">IF(B35="",0,N(Students!H24))</f>
        <v>0</v>
      </c>
      <c r="Q35" s="23"/>
      <c r="R35" s="26" t="n">
        <f aca="false">N(O35)+N(P35)-N(Q35)</f>
        <v>0</v>
      </c>
      <c r="S35" s="37" t="n">
        <f aca="false">'Mar 2027'!V35</f>
        <v>0</v>
      </c>
      <c r="T35" s="37" t="n">
        <f aca="false">IF(B35="",0,N(Students!I24))</f>
        <v>0</v>
      </c>
      <c r="U35" s="23"/>
      <c r="V35" s="26" t="n">
        <f aca="false">N(S35)+N(T35)-N(U35)</f>
        <v>0</v>
      </c>
      <c r="W35" s="37" t="n">
        <f aca="false">'Mar 2027'!Z35</f>
        <v>0</v>
      </c>
      <c r="X35" s="37" t="n">
        <f aca="false">IF(B35="",0,N(Students!J24))</f>
        <v>0</v>
      </c>
      <c r="Y35" s="23"/>
      <c r="Z35" s="26" t="n">
        <f aca="false">N(W35)+N(X35)-N(Y35)</f>
        <v>0</v>
      </c>
      <c r="AA35" s="37" t="n">
        <f aca="false">N(E35)+N(I35)+N(M35)+N(Q35)+N(U35)+N(Y35)</f>
        <v>0</v>
      </c>
      <c r="AB35" s="26" t="n">
        <f aca="false">F35+J35+N35+R35+V35+Z35</f>
        <v>0</v>
      </c>
      <c r="AC35" s="83" t="str">
        <f aca="false">IF(B35="","",IF(AB35&lt;=0,"Clear",IF(AA35&gt;0,"Partial","Due")))</f>
        <v/>
      </c>
    </row>
    <row r="36" customFormat="false" ht="15" hidden="false" customHeight="false" outlineLevel="0" collapsed="false">
      <c r="A36" s="21" t="n">
        <v>21</v>
      </c>
      <c r="B36" s="46" t="str">
        <f aca="false">IF(Students!B25="","",Students!B25)</f>
        <v/>
      </c>
      <c r="C36" s="33" t="n">
        <f aca="false">'Mar 2027'!F36</f>
        <v>0</v>
      </c>
      <c r="D36" s="33" t="n">
        <f aca="false">IF(B36="",0,N(Students!E25))</f>
        <v>0</v>
      </c>
      <c r="E36" s="23"/>
      <c r="F36" s="24" t="n">
        <f aca="false">N(C36)+N(D36)-N(E36)</f>
        <v>0</v>
      </c>
      <c r="G36" s="33" t="n">
        <f aca="false">'Mar 2027'!J36</f>
        <v>0</v>
      </c>
      <c r="H36" s="33" t="n">
        <f aca="false">IF(B36="",0,N(Students!F25))</f>
        <v>0</v>
      </c>
      <c r="I36" s="23"/>
      <c r="J36" s="24" t="n">
        <f aca="false">N(G36)+N(H36)-N(I36)</f>
        <v>0</v>
      </c>
      <c r="K36" s="33" t="n">
        <f aca="false">'Mar 2027'!N36</f>
        <v>0</v>
      </c>
      <c r="L36" s="33" t="n">
        <f aca="false">IF(B36="",0,N(Students!G25))</f>
        <v>0</v>
      </c>
      <c r="M36" s="23"/>
      <c r="N36" s="24" t="n">
        <f aca="false">N(K36)+N(L36)-N(M36)</f>
        <v>0</v>
      </c>
      <c r="O36" s="33" t="n">
        <f aca="false">'Mar 2027'!R36</f>
        <v>0</v>
      </c>
      <c r="P36" s="33" t="n">
        <f aca="false">IF(B36="",0,N(Students!H25))</f>
        <v>0</v>
      </c>
      <c r="Q36" s="23"/>
      <c r="R36" s="24" t="n">
        <f aca="false">N(O36)+N(P36)-N(Q36)</f>
        <v>0</v>
      </c>
      <c r="S36" s="33" t="n">
        <f aca="false">'Mar 2027'!V36</f>
        <v>0</v>
      </c>
      <c r="T36" s="33" t="n">
        <f aca="false">IF(B36="",0,N(Students!I25))</f>
        <v>0</v>
      </c>
      <c r="U36" s="23"/>
      <c r="V36" s="24" t="n">
        <f aca="false">N(S36)+N(T36)-N(U36)</f>
        <v>0</v>
      </c>
      <c r="W36" s="33" t="n">
        <f aca="false">'Mar 2027'!Z36</f>
        <v>0</v>
      </c>
      <c r="X36" s="33" t="n">
        <f aca="false">IF(B36="",0,N(Students!J25))</f>
        <v>0</v>
      </c>
      <c r="Y36" s="23"/>
      <c r="Z36" s="24" t="n">
        <f aca="false">N(W36)+N(X36)-N(Y36)</f>
        <v>0</v>
      </c>
      <c r="AA36" s="33" t="n">
        <f aca="false">N(E36)+N(I36)+N(M36)+N(Q36)+N(U36)+N(Y36)</f>
        <v>0</v>
      </c>
      <c r="AB36" s="24" t="n">
        <f aca="false">F36+J36+N36+R36+V36+Z36</f>
        <v>0</v>
      </c>
      <c r="AC36" s="81" t="str">
        <f aca="false">IF(B36="","",IF(AB36&lt;=0,"Clear",IF(AA36&gt;0,"Partial","Due")))</f>
        <v/>
      </c>
    </row>
    <row r="37" customFormat="false" ht="15" hidden="false" customHeight="false" outlineLevel="0" collapsed="false">
      <c r="A37" s="25" t="n">
        <v>22</v>
      </c>
      <c r="B37" s="82" t="str">
        <f aca="false">IF(Students!B26="","",Students!B26)</f>
        <v/>
      </c>
      <c r="C37" s="37" t="n">
        <f aca="false">'Mar 2027'!F37</f>
        <v>0</v>
      </c>
      <c r="D37" s="37" t="n">
        <f aca="false">IF(B37="",0,N(Students!E26))</f>
        <v>0</v>
      </c>
      <c r="E37" s="23"/>
      <c r="F37" s="26" t="n">
        <f aca="false">N(C37)+N(D37)-N(E37)</f>
        <v>0</v>
      </c>
      <c r="G37" s="37" t="n">
        <f aca="false">'Mar 2027'!J37</f>
        <v>0</v>
      </c>
      <c r="H37" s="37" t="n">
        <f aca="false">IF(B37="",0,N(Students!F26))</f>
        <v>0</v>
      </c>
      <c r="I37" s="23"/>
      <c r="J37" s="26" t="n">
        <f aca="false">N(G37)+N(H37)-N(I37)</f>
        <v>0</v>
      </c>
      <c r="K37" s="37" t="n">
        <f aca="false">'Mar 2027'!N37</f>
        <v>0</v>
      </c>
      <c r="L37" s="37" t="n">
        <f aca="false">IF(B37="",0,N(Students!G26))</f>
        <v>0</v>
      </c>
      <c r="M37" s="23"/>
      <c r="N37" s="26" t="n">
        <f aca="false">N(K37)+N(L37)-N(M37)</f>
        <v>0</v>
      </c>
      <c r="O37" s="37" t="n">
        <f aca="false">'Mar 2027'!R37</f>
        <v>0</v>
      </c>
      <c r="P37" s="37" t="n">
        <f aca="false">IF(B37="",0,N(Students!H26))</f>
        <v>0</v>
      </c>
      <c r="Q37" s="23"/>
      <c r="R37" s="26" t="n">
        <f aca="false">N(O37)+N(P37)-N(Q37)</f>
        <v>0</v>
      </c>
      <c r="S37" s="37" t="n">
        <f aca="false">'Mar 2027'!V37</f>
        <v>0</v>
      </c>
      <c r="T37" s="37" t="n">
        <f aca="false">IF(B37="",0,N(Students!I26))</f>
        <v>0</v>
      </c>
      <c r="U37" s="23"/>
      <c r="V37" s="26" t="n">
        <f aca="false">N(S37)+N(T37)-N(U37)</f>
        <v>0</v>
      </c>
      <c r="W37" s="37" t="n">
        <f aca="false">'Mar 2027'!Z37</f>
        <v>0</v>
      </c>
      <c r="X37" s="37" t="n">
        <f aca="false">IF(B37="",0,N(Students!J26))</f>
        <v>0</v>
      </c>
      <c r="Y37" s="23"/>
      <c r="Z37" s="26" t="n">
        <f aca="false">N(W37)+N(X37)-N(Y37)</f>
        <v>0</v>
      </c>
      <c r="AA37" s="37" t="n">
        <f aca="false">N(E37)+N(I37)+N(M37)+N(Q37)+N(U37)+N(Y37)</f>
        <v>0</v>
      </c>
      <c r="AB37" s="26" t="n">
        <f aca="false">F37+J37+N37+R37+V37+Z37</f>
        <v>0</v>
      </c>
      <c r="AC37" s="83" t="str">
        <f aca="false">IF(B37="","",IF(AB37&lt;=0,"Clear",IF(AA37&gt;0,"Partial","Due")))</f>
        <v/>
      </c>
    </row>
    <row r="38" customFormat="false" ht="15" hidden="false" customHeight="false" outlineLevel="0" collapsed="false">
      <c r="A38" s="21" t="n">
        <v>23</v>
      </c>
      <c r="B38" s="46" t="str">
        <f aca="false">IF(Students!B27="","",Students!B27)</f>
        <v/>
      </c>
      <c r="C38" s="33" t="n">
        <f aca="false">'Mar 2027'!F38</f>
        <v>0</v>
      </c>
      <c r="D38" s="33" t="n">
        <f aca="false">IF(B38="",0,N(Students!E27))</f>
        <v>0</v>
      </c>
      <c r="E38" s="23"/>
      <c r="F38" s="24" t="n">
        <f aca="false">N(C38)+N(D38)-N(E38)</f>
        <v>0</v>
      </c>
      <c r="G38" s="33" t="n">
        <f aca="false">'Mar 2027'!J38</f>
        <v>0</v>
      </c>
      <c r="H38" s="33" t="n">
        <f aca="false">IF(B38="",0,N(Students!F27))</f>
        <v>0</v>
      </c>
      <c r="I38" s="23"/>
      <c r="J38" s="24" t="n">
        <f aca="false">N(G38)+N(H38)-N(I38)</f>
        <v>0</v>
      </c>
      <c r="K38" s="33" t="n">
        <f aca="false">'Mar 2027'!N38</f>
        <v>0</v>
      </c>
      <c r="L38" s="33" t="n">
        <f aca="false">IF(B38="",0,N(Students!G27))</f>
        <v>0</v>
      </c>
      <c r="M38" s="23"/>
      <c r="N38" s="24" t="n">
        <f aca="false">N(K38)+N(L38)-N(M38)</f>
        <v>0</v>
      </c>
      <c r="O38" s="33" t="n">
        <f aca="false">'Mar 2027'!R38</f>
        <v>0</v>
      </c>
      <c r="P38" s="33" t="n">
        <f aca="false">IF(B38="",0,N(Students!H27))</f>
        <v>0</v>
      </c>
      <c r="Q38" s="23"/>
      <c r="R38" s="24" t="n">
        <f aca="false">N(O38)+N(P38)-N(Q38)</f>
        <v>0</v>
      </c>
      <c r="S38" s="33" t="n">
        <f aca="false">'Mar 2027'!V38</f>
        <v>0</v>
      </c>
      <c r="T38" s="33" t="n">
        <f aca="false">IF(B38="",0,N(Students!I27))</f>
        <v>0</v>
      </c>
      <c r="U38" s="23"/>
      <c r="V38" s="24" t="n">
        <f aca="false">N(S38)+N(T38)-N(U38)</f>
        <v>0</v>
      </c>
      <c r="W38" s="33" t="n">
        <f aca="false">'Mar 2027'!Z38</f>
        <v>0</v>
      </c>
      <c r="X38" s="33" t="n">
        <f aca="false">IF(B38="",0,N(Students!J27))</f>
        <v>0</v>
      </c>
      <c r="Y38" s="23"/>
      <c r="Z38" s="24" t="n">
        <f aca="false">N(W38)+N(X38)-N(Y38)</f>
        <v>0</v>
      </c>
      <c r="AA38" s="33" t="n">
        <f aca="false">N(E38)+N(I38)+N(M38)+N(Q38)+N(U38)+N(Y38)</f>
        <v>0</v>
      </c>
      <c r="AB38" s="24" t="n">
        <f aca="false">F38+J38+N38+R38+V38+Z38</f>
        <v>0</v>
      </c>
      <c r="AC38" s="81" t="str">
        <f aca="false">IF(B38="","",IF(AB38&lt;=0,"Clear",IF(AA38&gt;0,"Partial","Due")))</f>
        <v/>
      </c>
    </row>
    <row r="39" customFormat="false" ht="15" hidden="false" customHeight="false" outlineLevel="0" collapsed="false">
      <c r="A39" s="25" t="n">
        <v>24</v>
      </c>
      <c r="B39" s="82" t="str">
        <f aca="false">IF(Students!B28="","",Students!B28)</f>
        <v/>
      </c>
      <c r="C39" s="37" t="n">
        <f aca="false">'Mar 2027'!F39</f>
        <v>0</v>
      </c>
      <c r="D39" s="37" t="n">
        <f aca="false">IF(B39="",0,N(Students!E28))</f>
        <v>0</v>
      </c>
      <c r="E39" s="23"/>
      <c r="F39" s="26" t="n">
        <f aca="false">N(C39)+N(D39)-N(E39)</f>
        <v>0</v>
      </c>
      <c r="G39" s="37" t="n">
        <f aca="false">'Mar 2027'!J39</f>
        <v>0</v>
      </c>
      <c r="H39" s="37" t="n">
        <f aca="false">IF(B39="",0,N(Students!F28))</f>
        <v>0</v>
      </c>
      <c r="I39" s="23"/>
      <c r="J39" s="26" t="n">
        <f aca="false">N(G39)+N(H39)-N(I39)</f>
        <v>0</v>
      </c>
      <c r="K39" s="37" t="n">
        <f aca="false">'Mar 2027'!N39</f>
        <v>0</v>
      </c>
      <c r="L39" s="37" t="n">
        <f aca="false">IF(B39="",0,N(Students!G28))</f>
        <v>0</v>
      </c>
      <c r="M39" s="23"/>
      <c r="N39" s="26" t="n">
        <f aca="false">N(K39)+N(L39)-N(M39)</f>
        <v>0</v>
      </c>
      <c r="O39" s="37" t="n">
        <f aca="false">'Mar 2027'!R39</f>
        <v>0</v>
      </c>
      <c r="P39" s="37" t="n">
        <f aca="false">IF(B39="",0,N(Students!H28))</f>
        <v>0</v>
      </c>
      <c r="Q39" s="23"/>
      <c r="R39" s="26" t="n">
        <f aca="false">N(O39)+N(P39)-N(Q39)</f>
        <v>0</v>
      </c>
      <c r="S39" s="37" t="n">
        <f aca="false">'Mar 2027'!V39</f>
        <v>0</v>
      </c>
      <c r="T39" s="37" t="n">
        <f aca="false">IF(B39="",0,N(Students!I28))</f>
        <v>0</v>
      </c>
      <c r="U39" s="23"/>
      <c r="V39" s="26" t="n">
        <f aca="false">N(S39)+N(T39)-N(U39)</f>
        <v>0</v>
      </c>
      <c r="W39" s="37" t="n">
        <f aca="false">'Mar 2027'!Z39</f>
        <v>0</v>
      </c>
      <c r="X39" s="37" t="n">
        <f aca="false">IF(B39="",0,N(Students!J28))</f>
        <v>0</v>
      </c>
      <c r="Y39" s="23"/>
      <c r="Z39" s="26" t="n">
        <f aca="false">N(W39)+N(X39)-N(Y39)</f>
        <v>0</v>
      </c>
      <c r="AA39" s="37" t="n">
        <f aca="false">N(E39)+N(I39)+N(M39)+N(Q39)+N(U39)+N(Y39)</f>
        <v>0</v>
      </c>
      <c r="AB39" s="26" t="n">
        <f aca="false">F39+J39+N39+R39+V39+Z39</f>
        <v>0</v>
      </c>
      <c r="AC39" s="83" t="str">
        <f aca="false">IF(B39="","",IF(AB39&lt;=0,"Clear",IF(AA39&gt;0,"Partial","Due")))</f>
        <v/>
      </c>
    </row>
    <row r="40" customFormat="false" ht="15" hidden="false" customHeight="false" outlineLevel="0" collapsed="false">
      <c r="A40" s="21" t="n">
        <v>25</v>
      </c>
      <c r="B40" s="46" t="str">
        <f aca="false">IF(Students!B29="","",Students!B29)</f>
        <v/>
      </c>
      <c r="C40" s="33" t="n">
        <f aca="false">'Mar 2027'!F40</f>
        <v>0</v>
      </c>
      <c r="D40" s="33" t="n">
        <f aca="false">IF(B40="",0,N(Students!E29))</f>
        <v>0</v>
      </c>
      <c r="E40" s="23"/>
      <c r="F40" s="24" t="n">
        <f aca="false">N(C40)+N(D40)-N(E40)</f>
        <v>0</v>
      </c>
      <c r="G40" s="33" t="n">
        <f aca="false">'Mar 2027'!J40</f>
        <v>0</v>
      </c>
      <c r="H40" s="33" t="n">
        <f aca="false">IF(B40="",0,N(Students!F29))</f>
        <v>0</v>
      </c>
      <c r="I40" s="23"/>
      <c r="J40" s="24" t="n">
        <f aca="false">N(G40)+N(H40)-N(I40)</f>
        <v>0</v>
      </c>
      <c r="K40" s="33" t="n">
        <f aca="false">'Mar 2027'!N40</f>
        <v>0</v>
      </c>
      <c r="L40" s="33" t="n">
        <f aca="false">IF(B40="",0,N(Students!G29))</f>
        <v>0</v>
      </c>
      <c r="M40" s="23"/>
      <c r="N40" s="24" t="n">
        <f aca="false">N(K40)+N(L40)-N(M40)</f>
        <v>0</v>
      </c>
      <c r="O40" s="33" t="n">
        <f aca="false">'Mar 2027'!R40</f>
        <v>0</v>
      </c>
      <c r="P40" s="33" t="n">
        <f aca="false">IF(B40="",0,N(Students!H29))</f>
        <v>0</v>
      </c>
      <c r="Q40" s="23"/>
      <c r="R40" s="24" t="n">
        <f aca="false">N(O40)+N(P40)-N(Q40)</f>
        <v>0</v>
      </c>
      <c r="S40" s="33" t="n">
        <f aca="false">'Mar 2027'!V40</f>
        <v>0</v>
      </c>
      <c r="T40" s="33" t="n">
        <f aca="false">IF(B40="",0,N(Students!I29))</f>
        <v>0</v>
      </c>
      <c r="U40" s="23"/>
      <c r="V40" s="24" t="n">
        <f aca="false">N(S40)+N(T40)-N(U40)</f>
        <v>0</v>
      </c>
      <c r="W40" s="33" t="n">
        <f aca="false">'Mar 2027'!Z40</f>
        <v>0</v>
      </c>
      <c r="X40" s="33" t="n">
        <f aca="false">IF(B40="",0,N(Students!J29))</f>
        <v>0</v>
      </c>
      <c r="Y40" s="23"/>
      <c r="Z40" s="24" t="n">
        <f aca="false">N(W40)+N(X40)-N(Y40)</f>
        <v>0</v>
      </c>
      <c r="AA40" s="33" t="n">
        <f aca="false">N(E40)+N(I40)+N(M40)+N(Q40)+N(U40)+N(Y40)</f>
        <v>0</v>
      </c>
      <c r="AB40" s="24" t="n">
        <f aca="false">F40+J40+N40+R40+V40+Z40</f>
        <v>0</v>
      </c>
      <c r="AC40" s="81" t="str">
        <f aca="false">IF(B40="","",IF(AB40&lt;=0,"Clear",IF(AA40&gt;0,"Partial","Due")))</f>
        <v/>
      </c>
    </row>
    <row r="41" customFormat="false" ht="15" hidden="false" customHeight="false" outlineLevel="0" collapsed="false">
      <c r="A41" s="25" t="n">
        <v>26</v>
      </c>
      <c r="B41" s="82" t="str">
        <f aca="false">IF(Students!B30="","",Students!B30)</f>
        <v/>
      </c>
      <c r="C41" s="37" t="n">
        <f aca="false">'Mar 2027'!F41</f>
        <v>0</v>
      </c>
      <c r="D41" s="37" t="n">
        <f aca="false">IF(B41="",0,N(Students!E30))</f>
        <v>0</v>
      </c>
      <c r="E41" s="23"/>
      <c r="F41" s="26" t="n">
        <f aca="false">N(C41)+N(D41)-N(E41)</f>
        <v>0</v>
      </c>
      <c r="G41" s="37" t="n">
        <f aca="false">'Mar 2027'!J41</f>
        <v>0</v>
      </c>
      <c r="H41" s="37" t="n">
        <f aca="false">IF(B41="",0,N(Students!F30))</f>
        <v>0</v>
      </c>
      <c r="I41" s="23"/>
      <c r="J41" s="26" t="n">
        <f aca="false">N(G41)+N(H41)-N(I41)</f>
        <v>0</v>
      </c>
      <c r="K41" s="37" t="n">
        <f aca="false">'Mar 2027'!N41</f>
        <v>0</v>
      </c>
      <c r="L41" s="37" t="n">
        <f aca="false">IF(B41="",0,N(Students!G30))</f>
        <v>0</v>
      </c>
      <c r="M41" s="23"/>
      <c r="N41" s="26" t="n">
        <f aca="false">N(K41)+N(L41)-N(M41)</f>
        <v>0</v>
      </c>
      <c r="O41" s="37" t="n">
        <f aca="false">'Mar 2027'!R41</f>
        <v>0</v>
      </c>
      <c r="P41" s="37" t="n">
        <f aca="false">IF(B41="",0,N(Students!H30))</f>
        <v>0</v>
      </c>
      <c r="Q41" s="23"/>
      <c r="R41" s="26" t="n">
        <f aca="false">N(O41)+N(P41)-N(Q41)</f>
        <v>0</v>
      </c>
      <c r="S41" s="37" t="n">
        <f aca="false">'Mar 2027'!V41</f>
        <v>0</v>
      </c>
      <c r="T41" s="37" t="n">
        <f aca="false">IF(B41="",0,N(Students!I30))</f>
        <v>0</v>
      </c>
      <c r="U41" s="23"/>
      <c r="V41" s="26" t="n">
        <f aca="false">N(S41)+N(T41)-N(U41)</f>
        <v>0</v>
      </c>
      <c r="W41" s="37" t="n">
        <f aca="false">'Mar 2027'!Z41</f>
        <v>0</v>
      </c>
      <c r="X41" s="37" t="n">
        <f aca="false">IF(B41="",0,N(Students!J30))</f>
        <v>0</v>
      </c>
      <c r="Y41" s="23"/>
      <c r="Z41" s="26" t="n">
        <f aca="false">N(W41)+N(X41)-N(Y41)</f>
        <v>0</v>
      </c>
      <c r="AA41" s="37" t="n">
        <f aca="false">N(E41)+N(I41)+N(M41)+N(Q41)+N(U41)+N(Y41)</f>
        <v>0</v>
      </c>
      <c r="AB41" s="26" t="n">
        <f aca="false">F41+J41+N41+R41+V41+Z41</f>
        <v>0</v>
      </c>
      <c r="AC41" s="83" t="str">
        <f aca="false">IF(B41="","",IF(AB41&lt;=0,"Clear",IF(AA41&gt;0,"Partial","Due")))</f>
        <v/>
      </c>
    </row>
    <row r="42" customFormat="false" ht="15" hidden="false" customHeight="false" outlineLevel="0" collapsed="false">
      <c r="A42" s="21" t="n">
        <v>27</v>
      </c>
      <c r="B42" s="46" t="str">
        <f aca="false">IF(Students!B31="","",Students!B31)</f>
        <v/>
      </c>
      <c r="C42" s="33" t="n">
        <f aca="false">'Mar 2027'!F42</f>
        <v>0</v>
      </c>
      <c r="D42" s="33" t="n">
        <f aca="false">IF(B42="",0,N(Students!E31))</f>
        <v>0</v>
      </c>
      <c r="E42" s="23"/>
      <c r="F42" s="24" t="n">
        <f aca="false">N(C42)+N(D42)-N(E42)</f>
        <v>0</v>
      </c>
      <c r="G42" s="33" t="n">
        <f aca="false">'Mar 2027'!J42</f>
        <v>0</v>
      </c>
      <c r="H42" s="33" t="n">
        <f aca="false">IF(B42="",0,N(Students!F31))</f>
        <v>0</v>
      </c>
      <c r="I42" s="23"/>
      <c r="J42" s="24" t="n">
        <f aca="false">N(G42)+N(H42)-N(I42)</f>
        <v>0</v>
      </c>
      <c r="K42" s="33" t="n">
        <f aca="false">'Mar 2027'!N42</f>
        <v>0</v>
      </c>
      <c r="L42" s="33" t="n">
        <f aca="false">IF(B42="",0,N(Students!G31))</f>
        <v>0</v>
      </c>
      <c r="M42" s="23"/>
      <c r="N42" s="24" t="n">
        <f aca="false">N(K42)+N(L42)-N(M42)</f>
        <v>0</v>
      </c>
      <c r="O42" s="33" t="n">
        <f aca="false">'Mar 2027'!R42</f>
        <v>0</v>
      </c>
      <c r="P42" s="33" t="n">
        <f aca="false">IF(B42="",0,N(Students!H31))</f>
        <v>0</v>
      </c>
      <c r="Q42" s="23"/>
      <c r="R42" s="24" t="n">
        <f aca="false">N(O42)+N(P42)-N(Q42)</f>
        <v>0</v>
      </c>
      <c r="S42" s="33" t="n">
        <f aca="false">'Mar 2027'!V42</f>
        <v>0</v>
      </c>
      <c r="T42" s="33" t="n">
        <f aca="false">IF(B42="",0,N(Students!I31))</f>
        <v>0</v>
      </c>
      <c r="U42" s="23"/>
      <c r="V42" s="24" t="n">
        <f aca="false">N(S42)+N(T42)-N(U42)</f>
        <v>0</v>
      </c>
      <c r="W42" s="33" t="n">
        <f aca="false">'Mar 2027'!Z42</f>
        <v>0</v>
      </c>
      <c r="X42" s="33" t="n">
        <f aca="false">IF(B42="",0,N(Students!J31))</f>
        <v>0</v>
      </c>
      <c r="Y42" s="23"/>
      <c r="Z42" s="24" t="n">
        <f aca="false">N(W42)+N(X42)-N(Y42)</f>
        <v>0</v>
      </c>
      <c r="AA42" s="33" t="n">
        <f aca="false">N(E42)+N(I42)+N(M42)+N(Q42)+N(U42)+N(Y42)</f>
        <v>0</v>
      </c>
      <c r="AB42" s="24" t="n">
        <f aca="false">F42+J42+N42+R42+V42+Z42</f>
        <v>0</v>
      </c>
      <c r="AC42" s="81" t="str">
        <f aca="false">IF(B42="","",IF(AB42&lt;=0,"Clear",IF(AA42&gt;0,"Partial","Due")))</f>
        <v/>
      </c>
    </row>
    <row r="43" customFormat="false" ht="15" hidden="false" customHeight="false" outlineLevel="0" collapsed="false">
      <c r="A43" s="25" t="n">
        <v>28</v>
      </c>
      <c r="B43" s="82" t="str">
        <f aca="false">IF(Students!B32="","",Students!B32)</f>
        <v/>
      </c>
      <c r="C43" s="37" t="n">
        <f aca="false">'Mar 2027'!F43</f>
        <v>0</v>
      </c>
      <c r="D43" s="37" t="n">
        <f aca="false">IF(B43="",0,N(Students!E32))</f>
        <v>0</v>
      </c>
      <c r="E43" s="23"/>
      <c r="F43" s="26" t="n">
        <f aca="false">N(C43)+N(D43)-N(E43)</f>
        <v>0</v>
      </c>
      <c r="G43" s="37" t="n">
        <f aca="false">'Mar 2027'!J43</f>
        <v>0</v>
      </c>
      <c r="H43" s="37" t="n">
        <f aca="false">IF(B43="",0,N(Students!F32))</f>
        <v>0</v>
      </c>
      <c r="I43" s="23"/>
      <c r="J43" s="26" t="n">
        <f aca="false">N(G43)+N(H43)-N(I43)</f>
        <v>0</v>
      </c>
      <c r="K43" s="37" t="n">
        <f aca="false">'Mar 2027'!N43</f>
        <v>0</v>
      </c>
      <c r="L43" s="37" t="n">
        <f aca="false">IF(B43="",0,N(Students!G32))</f>
        <v>0</v>
      </c>
      <c r="M43" s="23"/>
      <c r="N43" s="26" t="n">
        <f aca="false">N(K43)+N(L43)-N(M43)</f>
        <v>0</v>
      </c>
      <c r="O43" s="37" t="n">
        <f aca="false">'Mar 2027'!R43</f>
        <v>0</v>
      </c>
      <c r="P43" s="37" t="n">
        <f aca="false">IF(B43="",0,N(Students!H32))</f>
        <v>0</v>
      </c>
      <c r="Q43" s="23"/>
      <c r="R43" s="26" t="n">
        <f aca="false">N(O43)+N(P43)-N(Q43)</f>
        <v>0</v>
      </c>
      <c r="S43" s="37" t="n">
        <f aca="false">'Mar 2027'!V43</f>
        <v>0</v>
      </c>
      <c r="T43" s="37" t="n">
        <f aca="false">IF(B43="",0,N(Students!I32))</f>
        <v>0</v>
      </c>
      <c r="U43" s="23"/>
      <c r="V43" s="26" t="n">
        <f aca="false">N(S43)+N(T43)-N(U43)</f>
        <v>0</v>
      </c>
      <c r="W43" s="37" t="n">
        <f aca="false">'Mar 2027'!Z43</f>
        <v>0</v>
      </c>
      <c r="X43" s="37" t="n">
        <f aca="false">IF(B43="",0,N(Students!J32))</f>
        <v>0</v>
      </c>
      <c r="Y43" s="23"/>
      <c r="Z43" s="26" t="n">
        <f aca="false">N(W43)+N(X43)-N(Y43)</f>
        <v>0</v>
      </c>
      <c r="AA43" s="37" t="n">
        <f aca="false">N(E43)+N(I43)+N(M43)+N(Q43)+N(U43)+N(Y43)</f>
        <v>0</v>
      </c>
      <c r="AB43" s="26" t="n">
        <f aca="false">F43+J43+N43+R43+V43+Z43</f>
        <v>0</v>
      </c>
      <c r="AC43" s="83" t="str">
        <f aca="false">IF(B43="","",IF(AB43&lt;=0,"Clear",IF(AA43&gt;0,"Partial","Due")))</f>
        <v/>
      </c>
    </row>
    <row r="44" customFormat="false" ht="15" hidden="false" customHeight="false" outlineLevel="0" collapsed="false">
      <c r="A44" s="21" t="n">
        <v>29</v>
      </c>
      <c r="B44" s="46" t="str">
        <f aca="false">IF(Students!B33="","",Students!B33)</f>
        <v/>
      </c>
      <c r="C44" s="33" t="n">
        <f aca="false">'Mar 2027'!F44</f>
        <v>0</v>
      </c>
      <c r="D44" s="33" t="n">
        <f aca="false">IF(B44="",0,N(Students!E33))</f>
        <v>0</v>
      </c>
      <c r="E44" s="23"/>
      <c r="F44" s="24" t="n">
        <f aca="false">N(C44)+N(D44)-N(E44)</f>
        <v>0</v>
      </c>
      <c r="G44" s="33" t="n">
        <f aca="false">'Mar 2027'!J44</f>
        <v>0</v>
      </c>
      <c r="H44" s="33" t="n">
        <f aca="false">IF(B44="",0,N(Students!F33))</f>
        <v>0</v>
      </c>
      <c r="I44" s="23"/>
      <c r="J44" s="24" t="n">
        <f aca="false">N(G44)+N(H44)-N(I44)</f>
        <v>0</v>
      </c>
      <c r="K44" s="33" t="n">
        <f aca="false">'Mar 2027'!N44</f>
        <v>0</v>
      </c>
      <c r="L44" s="33" t="n">
        <f aca="false">IF(B44="",0,N(Students!G33))</f>
        <v>0</v>
      </c>
      <c r="M44" s="23"/>
      <c r="N44" s="24" t="n">
        <f aca="false">N(K44)+N(L44)-N(M44)</f>
        <v>0</v>
      </c>
      <c r="O44" s="33" t="n">
        <f aca="false">'Mar 2027'!R44</f>
        <v>0</v>
      </c>
      <c r="P44" s="33" t="n">
        <f aca="false">IF(B44="",0,N(Students!H33))</f>
        <v>0</v>
      </c>
      <c r="Q44" s="23"/>
      <c r="R44" s="24" t="n">
        <f aca="false">N(O44)+N(P44)-N(Q44)</f>
        <v>0</v>
      </c>
      <c r="S44" s="33" t="n">
        <f aca="false">'Mar 2027'!V44</f>
        <v>0</v>
      </c>
      <c r="T44" s="33" t="n">
        <f aca="false">IF(B44="",0,N(Students!I33))</f>
        <v>0</v>
      </c>
      <c r="U44" s="23"/>
      <c r="V44" s="24" t="n">
        <f aca="false">N(S44)+N(T44)-N(U44)</f>
        <v>0</v>
      </c>
      <c r="W44" s="33" t="n">
        <f aca="false">'Mar 2027'!Z44</f>
        <v>0</v>
      </c>
      <c r="X44" s="33" t="n">
        <f aca="false">IF(B44="",0,N(Students!J33))</f>
        <v>0</v>
      </c>
      <c r="Y44" s="23"/>
      <c r="Z44" s="24" t="n">
        <f aca="false">N(W44)+N(X44)-N(Y44)</f>
        <v>0</v>
      </c>
      <c r="AA44" s="33" t="n">
        <f aca="false">N(E44)+N(I44)+N(M44)+N(Q44)+N(U44)+N(Y44)</f>
        <v>0</v>
      </c>
      <c r="AB44" s="24" t="n">
        <f aca="false">F44+J44+N44+R44+V44+Z44</f>
        <v>0</v>
      </c>
      <c r="AC44" s="81" t="str">
        <f aca="false">IF(B44="","",IF(AB44&lt;=0,"Clear",IF(AA44&gt;0,"Partial","Due")))</f>
        <v/>
      </c>
    </row>
    <row r="45" customFormat="false" ht="15" hidden="false" customHeight="false" outlineLevel="0" collapsed="false">
      <c r="A45" s="25" t="n">
        <v>30</v>
      </c>
      <c r="B45" s="82" t="str">
        <f aca="false">IF(Students!B34="","",Students!B34)</f>
        <v/>
      </c>
      <c r="C45" s="37" t="n">
        <f aca="false">'Mar 2027'!F45</f>
        <v>0</v>
      </c>
      <c r="D45" s="37" t="n">
        <f aca="false">IF(B45="",0,N(Students!E34))</f>
        <v>0</v>
      </c>
      <c r="E45" s="23"/>
      <c r="F45" s="26" t="n">
        <f aca="false">N(C45)+N(D45)-N(E45)</f>
        <v>0</v>
      </c>
      <c r="G45" s="37" t="n">
        <f aca="false">'Mar 2027'!J45</f>
        <v>0</v>
      </c>
      <c r="H45" s="37" t="n">
        <f aca="false">IF(B45="",0,N(Students!F34))</f>
        <v>0</v>
      </c>
      <c r="I45" s="23"/>
      <c r="J45" s="26" t="n">
        <f aca="false">N(G45)+N(H45)-N(I45)</f>
        <v>0</v>
      </c>
      <c r="K45" s="37" t="n">
        <f aca="false">'Mar 2027'!N45</f>
        <v>0</v>
      </c>
      <c r="L45" s="37" t="n">
        <f aca="false">IF(B45="",0,N(Students!G34))</f>
        <v>0</v>
      </c>
      <c r="M45" s="23"/>
      <c r="N45" s="26" t="n">
        <f aca="false">N(K45)+N(L45)-N(M45)</f>
        <v>0</v>
      </c>
      <c r="O45" s="37" t="n">
        <f aca="false">'Mar 2027'!R45</f>
        <v>0</v>
      </c>
      <c r="P45" s="37" t="n">
        <f aca="false">IF(B45="",0,N(Students!H34))</f>
        <v>0</v>
      </c>
      <c r="Q45" s="23"/>
      <c r="R45" s="26" t="n">
        <f aca="false">N(O45)+N(P45)-N(Q45)</f>
        <v>0</v>
      </c>
      <c r="S45" s="37" t="n">
        <f aca="false">'Mar 2027'!V45</f>
        <v>0</v>
      </c>
      <c r="T45" s="37" t="n">
        <f aca="false">IF(B45="",0,N(Students!I34))</f>
        <v>0</v>
      </c>
      <c r="U45" s="23"/>
      <c r="V45" s="26" t="n">
        <f aca="false">N(S45)+N(T45)-N(U45)</f>
        <v>0</v>
      </c>
      <c r="W45" s="37" t="n">
        <f aca="false">'Mar 2027'!Z45</f>
        <v>0</v>
      </c>
      <c r="X45" s="37" t="n">
        <f aca="false">IF(B45="",0,N(Students!J34))</f>
        <v>0</v>
      </c>
      <c r="Y45" s="23"/>
      <c r="Z45" s="26" t="n">
        <f aca="false">N(W45)+N(X45)-N(Y45)</f>
        <v>0</v>
      </c>
      <c r="AA45" s="37" t="n">
        <f aca="false">N(E45)+N(I45)+N(M45)+N(Q45)+N(U45)+N(Y45)</f>
        <v>0</v>
      </c>
      <c r="AB45" s="26" t="n">
        <f aca="false">F45+J45+N45+R45+V45+Z45</f>
        <v>0</v>
      </c>
      <c r="AC45" s="83" t="str">
        <f aca="false">IF(B45="","",IF(AB45&lt;=0,"Clear",IF(AA45&gt;0,"Partial","Due")))</f>
        <v/>
      </c>
    </row>
    <row r="46" customFormat="false" ht="15" hidden="false" customHeight="false" outlineLevel="0" collapsed="false">
      <c r="A46" s="21" t="n">
        <v>31</v>
      </c>
      <c r="B46" s="46" t="str">
        <f aca="false">IF(Students!B35="","",Students!B35)</f>
        <v/>
      </c>
      <c r="C46" s="33" t="n">
        <f aca="false">'Mar 2027'!F46</f>
        <v>0</v>
      </c>
      <c r="D46" s="33" t="n">
        <f aca="false">IF(B46="",0,N(Students!E35))</f>
        <v>0</v>
      </c>
      <c r="E46" s="23"/>
      <c r="F46" s="24" t="n">
        <f aca="false">N(C46)+N(D46)-N(E46)</f>
        <v>0</v>
      </c>
      <c r="G46" s="33" t="n">
        <f aca="false">'Mar 2027'!J46</f>
        <v>0</v>
      </c>
      <c r="H46" s="33" t="n">
        <f aca="false">IF(B46="",0,N(Students!F35))</f>
        <v>0</v>
      </c>
      <c r="I46" s="23"/>
      <c r="J46" s="24" t="n">
        <f aca="false">N(G46)+N(H46)-N(I46)</f>
        <v>0</v>
      </c>
      <c r="K46" s="33" t="n">
        <f aca="false">'Mar 2027'!N46</f>
        <v>0</v>
      </c>
      <c r="L46" s="33" t="n">
        <f aca="false">IF(B46="",0,N(Students!G35))</f>
        <v>0</v>
      </c>
      <c r="M46" s="23"/>
      <c r="N46" s="24" t="n">
        <f aca="false">N(K46)+N(L46)-N(M46)</f>
        <v>0</v>
      </c>
      <c r="O46" s="33" t="n">
        <f aca="false">'Mar 2027'!R46</f>
        <v>0</v>
      </c>
      <c r="P46" s="33" t="n">
        <f aca="false">IF(B46="",0,N(Students!H35))</f>
        <v>0</v>
      </c>
      <c r="Q46" s="23"/>
      <c r="R46" s="24" t="n">
        <f aca="false">N(O46)+N(P46)-N(Q46)</f>
        <v>0</v>
      </c>
      <c r="S46" s="33" t="n">
        <f aca="false">'Mar 2027'!V46</f>
        <v>0</v>
      </c>
      <c r="T46" s="33" t="n">
        <f aca="false">IF(B46="",0,N(Students!I35))</f>
        <v>0</v>
      </c>
      <c r="U46" s="23"/>
      <c r="V46" s="24" t="n">
        <f aca="false">N(S46)+N(T46)-N(U46)</f>
        <v>0</v>
      </c>
      <c r="W46" s="33" t="n">
        <f aca="false">'Mar 2027'!Z46</f>
        <v>0</v>
      </c>
      <c r="X46" s="33" t="n">
        <f aca="false">IF(B46="",0,N(Students!J35))</f>
        <v>0</v>
      </c>
      <c r="Y46" s="23"/>
      <c r="Z46" s="24" t="n">
        <f aca="false">N(W46)+N(X46)-N(Y46)</f>
        <v>0</v>
      </c>
      <c r="AA46" s="33" t="n">
        <f aca="false">N(E46)+N(I46)+N(M46)+N(Q46)+N(U46)+N(Y46)</f>
        <v>0</v>
      </c>
      <c r="AB46" s="24" t="n">
        <f aca="false">F46+J46+N46+R46+V46+Z46</f>
        <v>0</v>
      </c>
      <c r="AC46" s="81" t="str">
        <f aca="false">IF(B46="","",IF(AB46&lt;=0,"Clear",IF(AA46&gt;0,"Partial","Due")))</f>
        <v/>
      </c>
    </row>
    <row r="47" customFormat="false" ht="15" hidden="false" customHeight="false" outlineLevel="0" collapsed="false">
      <c r="A47" s="25" t="n">
        <v>32</v>
      </c>
      <c r="B47" s="82" t="str">
        <f aca="false">IF(Students!B36="","",Students!B36)</f>
        <v/>
      </c>
      <c r="C47" s="37" t="n">
        <f aca="false">'Mar 2027'!F47</f>
        <v>0</v>
      </c>
      <c r="D47" s="37" t="n">
        <f aca="false">IF(B47="",0,N(Students!E36))</f>
        <v>0</v>
      </c>
      <c r="E47" s="23"/>
      <c r="F47" s="26" t="n">
        <f aca="false">N(C47)+N(D47)-N(E47)</f>
        <v>0</v>
      </c>
      <c r="G47" s="37" t="n">
        <f aca="false">'Mar 2027'!J47</f>
        <v>0</v>
      </c>
      <c r="H47" s="37" t="n">
        <f aca="false">IF(B47="",0,N(Students!F36))</f>
        <v>0</v>
      </c>
      <c r="I47" s="23"/>
      <c r="J47" s="26" t="n">
        <f aca="false">N(G47)+N(H47)-N(I47)</f>
        <v>0</v>
      </c>
      <c r="K47" s="37" t="n">
        <f aca="false">'Mar 2027'!N47</f>
        <v>0</v>
      </c>
      <c r="L47" s="37" t="n">
        <f aca="false">IF(B47="",0,N(Students!G36))</f>
        <v>0</v>
      </c>
      <c r="M47" s="23"/>
      <c r="N47" s="26" t="n">
        <f aca="false">N(K47)+N(L47)-N(M47)</f>
        <v>0</v>
      </c>
      <c r="O47" s="37" t="n">
        <f aca="false">'Mar 2027'!R47</f>
        <v>0</v>
      </c>
      <c r="P47" s="37" t="n">
        <f aca="false">IF(B47="",0,N(Students!H36))</f>
        <v>0</v>
      </c>
      <c r="Q47" s="23"/>
      <c r="R47" s="26" t="n">
        <f aca="false">N(O47)+N(P47)-N(Q47)</f>
        <v>0</v>
      </c>
      <c r="S47" s="37" t="n">
        <f aca="false">'Mar 2027'!V47</f>
        <v>0</v>
      </c>
      <c r="T47" s="37" t="n">
        <f aca="false">IF(B47="",0,N(Students!I36))</f>
        <v>0</v>
      </c>
      <c r="U47" s="23"/>
      <c r="V47" s="26" t="n">
        <f aca="false">N(S47)+N(T47)-N(U47)</f>
        <v>0</v>
      </c>
      <c r="W47" s="37" t="n">
        <f aca="false">'Mar 2027'!Z47</f>
        <v>0</v>
      </c>
      <c r="X47" s="37" t="n">
        <f aca="false">IF(B47="",0,N(Students!J36))</f>
        <v>0</v>
      </c>
      <c r="Y47" s="23"/>
      <c r="Z47" s="26" t="n">
        <f aca="false">N(W47)+N(X47)-N(Y47)</f>
        <v>0</v>
      </c>
      <c r="AA47" s="37" t="n">
        <f aca="false">N(E47)+N(I47)+N(M47)+N(Q47)+N(U47)+N(Y47)</f>
        <v>0</v>
      </c>
      <c r="AB47" s="26" t="n">
        <f aca="false">F47+J47+N47+R47+V47+Z47</f>
        <v>0</v>
      </c>
      <c r="AC47" s="83" t="str">
        <f aca="false">IF(B47="","",IF(AB47&lt;=0,"Clear",IF(AA47&gt;0,"Partial","Due")))</f>
        <v/>
      </c>
    </row>
    <row r="48" customFormat="false" ht="15" hidden="false" customHeight="false" outlineLevel="0" collapsed="false">
      <c r="A48" s="21" t="n">
        <v>33</v>
      </c>
      <c r="B48" s="46" t="str">
        <f aca="false">IF(Students!B37="","",Students!B37)</f>
        <v/>
      </c>
      <c r="C48" s="33" t="n">
        <f aca="false">'Mar 2027'!F48</f>
        <v>0</v>
      </c>
      <c r="D48" s="33" t="n">
        <f aca="false">IF(B48="",0,N(Students!E37))</f>
        <v>0</v>
      </c>
      <c r="E48" s="23"/>
      <c r="F48" s="24" t="n">
        <f aca="false">N(C48)+N(D48)-N(E48)</f>
        <v>0</v>
      </c>
      <c r="G48" s="33" t="n">
        <f aca="false">'Mar 2027'!J48</f>
        <v>0</v>
      </c>
      <c r="H48" s="33" t="n">
        <f aca="false">IF(B48="",0,N(Students!F37))</f>
        <v>0</v>
      </c>
      <c r="I48" s="23"/>
      <c r="J48" s="24" t="n">
        <f aca="false">N(G48)+N(H48)-N(I48)</f>
        <v>0</v>
      </c>
      <c r="K48" s="33" t="n">
        <f aca="false">'Mar 2027'!N48</f>
        <v>0</v>
      </c>
      <c r="L48" s="33" t="n">
        <f aca="false">IF(B48="",0,N(Students!G37))</f>
        <v>0</v>
      </c>
      <c r="M48" s="23"/>
      <c r="N48" s="24" t="n">
        <f aca="false">N(K48)+N(L48)-N(M48)</f>
        <v>0</v>
      </c>
      <c r="O48" s="33" t="n">
        <f aca="false">'Mar 2027'!R48</f>
        <v>0</v>
      </c>
      <c r="P48" s="33" t="n">
        <f aca="false">IF(B48="",0,N(Students!H37))</f>
        <v>0</v>
      </c>
      <c r="Q48" s="23"/>
      <c r="R48" s="24" t="n">
        <f aca="false">N(O48)+N(P48)-N(Q48)</f>
        <v>0</v>
      </c>
      <c r="S48" s="33" t="n">
        <f aca="false">'Mar 2027'!V48</f>
        <v>0</v>
      </c>
      <c r="T48" s="33" t="n">
        <f aca="false">IF(B48="",0,N(Students!I37))</f>
        <v>0</v>
      </c>
      <c r="U48" s="23"/>
      <c r="V48" s="24" t="n">
        <f aca="false">N(S48)+N(T48)-N(U48)</f>
        <v>0</v>
      </c>
      <c r="W48" s="33" t="n">
        <f aca="false">'Mar 2027'!Z48</f>
        <v>0</v>
      </c>
      <c r="X48" s="33" t="n">
        <f aca="false">IF(B48="",0,N(Students!J37))</f>
        <v>0</v>
      </c>
      <c r="Y48" s="23"/>
      <c r="Z48" s="24" t="n">
        <f aca="false">N(W48)+N(X48)-N(Y48)</f>
        <v>0</v>
      </c>
      <c r="AA48" s="33" t="n">
        <f aca="false">N(E48)+N(I48)+N(M48)+N(Q48)+N(U48)+N(Y48)</f>
        <v>0</v>
      </c>
      <c r="AB48" s="24" t="n">
        <f aca="false">F48+J48+N48+R48+V48+Z48</f>
        <v>0</v>
      </c>
      <c r="AC48" s="81" t="str">
        <f aca="false">IF(B48="","",IF(AB48&lt;=0,"Clear",IF(AA48&gt;0,"Partial","Due")))</f>
        <v/>
      </c>
    </row>
    <row r="49" customFormat="false" ht="15" hidden="false" customHeight="false" outlineLevel="0" collapsed="false">
      <c r="A49" s="25" t="n">
        <v>34</v>
      </c>
      <c r="B49" s="82" t="str">
        <f aca="false">IF(Students!B38="","",Students!B38)</f>
        <v/>
      </c>
      <c r="C49" s="37" t="n">
        <f aca="false">'Mar 2027'!F49</f>
        <v>0</v>
      </c>
      <c r="D49" s="37" t="n">
        <f aca="false">IF(B49="",0,N(Students!E38))</f>
        <v>0</v>
      </c>
      <c r="E49" s="23"/>
      <c r="F49" s="26" t="n">
        <f aca="false">N(C49)+N(D49)-N(E49)</f>
        <v>0</v>
      </c>
      <c r="G49" s="37" t="n">
        <f aca="false">'Mar 2027'!J49</f>
        <v>0</v>
      </c>
      <c r="H49" s="37" t="n">
        <f aca="false">IF(B49="",0,N(Students!F38))</f>
        <v>0</v>
      </c>
      <c r="I49" s="23"/>
      <c r="J49" s="26" t="n">
        <f aca="false">N(G49)+N(H49)-N(I49)</f>
        <v>0</v>
      </c>
      <c r="K49" s="37" t="n">
        <f aca="false">'Mar 2027'!N49</f>
        <v>0</v>
      </c>
      <c r="L49" s="37" t="n">
        <f aca="false">IF(B49="",0,N(Students!G38))</f>
        <v>0</v>
      </c>
      <c r="M49" s="23"/>
      <c r="N49" s="26" t="n">
        <f aca="false">N(K49)+N(L49)-N(M49)</f>
        <v>0</v>
      </c>
      <c r="O49" s="37" t="n">
        <f aca="false">'Mar 2027'!R49</f>
        <v>0</v>
      </c>
      <c r="P49" s="37" t="n">
        <f aca="false">IF(B49="",0,N(Students!H38))</f>
        <v>0</v>
      </c>
      <c r="Q49" s="23"/>
      <c r="R49" s="26" t="n">
        <f aca="false">N(O49)+N(P49)-N(Q49)</f>
        <v>0</v>
      </c>
      <c r="S49" s="37" t="n">
        <f aca="false">'Mar 2027'!V49</f>
        <v>0</v>
      </c>
      <c r="T49" s="37" t="n">
        <f aca="false">IF(B49="",0,N(Students!I38))</f>
        <v>0</v>
      </c>
      <c r="U49" s="23"/>
      <c r="V49" s="26" t="n">
        <f aca="false">N(S49)+N(T49)-N(U49)</f>
        <v>0</v>
      </c>
      <c r="W49" s="37" t="n">
        <f aca="false">'Mar 2027'!Z49</f>
        <v>0</v>
      </c>
      <c r="X49" s="37" t="n">
        <f aca="false">IF(B49="",0,N(Students!J38))</f>
        <v>0</v>
      </c>
      <c r="Y49" s="23"/>
      <c r="Z49" s="26" t="n">
        <f aca="false">N(W49)+N(X49)-N(Y49)</f>
        <v>0</v>
      </c>
      <c r="AA49" s="37" t="n">
        <f aca="false">N(E49)+N(I49)+N(M49)+N(Q49)+N(U49)+N(Y49)</f>
        <v>0</v>
      </c>
      <c r="AB49" s="26" t="n">
        <f aca="false">F49+J49+N49+R49+V49+Z49</f>
        <v>0</v>
      </c>
      <c r="AC49" s="83" t="str">
        <f aca="false">IF(B49="","",IF(AB49&lt;=0,"Clear",IF(AA49&gt;0,"Partial","Due")))</f>
        <v/>
      </c>
    </row>
    <row r="50" customFormat="false" ht="15" hidden="false" customHeight="false" outlineLevel="0" collapsed="false">
      <c r="A50" s="21" t="n">
        <v>35</v>
      </c>
      <c r="B50" s="46" t="str">
        <f aca="false">IF(Students!B39="","",Students!B39)</f>
        <v/>
      </c>
      <c r="C50" s="33" t="n">
        <f aca="false">'Mar 2027'!F50</f>
        <v>0</v>
      </c>
      <c r="D50" s="33" t="n">
        <f aca="false">IF(B50="",0,N(Students!E39))</f>
        <v>0</v>
      </c>
      <c r="E50" s="23"/>
      <c r="F50" s="24" t="n">
        <f aca="false">N(C50)+N(D50)-N(E50)</f>
        <v>0</v>
      </c>
      <c r="G50" s="33" t="n">
        <f aca="false">'Mar 2027'!J50</f>
        <v>0</v>
      </c>
      <c r="H50" s="33" t="n">
        <f aca="false">IF(B50="",0,N(Students!F39))</f>
        <v>0</v>
      </c>
      <c r="I50" s="23"/>
      <c r="J50" s="24" t="n">
        <f aca="false">N(G50)+N(H50)-N(I50)</f>
        <v>0</v>
      </c>
      <c r="K50" s="33" t="n">
        <f aca="false">'Mar 2027'!N50</f>
        <v>0</v>
      </c>
      <c r="L50" s="33" t="n">
        <f aca="false">IF(B50="",0,N(Students!G39))</f>
        <v>0</v>
      </c>
      <c r="M50" s="23"/>
      <c r="N50" s="24" t="n">
        <f aca="false">N(K50)+N(L50)-N(M50)</f>
        <v>0</v>
      </c>
      <c r="O50" s="33" t="n">
        <f aca="false">'Mar 2027'!R50</f>
        <v>0</v>
      </c>
      <c r="P50" s="33" t="n">
        <f aca="false">IF(B50="",0,N(Students!H39))</f>
        <v>0</v>
      </c>
      <c r="Q50" s="23"/>
      <c r="R50" s="24" t="n">
        <f aca="false">N(O50)+N(P50)-N(Q50)</f>
        <v>0</v>
      </c>
      <c r="S50" s="33" t="n">
        <f aca="false">'Mar 2027'!V50</f>
        <v>0</v>
      </c>
      <c r="T50" s="33" t="n">
        <f aca="false">IF(B50="",0,N(Students!I39))</f>
        <v>0</v>
      </c>
      <c r="U50" s="23"/>
      <c r="V50" s="24" t="n">
        <f aca="false">N(S50)+N(T50)-N(U50)</f>
        <v>0</v>
      </c>
      <c r="W50" s="33" t="n">
        <f aca="false">'Mar 2027'!Z50</f>
        <v>0</v>
      </c>
      <c r="X50" s="33" t="n">
        <f aca="false">IF(B50="",0,N(Students!J39))</f>
        <v>0</v>
      </c>
      <c r="Y50" s="23"/>
      <c r="Z50" s="24" t="n">
        <f aca="false">N(W50)+N(X50)-N(Y50)</f>
        <v>0</v>
      </c>
      <c r="AA50" s="33" t="n">
        <f aca="false">N(E50)+N(I50)+N(M50)+N(Q50)+N(U50)+N(Y50)</f>
        <v>0</v>
      </c>
      <c r="AB50" s="24" t="n">
        <f aca="false">F50+J50+N50+R50+V50+Z50</f>
        <v>0</v>
      </c>
      <c r="AC50" s="81" t="str">
        <f aca="false">IF(B50="","",IF(AB50&lt;=0,"Clear",IF(AA50&gt;0,"Partial","Due")))</f>
        <v/>
      </c>
    </row>
    <row r="51" customFormat="false" ht="15" hidden="false" customHeight="false" outlineLevel="0" collapsed="false">
      <c r="A51" s="25" t="n">
        <v>36</v>
      </c>
      <c r="B51" s="82" t="str">
        <f aca="false">IF(Students!B40="","",Students!B40)</f>
        <v/>
      </c>
      <c r="C51" s="37" t="n">
        <f aca="false">'Mar 2027'!F51</f>
        <v>0</v>
      </c>
      <c r="D51" s="37" t="n">
        <f aca="false">IF(B51="",0,N(Students!E40))</f>
        <v>0</v>
      </c>
      <c r="E51" s="23"/>
      <c r="F51" s="26" t="n">
        <f aca="false">N(C51)+N(D51)-N(E51)</f>
        <v>0</v>
      </c>
      <c r="G51" s="37" t="n">
        <f aca="false">'Mar 2027'!J51</f>
        <v>0</v>
      </c>
      <c r="H51" s="37" t="n">
        <f aca="false">IF(B51="",0,N(Students!F40))</f>
        <v>0</v>
      </c>
      <c r="I51" s="23"/>
      <c r="J51" s="26" t="n">
        <f aca="false">N(G51)+N(H51)-N(I51)</f>
        <v>0</v>
      </c>
      <c r="K51" s="37" t="n">
        <f aca="false">'Mar 2027'!N51</f>
        <v>0</v>
      </c>
      <c r="L51" s="37" t="n">
        <f aca="false">IF(B51="",0,N(Students!G40))</f>
        <v>0</v>
      </c>
      <c r="M51" s="23"/>
      <c r="N51" s="26" t="n">
        <f aca="false">N(K51)+N(L51)-N(M51)</f>
        <v>0</v>
      </c>
      <c r="O51" s="37" t="n">
        <f aca="false">'Mar 2027'!R51</f>
        <v>0</v>
      </c>
      <c r="P51" s="37" t="n">
        <f aca="false">IF(B51="",0,N(Students!H40))</f>
        <v>0</v>
      </c>
      <c r="Q51" s="23"/>
      <c r="R51" s="26" t="n">
        <f aca="false">N(O51)+N(P51)-N(Q51)</f>
        <v>0</v>
      </c>
      <c r="S51" s="37" t="n">
        <f aca="false">'Mar 2027'!V51</f>
        <v>0</v>
      </c>
      <c r="T51" s="37" t="n">
        <f aca="false">IF(B51="",0,N(Students!I40))</f>
        <v>0</v>
      </c>
      <c r="U51" s="23"/>
      <c r="V51" s="26" t="n">
        <f aca="false">N(S51)+N(T51)-N(U51)</f>
        <v>0</v>
      </c>
      <c r="W51" s="37" t="n">
        <f aca="false">'Mar 2027'!Z51</f>
        <v>0</v>
      </c>
      <c r="X51" s="37" t="n">
        <f aca="false">IF(B51="",0,N(Students!J40))</f>
        <v>0</v>
      </c>
      <c r="Y51" s="23"/>
      <c r="Z51" s="26" t="n">
        <f aca="false">N(W51)+N(X51)-N(Y51)</f>
        <v>0</v>
      </c>
      <c r="AA51" s="37" t="n">
        <f aca="false">N(E51)+N(I51)+N(M51)+N(Q51)+N(U51)+N(Y51)</f>
        <v>0</v>
      </c>
      <c r="AB51" s="26" t="n">
        <f aca="false">F51+J51+N51+R51+V51+Z51</f>
        <v>0</v>
      </c>
      <c r="AC51" s="83" t="str">
        <f aca="false">IF(B51="","",IF(AB51&lt;=0,"Clear",IF(AA51&gt;0,"Partial","Due")))</f>
        <v/>
      </c>
    </row>
    <row r="52" customFormat="false" ht="15" hidden="false" customHeight="false" outlineLevel="0" collapsed="false">
      <c r="A52" s="21" t="n">
        <v>37</v>
      </c>
      <c r="B52" s="46" t="str">
        <f aca="false">IF(Students!B41="","",Students!B41)</f>
        <v/>
      </c>
      <c r="C52" s="33" t="n">
        <f aca="false">'Mar 2027'!F52</f>
        <v>0</v>
      </c>
      <c r="D52" s="33" t="n">
        <f aca="false">IF(B52="",0,N(Students!E41))</f>
        <v>0</v>
      </c>
      <c r="E52" s="23"/>
      <c r="F52" s="24" t="n">
        <f aca="false">N(C52)+N(D52)-N(E52)</f>
        <v>0</v>
      </c>
      <c r="G52" s="33" t="n">
        <f aca="false">'Mar 2027'!J52</f>
        <v>0</v>
      </c>
      <c r="H52" s="33" t="n">
        <f aca="false">IF(B52="",0,N(Students!F41))</f>
        <v>0</v>
      </c>
      <c r="I52" s="23"/>
      <c r="J52" s="24" t="n">
        <f aca="false">N(G52)+N(H52)-N(I52)</f>
        <v>0</v>
      </c>
      <c r="K52" s="33" t="n">
        <f aca="false">'Mar 2027'!N52</f>
        <v>0</v>
      </c>
      <c r="L52" s="33" t="n">
        <f aca="false">IF(B52="",0,N(Students!G41))</f>
        <v>0</v>
      </c>
      <c r="M52" s="23"/>
      <c r="N52" s="24" t="n">
        <f aca="false">N(K52)+N(L52)-N(M52)</f>
        <v>0</v>
      </c>
      <c r="O52" s="33" t="n">
        <f aca="false">'Mar 2027'!R52</f>
        <v>0</v>
      </c>
      <c r="P52" s="33" t="n">
        <f aca="false">IF(B52="",0,N(Students!H41))</f>
        <v>0</v>
      </c>
      <c r="Q52" s="23"/>
      <c r="R52" s="24" t="n">
        <f aca="false">N(O52)+N(P52)-N(Q52)</f>
        <v>0</v>
      </c>
      <c r="S52" s="33" t="n">
        <f aca="false">'Mar 2027'!V52</f>
        <v>0</v>
      </c>
      <c r="T52" s="33" t="n">
        <f aca="false">IF(B52="",0,N(Students!I41))</f>
        <v>0</v>
      </c>
      <c r="U52" s="23"/>
      <c r="V52" s="24" t="n">
        <f aca="false">N(S52)+N(T52)-N(U52)</f>
        <v>0</v>
      </c>
      <c r="W52" s="33" t="n">
        <f aca="false">'Mar 2027'!Z52</f>
        <v>0</v>
      </c>
      <c r="X52" s="33" t="n">
        <f aca="false">IF(B52="",0,N(Students!J41))</f>
        <v>0</v>
      </c>
      <c r="Y52" s="23"/>
      <c r="Z52" s="24" t="n">
        <f aca="false">N(W52)+N(X52)-N(Y52)</f>
        <v>0</v>
      </c>
      <c r="AA52" s="33" t="n">
        <f aca="false">N(E52)+N(I52)+N(M52)+N(Q52)+N(U52)+N(Y52)</f>
        <v>0</v>
      </c>
      <c r="AB52" s="24" t="n">
        <f aca="false">F52+J52+N52+R52+V52+Z52</f>
        <v>0</v>
      </c>
      <c r="AC52" s="81" t="str">
        <f aca="false">IF(B52="","",IF(AB52&lt;=0,"Clear",IF(AA52&gt;0,"Partial","Due")))</f>
        <v/>
      </c>
    </row>
    <row r="53" customFormat="false" ht="15" hidden="false" customHeight="false" outlineLevel="0" collapsed="false">
      <c r="A53" s="25" t="n">
        <v>38</v>
      </c>
      <c r="B53" s="82" t="str">
        <f aca="false">IF(Students!B42="","",Students!B42)</f>
        <v/>
      </c>
      <c r="C53" s="37" t="n">
        <f aca="false">'Mar 2027'!F53</f>
        <v>0</v>
      </c>
      <c r="D53" s="37" t="n">
        <f aca="false">IF(B53="",0,N(Students!E42))</f>
        <v>0</v>
      </c>
      <c r="E53" s="23"/>
      <c r="F53" s="26" t="n">
        <f aca="false">N(C53)+N(D53)-N(E53)</f>
        <v>0</v>
      </c>
      <c r="G53" s="37" t="n">
        <f aca="false">'Mar 2027'!J53</f>
        <v>0</v>
      </c>
      <c r="H53" s="37" t="n">
        <f aca="false">IF(B53="",0,N(Students!F42))</f>
        <v>0</v>
      </c>
      <c r="I53" s="23"/>
      <c r="J53" s="26" t="n">
        <f aca="false">N(G53)+N(H53)-N(I53)</f>
        <v>0</v>
      </c>
      <c r="K53" s="37" t="n">
        <f aca="false">'Mar 2027'!N53</f>
        <v>0</v>
      </c>
      <c r="L53" s="37" t="n">
        <f aca="false">IF(B53="",0,N(Students!G42))</f>
        <v>0</v>
      </c>
      <c r="M53" s="23"/>
      <c r="N53" s="26" t="n">
        <f aca="false">N(K53)+N(L53)-N(M53)</f>
        <v>0</v>
      </c>
      <c r="O53" s="37" t="n">
        <f aca="false">'Mar 2027'!R53</f>
        <v>0</v>
      </c>
      <c r="P53" s="37" t="n">
        <f aca="false">IF(B53="",0,N(Students!H42))</f>
        <v>0</v>
      </c>
      <c r="Q53" s="23"/>
      <c r="R53" s="26" t="n">
        <f aca="false">N(O53)+N(P53)-N(Q53)</f>
        <v>0</v>
      </c>
      <c r="S53" s="37" t="n">
        <f aca="false">'Mar 2027'!V53</f>
        <v>0</v>
      </c>
      <c r="T53" s="37" t="n">
        <f aca="false">IF(B53="",0,N(Students!I42))</f>
        <v>0</v>
      </c>
      <c r="U53" s="23"/>
      <c r="V53" s="26" t="n">
        <f aca="false">N(S53)+N(T53)-N(U53)</f>
        <v>0</v>
      </c>
      <c r="W53" s="37" t="n">
        <f aca="false">'Mar 2027'!Z53</f>
        <v>0</v>
      </c>
      <c r="X53" s="37" t="n">
        <f aca="false">IF(B53="",0,N(Students!J42))</f>
        <v>0</v>
      </c>
      <c r="Y53" s="23"/>
      <c r="Z53" s="26" t="n">
        <f aca="false">N(W53)+N(X53)-N(Y53)</f>
        <v>0</v>
      </c>
      <c r="AA53" s="37" t="n">
        <f aca="false">N(E53)+N(I53)+N(M53)+N(Q53)+N(U53)+N(Y53)</f>
        <v>0</v>
      </c>
      <c r="AB53" s="26" t="n">
        <f aca="false">F53+J53+N53+R53+V53+Z53</f>
        <v>0</v>
      </c>
      <c r="AC53" s="83" t="str">
        <f aca="false">IF(B53="","",IF(AB53&lt;=0,"Clear",IF(AA53&gt;0,"Partial","Due")))</f>
        <v/>
      </c>
    </row>
    <row r="54" customFormat="false" ht="15" hidden="false" customHeight="false" outlineLevel="0" collapsed="false">
      <c r="A54" s="21" t="n">
        <v>39</v>
      </c>
      <c r="B54" s="46" t="str">
        <f aca="false">IF(Students!B43="","",Students!B43)</f>
        <v/>
      </c>
      <c r="C54" s="33" t="n">
        <f aca="false">'Mar 2027'!F54</f>
        <v>0</v>
      </c>
      <c r="D54" s="33" t="n">
        <f aca="false">IF(B54="",0,N(Students!E43))</f>
        <v>0</v>
      </c>
      <c r="E54" s="23"/>
      <c r="F54" s="24" t="n">
        <f aca="false">N(C54)+N(D54)-N(E54)</f>
        <v>0</v>
      </c>
      <c r="G54" s="33" t="n">
        <f aca="false">'Mar 2027'!J54</f>
        <v>0</v>
      </c>
      <c r="H54" s="33" t="n">
        <f aca="false">IF(B54="",0,N(Students!F43))</f>
        <v>0</v>
      </c>
      <c r="I54" s="23"/>
      <c r="J54" s="24" t="n">
        <f aca="false">N(G54)+N(H54)-N(I54)</f>
        <v>0</v>
      </c>
      <c r="K54" s="33" t="n">
        <f aca="false">'Mar 2027'!N54</f>
        <v>0</v>
      </c>
      <c r="L54" s="33" t="n">
        <f aca="false">IF(B54="",0,N(Students!G43))</f>
        <v>0</v>
      </c>
      <c r="M54" s="23"/>
      <c r="N54" s="24" t="n">
        <f aca="false">N(K54)+N(L54)-N(M54)</f>
        <v>0</v>
      </c>
      <c r="O54" s="33" t="n">
        <f aca="false">'Mar 2027'!R54</f>
        <v>0</v>
      </c>
      <c r="P54" s="33" t="n">
        <f aca="false">IF(B54="",0,N(Students!H43))</f>
        <v>0</v>
      </c>
      <c r="Q54" s="23"/>
      <c r="R54" s="24" t="n">
        <f aca="false">N(O54)+N(P54)-N(Q54)</f>
        <v>0</v>
      </c>
      <c r="S54" s="33" t="n">
        <f aca="false">'Mar 2027'!V54</f>
        <v>0</v>
      </c>
      <c r="T54" s="33" t="n">
        <f aca="false">IF(B54="",0,N(Students!I43))</f>
        <v>0</v>
      </c>
      <c r="U54" s="23"/>
      <c r="V54" s="24" t="n">
        <f aca="false">N(S54)+N(T54)-N(U54)</f>
        <v>0</v>
      </c>
      <c r="W54" s="33" t="n">
        <f aca="false">'Mar 2027'!Z54</f>
        <v>0</v>
      </c>
      <c r="X54" s="33" t="n">
        <f aca="false">IF(B54="",0,N(Students!J43))</f>
        <v>0</v>
      </c>
      <c r="Y54" s="23"/>
      <c r="Z54" s="24" t="n">
        <f aca="false">N(W54)+N(X54)-N(Y54)</f>
        <v>0</v>
      </c>
      <c r="AA54" s="33" t="n">
        <f aca="false">N(E54)+N(I54)+N(M54)+N(Q54)+N(U54)+N(Y54)</f>
        <v>0</v>
      </c>
      <c r="AB54" s="24" t="n">
        <f aca="false">F54+J54+N54+R54+V54+Z54</f>
        <v>0</v>
      </c>
      <c r="AC54" s="81" t="str">
        <f aca="false">IF(B54="","",IF(AB54&lt;=0,"Clear",IF(AA54&gt;0,"Partial","Due")))</f>
        <v/>
      </c>
    </row>
    <row r="55" customFormat="false" ht="15" hidden="false" customHeight="false" outlineLevel="0" collapsed="false">
      <c r="A55" s="25" t="n">
        <v>40</v>
      </c>
      <c r="B55" s="82" t="str">
        <f aca="false">IF(Students!B44="","",Students!B44)</f>
        <v/>
      </c>
      <c r="C55" s="37" t="n">
        <f aca="false">'Mar 2027'!F55</f>
        <v>0</v>
      </c>
      <c r="D55" s="37" t="n">
        <f aca="false">IF(B55="",0,N(Students!E44))</f>
        <v>0</v>
      </c>
      <c r="E55" s="23"/>
      <c r="F55" s="26" t="n">
        <f aca="false">N(C55)+N(D55)-N(E55)</f>
        <v>0</v>
      </c>
      <c r="G55" s="37" t="n">
        <f aca="false">'Mar 2027'!J55</f>
        <v>0</v>
      </c>
      <c r="H55" s="37" t="n">
        <f aca="false">IF(B55="",0,N(Students!F44))</f>
        <v>0</v>
      </c>
      <c r="I55" s="23"/>
      <c r="J55" s="26" t="n">
        <f aca="false">N(G55)+N(H55)-N(I55)</f>
        <v>0</v>
      </c>
      <c r="K55" s="37" t="n">
        <f aca="false">'Mar 2027'!N55</f>
        <v>0</v>
      </c>
      <c r="L55" s="37" t="n">
        <f aca="false">IF(B55="",0,N(Students!G44))</f>
        <v>0</v>
      </c>
      <c r="M55" s="23"/>
      <c r="N55" s="26" t="n">
        <f aca="false">N(K55)+N(L55)-N(M55)</f>
        <v>0</v>
      </c>
      <c r="O55" s="37" t="n">
        <f aca="false">'Mar 2027'!R55</f>
        <v>0</v>
      </c>
      <c r="P55" s="37" t="n">
        <f aca="false">IF(B55="",0,N(Students!H44))</f>
        <v>0</v>
      </c>
      <c r="Q55" s="23"/>
      <c r="R55" s="26" t="n">
        <f aca="false">N(O55)+N(P55)-N(Q55)</f>
        <v>0</v>
      </c>
      <c r="S55" s="37" t="n">
        <f aca="false">'Mar 2027'!V55</f>
        <v>0</v>
      </c>
      <c r="T55" s="37" t="n">
        <f aca="false">IF(B55="",0,N(Students!I44))</f>
        <v>0</v>
      </c>
      <c r="U55" s="23"/>
      <c r="V55" s="26" t="n">
        <f aca="false">N(S55)+N(T55)-N(U55)</f>
        <v>0</v>
      </c>
      <c r="W55" s="37" t="n">
        <f aca="false">'Mar 2027'!Z55</f>
        <v>0</v>
      </c>
      <c r="X55" s="37" t="n">
        <f aca="false">IF(B55="",0,N(Students!J44))</f>
        <v>0</v>
      </c>
      <c r="Y55" s="23"/>
      <c r="Z55" s="26" t="n">
        <f aca="false">N(W55)+N(X55)-N(Y55)</f>
        <v>0</v>
      </c>
      <c r="AA55" s="37" t="n">
        <f aca="false">N(E55)+N(I55)+N(M55)+N(Q55)+N(U55)+N(Y55)</f>
        <v>0</v>
      </c>
      <c r="AB55" s="26" t="n">
        <f aca="false">F55+J55+N55+R55+V55+Z55</f>
        <v>0</v>
      </c>
      <c r="AC55" s="83" t="str">
        <f aca="false">IF(B55="","",IF(AB55&lt;=0,"Clear",IF(AA55&gt;0,"Partial","Due")))</f>
        <v/>
      </c>
    </row>
    <row r="56" customFormat="false" ht="15" hidden="false" customHeight="false" outlineLevel="0" collapsed="false">
      <c r="A56" s="21" t="n">
        <v>41</v>
      </c>
      <c r="B56" s="46" t="str">
        <f aca="false">IF(Students!B45="","",Students!B45)</f>
        <v/>
      </c>
      <c r="C56" s="33" t="n">
        <f aca="false">'Mar 2027'!F56</f>
        <v>0</v>
      </c>
      <c r="D56" s="33" t="n">
        <f aca="false">IF(B56="",0,N(Students!E45))</f>
        <v>0</v>
      </c>
      <c r="E56" s="23"/>
      <c r="F56" s="24" t="n">
        <f aca="false">N(C56)+N(D56)-N(E56)</f>
        <v>0</v>
      </c>
      <c r="G56" s="33" t="n">
        <f aca="false">'Mar 2027'!J56</f>
        <v>0</v>
      </c>
      <c r="H56" s="33" t="n">
        <f aca="false">IF(B56="",0,N(Students!F45))</f>
        <v>0</v>
      </c>
      <c r="I56" s="23"/>
      <c r="J56" s="24" t="n">
        <f aca="false">N(G56)+N(H56)-N(I56)</f>
        <v>0</v>
      </c>
      <c r="K56" s="33" t="n">
        <f aca="false">'Mar 2027'!N56</f>
        <v>0</v>
      </c>
      <c r="L56" s="33" t="n">
        <f aca="false">IF(B56="",0,N(Students!G45))</f>
        <v>0</v>
      </c>
      <c r="M56" s="23"/>
      <c r="N56" s="24" t="n">
        <f aca="false">N(K56)+N(L56)-N(M56)</f>
        <v>0</v>
      </c>
      <c r="O56" s="33" t="n">
        <f aca="false">'Mar 2027'!R56</f>
        <v>0</v>
      </c>
      <c r="P56" s="33" t="n">
        <f aca="false">IF(B56="",0,N(Students!H45))</f>
        <v>0</v>
      </c>
      <c r="Q56" s="23"/>
      <c r="R56" s="24" t="n">
        <f aca="false">N(O56)+N(P56)-N(Q56)</f>
        <v>0</v>
      </c>
      <c r="S56" s="33" t="n">
        <f aca="false">'Mar 2027'!V56</f>
        <v>0</v>
      </c>
      <c r="T56" s="33" t="n">
        <f aca="false">IF(B56="",0,N(Students!I45))</f>
        <v>0</v>
      </c>
      <c r="U56" s="23"/>
      <c r="V56" s="24" t="n">
        <f aca="false">N(S56)+N(T56)-N(U56)</f>
        <v>0</v>
      </c>
      <c r="W56" s="33" t="n">
        <f aca="false">'Mar 2027'!Z56</f>
        <v>0</v>
      </c>
      <c r="X56" s="33" t="n">
        <f aca="false">IF(B56="",0,N(Students!J45))</f>
        <v>0</v>
      </c>
      <c r="Y56" s="23"/>
      <c r="Z56" s="24" t="n">
        <f aca="false">N(W56)+N(X56)-N(Y56)</f>
        <v>0</v>
      </c>
      <c r="AA56" s="33" t="n">
        <f aca="false">N(E56)+N(I56)+N(M56)+N(Q56)+N(U56)+N(Y56)</f>
        <v>0</v>
      </c>
      <c r="AB56" s="24" t="n">
        <f aca="false">F56+J56+N56+R56+V56+Z56</f>
        <v>0</v>
      </c>
      <c r="AC56" s="81" t="str">
        <f aca="false">IF(B56="","",IF(AB56&lt;=0,"Clear",IF(AA56&gt;0,"Partial","Due")))</f>
        <v/>
      </c>
    </row>
    <row r="57" customFormat="false" ht="15" hidden="false" customHeight="false" outlineLevel="0" collapsed="false">
      <c r="A57" s="25" t="n">
        <v>42</v>
      </c>
      <c r="B57" s="82" t="str">
        <f aca="false">IF(Students!B46="","",Students!B46)</f>
        <v/>
      </c>
      <c r="C57" s="37" t="n">
        <f aca="false">'Mar 2027'!F57</f>
        <v>0</v>
      </c>
      <c r="D57" s="37" t="n">
        <f aca="false">IF(B57="",0,N(Students!E46))</f>
        <v>0</v>
      </c>
      <c r="E57" s="23"/>
      <c r="F57" s="26" t="n">
        <f aca="false">N(C57)+N(D57)-N(E57)</f>
        <v>0</v>
      </c>
      <c r="G57" s="37" t="n">
        <f aca="false">'Mar 2027'!J57</f>
        <v>0</v>
      </c>
      <c r="H57" s="37" t="n">
        <f aca="false">IF(B57="",0,N(Students!F46))</f>
        <v>0</v>
      </c>
      <c r="I57" s="23"/>
      <c r="J57" s="26" t="n">
        <f aca="false">N(G57)+N(H57)-N(I57)</f>
        <v>0</v>
      </c>
      <c r="K57" s="37" t="n">
        <f aca="false">'Mar 2027'!N57</f>
        <v>0</v>
      </c>
      <c r="L57" s="37" t="n">
        <f aca="false">IF(B57="",0,N(Students!G46))</f>
        <v>0</v>
      </c>
      <c r="M57" s="23"/>
      <c r="N57" s="26" t="n">
        <f aca="false">N(K57)+N(L57)-N(M57)</f>
        <v>0</v>
      </c>
      <c r="O57" s="37" t="n">
        <f aca="false">'Mar 2027'!R57</f>
        <v>0</v>
      </c>
      <c r="P57" s="37" t="n">
        <f aca="false">IF(B57="",0,N(Students!H46))</f>
        <v>0</v>
      </c>
      <c r="Q57" s="23"/>
      <c r="R57" s="26" t="n">
        <f aca="false">N(O57)+N(P57)-N(Q57)</f>
        <v>0</v>
      </c>
      <c r="S57" s="37" t="n">
        <f aca="false">'Mar 2027'!V57</f>
        <v>0</v>
      </c>
      <c r="T57" s="37" t="n">
        <f aca="false">IF(B57="",0,N(Students!I46))</f>
        <v>0</v>
      </c>
      <c r="U57" s="23"/>
      <c r="V57" s="26" t="n">
        <f aca="false">N(S57)+N(T57)-N(U57)</f>
        <v>0</v>
      </c>
      <c r="W57" s="37" t="n">
        <f aca="false">'Mar 2027'!Z57</f>
        <v>0</v>
      </c>
      <c r="X57" s="37" t="n">
        <f aca="false">IF(B57="",0,N(Students!J46))</f>
        <v>0</v>
      </c>
      <c r="Y57" s="23"/>
      <c r="Z57" s="26" t="n">
        <f aca="false">N(W57)+N(X57)-N(Y57)</f>
        <v>0</v>
      </c>
      <c r="AA57" s="37" t="n">
        <f aca="false">N(E57)+N(I57)+N(M57)+N(Q57)+N(U57)+N(Y57)</f>
        <v>0</v>
      </c>
      <c r="AB57" s="26" t="n">
        <f aca="false">F57+J57+N57+R57+V57+Z57</f>
        <v>0</v>
      </c>
      <c r="AC57" s="83" t="str">
        <f aca="false">IF(B57="","",IF(AB57&lt;=0,"Clear",IF(AA57&gt;0,"Partial","Due")))</f>
        <v/>
      </c>
    </row>
    <row r="58" customFormat="false" ht="15" hidden="false" customHeight="false" outlineLevel="0" collapsed="false">
      <c r="A58" s="21" t="n">
        <v>43</v>
      </c>
      <c r="B58" s="46" t="str">
        <f aca="false">IF(Students!B47="","",Students!B47)</f>
        <v/>
      </c>
      <c r="C58" s="33" t="n">
        <f aca="false">'Mar 2027'!F58</f>
        <v>0</v>
      </c>
      <c r="D58" s="33" t="n">
        <f aca="false">IF(B58="",0,N(Students!E47))</f>
        <v>0</v>
      </c>
      <c r="E58" s="23"/>
      <c r="F58" s="24" t="n">
        <f aca="false">N(C58)+N(D58)-N(E58)</f>
        <v>0</v>
      </c>
      <c r="G58" s="33" t="n">
        <f aca="false">'Mar 2027'!J58</f>
        <v>0</v>
      </c>
      <c r="H58" s="33" t="n">
        <f aca="false">IF(B58="",0,N(Students!F47))</f>
        <v>0</v>
      </c>
      <c r="I58" s="23"/>
      <c r="J58" s="24" t="n">
        <f aca="false">N(G58)+N(H58)-N(I58)</f>
        <v>0</v>
      </c>
      <c r="K58" s="33" t="n">
        <f aca="false">'Mar 2027'!N58</f>
        <v>0</v>
      </c>
      <c r="L58" s="33" t="n">
        <f aca="false">IF(B58="",0,N(Students!G47))</f>
        <v>0</v>
      </c>
      <c r="M58" s="23"/>
      <c r="N58" s="24" t="n">
        <f aca="false">N(K58)+N(L58)-N(M58)</f>
        <v>0</v>
      </c>
      <c r="O58" s="33" t="n">
        <f aca="false">'Mar 2027'!R58</f>
        <v>0</v>
      </c>
      <c r="P58" s="33" t="n">
        <f aca="false">IF(B58="",0,N(Students!H47))</f>
        <v>0</v>
      </c>
      <c r="Q58" s="23"/>
      <c r="R58" s="24" t="n">
        <f aca="false">N(O58)+N(P58)-N(Q58)</f>
        <v>0</v>
      </c>
      <c r="S58" s="33" t="n">
        <f aca="false">'Mar 2027'!V58</f>
        <v>0</v>
      </c>
      <c r="T58" s="33" t="n">
        <f aca="false">IF(B58="",0,N(Students!I47))</f>
        <v>0</v>
      </c>
      <c r="U58" s="23"/>
      <c r="V58" s="24" t="n">
        <f aca="false">N(S58)+N(T58)-N(U58)</f>
        <v>0</v>
      </c>
      <c r="W58" s="33" t="n">
        <f aca="false">'Mar 2027'!Z58</f>
        <v>0</v>
      </c>
      <c r="X58" s="33" t="n">
        <f aca="false">IF(B58="",0,N(Students!J47))</f>
        <v>0</v>
      </c>
      <c r="Y58" s="23"/>
      <c r="Z58" s="24" t="n">
        <f aca="false">N(W58)+N(X58)-N(Y58)</f>
        <v>0</v>
      </c>
      <c r="AA58" s="33" t="n">
        <f aca="false">N(E58)+N(I58)+N(M58)+N(Q58)+N(U58)+N(Y58)</f>
        <v>0</v>
      </c>
      <c r="AB58" s="24" t="n">
        <f aca="false">F58+J58+N58+R58+V58+Z58</f>
        <v>0</v>
      </c>
      <c r="AC58" s="81" t="str">
        <f aca="false">IF(B58="","",IF(AB58&lt;=0,"Clear",IF(AA58&gt;0,"Partial","Due")))</f>
        <v/>
      </c>
    </row>
    <row r="59" customFormat="false" ht="15" hidden="false" customHeight="false" outlineLevel="0" collapsed="false">
      <c r="A59" s="25" t="n">
        <v>44</v>
      </c>
      <c r="B59" s="82" t="str">
        <f aca="false">IF(Students!B48="","",Students!B48)</f>
        <v/>
      </c>
      <c r="C59" s="37" t="n">
        <f aca="false">'Mar 2027'!F59</f>
        <v>0</v>
      </c>
      <c r="D59" s="37" t="n">
        <f aca="false">IF(B59="",0,N(Students!E48))</f>
        <v>0</v>
      </c>
      <c r="E59" s="23"/>
      <c r="F59" s="26" t="n">
        <f aca="false">N(C59)+N(D59)-N(E59)</f>
        <v>0</v>
      </c>
      <c r="G59" s="37" t="n">
        <f aca="false">'Mar 2027'!J59</f>
        <v>0</v>
      </c>
      <c r="H59" s="37" t="n">
        <f aca="false">IF(B59="",0,N(Students!F48))</f>
        <v>0</v>
      </c>
      <c r="I59" s="23"/>
      <c r="J59" s="26" t="n">
        <f aca="false">N(G59)+N(H59)-N(I59)</f>
        <v>0</v>
      </c>
      <c r="K59" s="37" t="n">
        <f aca="false">'Mar 2027'!N59</f>
        <v>0</v>
      </c>
      <c r="L59" s="37" t="n">
        <f aca="false">IF(B59="",0,N(Students!G48))</f>
        <v>0</v>
      </c>
      <c r="M59" s="23"/>
      <c r="N59" s="26" t="n">
        <f aca="false">N(K59)+N(L59)-N(M59)</f>
        <v>0</v>
      </c>
      <c r="O59" s="37" t="n">
        <f aca="false">'Mar 2027'!R59</f>
        <v>0</v>
      </c>
      <c r="P59" s="37" t="n">
        <f aca="false">IF(B59="",0,N(Students!H48))</f>
        <v>0</v>
      </c>
      <c r="Q59" s="23"/>
      <c r="R59" s="26" t="n">
        <f aca="false">N(O59)+N(P59)-N(Q59)</f>
        <v>0</v>
      </c>
      <c r="S59" s="37" t="n">
        <f aca="false">'Mar 2027'!V59</f>
        <v>0</v>
      </c>
      <c r="T59" s="37" t="n">
        <f aca="false">IF(B59="",0,N(Students!I48))</f>
        <v>0</v>
      </c>
      <c r="U59" s="23"/>
      <c r="V59" s="26" t="n">
        <f aca="false">N(S59)+N(T59)-N(U59)</f>
        <v>0</v>
      </c>
      <c r="W59" s="37" t="n">
        <f aca="false">'Mar 2027'!Z59</f>
        <v>0</v>
      </c>
      <c r="X59" s="37" t="n">
        <f aca="false">IF(B59="",0,N(Students!J48))</f>
        <v>0</v>
      </c>
      <c r="Y59" s="23"/>
      <c r="Z59" s="26" t="n">
        <f aca="false">N(W59)+N(X59)-N(Y59)</f>
        <v>0</v>
      </c>
      <c r="AA59" s="37" t="n">
        <f aca="false">N(E59)+N(I59)+N(M59)+N(Q59)+N(U59)+N(Y59)</f>
        <v>0</v>
      </c>
      <c r="AB59" s="26" t="n">
        <f aca="false">F59+J59+N59+R59+V59+Z59</f>
        <v>0</v>
      </c>
      <c r="AC59" s="83" t="str">
        <f aca="false">IF(B59="","",IF(AB59&lt;=0,"Clear",IF(AA59&gt;0,"Partial","Due")))</f>
        <v/>
      </c>
    </row>
    <row r="60" customFormat="false" ht="15" hidden="false" customHeight="false" outlineLevel="0" collapsed="false">
      <c r="A60" s="21" t="n">
        <v>45</v>
      </c>
      <c r="B60" s="46" t="str">
        <f aca="false">IF(Students!B49="","",Students!B49)</f>
        <v/>
      </c>
      <c r="C60" s="33" t="n">
        <f aca="false">'Mar 2027'!F60</f>
        <v>0</v>
      </c>
      <c r="D60" s="33" t="n">
        <f aca="false">IF(B60="",0,N(Students!E49))</f>
        <v>0</v>
      </c>
      <c r="E60" s="23"/>
      <c r="F60" s="24" t="n">
        <f aca="false">N(C60)+N(D60)-N(E60)</f>
        <v>0</v>
      </c>
      <c r="G60" s="33" t="n">
        <f aca="false">'Mar 2027'!J60</f>
        <v>0</v>
      </c>
      <c r="H60" s="33" t="n">
        <f aca="false">IF(B60="",0,N(Students!F49))</f>
        <v>0</v>
      </c>
      <c r="I60" s="23"/>
      <c r="J60" s="24" t="n">
        <f aca="false">N(G60)+N(H60)-N(I60)</f>
        <v>0</v>
      </c>
      <c r="K60" s="33" t="n">
        <f aca="false">'Mar 2027'!N60</f>
        <v>0</v>
      </c>
      <c r="L60" s="33" t="n">
        <f aca="false">IF(B60="",0,N(Students!G49))</f>
        <v>0</v>
      </c>
      <c r="M60" s="23"/>
      <c r="N60" s="24" t="n">
        <f aca="false">N(K60)+N(L60)-N(M60)</f>
        <v>0</v>
      </c>
      <c r="O60" s="33" t="n">
        <f aca="false">'Mar 2027'!R60</f>
        <v>0</v>
      </c>
      <c r="P60" s="33" t="n">
        <f aca="false">IF(B60="",0,N(Students!H49))</f>
        <v>0</v>
      </c>
      <c r="Q60" s="23"/>
      <c r="R60" s="24" t="n">
        <f aca="false">N(O60)+N(P60)-N(Q60)</f>
        <v>0</v>
      </c>
      <c r="S60" s="33" t="n">
        <f aca="false">'Mar 2027'!V60</f>
        <v>0</v>
      </c>
      <c r="T60" s="33" t="n">
        <f aca="false">IF(B60="",0,N(Students!I49))</f>
        <v>0</v>
      </c>
      <c r="U60" s="23"/>
      <c r="V60" s="24" t="n">
        <f aca="false">N(S60)+N(T60)-N(U60)</f>
        <v>0</v>
      </c>
      <c r="W60" s="33" t="n">
        <f aca="false">'Mar 2027'!Z60</f>
        <v>0</v>
      </c>
      <c r="X60" s="33" t="n">
        <f aca="false">IF(B60="",0,N(Students!J49))</f>
        <v>0</v>
      </c>
      <c r="Y60" s="23"/>
      <c r="Z60" s="24" t="n">
        <f aca="false">N(W60)+N(X60)-N(Y60)</f>
        <v>0</v>
      </c>
      <c r="AA60" s="33" t="n">
        <f aca="false">N(E60)+N(I60)+N(M60)+N(Q60)+N(U60)+N(Y60)</f>
        <v>0</v>
      </c>
      <c r="AB60" s="24" t="n">
        <f aca="false">F60+J60+N60+R60+V60+Z60</f>
        <v>0</v>
      </c>
      <c r="AC60" s="81" t="str">
        <f aca="false">IF(B60="","",IF(AB60&lt;=0,"Clear",IF(AA60&gt;0,"Partial","Due")))</f>
        <v/>
      </c>
    </row>
    <row r="61" customFormat="false" ht="15" hidden="false" customHeight="false" outlineLevel="0" collapsed="false">
      <c r="A61" s="25" t="n">
        <v>46</v>
      </c>
      <c r="B61" s="82" t="str">
        <f aca="false">IF(Students!B50="","",Students!B50)</f>
        <v/>
      </c>
      <c r="C61" s="37" t="n">
        <f aca="false">'Mar 2027'!F61</f>
        <v>0</v>
      </c>
      <c r="D61" s="37" t="n">
        <f aca="false">IF(B61="",0,N(Students!E50))</f>
        <v>0</v>
      </c>
      <c r="E61" s="23"/>
      <c r="F61" s="26" t="n">
        <f aca="false">N(C61)+N(D61)-N(E61)</f>
        <v>0</v>
      </c>
      <c r="G61" s="37" t="n">
        <f aca="false">'Mar 2027'!J61</f>
        <v>0</v>
      </c>
      <c r="H61" s="37" t="n">
        <f aca="false">IF(B61="",0,N(Students!F50))</f>
        <v>0</v>
      </c>
      <c r="I61" s="23"/>
      <c r="J61" s="26" t="n">
        <f aca="false">N(G61)+N(H61)-N(I61)</f>
        <v>0</v>
      </c>
      <c r="K61" s="37" t="n">
        <f aca="false">'Mar 2027'!N61</f>
        <v>0</v>
      </c>
      <c r="L61" s="37" t="n">
        <f aca="false">IF(B61="",0,N(Students!G50))</f>
        <v>0</v>
      </c>
      <c r="M61" s="23"/>
      <c r="N61" s="26" t="n">
        <f aca="false">N(K61)+N(L61)-N(M61)</f>
        <v>0</v>
      </c>
      <c r="O61" s="37" t="n">
        <f aca="false">'Mar 2027'!R61</f>
        <v>0</v>
      </c>
      <c r="P61" s="37" t="n">
        <f aca="false">IF(B61="",0,N(Students!H50))</f>
        <v>0</v>
      </c>
      <c r="Q61" s="23"/>
      <c r="R61" s="26" t="n">
        <f aca="false">N(O61)+N(P61)-N(Q61)</f>
        <v>0</v>
      </c>
      <c r="S61" s="37" t="n">
        <f aca="false">'Mar 2027'!V61</f>
        <v>0</v>
      </c>
      <c r="T61" s="37" t="n">
        <f aca="false">IF(B61="",0,N(Students!I50))</f>
        <v>0</v>
      </c>
      <c r="U61" s="23"/>
      <c r="V61" s="26" t="n">
        <f aca="false">N(S61)+N(T61)-N(U61)</f>
        <v>0</v>
      </c>
      <c r="W61" s="37" t="n">
        <f aca="false">'Mar 2027'!Z61</f>
        <v>0</v>
      </c>
      <c r="X61" s="37" t="n">
        <f aca="false">IF(B61="",0,N(Students!J50))</f>
        <v>0</v>
      </c>
      <c r="Y61" s="23"/>
      <c r="Z61" s="26" t="n">
        <f aca="false">N(W61)+N(X61)-N(Y61)</f>
        <v>0</v>
      </c>
      <c r="AA61" s="37" t="n">
        <f aca="false">N(E61)+N(I61)+N(M61)+N(Q61)+N(U61)+N(Y61)</f>
        <v>0</v>
      </c>
      <c r="AB61" s="26" t="n">
        <f aca="false">F61+J61+N61+R61+V61+Z61</f>
        <v>0</v>
      </c>
      <c r="AC61" s="83" t="str">
        <f aca="false">IF(B61="","",IF(AB61&lt;=0,"Clear",IF(AA61&gt;0,"Partial","Due")))</f>
        <v/>
      </c>
    </row>
    <row r="62" customFormat="false" ht="15" hidden="false" customHeight="false" outlineLevel="0" collapsed="false">
      <c r="A62" s="21" t="n">
        <v>47</v>
      </c>
      <c r="B62" s="46" t="str">
        <f aca="false">IF(Students!B51="","",Students!B51)</f>
        <v/>
      </c>
      <c r="C62" s="33" t="n">
        <f aca="false">'Mar 2027'!F62</f>
        <v>0</v>
      </c>
      <c r="D62" s="33" t="n">
        <f aca="false">IF(B62="",0,N(Students!E51))</f>
        <v>0</v>
      </c>
      <c r="E62" s="23"/>
      <c r="F62" s="24" t="n">
        <f aca="false">N(C62)+N(D62)-N(E62)</f>
        <v>0</v>
      </c>
      <c r="G62" s="33" t="n">
        <f aca="false">'Mar 2027'!J62</f>
        <v>0</v>
      </c>
      <c r="H62" s="33" t="n">
        <f aca="false">IF(B62="",0,N(Students!F51))</f>
        <v>0</v>
      </c>
      <c r="I62" s="23"/>
      <c r="J62" s="24" t="n">
        <f aca="false">N(G62)+N(H62)-N(I62)</f>
        <v>0</v>
      </c>
      <c r="K62" s="33" t="n">
        <f aca="false">'Mar 2027'!N62</f>
        <v>0</v>
      </c>
      <c r="L62" s="33" t="n">
        <f aca="false">IF(B62="",0,N(Students!G51))</f>
        <v>0</v>
      </c>
      <c r="M62" s="23"/>
      <c r="N62" s="24" t="n">
        <f aca="false">N(K62)+N(L62)-N(M62)</f>
        <v>0</v>
      </c>
      <c r="O62" s="33" t="n">
        <f aca="false">'Mar 2027'!R62</f>
        <v>0</v>
      </c>
      <c r="P62" s="33" t="n">
        <f aca="false">IF(B62="",0,N(Students!H51))</f>
        <v>0</v>
      </c>
      <c r="Q62" s="23"/>
      <c r="R62" s="24" t="n">
        <f aca="false">N(O62)+N(P62)-N(Q62)</f>
        <v>0</v>
      </c>
      <c r="S62" s="33" t="n">
        <f aca="false">'Mar 2027'!V62</f>
        <v>0</v>
      </c>
      <c r="T62" s="33" t="n">
        <f aca="false">IF(B62="",0,N(Students!I51))</f>
        <v>0</v>
      </c>
      <c r="U62" s="23"/>
      <c r="V62" s="24" t="n">
        <f aca="false">N(S62)+N(T62)-N(U62)</f>
        <v>0</v>
      </c>
      <c r="W62" s="33" t="n">
        <f aca="false">'Mar 2027'!Z62</f>
        <v>0</v>
      </c>
      <c r="X62" s="33" t="n">
        <f aca="false">IF(B62="",0,N(Students!J51))</f>
        <v>0</v>
      </c>
      <c r="Y62" s="23"/>
      <c r="Z62" s="24" t="n">
        <f aca="false">N(W62)+N(X62)-N(Y62)</f>
        <v>0</v>
      </c>
      <c r="AA62" s="33" t="n">
        <f aca="false">N(E62)+N(I62)+N(M62)+N(Q62)+N(U62)+N(Y62)</f>
        <v>0</v>
      </c>
      <c r="AB62" s="24" t="n">
        <f aca="false">F62+J62+N62+R62+V62+Z62</f>
        <v>0</v>
      </c>
      <c r="AC62" s="81" t="str">
        <f aca="false">IF(B62="","",IF(AB62&lt;=0,"Clear",IF(AA62&gt;0,"Partial","Due")))</f>
        <v/>
      </c>
    </row>
    <row r="63" customFormat="false" ht="15" hidden="false" customHeight="false" outlineLevel="0" collapsed="false">
      <c r="A63" s="25" t="n">
        <v>48</v>
      </c>
      <c r="B63" s="82" t="str">
        <f aca="false">IF(Students!B52="","",Students!B52)</f>
        <v/>
      </c>
      <c r="C63" s="37" t="n">
        <f aca="false">'Mar 2027'!F63</f>
        <v>0</v>
      </c>
      <c r="D63" s="37" t="n">
        <f aca="false">IF(B63="",0,N(Students!E52))</f>
        <v>0</v>
      </c>
      <c r="E63" s="23"/>
      <c r="F63" s="26" t="n">
        <f aca="false">N(C63)+N(D63)-N(E63)</f>
        <v>0</v>
      </c>
      <c r="G63" s="37" t="n">
        <f aca="false">'Mar 2027'!J63</f>
        <v>0</v>
      </c>
      <c r="H63" s="37" t="n">
        <f aca="false">IF(B63="",0,N(Students!F52))</f>
        <v>0</v>
      </c>
      <c r="I63" s="23"/>
      <c r="J63" s="26" t="n">
        <f aca="false">N(G63)+N(H63)-N(I63)</f>
        <v>0</v>
      </c>
      <c r="K63" s="37" t="n">
        <f aca="false">'Mar 2027'!N63</f>
        <v>0</v>
      </c>
      <c r="L63" s="37" t="n">
        <f aca="false">IF(B63="",0,N(Students!G52))</f>
        <v>0</v>
      </c>
      <c r="M63" s="23"/>
      <c r="N63" s="26" t="n">
        <f aca="false">N(K63)+N(L63)-N(M63)</f>
        <v>0</v>
      </c>
      <c r="O63" s="37" t="n">
        <f aca="false">'Mar 2027'!R63</f>
        <v>0</v>
      </c>
      <c r="P63" s="37" t="n">
        <f aca="false">IF(B63="",0,N(Students!H52))</f>
        <v>0</v>
      </c>
      <c r="Q63" s="23"/>
      <c r="R63" s="26" t="n">
        <f aca="false">N(O63)+N(P63)-N(Q63)</f>
        <v>0</v>
      </c>
      <c r="S63" s="37" t="n">
        <f aca="false">'Mar 2027'!V63</f>
        <v>0</v>
      </c>
      <c r="T63" s="37" t="n">
        <f aca="false">IF(B63="",0,N(Students!I52))</f>
        <v>0</v>
      </c>
      <c r="U63" s="23"/>
      <c r="V63" s="26" t="n">
        <f aca="false">N(S63)+N(T63)-N(U63)</f>
        <v>0</v>
      </c>
      <c r="W63" s="37" t="n">
        <f aca="false">'Mar 2027'!Z63</f>
        <v>0</v>
      </c>
      <c r="X63" s="37" t="n">
        <f aca="false">IF(B63="",0,N(Students!J52))</f>
        <v>0</v>
      </c>
      <c r="Y63" s="23"/>
      <c r="Z63" s="26" t="n">
        <f aca="false">N(W63)+N(X63)-N(Y63)</f>
        <v>0</v>
      </c>
      <c r="AA63" s="37" t="n">
        <f aca="false">N(E63)+N(I63)+N(M63)+N(Q63)+N(U63)+N(Y63)</f>
        <v>0</v>
      </c>
      <c r="AB63" s="26" t="n">
        <f aca="false">F63+J63+N63+R63+V63+Z63</f>
        <v>0</v>
      </c>
      <c r="AC63" s="83" t="str">
        <f aca="false">IF(B63="","",IF(AB63&lt;=0,"Clear",IF(AA63&gt;0,"Partial","Due")))</f>
        <v/>
      </c>
    </row>
    <row r="64" customFormat="false" ht="15" hidden="false" customHeight="false" outlineLevel="0" collapsed="false">
      <c r="A64" s="21" t="n">
        <v>49</v>
      </c>
      <c r="B64" s="46" t="str">
        <f aca="false">IF(Students!B53="","",Students!B53)</f>
        <v/>
      </c>
      <c r="C64" s="33" t="n">
        <f aca="false">'Mar 2027'!F64</f>
        <v>0</v>
      </c>
      <c r="D64" s="33" t="n">
        <f aca="false">IF(B64="",0,N(Students!E53))</f>
        <v>0</v>
      </c>
      <c r="E64" s="23"/>
      <c r="F64" s="24" t="n">
        <f aca="false">N(C64)+N(D64)-N(E64)</f>
        <v>0</v>
      </c>
      <c r="G64" s="33" t="n">
        <f aca="false">'Mar 2027'!J64</f>
        <v>0</v>
      </c>
      <c r="H64" s="33" t="n">
        <f aca="false">IF(B64="",0,N(Students!F53))</f>
        <v>0</v>
      </c>
      <c r="I64" s="23"/>
      <c r="J64" s="24" t="n">
        <f aca="false">N(G64)+N(H64)-N(I64)</f>
        <v>0</v>
      </c>
      <c r="K64" s="33" t="n">
        <f aca="false">'Mar 2027'!N64</f>
        <v>0</v>
      </c>
      <c r="L64" s="33" t="n">
        <f aca="false">IF(B64="",0,N(Students!G53))</f>
        <v>0</v>
      </c>
      <c r="M64" s="23"/>
      <c r="N64" s="24" t="n">
        <f aca="false">N(K64)+N(L64)-N(M64)</f>
        <v>0</v>
      </c>
      <c r="O64" s="33" t="n">
        <f aca="false">'Mar 2027'!R64</f>
        <v>0</v>
      </c>
      <c r="P64" s="33" t="n">
        <f aca="false">IF(B64="",0,N(Students!H53))</f>
        <v>0</v>
      </c>
      <c r="Q64" s="23"/>
      <c r="R64" s="24" t="n">
        <f aca="false">N(O64)+N(P64)-N(Q64)</f>
        <v>0</v>
      </c>
      <c r="S64" s="33" t="n">
        <f aca="false">'Mar 2027'!V64</f>
        <v>0</v>
      </c>
      <c r="T64" s="33" t="n">
        <f aca="false">IF(B64="",0,N(Students!I53))</f>
        <v>0</v>
      </c>
      <c r="U64" s="23"/>
      <c r="V64" s="24" t="n">
        <f aca="false">N(S64)+N(T64)-N(U64)</f>
        <v>0</v>
      </c>
      <c r="W64" s="33" t="n">
        <f aca="false">'Mar 2027'!Z64</f>
        <v>0</v>
      </c>
      <c r="X64" s="33" t="n">
        <f aca="false">IF(B64="",0,N(Students!J53))</f>
        <v>0</v>
      </c>
      <c r="Y64" s="23"/>
      <c r="Z64" s="24" t="n">
        <f aca="false">N(W64)+N(X64)-N(Y64)</f>
        <v>0</v>
      </c>
      <c r="AA64" s="33" t="n">
        <f aca="false">N(E64)+N(I64)+N(M64)+N(Q64)+N(U64)+N(Y64)</f>
        <v>0</v>
      </c>
      <c r="AB64" s="24" t="n">
        <f aca="false">F64+J64+N64+R64+V64+Z64</f>
        <v>0</v>
      </c>
      <c r="AC64" s="81" t="str">
        <f aca="false">IF(B64="","",IF(AB64&lt;=0,"Clear",IF(AA64&gt;0,"Partial","Due")))</f>
        <v/>
      </c>
    </row>
    <row r="65" customFormat="false" ht="15" hidden="false" customHeight="false" outlineLevel="0" collapsed="false">
      <c r="A65" s="25" t="n">
        <v>50</v>
      </c>
      <c r="B65" s="82" t="str">
        <f aca="false">IF(Students!B54="","",Students!B54)</f>
        <v/>
      </c>
      <c r="C65" s="37" t="n">
        <f aca="false">'Mar 2027'!F65</f>
        <v>0</v>
      </c>
      <c r="D65" s="37" t="n">
        <f aca="false">IF(B65="",0,N(Students!E54))</f>
        <v>0</v>
      </c>
      <c r="E65" s="23"/>
      <c r="F65" s="26" t="n">
        <f aca="false">N(C65)+N(D65)-N(E65)</f>
        <v>0</v>
      </c>
      <c r="G65" s="37" t="n">
        <f aca="false">'Mar 2027'!J65</f>
        <v>0</v>
      </c>
      <c r="H65" s="37" t="n">
        <f aca="false">IF(B65="",0,N(Students!F54))</f>
        <v>0</v>
      </c>
      <c r="I65" s="23"/>
      <c r="J65" s="26" t="n">
        <f aca="false">N(G65)+N(H65)-N(I65)</f>
        <v>0</v>
      </c>
      <c r="K65" s="37" t="n">
        <f aca="false">'Mar 2027'!N65</f>
        <v>0</v>
      </c>
      <c r="L65" s="37" t="n">
        <f aca="false">IF(B65="",0,N(Students!G54))</f>
        <v>0</v>
      </c>
      <c r="M65" s="23"/>
      <c r="N65" s="26" t="n">
        <f aca="false">N(K65)+N(L65)-N(M65)</f>
        <v>0</v>
      </c>
      <c r="O65" s="37" t="n">
        <f aca="false">'Mar 2027'!R65</f>
        <v>0</v>
      </c>
      <c r="P65" s="37" t="n">
        <f aca="false">IF(B65="",0,N(Students!H54))</f>
        <v>0</v>
      </c>
      <c r="Q65" s="23"/>
      <c r="R65" s="26" t="n">
        <f aca="false">N(O65)+N(P65)-N(Q65)</f>
        <v>0</v>
      </c>
      <c r="S65" s="37" t="n">
        <f aca="false">'Mar 2027'!V65</f>
        <v>0</v>
      </c>
      <c r="T65" s="37" t="n">
        <f aca="false">IF(B65="",0,N(Students!I54))</f>
        <v>0</v>
      </c>
      <c r="U65" s="23"/>
      <c r="V65" s="26" t="n">
        <f aca="false">N(S65)+N(T65)-N(U65)</f>
        <v>0</v>
      </c>
      <c r="W65" s="37" t="n">
        <f aca="false">'Mar 2027'!Z65</f>
        <v>0</v>
      </c>
      <c r="X65" s="37" t="n">
        <f aca="false">IF(B65="",0,N(Students!J54))</f>
        <v>0</v>
      </c>
      <c r="Y65" s="23"/>
      <c r="Z65" s="26" t="n">
        <f aca="false">N(W65)+N(X65)-N(Y65)</f>
        <v>0</v>
      </c>
      <c r="AA65" s="37" t="n">
        <f aca="false">N(E65)+N(I65)+N(M65)+N(Q65)+N(U65)+N(Y65)</f>
        <v>0</v>
      </c>
      <c r="AB65" s="26" t="n">
        <f aca="false">F65+J65+N65+R65+V65+Z65</f>
        <v>0</v>
      </c>
      <c r="AC65" s="83" t="str">
        <f aca="false">IF(B65="","",IF(AB65&lt;=0,"Clear",IF(AA65&gt;0,"Partial","Due")))</f>
        <v/>
      </c>
    </row>
    <row r="66" customFormat="false" ht="15" hidden="false" customHeight="false" outlineLevel="0" collapsed="false">
      <c r="A66" s="21" t="n">
        <v>51</v>
      </c>
      <c r="B66" s="46" t="str">
        <f aca="false">IF(Students!B55="","",Students!B55)</f>
        <v/>
      </c>
      <c r="C66" s="33" t="n">
        <f aca="false">'Mar 2027'!F66</f>
        <v>0</v>
      </c>
      <c r="D66" s="33" t="n">
        <f aca="false">IF(B66="",0,N(Students!E55))</f>
        <v>0</v>
      </c>
      <c r="E66" s="23"/>
      <c r="F66" s="24" t="n">
        <f aca="false">N(C66)+N(D66)-N(E66)</f>
        <v>0</v>
      </c>
      <c r="G66" s="33" t="n">
        <f aca="false">'Mar 2027'!J66</f>
        <v>0</v>
      </c>
      <c r="H66" s="33" t="n">
        <f aca="false">IF(B66="",0,N(Students!F55))</f>
        <v>0</v>
      </c>
      <c r="I66" s="23"/>
      <c r="J66" s="24" t="n">
        <f aca="false">N(G66)+N(H66)-N(I66)</f>
        <v>0</v>
      </c>
      <c r="K66" s="33" t="n">
        <f aca="false">'Mar 2027'!N66</f>
        <v>0</v>
      </c>
      <c r="L66" s="33" t="n">
        <f aca="false">IF(B66="",0,N(Students!G55))</f>
        <v>0</v>
      </c>
      <c r="M66" s="23"/>
      <c r="N66" s="24" t="n">
        <f aca="false">N(K66)+N(L66)-N(M66)</f>
        <v>0</v>
      </c>
      <c r="O66" s="33" t="n">
        <f aca="false">'Mar 2027'!R66</f>
        <v>0</v>
      </c>
      <c r="P66" s="33" t="n">
        <f aca="false">IF(B66="",0,N(Students!H55))</f>
        <v>0</v>
      </c>
      <c r="Q66" s="23"/>
      <c r="R66" s="24" t="n">
        <f aca="false">N(O66)+N(P66)-N(Q66)</f>
        <v>0</v>
      </c>
      <c r="S66" s="33" t="n">
        <f aca="false">'Mar 2027'!V66</f>
        <v>0</v>
      </c>
      <c r="T66" s="33" t="n">
        <f aca="false">IF(B66="",0,N(Students!I55))</f>
        <v>0</v>
      </c>
      <c r="U66" s="23"/>
      <c r="V66" s="24" t="n">
        <f aca="false">N(S66)+N(T66)-N(U66)</f>
        <v>0</v>
      </c>
      <c r="W66" s="33" t="n">
        <f aca="false">'Mar 2027'!Z66</f>
        <v>0</v>
      </c>
      <c r="X66" s="33" t="n">
        <f aca="false">IF(B66="",0,N(Students!J55))</f>
        <v>0</v>
      </c>
      <c r="Y66" s="23"/>
      <c r="Z66" s="24" t="n">
        <f aca="false">N(W66)+N(X66)-N(Y66)</f>
        <v>0</v>
      </c>
      <c r="AA66" s="33" t="n">
        <f aca="false">N(E66)+N(I66)+N(M66)+N(Q66)+N(U66)+N(Y66)</f>
        <v>0</v>
      </c>
      <c r="AB66" s="24" t="n">
        <f aca="false">F66+J66+N66+R66+V66+Z66</f>
        <v>0</v>
      </c>
      <c r="AC66" s="81" t="str">
        <f aca="false">IF(B66="","",IF(AB66&lt;=0,"Clear",IF(AA66&gt;0,"Partial","Due")))</f>
        <v/>
      </c>
    </row>
    <row r="67" customFormat="false" ht="15" hidden="false" customHeight="false" outlineLevel="0" collapsed="false">
      <c r="A67" s="25" t="n">
        <v>52</v>
      </c>
      <c r="B67" s="82" t="str">
        <f aca="false">IF(Students!B56="","",Students!B56)</f>
        <v/>
      </c>
      <c r="C67" s="37" t="n">
        <f aca="false">'Mar 2027'!F67</f>
        <v>0</v>
      </c>
      <c r="D67" s="37" t="n">
        <f aca="false">IF(B67="",0,N(Students!E56))</f>
        <v>0</v>
      </c>
      <c r="E67" s="23"/>
      <c r="F67" s="26" t="n">
        <f aca="false">N(C67)+N(D67)-N(E67)</f>
        <v>0</v>
      </c>
      <c r="G67" s="37" t="n">
        <f aca="false">'Mar 2027'!J67</f>
        <v>0</v>
      </c>
      <c r="H67" s="37" t="n">
        <f aca="false">IF(B67="",0,N(Students!F56))</f>
        <v>0</v>
      </c>
      <c r="I67" s="23"/>
      <c r="J67" s="26" t="n">
        <f aca="false">N(G67)+N(H67)-N(I67)</f>
        <v>0</v>
      </c>
      <c r="K67" s="37" t="n">
        <f aca="false">'Mar 2027'!N67</f>
        <v>0</v>
      </c>
      <c r="L67" s="37" t="n">
        <f aca="false">IF(B67="",0,N(Students!G56))</f>
        <v>0</v>
      </c>
      <c r="M67" s="23"/>
      <c r="N67" s="26" t="n">
        <f aca="false">N(K67)+N(L67)-N(M67)</f>
        <v>0</v>
      </c>
      <c r="O67" s="37" t="n">
        <f aca="false">'Mar 2027'!R67</f>
        <v>0</v>
      </c>
      <c r="P67" s="37" t="n">
        <f aca="false">IF(B67="",0,N(Students!H56))</f>
        <v>0</v>
      </c>
      <c r="Q67" s="23"/>
      <c r="R67" s="26" t="n">
        <f aca="false">N(O67)+N(P67)-N(Q67)</f>
        <v>0</v>
      </c>
      <c r="S67" s="37" t="n">
        <f aca="false">'Mar 2027'!V67</f>
        <v>0</v>
      </c>
      <c r="T67" s="37" t="n">
        <f aca="false">IF(B67="",0,N(Students!I56))</f>
        <v>0</v>
      </c>
      <c r="U67" s="23"/>
      <c r="V67" s="26" t="n">
        <f aca="false">N(S67)+N(T67)-N(U67)</f>
        <v>0</v>
      </c>
      <c r="W67" s="37" t="n">
        <f aca="false">'Mar 2027'!Z67</f>
        <v>0</v>
      </c>
      <c r="X67" s="37" t="n">
        <f aca="false">IF(B67="",0,N(Students!J56))</f>
        <v>0</v>
      </c>
      <c r="Y67" s="23"/>
      <c r="Z67" s="26" t="n">
        <f aca="false">N(W67)+N(X67)-N(Y67)</f>
        <v>0</v>
      </c>
      <c r="AA67" s="37" t="n">
        <f aca="false">N(E67)+N(I67)+N(M67)+N(Q67)+N(U67)+N(Y67)</f>
        <v>0</v>
      </c>
      <c r="AB67" s="26" t="n">
        <f aca="false">F67+J67+N67+R67+V67+Z67</f>
        <v>0</v>
      </c>
      <c r="AC67" s="83" t="str">
        <f aca="false">IF(B67="","",IF(AB67&lt;=0,"Clear",IF(AA67&gt;0,"Partial","Due")))</f>
        <v/>
      </c>
    </row>
    <row r="68" customFormat="false" ht="15" hidden="false" customHeight="false" outlineLevel="0" collapsed="false">
      <c r="A68" s="21" t="n">
        <v>53</v>
      </c>
      <c r="B68" s="46" t="str">
        <f aca="false">IF(Students!B57="","",Students!B57)</f>
        <v/>
      </c>
      <c r="C68" s="33" t="n">
        <f aca="false">'Mar 2027'!F68</f>
        <v>0</v>
      </c>
      <c r="D68" s="33" t="n">
        <f aca="false">IF(B68="",0,N(Students!E57))</f>
        <v>0</v>
      </c>
      <c r="E68" s="23"/>
      <c r="F68" s="24" t="n">
        <f aca="false">N(C68)+N(D68)-N(E68)</f>
        <v>0</v>
      </c>
      <c r="G68" s="33" t="n">
        <f aca="false">'Mar 2027'!J68</f>
        <v>0</v>
      </c>
      <c r="H68" s="33" t="n">
        <f aca="false">IF(B68="",0,N(Students!F57))</f>
        <v>0</v>
      </c>
      <c r="I68" s="23"/>
      <c r="J68" s="24" t="n">
        <f aca="false">N(G68)+N(H68)-N(I68)</f>
        <v>0</v>
      </c>
      <c r="K68" s="33" t="n">
        <f aca="false">'Mar 2027'!N68</f>
        <v>0</v>
      </c>
      <c r="L68" s="33" t="n">
        <f aca="false">IF(B68="",0,N(Students!G57))</f>
        <v>0</v>
      </c>
      <c r="M68" s="23"/>
      <c r="N68" s="24" t="n">
        <f aca="false">N(K68)+N(L68)-N(M68)</f>
        <v>0</v>
      </c>
      <c r="O68" s="33" t="n">
        <f aca="false">'Mar 2027'!R68</f>
        <v>0</v>
      </c>
      <c r="P68" s="33" t="n">
        <f aca="false">IF(B68="",0,N(Students!H57))</f>
        <v>0</v>
      </c>
      <c r="Q68" s="23"/>
      <c r="R68" s="24" t="n">
        <f aca="false">N(O68)+N(P68)-N(Q68)</f>
        <v>0</v>
      </c>
      <c r="S68" s="33" t="n">
        <f aca="false">'Mar 2027'!V68</f>
        <v>0</v>
      </c>
      <c r="T68" s="33" t="n">
        <f aca="false">IF(B68="",0,N(Students!I57))</f>
        <v>0</v>
      </c>
      <c r="U68" s="23"/>
      <c r="V68" s="24" t="n">
        <f aca="false">N(S68)+N(T68)-N(U68)</f>
        <v>0</v>
      </c>
      <c r="W68" s="33" t="n">
        <f aca="false">'Mar 2027'!Z68</f>
        <v>0</v>
      </c>
      <c r="X68" s="33" t="n">
        <f aca="false">IF(B68="",0,N(Students!J57))</f>
        <v>0</v>
      </c>
      <c r="Y68" s="23"/>
      <c r="Z68" s="24" t="n">
        <f aca="false">N(W68)+N(X68)-N(Y68)</f>
        <v>0</v>
      </c>
      <c r="AA68" s="33" t="n">
        <f aca="false">N(E68)+N(I68)+N(M68)+N(Q68)+N(U68)+N(Y68)</f>
        <v>0</v>
      </c>
      <c r="AB68" s="24" t="n">
        <f aca="false">F68+J68+N68+R68+V68+Z68</f>
        <v>0</v>
      </c>
      <c r="AC68" s="81" t="str">
        <f aca="false">IF(B68="","",IF(AB68&lt;=0,"Clear",IF(AA68&gt;0,"Partial","Due")))</f>
        <v/>
      </c>
    </row>
    <row r="69" customFormat="false" ht="15" hidden="false" customHeight="false" outlineLevel="0" collapsed="false">
      <c r="A69" s="25" t="n">
        <v>54</v>
      </c>
      <c r="B69" s="82" t="str">
        <f aca="false">IF(Students!B58="","",Students!B58)</f>
        <v/>
      </c>
      <c r="C69" s="37" t="n">
        <f aca="false">'Mar 2027'!F69</f>
        <v>0</v>
      </c>
      <c r="D69" s="37" t="n">
        <f aca="false">IF(B69="",0,N(Students!E58))</f>
        <v>0</v>
      </c>
      <c r="E69" s="23"/>
      <c r="F69" s="26" t="n">
        <f aca="false">N(C69)+N(D69)-N(E69)</f>
        <v>0</v>
      </c>
      <c r="G69" s="37" t="n">
        <f aca="false">'Mar 2027'!J69</f>
        <v>0</v>
      </c>
      <c r="H69" s="37" t="n">
        <f aca="false">IF(B69="",0,N(Students!F58))</f>
        <v>0</v>
      </c>
      <c r="I69" s="23"/>
      <c r="J69" s="26" t="n">
        <f aca="false">N(G69)+N(H69)-N(I69)</f>
        <v>0</v>
      </c>
      <c r="K69" s="37" t="n">
        <f aca="false">'Mar 2027'!N69</f>
        <v>0</v>
      </c>
      <c r="L69" s="37" t="n">
        <f aca="false">IF(B69="",0,N(Students!G58))</f>
        <v>0</v>
      </c>
      <c r="M69" s="23"/>
      <c r="N69" s="26" t="n">
        <f aca="false">N(K69)+N(L69)-N(M69)</f>
        <v>0</v>
      </c>
      <c r="O69" s="37" t="n">
        <f aca="false">'Mar 2027'!R69</f>
        <v>0</v>
      </c>
      <c r="P69" s="37" t="n">
        <f aca="false">IF(B69="",0,N(Students!H58))</f>
        <v>0</v>
      </c>
      <c r="Q69" s="23"/>
      <c r="R69" s="26" t="n">
        <f aca="false">N(O69)+N(P69)-N(Q69)</f>
        <v>0</v>
      </c>
      <c r="S69" s="37" t="n">
        <f aca="false">'Mar 2027'!V69</f>
        <v>0</v>
      </c>
      <c r="T69" s="37" t="n">
        <f aca="false">IF(B69="",0,N(Students!I58))</f>
        <v>0</v>
      </c>
      <c r="U69" s="23"/>
      <c r="V69" s="26" t="n">
        <f aca="false">N(S69)+N(T69)-N(U69)</f>
        <v>0</v>
      </c>
      <c r="W69" s="37" t="n">
        <f aca="false">'Mar 2027'!Z69</f>
        <v>0</v>
      </c>
      <c r="X69" s="37" t="n">
        <f aca="false">IF(B69="",0,N(Students!J58))</f>
        <v>0</v>
      </c>
      <c r="Y69" s="23"/>
      <c r="Z69" s="26" t="n">
        <f aca="false">N(W69)+N(X69)-N(Y69)</f>
        <v>0</v>
      </c>
      <c r="AA69" s="37" t="n">
        <f aca="false">N(E69)+N(I69)+N(M69)+N(Q69)+N(U69)+N(Y69)</f>
        <v>0</v>
      </c>
      <c r="AB69" s="26" t="n">
        <f aca="false">F69+J69+N69+R69+V69+Z69</f>
        <v>0</v>
      </c>
      <c r="AC69" s="83" t="str">
        <f aca="false">IF(B69="","",IF(AB69&lt;=0,"Clear",IF(AA69&gt;0,"Partial","Due")))</f>
        <v/>
      </c>
    </row>
    <row r="70" customFormat="false" ht="15" hidden="false" customHeight="false" outlineLevel="0" collapsed="false">
      <c r="A70" s="21" t="n">
        <v>55</v>
      </c>
      <c r="B70" s="46" t="str">
        <f aca="false">IF(Students!B59="","",Students!B59)</f>
        <v/>
      </c>
      <c r="C70" s="33" t="n">
        <f aca="false">'Mar 2027'!F70</f>
        <v>0</v>
      </c>
      <c r="D70" s="33" t="n">
        <f aca="false">IF(B70="",0,N(Students!E59))</f>
        <v>0</v>
      </c>
      <c r="E70" s="23"/>
      <c r="F70" s="24" t="n">
        <f aca="false">N(C70)+N(D70)-N(E70)</f>
        <v>0</v>
      </c>
      <c r="G70" s="33" t="n">
        <f aca="false">'Mar 2027'!J70</f>
        <v>0</v>
      </c>
      <c r="H70" s="33" t="n">
        <f aca="false">IF(B70="",0,N(Students!F59))</f>
        <v>0</v>
      </c>
      <c r="I70" s="23"/>
      <c r="J70" s="24" t="n">
        <f aca="false">N(G70)+N(H70)-N(I70)</f>
        <v>0</v>
      </c>
      <c r="K70" s="33" t="n">
        <f aca="false">'Mar 2027'!N70</f>
        <v>0</v>
      </c>
      <c r="L70" s="33" t="n">
        <f aca="false">IF(B70="",0,N(Students!G59))</f>
        <v>0</v>
      </c>
      <c r="M70" s="23"/>
      <c r="N70" s="24" t="n">
        <f aca="false">N(K70)+N(L70)-N(M70)</f>
        <v>0</v>
      </c>
      <c r="O70" s="33" t="n">
        <f aca="false">'Mar 2027'!R70</f>
        <v>0</v>
      </c>
      <c r="P70" s="33" t="n">
        <f aca="false">IF(B70="",0,N(Students!H59))</f>
        <v>0</v>
      </c>
      <c r="Q70" s="23"/>
      <c r="R70" s="24" t="n">
        <f aca="false">N(O70)+N(P70)-N(Q70)</f>
        <v>0</v>
      </c>
      <c r="S70" s="33" t="n">
        <f aca="false">'Mar 2027'!V70</f>
        <v>0</v>
      </c>
      <c r="T70" s="33" t="n">
        <f aca="false">IF(B70="",0,N(Students!I59))</f>
        <v>0</v>
      </c>
      <c r="U70" s="23"/>
      <c r="V70" s="24" t="n">
        <f aca="false">N(S70)+N(T70)-N(U70)</f>
        <v>0</v>
      </c>
      <c r="W70" s="33" t="n">
        <f aca="false">'Mar 2027'!Z70</f>
        <v>0</v>
      </c>
      <c r="X70" s="33" t="n">
        <f aca="false">IF(B70="",0,N(Students!J59))</f>
        <v>0</v>
      </c>
      <c r="Y70" s="23"/>
      <c r="Z70" s="24" t="n">
        <f aca="false">N(W70)+N(X70)-N(Y70)</f>
        <v>0</v>
      </c>
      <c r="AA70" s="33" t="n">
        <f aca="false">N(E70)+N(I70)+N(M70)+N(Q70)+N(U70)+N(Y70)</f>
        <v>0</v>
      </c>
      <c r="AB70" s="24" t="n">
        <f aca="false">F70+J70+N70+R70+V70+Z70</f>
        <v>0</v>
      </c>
      <c r="AC70" s="81" t="str">
        <f aca="false">IF(B70="","",IF(AB70&lt;=0,"Clear",IF(AA70&gt;0,"Partial","Due")))</f>
        <v/>
      </c>
    </row>
    <row r="71" customFormat="false" ht="15" hidden="false" customHeight="false" outlineLevel="0" collapsed="false">
      <c r="A71" s="25" t="n">
        <v>56</v>
      </c>
      <c r="B71" s="82" t="str">
        <f aca="false">IF(Students!B60="","",Students!B60)</f>
        <v/>
      </c>
      <c r="C71" s="37" t="n">
        <f aca="false">'Mar 2027'!F71</f>
        <v>0</v>
      </c>
      <c r="D71" s="37" t="n">
        <f aca="false">IF(B71="",0,N(Students!E60))</f>
        <v>0</v>
      </c>
      <c r="E71" s="23"/>
      <c r="F71" s="26" t="n">
        <f aca="false">N(C71)+N(D71)-N(E71)</f>
        <v>0</v>
      </c>
      <c r="G71" s="37" t="n">
        <f aca="false">'Mar 2027'!J71</f>
        <v>0</v>
      </c>
      <c r="H71" s="37" t="n">
        <f aca="false">IF(B71="",0,N(Students!F60))</f>
        <v>0</v>
      </c>
      <c r="I71" s="23"/>
      <c r="J71" s="26" t="n">
        <f aca="false">N(G71)+N(H71)-N(I71)</f>
        <v>0</v>
      </c>
      <c r="K71" s="37" t="n">
        <f aca="false">'Mar 2027'!N71</f>
        <v>0</v>
      </c>
      <c r="L71" s="37" t="n">
        <f aca="false">IF(B71="",0,N(Students!G60))</f>
        <v>0</v>
      </c>
      <c r="M71" s="23"/>
      <c r="N71" s="26" t="n">
        <f aca="false">N(K71)+N(L71)-N(M71)</f>
        <v>0</v>
      </c>
      <c r="O71" s="37" t="n">
        <f aca="false">'Mar 2027'!R71</f>
        <v>0</v>
      </c>
      <c r="P71" s="37" t="n">
        <f aca="false">IF(B71="",0,N(Students!H60))</f>
        <v>0</v>
      </c>
      <c r="Q71" s="23"/>
      <c r="R71" s="26" t="n">
        <f aca="false">N(O71)+N(P71)-N(Q71)</f>
        <v>0</v>
      </c>
      <c r="S71" s="37" t="n">
        <f aca="false">'Mar 2027'!V71</f>
        <v>0</v>
      </c>
      <c r="T71" s="37" t="n">
        <f aca="false">IF(B71="",0,N(Students!I60))</f>
        <v>0</v>
      </c>
      <c r="U71" s="23"/>
      <c r="V71" s="26" t="n">
        <f aca="false">N(S71)+N(T71)-N(U71)</f>
        <v>0</v>
      </c>
      <c r="W71" s="37" t="n">
        <f aca="false">'Mar 2027'!Z71</f>
        <v>0</v>
      </c>
      <c r="X71" s="37" t="n">
        <f aca="false">IF(B71="",0,N(Students!J60))</f>
        <v>0</v>
      </c>
      <c r="Y71" s="23"/>
      <c r="Z71" s="26" t="n">
        <f aca="false">N(W71)+N(X71)-N(Y71)</f>
        <v>0</v>
      </c>
      <c r="AA71" s="37" t="n">
        <f aca="false">N(E71)+N(I71)+N(M71)+N(Q71)+N(U71)+N(Y71)</f>
        <v>0</v>
      </c>
      <c r="AB71" s="26" t="n">
        <f aca="false">F71+J71+N71+R71+V71+Z71</f>
        <v>0</v>
      </c>
      <c r="AC71" s="83" t="str">
        <f aca="false">IF(B71="","",IF(AB71&lt;=0,"Clear",IF(AA71&gt;0,"Partial","Due")))</f>
        <v/>
      </c>
    </row>
    <row r="72" customFormat="false" ht="15" hidden="false" customHeight="false" outlineLevel="0" collapsed="false">
      <c r="A72" s="21" t="n">
        <v>57</v>
      </c>
      <c r="B72" s="46" t="str">
        <f aca="false">IF(Students!B61="","",Students!B61)</f>
        <v/>
      </c>
      <c r="C72" s="33" t="n">
        <f aca="false">'Mar 2027'!F72</f>
        <v>0</v>
      </c>
      <c r="D72" s="33" t="n">
        <f aca="false">IF(B72="",0,N(Students!E61))</f>
        <v>0</v>
      </c>
      <c r="E72" s="23"/>
      <c r="F72" s="24" t="n">
        <f aca="false">N(C72)+N(D72)-N(E72)</f>
        <v>0</v>
      </c>
      <c r="G72" s="33" t="n">
        <f aca="false">'Mar 2027'!J72</f>
        <v>0</v>
      </c>
      <c r="H72" s="33" t="n">
        <f aca="false">IF(B72="",0,N(Students!F61))</f>
        <v>0</v>
      </c>
      <c r="I72" s="23"/>
      <c r="J72" s="24" t="n">
        <f aca="false">N(G72)+N(H72)-N(I72)</f>
        <v>0</v>
      </c>
      <c r="K72" s="33" t="n">
        <f aca="false">'Mar 2027'!N72</f>
        <v>0</v>
      </c>
      <c r="L72" s="33" t="n">
        <f aca="false">IF(B72="",0,N(Students!G61))</f>
        <v>0</v>
      </c>
      <c r="M72" s="23"/>
      <c r="N72" s="24" t="n">
        <f aca="false">N(K72)+N(L72)-N(M72)</f>
        <v>0</v>
      </c>
      <c r="O72" s="33" t="n">
        <f aca="false">'Mar 2027'!R72</f>
        <v>0</v>
      </c>
      <c r="P72" s="33" t="n">
        <f aca="false">IF(B72="",0,N(Students!H61))</f>
        <v>0</v>
      </c>
      <c r="Q72" s="23"/>
      <c r="R72" s="24" t="n">
        <f aca="false">N(O72)+N(P72)-N(Q72)</f>
        <v>0</v>
      </c>
      <c r="S72" s="33" t="n">
        <f aca="false">'Mar 2027'!V72</f>
        <v>0</v>
      </c>
      <c r="T72" s="33" t="n">
        <f aca="false">IF(B72="",0,N(Students!I61))</f>
        <v>0</v>
      </c>
      <c r="U72" s="23"/>
      <c r="V72" s="24" t="n">
        <f aca="false">N(S72)+N(T72)-N(U72)</f>
        <v>0</v>
      </c>
      <c r="W72" s="33" t="n">
        <f aca="false">'Mar 2027'!Z72</f>
        <v>0</v>
      </c>
      <c r="X72" s="33" t="n">
        <f aca="false">IF(B72="",0,N(Students!J61))</f>
        <v>0</v>
      </c>
      <c r="Y72" s="23"/>
      <c r="Z72" s="24" t="n">
        <f aca="false">N(W72)+N(X72)-N(Y72)</f>
        <v>0</v>
      </c>
      <c r="AA72" s="33" t="n">
        <f aca="false">N(E72)+N(I72)+N(M72)+N(Q72)+N(U72)+N(Y72)</f>
        <v>0</v>
      </c>
      <c r="AB72" s="24" t="n">
        <f aca="false">F72+J72+N72+R72+V72+Z72</f>
        <v>0</v>
      </c>
      <c r="AC72" s="81" t="str">
        <f aca="false">IF(B72="","",IF(AB72&lt;=0,"Clear",IF(AA72&gt;0,"Partial","Due")))</f>
        <v/>
      </c>
    </row>
    <row r="73" customFormat="false" ht="15" hidden="false" customHeight="false" outlineLevel="0" collapsed="false">
      <c r="A73" s="25" t="n">
        <v>58</v>
      </c>
      <c r="B73" s="82" t="str">
        <f aca="false">IF(Students!B62="","",Students!B62)</f>
        <v/>
      </c>
      <c r="C73" s="37" t="n">
        <f aca="false">'Mar 2027'!F73</f>
        <v>0</v>
      </c>
      <c r="D73" s="37" t="n">
        <f aca="false">IF(B73="",0,N(Students!E62))</f>
        <v>0</v>
      </c>
      <c r="E73" s="23"/>
      <c r="F73" s="26" t="n">
        <f aca="false">N(C73)+N(D73)-N(E73)</f>
        <v>0</v>
      </c>
      <c r="G73" s="37" t="n">
        <f aca="false">'Mar 2027'!J73</f>
        <v>0</v>
      </c>
      <c r="H73" s="37" t="n">
        <f aca="false">IF(B73="",0,N(Students!F62))</f>
        <v>0</v>
      </c>
      <c r="I73" s="23"/>
      <c r="J73" s="26" t="n">
        <f aca="false">N(G73)+N(H73)-N(I73)</f>
        <v>0</v>
      </c>
      <c r="K73" s="37" t="n">
        <f aca="false">'Mar 2027'!N73</f>
        <v>0</v>
      </c>
      <c r="L73" s="37" t="n">
        <f aca="false">IF(B73="",0,N(Students!G62))</f>
        <v>0</v>
      </c>
      <c r="M73" s="23"/>
      <c r="N73" s="26" t="n">
        <f aca="false">N(K73)+N(L73)-N(M73)</f>
        <v>0</v>
      </c>
      <c r="O73" s="37" t="n">
        <f aca="false">'Mar 2027'!R73</f>
        <v>0</v>
      </c>
      <c r="P73" s="37" t="n">
        <f aca="false">IF(B73="",0,N(Students!H62))</f>
        <v>0</v>
      </c>
      <c r="Q73" s="23"/>
      <c r="R73" s="26" t="n">
        <f aca="false">N(O73)+N(P73)-N(Q73)</f>
        <v>0</v>
      </c>
      <c r="S73" s="37" t="n">
        <f aca="false">'Mar 2027'!V73</f>
        <v>0</v>
      </c>
      <c r="T73" s="37" t="n">
        <f aca="false">IF(B73="",0,N(Students!I62))</f>
        <v>0</v>
      </c>
      <c r="U73" s="23"/>
      <c r="V73" s="26" t="n">
        <f aca="false">N(S73)+N(T73)-N(U73)</f>
        <v>0</v>
      </c>
      <c r="W73" s="37" t="n">
        <f aca="false">'Mar 2027'!Z73</f>
        <v>0</v>
      </c>
      <c r="X73" s="37" t="n">
        <f aca="false">IF(B73="",0,N(Students!J62))</f>
        <v>0</v>
      </c>
      <c r="Y73" s="23"/>
      <c r="Z73" s="26" t="n">
        <f aca="false">N(W73)+N(X73)-N(Y73)</f>
        <v>0</v>
      </c>
      <c r="AA73" s="37" t="n">
        <f aca="false">N(E73)+N(I73)+N(M73)+N(Q73)+N(U73)+N(Y73)</f>
        <v>0</v>
      </c>
      <c r="AB73" s="26" t="n">
        <f aca="false">F73+J73+N73+R73+V73+Z73</f>
        <v>0</v>
      </c>
      <c r="AC73" s="83" t="str">
        <f aca="false">IF(B73="","",IF(AB73&lt;=0,"Clear",IF(AA73&gt;0,"Partial","Due")))</f>
        <v/>
      </c>
    </row>
    <row r="74" customFormat="false" ht="15" hidden="false" customHeight="false" outlineLevel="0" collapsed="false">
      <c r="A74" s="21" t="n">
        <v>59</v>
      </c>
      <c r="B74" s="46" t="str">
        <f aca="false">IF(Students!B63="","",Students!B63)</f>
        <v/>
      </c>
      <c r="C74" s="33" t="n">
        <f aca="false">'Mar 2027'!F74</f>
        <v>0</v>
      </c>
      <c r="D74" s="33" t="n">
        <f aca="false">IF(B74="",0,N(Students!E63))</f>
        <v>0</v>
      </c>
      <c r="E74" s="23"/>
      <c r="F74" s="24" t="n">
        <f aca="false">N(C74)+N(D74)-N(E74)</f>
        <v>0</v>
      </c>
      <c r="G74" s="33" t="n">
        <f aca="false">'Mar 2027'!J74</f>
        <v>0</v>
      </c>
      <c r="H74" s="33" t="n">
        <f aca="false">IF(B74="",0,N(Students!F63))</f>
        <v>0</v>
      </c>
      <c r="I74" s="23"/>
      <c r="J74" s="24" t="n">
        <f aca="false">N(G74)+N(H74)-N(I74)</f>
        <v>0</v>
      </c>
      <c r="K74" s="33" t="n">
        <f aca="false">'Mar 2027'!N74</f>
        <v>0</v>
      </c>
      <c r="L74" s="33" t="n">
        <f aca="false">IF(B74="",0,N(Students!G63))</f>
        <v>0</v>
      </c>
      <c r="M74" s="23"/>
      <c r="N74" s="24" t="n">
        <f aca="false">N(K74)+N(L74)-N(M74)</f>
        <v>0</v>
      </c>
      <c r="O74" s="33" t="n">
        <f aca="false">'Mar 2027'!R74</f>
        <v>0</v>
      </c>
      <c r="P74" s="33" t="n">
        <f aca="false">IF(B74="",0,N(Students!H63))</f>
        <v>0</v>
      </c>
      <c r="Q74" s="23"/>
      <c r="R74" s="24" t="n">
        <f aca="false">N(O74)+N(P74)-N(Q74)</f>
        <v>0</v>
      </c>
      <c r="S74" s="33" t="n">
        <f aca="false">'Mar 2027'!V74</f>
        <v>0</v>
      </c>
      <c r="T74" s="33" t="n">
        <f aca="false">IF(B74="",0,N(Students!I63))</f>
        <v>0</v>
      </c>
      <c r="U74" s="23"/>
      <c r="V74" s="24" t="n">
        <f aca="false">N(S74)+N(T74)-N(U74)</f>
        <v>0</v>
      </c>
      <c r="W74" s="33" t="n">
        <f aca="false">'Mar 2027'!Z74</f>
        <v>0</v>
      </c>
      <c r="X74" s="33" t="n">
        <f aca="false">IF(B74="",0,N(Students!J63))</f>
        <v>0</v>
      </c>
      <c r="Y74" s="23"/>
      <c r="Z74" s="24" t="n">
        <f aca="false">N(W74)+N(X74)-N(Y74)</f>
        <v>0</v>
      </c>
      <c r="AA74" s="33" t="n">
        <f aca="false">N(E74)+N(I74)+N(M74)+N(Q74)+N(U74)+N(Y74)</f>
        <v>0</v>
      </c>
      <c r="AB74" s="24" t="n">
        <f aca="false">F74+J74+N74+R74+V74+Z74</f>
        <v>0</v>
      </c>
      <c r="AC74" s="81" t="str">
        <f aca="false">IF(B74="","",IF(AB74&lt;=0,"Clear",IF(AA74&gt;0,"Partial","Due")))</f>
        <v/>
      </c>
    </row>
    <row r="75" customFormat="false" ht="15" hidden="false" customHeight="false" outlineLevel="0" collapsed="false">
      <c r="A75" s="25" t="n">
        <v>60</v>
      </c>
      <c r="B75" s="82" t="str">
        <f aca="false">IF(Students!B64="","",Students!B64)</f>
        <v/>
      </c>
      <c r="C75" s="37" t="n">
        <f aca="false">'Mar 2027'!F75</f>
        <v>0</v>
      </c>
      <c r="D75" s="37" t="n">
        <f aca="false">IF(B75="",0,N(Students!E64))</f>
        <v>0</v>
      </c>
      <c r="E75" s="23"/>
      <c r="F75" s="26" t="n">
        <f aca="false">N(C75)+N(D75)-N(E75)</f>
        <v>0</v>
      </c>
      <c r="G75" s="37" t="n">
        <f aca="false">'Mar 2027'!J75</f>
        <v>0</v>
      </c>
      <c r="H75" s="37" t="n">
        <f aca="false">IF(B75="",0,N(Students!F64))</f>
        <v>0</v>
      </c>
      <c r="I75" s="23"/>
      <c r="J75" s="26" t="n">
        <f aca="false">N(G75)+N(H75)-N(I75)</f>
        <v>0</v>
      </c>
      <c r="K75" s="37" t="n">
        <f aca="false">'Mar 2027'!N75</f>
        <v>0</v>
      </c>
      <c r="L75" s="37" t="n">
        <f aca="false">IF(B75="",0,N(Students!G64))</f>
        <v>0</v>
      </c>
      <c r="M75" s="23"/>
      <c r="N75" s="26" t="n">
        <f aca="false">N(K75)+N(L75)-N(M75)</f>
        <v>0</v>
      </c>
      <c r="O75" s="37" t="n">
        <f aca="false">'Mar 2027'!R75</f>
        <v>0</v>
      </c>
      <c r="P75" s="37" t="n">
        <f aca="false">IF(B75="",0,N(Students!H64))</f>
        <v>0</v>
      </c>
      <c r="Q75" s="23"/>
      <c r="R75" s="26" t="n">
        <f aca="false">N(O75)+N(P75)-N(Q75)</f>
        <v>0</v>
      </c>
      <c r="S75" s="37" t="n">
        <f aca="false">'Mar 2027'!V75</f>
        <v>0</v>
      </c>
      <c r="T75" s="37" t="n">
        <f aca="false">IF(B75="",0,N(Students!I64))</f>
        <v>0</v>
      </c>
      <c r="U75" s="23"/>
      <c r="V75" s="26" t="n">
        <f aca="false">N(S75)+N(T75)-N(U75)</f>
        <v>0</v>
      </c>
      <c r="W75" s="37" t="n">
        <f aca="false">'Mar 2027'!Z75</f>
        <v>0</v>
      </c>
      <c r="X75" s="37" t="n">
        <f aca="false">IF(B75="",0,N(Students!J64))</f>
        <v>0</v>
      </c>
      <c r="Y75" s="23"/>
      <c r="Z75" s="26" t="n">
        <f aca="false">N(W75)+N(X75)-N(Y75)</f>
        <v>0</v>
      </c>
      <c r="AA75" s="37" t="n">
        <f aca="false">N(E75)+N(I75)+N(M75)+N(Q75)+N(U75)+N(Y75)</f>
        <v>0</v>
      </c>
      <c r="AB75" s="26" t="n">
        <f aca="false">F75+J75+N75+R75+V75+Z75</f>
        <v>0</v>
      </c>
      <c r="AC75" s="83" t="str">
        <f aca="false">IF(B75="","",IF(AB75&lt;=0,"Clear",IF(AA75&gt;0,"Partial","Due")))</f>
        <v/>
      </c>
    </row>
    <row r="76" customFormat="false" ht="15" hidden="false" customHeight="false" outlineLevel="0" collapsed="false">
      <c r="A76" s="21" t="n">
        <v>61</v>
      </c>
      <c r="B76" s="46" t="str">
        <f aca="false">IF(Students!B65="","",Students!B65)</f>
        <v/>
      </c>
      <c r="C76" s="33" t="n">
        <f aca="false">'Mar 2027'!F76</f>
        <v>0</v>
      </c>
      <c r="D76" s="33" t="n">
        <f aca="false">IF(B76="",0,N(Students!E65))</f>
        <v>0</v>
      </c>
      <c r="E76" s="23"/>
      <c r="F76" s="24" t="n">
        <f aca="false">N(C76)+N(D76)-N(E76)</f>
        <v>0</v>
      </c>
      <c r="G76" s="33" t="n">
        <f aca="false">'Mar 2027'!J76</f>
        <v>0</v>
      </c>
      <c r="H76" s="33" t="n">
        <f aca="false">IF(B76="",0,N(Students!F65))</f>
        <v>0</v>
      </c>
      <c r="I76" s="23"/>
      <c r="J76" s="24" t="n">
        <f aca="false">N(G76)+N(H76)-N(I76)</f>
        <v>0</v>
      </c>
      <c r="K76" s="33" t="n">
        <f aca="false">'Mar 2027'!N76</f>
        <v>0</v>
      </c>
      <c r="L76" s="33" t="n">
        <f aca="false">IF(B76="",0,N(Students!G65))</f>
        <v>0</v>
      </c>
      <c r="M76" s="23"/>
      <c r="N76" s="24" t="n">
        <f aca="false">N(K76)+N(L76)-N(M76)</f>
        <v>0</v>
      </c>
      <c r="O76" s="33" t="n">
        <f aca="false">'Mar 2027'!R76</f>
        <v>0</v>
      </c>
      <c r="P76" s="33" t="n">
        <f aca="false">IF(B76="",0,N(Students!H65))</f>
        <v>0</v>
      </c>
      <c r="Q76" s="23"/>
      <c r="R76" s="24" t="n">
        <f aca="false">N(O76)+N(P76)-N(Q76)</f>
        <v>0</v>
      </c>
      <c r="S76" s="33" t="n">
        <f aca="false">'Mar 2027'!V76</f>
        <v>0</v>
      </c>
      <c r="T76" s="33" t="n">
        <f aca="false">IF(B76="",0,N(Students!I65))</f>
        <v>0</v>
      </c>
      <c r="U76" s="23"/>
      <c r="V76" s="24" t="n">
        <f aca="false">N(S76)+N(T76)-N(U76)</f>
        <v>0</v>
      </c>
      <c r="W76" s="33" t="n">
        <f aca="false">'Mar 2027'!Z76</f>
        <v>0</v>
      </c>
      <c r="X76" s="33" t="n">
        <f aca="false">IF(B76="",0,N(Students!J65))</f>
        <v>0</v>
      </c>
      <c r="Y76" s="23"/>
      <c r="Z76" s="24" t="n">
        <f aca="false">N(W76)+N(X76)-N(Y76)</f>
        <v>0</v>
      </c>
      <c r="AA76" s="33" t="n">
        <f aca="false">N(E76)+N(I76)+N(M76)+N(Q76)+N(U76)+N(Y76)</f>
        <v>0</v>
      </c>
      <c r="AB76" s="24" t="n">
        <f aca="false">F76+J76+N76+R76+V76+Z76</f>
        <v>0</v>
      </c>
      <c r="AC76" s="81" t="str">
        <f aca="false">IF(B76="","",IF(AB76&lt;=0,"Clear",IF(AA76&gt;0,"Partial","Due")))</f>
        <v/>
      </c>
    </row>
    <row r="77" customFormat="false" ht="15" hidden="false" customHeight="false" outlineLevel="0" collapsed="false">
      <c r="A77" s="25" t="n">
        <v>62</v>
      </c>
      <c r="B77" s="82" t="str">
        <f aca="false">IF(Students!B66="","",Students!B66)</f>
        <v/>
      </c>
      <c r="C77" s="37" t="n">
        <f aca="false">'Mar 2027'!F77</f>
        <v>0</v>
      </c>
      <c r="D77" s="37" t="n">
        <f aca="false">IF(B77="",0,N(Students!E66))</f>
        <v>0</v>
      </c>
      <c r="E77" s="23"/>
      <c r="F77" s="26" t="n">
        <f aca="false">N(C77)+N(D77)-N(E77)</f>
        <v>0</v>
      </c>
      <c r="G77" s="37" t="n">
        <f aca="false">'Mar 2027'!J77</f>
        <v>0</v>
      </c>
      <c r="H77" s="37" t="n">
        <f aca="false">IF(B77="",0,N(Students!F66))</f>
        <v>0</v>
      </c>
      <c r="I77" s="23"/>
      <c r="J77" s="26" t="n">
        <f aca="false">N(G77)+N(H77)-N(I77)</f>
        <v>0</v>
      </c>
      <c r="K77" s="37" t="n">
        <f aca="false">'Mar 2027'!N77</f>
        <v>0</v>
      </c>
      <c r="L77" s="37" t="n">
        <f aca="false">IF(B77="",0,N(Students!G66))</f>
        <v>0</v>
      </c>
      <c r="M77" s="23"/>
      <c r="N77" s="26" t="n">
        <f aca="false">N(K77)+N(L77)-N(M77)</f>
        <v>0</v>
      </c>
      <c r="O77" s="37" t="n">
        <f aca="false">'Mar 2027'!R77</f>
        <v>0</v>
      </c>
      <c r="P77" s="37" t="n">
        <f aca="false">IF(B77="",0,N(Students!H66))</f>
        <v>0</v>
      </c>
      <c r="Q77" s="23"/>
      <c r="R77" s="26" t="n">
        <f aca="false">N(O77)+N(P77)-N(Q77)</f>
        <v>0</v>
      </c>
      <c r="S77" s="37" t="n">
        <f aca="false">'Mar 2027'!V77</f>
        <v>0</v>
      </c>
      <c r="T77" s="37" t="n">
        <f aca="false">IF(B77="",0,N(Students!I66))</f>
        <v>0</v>
      </c>
      <c r="U77" s="23"/>
      <c r="V77" s="26" t="n">
        <f aca="false">N(S77)+N(T77)-N(U77)</f>
        <v>0</v>
      </c>
      <c r="W77" s="37" t="n">
        <f aca="false">'Mar 2027'!Z77</f>
        <v>0</v>
      </c>
      <c r="X77" s="37" t="n">
        <f aca="false">IF(B77="",0,N(Students!J66))</f>
        <v>0</v>
      </c>
      <c r="Y77" s="23"/>
      <c r="Z77" s="26" t="n">
        <f aca="false">N(W77)+N(X77)-N(Y77)</f>
        <v>0</v>
      </c>
      <c r="AA77" s="37" t="n">
        <f aca="false">N(E77)+N(I77)+N(M77)+N(Q77)+N(U77)+N(Y77)</f>
        <v>0</v>
      </c>
      <c r="AB77" s="26" t="n">
        <f aca="false">F77+J77+N77+R77+V77+Z77</f>
        <v>0</v>
      </c>
      <c r="AC77" s="83" t="str">
        <f aca="false">IF(B77="","",IF(AB77&lt;=0,"Clear",IF(AA77&gt;0,"Partial","Due")))</f>
        <v/>
      </c>
    </row>
    <row r="78" customFormat="false" ht="15" hidden="false" customHeight="false" outlineLevel="0" collapsed="false">
      <c r="A78" s="21" t="n">
        <v>63</v>
      </c>
      <c r="B78" s="46" t="str">
        <f aca="false">IF(Students!B67="","",Students!B67)</f>
        <v/>
      </c>
      <c r="C78" s="33" t="n">
        <f aca="false">'Mar 2027'!F78</f>
        <v>0</v>
      </c>
      <c r="D78" s="33" t="n">
        <f aca="false">IF(B78="",0,N(Students!E67))</f>
        <v>0</v>
      </c>
      <c r="E78" s="23"/>
      <c r="F78" s="24" t="n">
        <f aca="false">N(C78)+N(D78)-N(E78)</f>
        <v>0</v>
      </c>
      <c r="G78" s="33" t="n">
        <f aca="false">'Mar 2027'!J78</f>
        <v>0</v>
      </c>
      <c r="H78" s="33" t="n">
        <f aca="false">IF(B78="",0,N(Students!F67))</f>
        <v>0</v>
      </c>
      <c r="I78" s="23"/>
      <c r="J78" s="24" t="n">
        <f aca="false">N(G78)+N(H78)-N(I78)</f>
        <v>0</v>
      </c>
      <c r="K78" s="33" t="n">
        <f aca="false">'Mar 2027'!N78</f>
        <v>0</v>
      </c>
      <c r="L78" s="33" t="n">
        <f aca="false">IF(B78="",0,N(Students!G67))</f>
        <v>0</v>
      </c>
      <c r="M78" s="23"/>
      <c r="N78" s="24" t="n">
        <f aca="false">N(K78)+N(L78)-N(M78)</f>
        <v>0</v>
      </c>
      <c r="O78" s="33" t="n">
        <f aca="false">'Mar 2027'!R78</f>
        <v>0</v>
      </c>
      <c r="P78" s="33" t="n">
        <f aca="false">IF(B78="",0,N(Students!H67))</f>
        <v>0</v>
      </c>
      <c r="Q78" s="23"/>
      <c r="R78" s="24" t="n">
        <f aca="false">N(O78)+N(P78)-N(Q78)</f>
        <v>0</v>
      </c>
      <c r="S78" s="33" t="n">
        <f aca="false">'Mar 2027'!V78</f>
        <v>0</v>
      </c>
      <c r="T78" s="33" t="n">
        <f aca="false">IF(B78="",0,N(Students!I67))</f>
        <v>0</v>
      </c>
      <c r="U78" s="23"/>
      <c r="V78" s="24" t="n">
        <f aca="false">N(S78)+N(T78)-N(U78)</f>
        <v>0</v>
      </c>
      <c r="W78" s="33" t="n">
        <f aca="false">'Mar 2027'!Z78</f>
        <v>0</v>
      </c>
      <c r="X78" s="33" t="n">
        <f aca="false">IF(B78="",0,N(Students!J67))</f>
        <v>0</v>
      </c>
      <c r="Y78" s="23"/>
      <c r="Z78" s="24" t="n">
        <f aca="false">N(W78)+N(X78)-N(Y78)</f>
        <v>0</v>
      </c>
      <c r="AA78" s="33" t="n">
        <f aca="false">N(E78)+N(I78)+N(M78)+N(Q78)+N(U78)+N(Y78)</f>
        <v>0</v>
      </c>
      <c r="AB78" s="24" t="n">
        <f aca="false">F78+J78+N78+R78+V78+Z78</f>
        <v>0</v>
      </c>
      <c r="AC78" s="81" t="str">
        <f aca="false">IF(B78="","",IF(AB78&lt;=0,"Clear",IF(AA78&gt;0,"Partial","Due")))</f>
        <v/>
      </c>
    </row>
    <row r="79" customFormat="false" ht="15" hidden="false" customHeight="false" outlineLevel="0" collapsed="false">
      <c r="A79" s="25" t="n">
        <v>64</v>
      </c>
      <c r="B79" s="82" t="str">
        <f aca="false">IF(Students!B68="","",Students!B68)</f>
        <v/>
      </c>
      <c r="C79" s="37" t="n">
        <f aca="false">'Mar 2027'!F79</f>
        <v>0</v>
      </c>
      <c r="D79" s="37" t="n">
        <f aca="false">IF(B79="",0,N(Students!E68))</f>
        <v>0</v>
      </c>
      <c r="E79" s="23"/>
      <c r="F79" s="26" t="n">
        <f aca="false">N(C79)+N(D79)-N(E79)</f>
        <v>0</v>
      </c>
      <c r="G79" s="37" t="n">
        <f aca="false">'Mar 2027'!J79</f>
        <v>0</v>
      </c>
      <c r="H79" s="37" t="n">
        <f aca="false">IF(B79="",0,N(Students!F68))</f>
        <v>0</v>
      </c>
      <c r="I79" s="23"/>
      <c r="J79" s="26" t="n">
        <f aca="false">N(G79)+N(H79)-N(I79)</f>
        <v>0</v>
      </c>
      <c r="K79" s="37" t="n">
        <f aca="false">'Mar 2027'!N79</f>
        <v>0</v>
      </c>
      <c r="L79" s="37" t="n">
        <f aca="false">IF(B79="",0,N(Students!G68))</f>
        <v>0</v>
      </c>
      <c r="M79" s="23"/>
      <c r="N79" s="26" t="n">
        <f aca="false">N(K79)+N(L79)-N(M79)</f>
        <v>0</v>
      </c>
      <c r="O79" s="37" t="n">
        <f aca="false">'Mar 2027'!R79</f>
        <v>0</v>
      </c>
      <c r="P79" s="37" t="n">
        <f aca="false">IF(B79="",0,N(Students!H68))</f>
        <v>0</v>
      </c>
      <c r="Q79" s="23"/>
      <c r="R79" s="26" t="n">
        <f aca="false">N(O79)+N(P79)-N(Q79)</f>
        <v>0</v>
      </c>
      <c r="S79" s="37" t="n">
        <f aca="false">'Mar 2027'!V79</f>
        <v>0</v>
      </c>
      <c r="T79" s="37" t="n">
        <f aca="false">IF(B79="",0,N(Students!I68))</f>
        <v>0</v>
      </c>
      <c r="U79" s="23"/>
      <c r="V79" s="26" t="n">
        <f aca="false">N(S79)+N(T79)-N(U79)</f>
        <v>0</v>
      </c>
      <c r="W79" s="37" t="n">
        <f aca="false">'Mar 2027'!Z79</f>
        <v>0</v>
      </c>
      <c r="X79" s="37" t="n">
        <f aca="false">IF(B79="",0,N(Students!J68))</f>
        <v>0</v>
      </c>
      <c r="Y79" s="23"/>
      <c r="Z79" s="26" t="n">
        <f aca="false">N(W79)+N(X79)-N(Y79)</f>
        <v>0</v>
      </c>
      <c r="AA79" s="37" t="n">
        <f aca="false">N(E79)+N(I79)+N(M79)+N(Q79)+N(U79)+N(Y79)</f>
        <v>0</v>
      </c>
      <c r="AB79" s="26" t="n">
        <f aca="false">F79+J79+N79+R79+V79+Z79</f>
        <v>0</v>
      </c>
      <c r="AC79" s="83" t="str">
        <f aca="false">IF(B79="","",IF(AB79&lt;=0,"Clear",IF(AA79&gt;0,"Partial","Due")))</f>
        <v/>
      </c>
    </row>
    <row r="80" customFormat="false" ht="15" hidden="false" customHeight="false" outlineLevel="0" collapsed="false">
      <c r="A80" s="21" t="n">
        <v>65</v>
      </c>
      <c r="B80" s="46" t="str">
        <f aca="false">IF(Students!B69="","",Students!B69)</f>
        <v/>
      </c>
      <c r="C80" s="33" t="n">
        <f aca="false">'Mar 2027'!F80</f>
        <v>0</v>
      </c>
      <c r="D80" s="33" t="n">
        <f aca="false">IF(B80="",0,N(Students!E69))</f>
        <v>0</v>
      </c>
      <c r="E80" s="23"/>
      <c r="F80" s="24" t="n">
        <f aca="false">N(C80)+N(D80)-N(E80)</f>
        <v>0</v>
      </c>
      <c r="G80" s="33" t="n">
        <f aca="false">'Mar 2027'!J80</f>
        <v>0</v>
      </c>
      <c r="H80" s="33" t="n">
        <f aca="false">IF(B80="",0,N(Students!F69))</f>
        <v>0</v>
      </c>
      <c r="I80" s="23"/>
      <c r="J80" s="24" t="n">
        <f aca="false">N(G80)+N(H80)-N(I80)</f>
        <v>0</v>
      </c>
      <c r="K80" s="33" t="n">
        <f aca="false">'Mar 2027'!N80</f>
        <v>0</v>
      </c>
      <c r="L80" s="33" t="n">
        <f aca="false">IF(B80="",0,N(Students!G69))</f>
        <v>0</v>
      </c>
      <c r="M80" s="23"/>
      <c r="N80" s="24" t="n">
        <f aca="false">N(K80)+N(L80)-N(M80)</f>
        <v>0</v>
      </c>
      <c r="O80" s="33" t="n">
        <f aca="false">'Mar 2027'!R80</f>
        <v>0</v>
      </c>
      <c r="P80" s="33" t="n">
        <f aca="false">IF(B80="",0,N(Students!H69))</f>
        <v>0</v>
      </c>
      <c r="Q80" s="23"/>
      <c r="R80" s="24" t="n">
        <f aca="false">N(O80)+N(P80)-N(Q80)</f>
        <v>0</v>
      </c>
      <c r="S80" s="33" t="n">
        <f aca="false">'Mar 2027'!V80</f>
        <v>0</v>
      </c>
      <c r="T80" s="33" t="n">
        <f aca="false">IF(B80="",0,N(Students!I69))</f>
        <v>0</v>
      </c>
      <c r="U80" s="23"/>
      <c r="V80" s="24" t="n">
        <f aca="false">N(S80)+N(T80)-N(U80)</f>
        <v>0</v>
      </c>
      <c r="W80" s="33" t="n">
        <f aca="false">'Mar 2027'!Z80</f>
        <v>0</v>
      </c>
      <c r="X80" s="33" t="n">
        <f aca="false">IF(B80="",0,N(Students!J69))</f>
        <v>0</v>
      </c>
      <c r="Y80" s="23"/>
      <c r="Z80" s="24" t="n">
        <f aca="false">N(W80)+N(X80)-N(Y80)</f>
        <v>0</v>
      </c>
      <c r="AA80" s="33" t="n">
        <f aca="false">N(E80)+N(I80)+N(M80)+N(Q80)+N(U80)+N(Y80)</f>
        <v>0</v>
      </c>
      <c r="AB80" s="24" t="n">
        <f aca="false">F80+J80+N80+R80+V80+Z80</f>
        <v>0</v>
      </c>
      <c r="AC80" s="81" t="str">
        <f aca="false">IF(B80="","",IF(AB80&lt;=0,"Clear",IF(AA80&gt;0,"Partial","Due")))</f>
        <v/>
      </c>
    </row>
    <row r="81" customFormat="false" ht="15" hidden="false" customHeight="false" outlineLevel="0" collapsed="false">
      <c r="A81" s="25" t="n">
        <v>66</v>
      </c>
      <c r="B81" s="82" t="str">
        <f aca="false">IF(Students!B70="","",Students!B70)</f>
        <v/>
      </c>
      <c r="C81" s="37" t="n">
        <f aca="false">'Mar 2027'!F81</f>
        <v>0</v>
      </c>
      <c r="D81" s="37" t="n">
        <f aca="false">IF(B81="",0,N(Students!E70))</f>
        <v>0</v>
      </c>
      <c r="E81" s="23"/>
      <c r="F81" s="26" t="n">
        <f aca="false">N(C81)+N(D81)-N(E81)</f>
        <v>0</v>
      </c>
      <c r="G81" s="37" t="n">
        <f aca="false">'Mar 2027'!J81</f>
        <v>0</v>
      </c>
      <c r="H81" s="37" t="n">
        <f aca="false">IF(B81="",0,N(Students!F70))</f>
        <v>0</v>
      </c>
      <c r="I81" s="23"/>
      <c r="J81" s="26" t="n">
        <f aca="false">N(G81)+N(H81)-N(I81)</f>
        <v>0</v>
      </c>
      <c r="K81" s="37" t="n">
        <f aca="false">'Mar 2027'!N81</f>
        <v>0</v>
      </c>
      <c r="L81" s="37" t="n">
        <f aca="false">IF(B81="",0,N(Students!G70))</f>
        <v>0</v>
      </c>
      <c r="M81" s="23"/>
      <c r="N81" s="26" t="n">
        <f aca="false">N(K81)+N(L81)-N(M81)</f>
        <v>0</v>
      </c>
      <c r="O81" s="37" t="n">
        <f aca="false">'Mar 2027'!R81</f>
        <v>0</v>
      </c>
      <c r="P81" s="37" t="n">
        <f aca="false">IF(B81="",0,N(Students!H70))</f>
        <v>0</v>
      </c>
      <c r="Q81" s="23"/>
      <c r="R81" s="26" t="n">
        <f aca="false">N(O81)+N(P81)-N(Q81)</f>
        <v>0</v>
      </c>
      <c r="S81" s="37" t="n">
        <f aca="false">'Mar 2027'!V81</f>
        <v>0</v>
      </c>
      <c r="T81" s="37" t="n">
        <f aca="false">IF(B81="",0,N(Students!I70))</f>
        <v>0</v>
      </c>
      <c r="U81" s="23"/>
      <c r="V81" s="26" t="n">
        <f aca="false">N(S81)+N(T81)-N(U81)</f>
        <v>0</v>
      </c>
      <c r="W81" s="37" t="n">
        <f aca="false">'Mar 2027'!Z81</f>
        <v>0</v>
      </c>
      <c r="X81" s="37" t="n">
        <f aca="false">IF(B81="",0,N(Students!J70))</f>
        <v>0</v>
      </c>
      <c r="Y81" s="23"/>
      <c r="Z81" s="26" t="n">
        <f aca="false">N(W81)+N(X81)-N(Y81)</f>
        <v>0</v>
      </c>
      <c r="AA81" s="37" t="n">
        <f aca="false">N(E81)+N(I81)+N(M81)+N(Q81)+N(U81)+N(Y81)</f>
        <v>0</v>
      </c>
      <c r="AB81" s="26" t="n">
        <f aca="false">F81+J81+N81+R81+V81+Z81</f>
        <v>0</v>
      </c>
      <c r="AC81" s="83" t="str">
        <f aca="false">IF(B81="","",IF(AB81&lt;=0,"Clear",IF(AA81&gt;0,"Partial","Due")))</f>
        <v/>
      </c>
    </row>
    <row r="82" customFormat="false" ht="15" hidden="false" customHeight="false" outlineLevel="0" collapsed="false">
      <c r="A82" s="21" t="n">
        <v>67</v>
      </c>
      <c r="B82" s="46" t="str">
        <f aca="false">IF(Students!B71="","",Students!B71)</f>
        <v/>
      </c>
      <c r="C82" s="33" t="n">
        <f aca="false">'Mar 2027'!F82</f>
        <v>0</v>
      </c>
      <c r="D82" s="33" t="n">
        <f aca="false">IF(B82="",0,N(Students!E71))</f>
        <v>0</v>
      </c>
      <c r="E82" s="23"/>
      <c r="F82" s="24" t="n">
        <f aca="false">N(C82)+N(D82)-N(E82)</f>
        <v>0</v>
      </c>
      <c r="G82" s="33" t="n">
        <f aca="false">'Mar 2027'!J82</f>
        <v>0</v>
      </c>
      <c r="H82" s="33" t="n">
        <f aca="false">IF(B82="",0,N(Students!F71))</f>
        <v>0</v>
      </c>
      <c r="I82" s="23"/>
      <c r="J82" s="24" t="n">
        <f aca="false">N(G82)+N(H82)-N(I82)</f>
        <v>0</v>
      </c>
      <c r="K82" s="33" t="n">
        <f aca="false">'Mar 2027'!N82</f>
        <v>0</v>
      </c>
      <c r="L82" s="33" t="n">
        <f aca="false">IF(B82="",0,N(Students!G71))</f>
        <v>0</v>
      </c>
      <c r="M82" s="23"/>
      <c r="N82" s="24" t="n">
        <f aca="false">N(K82)+N(L82)-N(M82)</f>
        <v>0</v>
      </c>
      <c r="O82" s="33" t="n">
        <f aca="false">'Mar 2027'!R82</f>
        <v>0</v>
      </c>
      <c r="P82" s="33" t="n">
        <f aca="false">IF(B82="",0,N(Students!H71))</f>
        <v>0</v>
      </c>
      <c r="Q82" s="23"/>
      <c r="R82" s="24" t="n">
        <f aca="false">N(O82)+N(P82)-N(Q82)</f>
        <v>0</v>
      </c>
      <c r="S82" s="33" t="n">
        <f aca="false">'Mar 2027'!V82</f>
        <v>0</v>
      </c>
      <c r="T82" s="33" t="n">
        <f aca="false">IF(B82="",0,N(Students!I71))</f>
        <v>0</v>
      </c>
      <c r="U82" s="23"/>
      <c r="V82" s="24" t="n">
        <f aca="false">N(S82)+N(T82)-N(U82)</f>
        <v>0</v>
      </c>
      <c r="W82" s="33" t="n">
        <f aca="false">'Mar 2027'!Z82</f>
        <v>0</v>
      </c>
      <c r="X82" s="33" t="n">
        <f aca="false">IF(B82="",0,N(Students!J71))</f>
        <v>0</v>
      </c>
      <c r="Y82" s="23"/>
      <c r="Z82" s="24" t="n">
        <f aca="false">N(W82)+N(X82)-N(Y82)</f>
        <v>0</v>
      </c>
      <c r="AA82" s="33" t="n">
        <f aca="false">N(E82)+N(I82)+N(M82)+N(Q82)+N(U82)+N(Y82)</f>
        <v>0</v>
      </c>
      <c r="AB82" s="24" t="n">
        <f aca="false">F82+J82+N82+R82+V82+Z82</f>
        <v>0</v>
      </c>
      <c r="AC82" s="81" t="str">
        <f aca="false">IF(B82="","",IF(AB82&lt;=0,"Clear",IF(AA82&gt;0,"Partial","Due")))</f>
        <v/>
      </c>
    </row>
    <row r="83" customFormat="false" ht="15" hidden="false" customHeight="false" outlineLevel="0" collapsed="false">
      <c r="A83" s="25" t="n">
        <v>68</v>
      </c>
      <c r="B83" s="82" t="str">
        <f aca="false">IF(Students!B72="","",Students!B72)</f>
        <v/>
      </c>
      <c r="C83" s="37" t="n">
        <f aca="false">'Mar 2027'!F83</f>
        <v>0</v>
      </c>
      <c r="D83" s="37" t="n">
        <f aca="false">IF(B83="",0,N(Students!E72))</f>
        <v>0</v>
      </c>
      <c r="E83" s="23"/>
      <c r="F83" s="26" t="n">
        <f aca="false">N(C83)+N(D83)-N(E83)</f>
        <v>0</v>
      </c>
      <c r="G83" s="37" t="n">
        <f aca="false">'Mar 2027'!J83</f>
        <v>0</v>
      </c>
      <c r="H83" s="37" t="n">
        <f aca="false">IF(B83="",0,N(Students!F72))</f>
        <v>0</v>
      </c>
      <c r="I83" s="23"/>
      <c r="J83" s="26" t="n">
        <f aca="false">N(G83)+N(H83)-N(I83)</f>
        <v>0</v>
      </c>
      <c r="K83" s="37" t="n">
        <f aca="false">'Mar 2027'!N83</f>
        <v>0</v>
      </c>
      <c r="L83" s="37" t="n">
        <f aca="false">IF(B83="",0,N(Students!G72))</f>
        <v>0</v>
      </c>
      <c r="M83" s="23"/>
      <c r="N83" s="26" t="n">
        <f aca="false">N(K83)+N(L83)-N(M83)</f>
        <v>0</v>
      </c>
      <c r="O83" s="37" t="n">
        <f aca="false">'Mar 2027'!R83</f>
        <v>0</v>
      </c>
      <c r="P83" s="37" t="n">
        <f aca="false">IF(B83="",0,N(Students!H72))</f>
        <v>0</v>
      </c>
      <c r="Q83" s="23"/>
      <c r="R83" s="26" t="n">
        <f aca="false">N(O83)+N(P83)-N(Q83)</f>
        <v>0</v>
      </c>
      <c r="S83" s="37" t="n">
        <f aca="false">'Mar 2027'!V83</f>
        <v>0</v>
      </c>
      <c r="T83" s="37" t="n">
        <f aca="false">IF(B83="",0,N(Students!I72))</f>
        <v>0</v>
      </c>
      <c r="U83" s="23"/>
      <c r="V83" s="26" t="n">
        <f aca="false">N(S83)+N(T83)-N(U83)</f>
        <v>0</v>
      </c>
      <c r="W83" s="37" t="n">
        <f aca="false">'Mar 2027'!Z83</f>
        <v>0</v>
      </c>
      <c r="X83" s="37" t="n">
        <f aca="false">IF(B83="",0,N(Students!J72))</f>
        <v>0</v>
      </c>
      <c r="Y83" s="23"/>
      <c r="Z83" s="26" t="n">
        <f aca="false">N(W83)+N(X83)-N(Y83)</f>
        <v>0</v>
      </c>
      <c r="AA83" s="37" t="n">
        <f aca="false">N(E83)+N(I83)+N(M83)+N(Q83)+N(U83)+N(Y83)</f>
        <v>0</v>
      </c>
      <c r="AB83" s="26" t="n">
        <f aca="false">F83+J83+N83+R83+V83+Z83</f>
        <v>0</v>
      </c>
      <c r="AC83" s="83" t="str">
        <f aca="false">IF(B83="","",IF(AB83&lt;=0,"Clear",IF(AA83&gt;0,"Partial","Due")))</f>
        <v/>
      </c>
    </row>
    <row r="84" customFormat="false" ht="15" hidden="false" customHeight="false" outlineLevel="0" collapsed="false">
      <c r="A84" s="21" t="n">
        <v>69</v>
      </c>
      <c r="B84" s="46" t="str">
        <f aca="false">IF(Students!B73="","",Students!B73)</f>
        <v/>
      </c>
      <c r="C84" s="33" t="n">
        <f aca="false">'Mar 2027'!F84</f>
        <v>0</v>
      </c>
      <c r="D84" s="33" t="n">
        <f aca="false">IF(B84="",0,N(Students!E73))</f>
        <v>0</v>
      </c>
      <c r="E84" s="23"/>
      <c r="F84" s="24" t="n">
        <f aca="false">N(C84)+N(D84)-N(E84)</f>
        <v>0</v>
      </c>
      <c r="G84" s="33" t="n">
        <f aca="false">'Mar 2027'!J84</f>
        <v>0</v>
      </c>
      <c r="H84" s="33" t="n">
        <f aca="false">IF(B84="",0,N(Students!F73))</f>
        <v>0</v>
      </c>
      <c r="I84" s="23"/>
      <c r="J84" s="24" t="n">
        <f aca="false">N(G84)+N(H84)-N(I84)</f>
        <v>0</v>
      </c>
      <c r="K84" s="33" t="n">
        <f aca="false">'Mar 2027'!N84</f>
        <v>0</v>
      </c>
      <c r="L84" s="33" t="n">
        <f aca="false">IF(B84="",0,N(Students!G73))</f>
        <v>0</v>
      </c>
      <c r="M84" s="23"/>
      <c r="N84" s="24" t="n">
        <f aca="false">N(K84)+N(L84)-N(M84)</f>
        <v>0</v>
      </c>
      <c r="O84" s="33" t="n">
        <f aca="false">'Mar 2027'!R84</f>
        <v>0</v>
      </c>
      <c r="P84" s="33" t="n">
        <f aca="false">IF(B84="",0,N(Students!H73))</f>
        <v>0</v>
      </c>
      <c r="Q84" s="23"/>
      <c r="R84" s="24" t="n">
        <f aca="false">N(O84)+N(P84)-N(Q84)</f>
        <v>0</v>
      </c>
      <c r="S84" s="33" t="n">
        <f aca="false">'Mar 2027'!V84</f>
        <v>0</v>
      </c>
      <c r="T84" s="33" t="n">
        <f aca="false">IF(B84="",0,N(Students!I73))</f>
        <v>0</v>
      </c>
      <c r="U84" s="23"/>
      <c r="V84" s="24" t="n">
        <f aca="false">N(S84)+N(T84)-N(U84)</f>
        <v>0</v>
      </c>
      <c r="W84" s="33" t="n">
        <f aca="false">'Mar 2027'!Z84</f>
        <v>0</v>
      </c>
      <c r="X84" s="33" t="n">
        <f aca="false">IF(B84="",0,N(Students!J73))</f>
        <v>0</v>
      </c>
      <c r="Y84" s="23"/>
      <c r="Z84" s="24" t="n">
        <f aca="false">N(W84)+N(X84)-N(Y84)</f>
        <v>0</v>
      </c>
      <c r="AA84" s="33" t="n">
        <f aca="false">N(E84)+N(I84)+N(M84)+N(Q84)+N(U84)+N(Y84)</f>
        <v>0</v>
      </c>
      <c r="AB84" s="24" t="n">
        <f aca="false">F84+J84+N84+R84+V84+Z84</f>
        <v>0</v>
      </c>
      <c r="AC84" s="81" t="str">
        <f aca="false">IF(B84="","",IF(AB84&lt;=0,"Clear",IF(AA84&gt;0,"Partial","Due")))</f>
        <v/>
      </c>
    </row>
    <row r="85" customFormat="false" ht="15" hidden="false" customHeight="false" outlineLevel="0" collapsed="false">
      <c r="A85" s="25" t="n">
        <v>70</v>
      </c>
      <c r="B85" s="82" t="str">
        <f aca="false">IF(Students!B74="","",Students!B74)</f>
        <v/>
      </c>
      <c r="C85" s="37" t="n">
        <f aca="false">'Mar 2027'!F85</f>
        <v>0</v>
      </c>
      <c r="D85" s="37" t="n">
        <f aca="false">IF(B85="",0,N(Students!E74))</f>
        <v>0</v>
      </c>
      <c r="E85" s="23"/>
      <c r="F85" s="26" t="n">
        <f aca="false">N(C85)+N(D85)-N(E85)</f>
        <v>0</v>
      </c>
      <c r="G85" s="37" t="n">
        <f aca="false">'Mar 2027'!J85</f>
        <v>0</v>
      </c>
      <c r="H85" s="37" t="n">
        <f aca="false">IF(B85="",0,N(Students!F74))</f>
        <v>0</v>
      </c>
      <c r="I85" s="23"/>
      <c r="J85" s="26" t="n">
        <f aca="false">N(G85)+N(H85)-N(I85)</f>
        <v>0</v>
      </c>
      <c r="K85" s="37" t="n">
        <f aca="false">'Mar 2027'!N85</f>
        <v>0</v>
      </c>
      <c r="L85" s="37" t="n">
        <f aca="false">IF(B85="",0,N(Students!G74))</f>
        <v>0</v>
      </c>
      <c r="M85" s="23"/>
      <c r="N85" s="26" t="n">
        <f aca="false">N(K85)+N(L85)-N(M85)</f>
        <v>0</v>
      </c>
      <c r="O85" s="37" t="n">
        <f aca="false">'Mar 2027'!R85</f>
        <v>0</v>
      </c>
      <c r="P85" s="37" t="n">
        <f aca="false">IF(B85="",0,N(Students!H74))</f>
        <v>0</v>
      </c>
      <c r="Q85" s="23"/>
      <c r="R85" s="26" t="n">
        <f aca="false">N(O85)+N(P85)-N(Q85)</f>
        <v>0</v>
      </c>
      <c r="S85" s="37" t="n">
        <f aca="false">'Mar 2027'!V85</f>
        <v>0</v>
      </c>
      <c r="T85" s="37" t="n">
        <f aca="false">IF(B85="",0,N(Students!I74))</f>
        <v>0</v>
      </c>
      <c r="U85" s="23"/>
      <c r="V85" s="26" t="n">
        <f aca="false">N(S85)+N(T85)-N(U85)</f>
        <v>0</v>
      </c>
      <c r="W85" s="37" t="n">
        <f aca="false">'Mar 2027'!Z85</f>
        <v>0</v>
      </c>
      <c r="X85" s="37" t="n">
        <f aca="false">IF(B85="",0,N(Students!J74))</f>
        <v>0</v>
      </c>
      <c r="Y85" s="23"/>
      <c r="Z85" s="26" t="n">
        <f aca="false">N(W85)+N(X85)-N(Y85)</f>
        <v>0</v>
      </c>
      <c r="AA85" s="37" t="n">
        <f aca="false">N(E85)+N(I85)+N(M85)+N(Q85)+N(U85)+N(Y85)</f>
        <v>0</v>
      </c>
      <c r="AB85" s="26" t="n">
        <f aca="false">F85+J85+N85+R85+V85+Z85</f>
        <v>0</v>
      </c>
      <c r="AC85" s="83" t="str">
        <f aca="false">IF(B85="","",IF(AB85&lt;=0,"Clear",IF(AA85&gt;0,"Partial","Due")))</f>
        <v/>
      </c>
    </row>
    <row r="86" customFormat="false" ht="15" hidden="false" customHeight="false" outlineLevel="0" collapsed="false">
      <c r="A86" s="21" t="n">
        <v>71</v>
      </c>
      <c r="B86" s="46" t="str">
        <f aca="false">IF(Students!B75="","",Students!B75)</f>
        <v/>
      </c>
      <c r="C86" s="33" t="n">
        <f aca="false">'Mar 2027'!F86</f>
        <v>0</v>
      </c>
      <c r="D86" s="33" t="n">
        <f aca="false">IF(B86="",0,N(Students!E75))</f>
        <v>0</v>
      </c>
      <c r="E86" s="23"/>
      <c r="F86" s="24" t="n">
        <f aca="false">N(C86)+N(D86)-N(E86)</f>
        <v>0</v>
      </c>
      <c r="G86" s="33" t="n">
        <f aca="false">'Mar 2027'!J86</f>
        <v>0</v>
      </c>
      <c r="H86" s="33" t="n">
        <f aca="false">IF(B86="",0,N(Students!F75))</f>
        <v>0</v>
      </c>
      <c r="I86" s="23"/>
      <c r="J86" s="24" t="n">
        <f aca="false">N(G86)+N(H86)-N(I86)</f>
        <v>0</v>
      </c>
      <c r="K86" s="33" t="n">
        <f aca="false">'Mar 2027'!N86</f>
        <v>0</v>
      </c>
      <c r="L86" s="33" t="n">
        <f aca="false">IF(B86="",0,N(Students!G75))</f>
        <v>0</v>
      </c>
      <c r="M86" s="23"/>
      <c r="N86" s="24" t="n">
        <f aca="false">N(K86)+N(L86)-N(M86)</f>
        <v>0</v>
      </c>
      <c r="O86" s="33" t="n">
        <f aca="false">'Mar 2027'!R86</f>
        <v>0</v>
      </c>
      <c r="P86" s="33" t="n">
        <f aca="false">IF(B86="",0,N(Students!H75))</f>
        <v>0</v>
      </c>
      <c r="Q86" s="23"/>
      <c r="R86" s="24" t="n">
        <f aca="false">N(O86)+N(P86)-N(Q86)</f>
        <v>0</v>
      </c>
      <c r="S86" s="33" t="n">
        <f aca="false">'Mar 2027'!V86</f>
        <v>0</v>
      </c>
      <c r="T86" s="33" t="n">
        <f aca="false">IF(B86="",0,N(Students!I75))</f>
        <v>0</v>
      </c>
      <c r="U86" s="23"/>
      <c r="V86" s="24" t="n">
        <f aca="false">N(S86)+N(T86)-N(U86)</f>
        <v>0</v>
      </c>
      <c r="W86" s="33" t="n">
        <f aca="false">'Mar 2027'!Z86</f>
        <v>0</v>
      </c>
      <c r="X86" s="33" t="n">
        <f aca="false">IF(B86="",0,N(Students!J75))</f>
        <v>0</v>
      </c>
      <c r="Y86" s="23"/>
      <c r="Z86" s="24" t="n">
        <f aca="false">N(W86)+N(X86)-N(Y86)</f>
        <v>0</v>
      </c>
      <c r="AA86" s="33" t="n">
        <f aca="false">N(E86)+N(I86)+N(M86)+N(Q86)+N(U86)+N(Y86)</f>
        <v>0</v>
      </c>
      <c r="AB86" s="24" t="n">
        <f aca="false">F86+J86+N86+R86+V86+Z86</f>
        <v>0</v>
      </c>
      <c r="AC86" s="81" t="str">
        <f aca="false">IF(B86="","",IF(AB86&lt;=0,"Clear",IF(AA86&gt;0,"Partial","Due")))</f>
        <v/>
      </c>
    </row>
    <row r="87" customFormat="false" ht="15" hidden="false" customHeight="false" outlineLevel="0" collapsed="false">
      <c r="A87" s="25" t="n">
        <v>72</v>
      </c>
      <c r="B87" s="82" t="str">
        <f aca="false">IF(Students!B76="","",Students!B76)</f>
        <v/>
      </c>
      <c r="C87" s="37" t="n">
        <f aca="false">'Mar 2027'!F87</f>
        <v>0</v>
      </c>
      <c r="D87" s="37" t="n">
        <f aca="false">IF(B87="",0,N(Students!E76))</f>
        <v>0</v>
      </c>
      <c r="E87" s="23"/>
      <c r="F87" s="26" t="n">
        <f aca="false">N(C87)+N(D87)-N(E87)</f>
        <v>0</v>
      </c>
      <c r="G87" s="37" t="n">
        <f aca="false">'Mar 2027'!J87</f>
        <v>0</v>
      </c>
      <c r="H87" s="37" t="n">
        <f aca="false">IF(B87="",0,N(Students!F76))</f>
        <v>0</v>
      </c>
      <c r="I87" s="23"/>
      <c r="J87" s="26" t="n">
        <f aca="false">N(G87)+N(H87)-N(I87)</f>
        <v>0</v>
      </c>
      <c r="K87" s="37" t="n">
        <f aca="false">'Mar 2027'!N87</f>
        <v>0</v>
      </c>
      <c r="L87" s="37" t="n">
        <f aca="false">IF(B87="",0,N(Students!G76))</f>
        <v>0</v>
      </c>
      <c r="M87" s="23"/>
      <c r="N87" s="26" t="n">
        <f aca="false">N(K87)+N(L87)-N(M87)</f>
        <v>0</v>
      </c>
      <c r="O87" s="37" t="n">
        <f aca="false">'Mar 2027'!R87</f>
        <v>0</v>
      </c>
      <c r="P87" s="37" t="n">
        <f aca="false">IF(B87="",0,N(Students!H76))</f>
        <v>0</v>
      </c>
      <c r="Q87" s="23"/>
      <c r="R87" s="26" t="n">
        <f aca="false">N(O87)+N(P87)-N(Q87)</f>
        <v>0</v>
      </c>
      <c r="S87" s="37" t="n">
        <f aca="false">'Mar 2027'!V87</f>
        <v>0</v>
      </c>
      <c r="T87" s="37" t="n">
        <f aca="false">IF(B87="",0,N(Students!I76))</f>
        <v>0</v>
      </c>
      <c r="U87" s="23"/>
      <c r="V87" s="26" t="n">
        <f aca="false">N(S87)+N(T87)-N(U87)</f>
        <v>0</v>
      </c>
      <c r="W87" s="37" t="n">
        <f aca="false">'Mar 2027'!Z87</f>
        <v>0</v>
      </c>
      <c r="X87" s="37" t="n">
        <f aca="false">IF(B87="",0,N(Students!J76))</f>
        <v>0</v>
      </c>
      <c r="Y87" s="23"/>
      <c r="Z87" s="26" t="n">
        <f aca="false">N(W87)+N(X87)-N(Y87)</f>
        <v>0</v>
      </c>
      <c r="AA87" s="37" t="n">
        <f aca="false">N(E87)+N(I87)+N(M87)+N(Q87)+N(U87)+N(Y87)</f>
        <v>0</v>
      </c>
      <c r="AB87" s="26" t="n">
        <f aca="false">F87+J87+N87+R87+V87+Z87</f>
        <v>0</v>
      </c>
      <c r="AC87" s="83" t="str">
        <f aca="false">IF(B87="","",IF(AB87&lt;=0,"Clear",IF(AA87&gt;0,"Partial","Due")))</f>
        <v/>
      </c>
    </row>
    <row r="88" customFormat="false" ht="15" hidden="false" customHeight="false" outlineLevel="0" collapsed="false">
      <c r="A88" s="21" t="n">
        <v>73</v>
      </c>
      <c r="B88" s="46" t="str">
        <f aca="false">IF(Students!B77="","",Students!B77)</f>
        <v/>
      </c>
      <c r="C88" s="33" t="n">
        <f aca="false">'Mar 2027'!F88</f>
        <v>0</v>
      </c>
      <c r="D88" s="33" t="n">
        <f aca="false">IF(B88="",0,N(Students!E77))</f>
        <v>0</v>
      </c>
      <c r="E88" s="23"/>
      <c r="F88" s="24" t="n">
        <f aca="false">N(C88)+N(D88)-N(E88)</f>
        <v>0</v>
      </c>
      <c r="G88" s="33" t="n">
        <f aca="false">'Mar 2027'!J88</f>
        <v>0</v>
      </c>
      <c r="H88" s="33" t="n">
        <f aca="false">IF(B88="",0,N(Students!F77))</f>
        <v>0</v>
      </c>
      <c r="I88" s="23"/>
      <c r="J88" s="24" t="n">
        <f aca="false">N(G88)+N(H88)-N(I88)</f>
        <v>0</v>
      </c>
      <c r="K88" s="33" t="n">
        <f aca="false">'Mar 2027'!N88</f>
        <v>0</v>
      </c>
      <c r="L88" s="33" t="n">
        <f aca="false">IF(B88="",0,N(Students!G77))</f>
        <v>0</v>
      </c>
      <c r="M88" s="23"/>
      <c r="N88" s="24" t="n">
        <f aca="false">N(K88)+N(L88)-N(M88)</f>
        <v>0</v>
      </c>
      <c r="O88" s="33" t="n">
        <f aca="false">'Mar 2027'!R88</f>
        <v>0</v>
      </c>
      <c r="P88" s="33" t="n">
        <f aca="false">IF(B88="",0,N(Students!H77))</f>
        <v>0</v>
      </c>
      <c r="Q88" s="23"/>
      <c r="R88" s="24" t="n">
        <f aca="false">N(O88)+N(P88)-N(Q88)</f>
        <v>0</v>
      </c>
      <c r="S88" s="33" t="n">
        <f aca="false">'Mar 2027'!V88</f>
        <v>0</v>
      </c>
      <c r="T88" s="33" t="n">
        <f aca="false">IF(B88="",0,N(Students!I77))</f>
        <v>0</v>
      </c>
      <c r="U88" s="23"/>
      <c r="V88" s="24" t="n">
        <f aca="false">N(S88)+N(T88)-N(U88)</f>
        <v>0</v>
      </c>
      <c r="W88" s="33" t="n">
        <f aca="false">'Mar 2027'!Z88</f>
        <v>0</v>
      </c>
      <c r="X88" s="33" t="n">
        <f aca="false">IF(B88="",0,N(Students!J77))</f>
        <v>0</v>
      </c>
      <c r="Y88" s="23"/>
      <c r="Z88" s="24" t="n">
        <f aca="false">N(W88)+N(X88)-N(Y88)</f>
        <v>0</v>
      </c>
      <c r="AA88" s="33" t="n">
        <f aca="false">N(E88)+N(I88)+N(M88)+N(Q88)+N(U88)+N(Y88)</f>
        <v>0</v>
      </c>
      <c r="AB88" s="24" t="n">
        <f aca="false">F88+J88+N88+R88+V88+Z88</f>
        <v>0</v>
      </c>
      <c r="AC88" s="81" t="str">
        <f aca="false">IF(B88="","",IF(AB88&lt;=0,"Clear",IF(AA88&gt;0,"Partial","Due")))</f>
        <v/>
      </c>
    </row>
    <row r="89" customFormat="false" ht="15" hidden="false" customHeight="false" outlineLevel="0" collapsed="false">
      <c r="A89" s="25" t="n">
        <v>74</v>
      </c>
      <c r="B89" s="82" t="str">
        <f aca="false">IF(Students!B78="","",Students!B78)</f>
        <v/>
      </c>
      <c r="C89" s="37" t="n">
        <f aca="false">'Mar 2027'!F89</f>
        <v>0</v>
      </c>
      <c r="D89" s="37" t="n">
        <f aca="false">IF(B89="",0,N(Students!E78))</f>
        <v>0</v>
      </c>
      <c r="E89" s="23"/>
      <c r="F89" s="26" t="n">
        <f aca="false">N(C89)+N(D89)-N(E89)</f>
        <v>0</v>
      </c>
      <c r="G89" s="37" t="n">
        <f aca="false">'Mar 2027'!J89</f>
        <v>0</v>
      </c>
      <c r="H89" s="37" t="n">
        <f aca="false">IF(B89="",0,N(Students!F78))</f>
        <v>0</v>
      </c>
      <c r="I89" s="23"/>
      <c r="J89" s="26" t="n">
        <f aca="false">N(G89)+N(H89)-N(I89)</f>
        <v>0</v>
      </c>
      <c r="K89" s="37" t="n">
        <f aca="false">'Mar 2027'!N89</f>
        <v>0</v>
      </c>
      <c r="L89" s="37" t="n">
        <f aca="false">IF(B89="",0,N(Students!G78))</f>
        <v>0</v>
      </c>
      <c r="M89" s="23"/>
      <c r="N89" s="26" t="n">
        <f aca="false">N(K89)+N(L89)-N(M89)</f>
        <v>0</v>
      </c>
      <c r="O89" s="37" t="n">
        <f aca="false">'Mar 2027'!R89</f>
        <v>0</v>
      </c>
      <c r="P89" s="37" t="n">
        <f aca="false">IF(B89="",0,N(Students!H78))</f>
        <v>0</v>
      </c>
      <c r="Q89" s="23"/>
      <c r="R89" s="26" t="n">
        <f aca="false">N(O89)+N(P89)-N(Q89)</f>
        <v>0</v>
      </c>
      <c r="S89" s="37" t="n">
        <f aca="false">'Mar 2027'!V89</f>
        <v>0</v>
      </c>
      <c r="T89" s="37" t="n">
        <f aca="false">IF(B89="",0,N(Students!I78))</f>
        <v>0</v>
      </c>
      <c r="U89" s="23"/>
      <c r="V89" s="26" t="n">
        <f aca="false">N(S89)+N(T89)-N(U89)</f>
        <v>0</v>
      </c>
      <c r="W89" s="37" t="n">
        <f aca="false">'Mar 2027'!Z89</f>
        <v>0</v>
      </c>
      <c r="X89" s="37" t="n">
        <f aca="false">IF(B89="",0,N(Students!J78))</f>
        <v>0</v>
      </c>
      <c r="Y89" s="23"/>
      <c r="Z89" s="26" t="n">
        <f aca="false">N(W89)+N(X89)-N(Y89)</f>
        <v>0</v>
      </c>
      <c r="AA89" s="37" t="n">
        <f aca="false">N(E89)+N(I89)+N(M89)+N(Q89)+N(U89)+N(Y89)</f>
        <v>0</v>
      </c>
      <c r="AB89" s="26" t="n">
        <f aca="false">F89+J89+N89+R89+V89+Z89</f>
        <v>0</v>
      </c>
      <c r="AC89" s="83" t="str">
        <f aca="false">IF(B89="","",IF(AB89&lt;=0,"Clear",IF(AA89&gt;0,"Partial","Due")))</f>
        <v/>
      </c>
    </row>
    <row r="90" customFormat="false" ht="15" hidden="false" customHeight="false" outlineLevel="0" collapsed="false">
      <c r="A90" s="21" t="n">
        <v>75</v>
      </c>
      <c r="B90" s="46" t="str">
        <f aca="false">IF(Students!B79="","",Students!B79)</f>
        <v/>
      </c>
      <c r="C90" s="33" t="n">
        <f aca="false">'Mar 2027'!F90</f>
        <v>0</v>
      </c>
      <c r="D90" s="33" t="n">
        <f aca="false">IF(B90="",0,N(Students!E79))</f>
        <v>0</v>
      </c>
      <c r="E90" s="23"/>
      <c r="F90" s="24" t="n">
        <f aca="false">N(C90)+N(D90)-N(E90)</f>
        <v>0</v>
      </c>
      <c r="G90" s="33" t="n">
        <f aca="false">'Mar 2027'!J90</f>
        <v>0</v>
      </c>
      <c r="H90" s="33" t="n">
        <f aca="false">IF(B90="",0,N(Students!F79))</f>
        <v>0</v>
      </c>
      <c r="I90" s="23"/>
      <c r="J90" s="24" t="n">
        <f aca="false">N(G90)+N(H90)-N(I90)</f>
        <v>0</v>
      </c>
      <c r="K90" s="33" t="n">
        <f aca="false">'Mar 2027'!N90</f>
        <v>0</v>
      </c>
      <c r="L90" s="33" t="n">
        <f aca="false">IF(B90="",0,N(Students!G79))</f>
        <v>0</v>
      </c>
      <c r="M90" s="23"/>
      <c r="N90" s="24" t="n">
        <f aca="false">N(K90)+N(L90)-N(M90)</f>
        <v>0</v>
      </c>
      <c r="O90" s="33" t="n">
        <f aca="false">'Mar 2027'!R90</f>
        <v>0</v>
      </c>
      <c r="P90" s="33" t="n">
        <f aca="false">IF(B90="",0,N(Students!H79))</f>
        <v>0</v>
      </c>
      <c r="Q90" s="23"/>
      <c r="R90" s="24" t="n">
        <f aca="false">N(O90)+N(P90)-N(Q90)</f>
        <v>0</v>
      </c>
      <c r="S90" s="33" t="n">
        <f aca="false">'Mar 2027'!V90</f>
        <v>0</v>
      </c>
      <c r="T90" s="33" t="n">
        <f aca="false">IF(B90="",0,N(Students!I79))</f>
        <v>0</v>
      </c>
      <c r="U90" s="23"/>
      <c r="V90" s="24" t="n">
        <f aca="false">N(S90)+N(T90)-N(U90)</f>
        <v>0</v>
      </c>
      <c r="W90" s="33" t="n">
        <f aca="false">'Mar 2027'!Z90</f>
        <v>0</v>
      </c>
      <c r="X90" s="33" t="n">
        <f aca="false">IF(B90="",0,N(Students!J79))</f>
        <v>0</v>
      </c>
      <c r="Y90" s="23"/>
      <c r="Z90" s="24" t="n">
        <f aca="false">N(W90)+N(X90)-N(Y90)</f>
        <v>0</v>
      </c>
      <c r="AA90" s="33" t="n">
        <f aca="false">N(E90)+N(I90)+N(M90)+N(Q90)+N(U90)+N(Y90)</f>
        <v>0</v>
      </c>
      <c r="AB90" s="24" t="n">
        <f aca="false">F90+J90+N90+R90+V90+Z90</f>
        <v>0</v>
      </c>
      <c r="AC90" s="81" t="str">
        <f aca="false">IF(B90="","",IF(AB90&lt;=0,"Clear",IF(AA90&gt;0,"Partial","Due")))</f>
        <v/>
      </c>
    </row>
    <row r="91" customFormat="false" ht="15" hidden="false" customHeight="false" outlineLevel="0" collapsed="false">
      <c r="A91" s="25" t="n">
        <v>76</v>
      </c>
      <c r="B91" s="82" t="str">
        <f aca="false">IF(Students!B80="","",Students!B80)</f>
        <v/>
      </c>
      <c r="C91" s="37" t="n">
        <f aca="false">'Mar 2027'!F91</f>
        <v>0</v>
      </c>
      <c r="D91" s="37" t="n">
        <f aca="false">IF(B91="",0,N(Students!E80))</f>
        <v>0</v>
      </c>
      <c r="E91" s="23"/>
      <c r="F91" s="26" t="n">
        <f aca="false">N(C91)+N(D91)-N(E91)</f>
        <v>0</v>
      </c>
      <c r="G91" s="37" t="n">
        <f aca="false">'Mar 2027'!J91</f>
        <v>0</v>
      </c>
      <c r="H91" s="37" t="n">
        <f aca="false">IF(B91="",0,N(Students!F80))</f>
        <v>0</v>
      </c>
      <c r="I91" s="23"/>
      <c r="J91" s="26" t="n">
        <f aca="false">N(G91)+N(H91)-N(I91)</f>
        <v>0</v>
      </c>
      <c r="K91" s="37" t="n">
        <f aca="false">'Mar 2027'!N91</f>
        <v>0</v>
      </c>
      <c r="L91" s="37" t="n">
        <f aca="false">IF(B91="",0,N(Students!G80))</f>
        <v>0</v>
      </c>
      <c r="M91" s="23"/>
      <c r="N91" s="26" t="n">
        <f aca="false">N(K91)+N(L91)-N(M91)</f>
        <v>0</v>
      </c>
      <c r="O91" s="37" t="n">
        <f aca="false">'Mar 2027'!R91</f>
        <v>0</v>
      </c>
      <c r="P91" s="37" t="n">
        <f aca="false">IF(B91="",0,N(Students!H80))</f>
        <v>0</v>
      </c>
      <c r="Q91" s="23"/>
      <c r="R91" s="26" t="n">
        <f aca="false">N(O91)+N(P91)-N(Q91)</f>
        <v>0</v>
      </c>
      <c r="S91" s="37" t="n">
        <f aca="false">'Mar 2027'!V91</f>
        <v>0</v>
      </c>
      <c r="T91" s="37" t="n">
        <f aca="false">IF(B91="",0,N(Students!I80))</f>
        <v>0</v>
      </c>
      <c r="U91" s="23"/>
      <c r="V91" s="26" t="n">
        <f aca="false">N(S91)+N(T91)-N(U91)</f>
        <v>0</v>
      </c>
      <c r="W91" s="37" t="n">
        <f aca="false">'Mar 2027'!Z91</f>
        <v>0</v>
      </c>
      <c r="X91" s="37" t="n">
        <f aca="false">IF(B91="",0,N(Students!J80))</f>
        <v>0</v>
      </c>
      <c r="Y91" s="23"/>
      <c r="Z91" s="26" t="n">
        <f aca="false">N(W91)+N(X91)-N(Y91)</f>
        <v>0</v>
      </c>
      <c r="AA91" s="37" t="n">
        <f aca="false">N(E91)+N(I91)+N(M91)+N(Q91)+N(U91)+N(Y91)</f>
        <v>0</v>
      </c>
      <c r="AB91" s="26" t="n">
        <f aca="false">F91+J91+N91+R91+V91+Z91</f>
        <v>0</v>
      </c>
      <c r="AC91" s="83" t="str">
        <f aca="false">IF(B91="","",IF(AB91&lt;=0,"Clear",IF(AA91&gt;0,"Partial","Due")))</f>
        <v/>
      </c>
    </row>
    <row r="92" customFormat="false" ht="15" hidden="false" customHeight="false" outlineLevel="0" collapsed="false">
      <c r="A92" s="21" t="n">
        <v>77</v>
      </c>
      <c r="B92" s="46" t="str">
        <f aca="false">IF(Students!B81="","",Students!B81)</f>
        <v/>
      </c>
      <c r="C92" s="33" t="n">
        <f aca="false">'Mar 2027'!F92</f>
        <v>0</v>
      </c>
      <c r="D92" s="33" t="n">
        <f aca="false">IF(B92="",0,N(Students!E81))</f>
        <v>0</v>
      </c>
      <c r="E92" s="23"/>
      <c r="F92" s="24" t="n">
        <f aca="false">N(C92)+N(D92)-N(E92)</f>
        <v>0</v>
      </c>
      <c r="G92" s="33" t="n">
        <f aca="false">'Mar 2027'!J92</f>
        <v>0</v>
      </c>
      <c r="H92" s="33" t="n">
        <f aca="false">IF(B92="",0,N(Students!F81))</f>
        <v>0</v>
      </c>
      <c r="I92" s="23"/>
      <c r="J92" s="24" t="n">
        <f aca="false">N(G92)+N(H92)-N(I92)</f>
        <v>0</v>
      </c>
      <c r="K92" s="33" t="n">
        <f aca="false">'Mar 2027'!N92</f>
        <v>0</v>
      </c>
      <c r="L92" s="33" t="n">
        <f aca="false">IF(B92="",0,N(Students!G81))</f>
        <v>0</v>
      </c>
      <c r="M92" s="23"/>
      <c r="N92" s="24" t="n">
        <f aca="false">N(K92)+N(L92)-N(M92)</f>
        <v>0</v>
      </c>
      <c r="O92" s="33" t="n">
        <f aca="false">'Mar 2027'!R92</f>
        <v>0</v>
      </c>
      <c r="P92" s="33" t="n">
        <f aca="false">IF(B92="",0,N(Students!H81))</f>
        <v>0</v>
      </c>
      <c r="Q92" s="23"/>
      <c r="R92" s="24" t="n">
        <f aca="false">N(O92)+N(P92)-N(Q92)</f>
        <v>0</v>
      </c>
      <c r="S92" s="33" t="n">
        <f aca="false">'Mar 2027'!V92</f>
        <v>0</v>
      </c>
      <c r="T92" s="33" t="n">
        <f aca="false">IF(B92="",0,N(Students!I81))</f>
        <v>0</v>
      </c>
      <c r="U92" s="23"/>
      <c r="V92" s="24" t="n">
        <f aca="false">N(S92)+N(T92)-N(U92)</f>
        <v>0</v>
      </c>
      <c r="W92" s="33" t="n">
        <f aca="false">'Mar 2027'!Z92</f>
        <v>0</v>
      </c>
      <c r="X92" s="33" t="n">
        <f aca="false">IF(B92="",0,N(Students!J81))</f>
        <v>0</v>
      </c>
      <c r="Y92" s="23"/>
      <c r="Z92" s="24" t="n">
        <f aca="false">N(W92)+N(X92)-N(Y92)</f>
        <v>0</v>
      </c>
      <c r="AA92" s="33" t="n">
        <f aca="false">N(E92)+N(I92)+N(M92)+N(Q92)+N(U92)+N(Y92)</f>
        <v>0</v>
      </c>
      <c r="AB92" s="24" t="n">
        <f aca="false">F92+J92+N92+R92+V92+Z92</f>
        <v>0</v>
      </c>
      <c r="AC92" s="81" t="str">
        <f aca="false">IF(B92="","",IF(AB92&lt;=0,"Clear",IF(AA92&gt;0,"Partial","Due")))</f>
        <v/>
      </c>
    </row>
    <row r="93" customFormat="false" ht="15" hidden="false" customHeight="false" outlineLevel="0" collapsed="false">
      <c r="A93" s="25" t="n">
        <v>78</v>
      </c>
      <c r="B93" s="82" t="str">
        <f aca="false">IF(Students!B82="","",Students!B82)</f>
        <v/>
      </c>
      <c r="C93" s="37" t="n">
        <f aca="false">'Mar 2027'!F93</f>
        <v>0</v>
      </c>
      <c r="D93" s="37" t="n">
        <f aca="false">IF(B93="",0,N(Students!E82))</f>
        <v>0</v>
      </c>
      <c r="E93" s="23"/>
      <c r="F93" s="26" t="n">
        <f aca="false">N(C93)+N(D93)-N(E93)</f>
        <v>0</v>
      </c>
      <c r="G93" s="37" t="n">
        <f aca="false">'Mar 2027'!J93</f>
        <v>0</v>
      </c>
      <c r="H93" s="37" t="n">
        <f aca="false">IF(B93="",0,N(Students!F82))</f>
        <v>0</v>
      </c>
      <c r="I93" s="23"/>
      <c r="J93" s="26" t="n">
        <f aca="false">N(G93)+N(H93)-N(I93)</f>
        <v>0</v>
      </c>
      <c r="K93" s="37" t="n">
        <f aca="false">'Mar 2027'!N93</f>
        <v>0</v>
      </c>
      <c r="L93" s="37" t="n">
        <f aca="false">IF(B93="",0,N(Students!G82))</f>
        <v>0</v>
      </c>
      <c r="M93" s="23"/>
      <c r="N93" s="26" t="n">
        <f aca="false">N(K93)+N(L93)-N(M93)</f>
        <v>0</v>
      </c>
      <c r="O93" s="37" t="n">
        <f aca="false">'Mar 2027'!R93</f>
        <v>0</v>
      </c>
      <c r="P93" s="37" t="n">
        <f aca="false">IF(B93="",0,N(Students!H82))</f>
        <v>0</v>
      </c>
      <c r="Q93" s="23"/>
      <c r="R93" s="26" t="n">
        <f aca="false">N(O93)+N(P93)-N(Q93)</f>
        <v>0</v>
      </c>
      <c r="S93" s="37" t="n">
        <f aca="false">'Mar 2027'!V93</f>
        <v>0</v>
      </c>
      <c r="T93" s="37" t="n">
        <f aca="false">IF(B93="",0,N(Students!I82))</f>
        <v>0</v>
      </c>
      <c r="U93" s="23"/>
      <c r="V93" s="26" t="n">
        <f aca="false">N(S93)+N(T93)-N(U93)</f>
        <v>0</v>
      </c>
      <c r="W93" s="37" t="n">
        <f aca="false">'Mar 2027'!Z93</f>
        <v>0</v>
      </c>
      <c r="X93" s="37" t="n">
        <f aca="false">IF(B93="",0,N(Students!J82))</f>
        <v>0</v>
      </c>
      <c r="Y93" s="23"/>
      <c r="Z93" s="26" t="n">
        <f aca="false">N(W93)+N(X93)-N(Y93)</f>
        <v>0</v>
      </c>
      <c r="AA93" s="37" t="n">
        <f aca="false">N(E93)+N(I93)+N(M93)+N(Q93)+N(U93)+N(Y93)</f>
        <v>0</v>
      </c>
      <c r="AB93" s="26" t="n">
        <f aca="false">F93+J93+N93+R93+V93+Z93</f>
        <v>0</v>
      </c>
      <c r="AC93" s="83" t="str">
        <f aca="false">IF(B93="","",IF(AB93&lt;=0,"Clear",IF(AA93&gt;0,"Partial","Due")))</f>
        <v/>
      </c>
    </row>
    <row r="94" customFormat="false" ht="15" hidden="false" customHeight="false" outlineLevel="0" collapsed="false">
      <c r="A94" s="21" t="n">
        <v>79</v>
      </c>
      <c r="B94" s="46" t="str">
        <f aca="false">IF(Students!B83="","",Students!B83)</f>
        <v/>
      </c>
      <c r="C94" s="33" t="n">
        <f aca="false">'Mar 2027'!F94</f>
        <v>0</v>
      </c>
      <c r="D94" s="33" t="n">
        <f aca="false">IF(B94="",0,N(Students!E83))</f>
        <v>0</v>
      </c>
      <c r="E94" s="23"/>
      <c r="F94" s="24" t="n">
        <f aca="false">N(C94)+N(D94)-N(E94)</f>
        <v>0</v>
      </c>
      <c r="G94" s="33" t="n">
        <f aca="false">'Mar 2027'!J94</f>
        <v>0</v>
      </c>
      <c r="H94" s="33" t="n">
        <f aca="false">IF(B94="",0,N(Students!F83))</f>
        <v>0</v>
      </c>
      <c r="I94" s="23"/>
      <c r="J94" s="24" t="n">
        <f aca="false">N(G94)+N(H94)-N(I94)</f>
        <v>0</v>
      </c>
      <c r="K94" s="33" t="n">
        <f aca="false">'Mar 2027'!N94</f>
        <v>0</v>
      </c>
      <c r="L94" s="33" t="n">
        <f aca="false">IF(B94="",0,N(Students!G83))</f>
        <v>0</v>
      </c>
      <c r="M94" s="23"/>
      <c r="N94" s="24" t="n">
        <f aca="false">N(K94)+N(L94)-N(M94)</f>
        <v>0</v>
      </c>
      <c r="O94" s="33" t="n">
        <f aca="false">'Mar 2027'!R94</f>
        <v>0</v>
      </c>
      <c r="P94" s="33" t="n">
        <f aca="false">IF(B94="",0,N(Students!H83))</f>
        <v>0</v>
      </c>
      <c r="Q94" s="23"/>
      <c r="R94" s="24" t="n">
        <f aca="false">N(O94)+N(P94)-N(Q94)</f>
        <v>0</v>
      </c>
      <c r="S94" s="33" t="n">
        <f aca="false">'Mar 2027'!V94</f>
        <v>0</v>
      </c>
      <c r="T94" s="33" t="n">
        <f aca="false">IF(B94="",0,N(Students!I83))</f>
        <v>0</v>
      </c>
      <c r="U94" s="23"/>
      <c r="V94" s="24" t="n">
        <f aca="false">N(S94)+N(T94)-N(U94)</f>
        <v>0</v>
      </c>
      <c r="W94" s="33" t="n">
        <f aca="false">'Mar 2027'!Z94</f>
        <v>0</v>
      </c>
      <c r="X94" s="33" t="n">
        <f aca="false">IF(B94="",0,N(Students!J83))</f>
        <v>0</v>
      </c>
      <c r="Y94" s="23"/>
      <c r="Z94" s="24" t="n">
        <f aca="false">N(W94)+N(X94)-N(Y94)</f>
        <v>0</v>
      </c>
      <c r="AA94" s="33" t="n">
        <f aca="false">N(E94)+N(I94)+N(M94)+N(Q94)+N(U94)+N(Y94)</f>
        <v>0</v>
      </c>
      <c r="AB94" s="24" t="n">
        <f aca="false">F94+J94+N94+R94+V94+Z94</f>
        <v>0</v>
      </c>
      <c r="AC94" s="81" t="str">
        <f aca="false">IF(B94="","",IF(AB94&lt;=0,"Clear",IF(AA94&gt;0,"Partial","Due")))</f>
        <v/>
      </c>
    </row>
    <row r="95" customFormat="false" ht="15" hidden="false" customHeight="false" outlineLevel="0" collapsed="false">
      <c r="A95" s="25" t="n">
        <v>80</v>
      </c>
      <c r="B95" s="82" t="str">
        <f aca="false">IF(Students!B84="","",Students!B84)</f>
        <v/>
      </c>
      <c r="C95" s="37" t="n">
        <f aca="false">'Mar 2027'!F95</f>
        <v>0</v>
      </c>
      <c r="D95" s="37" t="n">
        <f aca="false">IF(B95="",0,N(Students!E84))</f>
        <v>0</v>
      </c>
      <c r="E95" s="23"/>
      <c r="F95" s="26" t="n">
        <f aca="false">N(C95)+N(D95)-N(E95)</f>
        <v>0</v>
      </c>
      <c r="G95" s="37" t="n">
        <f aca="false">'Mar 2027'!J95</f>
        <v>0</v>
      </c>
      <c r="H95" s="37" t="n">
        <f aca="false">IF(B95="",0,N(Students!F84))</f>
        <v>0</v>
      </c>
      <c r="I95" s="23"/>
      <c r="J95" s="26" t="n">
        <f aca="false">N(G95)+N(H95)-N(I95)</f>
        <v>0</v>
      </c>
      <c r="K95" s="37" t="n">
        <f aca="false">'Mar 2027'!N95</f>
        <v>0</v>
      </c>
      <c r="L95" s="37" t="n">
        <f aca="false">IF(B95="",0,N(Students!G84))</f>
        <v>0</v>
      </c>
      <c r="M95" s="23"/>
      <c r="N95" s="26" t="n">
        <f aca="false">N(K95)+N(L95)-N(M95)</f>
        <v>0</v>
      </c>
      <c r="O95" s="37" t="n">
        <f aca="false">'Mar 2027'!R95</f>
        <v>0</v>
      </c>
      <c r="P95" s="37" t="n">
        <f aca="false">IF(B95="",0,N(Students!H84))</f>
        <v>0</v>
      </c>
      <c r="Q95" s="23"/>
      <c r="R95" s="26" t="n">
        <f aca="false">N(O95)+N(P95)-N(Q95)</f>
        <v>0</v>
      </c>
      <c r="S95" s="37" t="n">
        <f aca="false">'Mar 2027'!V95</f>
        <v>0</v>
      </c>
      <c r="T95" s="37" t="n">
        <f aca="false">IF(B95="",0,N(Students!I84))</f>
        <v>0</v>
      </c>
      <c r="U95" s="23"/>
      <c r="V95" s="26" t="n">
        <f aca="false">N(S95)+N(T95)-N(U95)</f>
        <v>0</v>
      </c>
      <c r="W95" s="37" t="n">
        <f aca="false">'Mar 2027'!Z95</f>
        <v>0</v>
      </c>
      <c r="X95" s="37" t="n">
        <f aca="false">IF(B95="",0,N(Students!J84))</f>
        <v>0</v>
      </c>
      <c r="Y95" s="23"/>
      <c r="Z95" s="26" t="n">
        <f aca="false">N(W95)+N(X95)-N(Y95)</f>
        <v>0</v>
      </c>
      <c r="AA95" s="37" t="n">
        <f aca="false">N(E95)+N(I95)+N(M95)+N(Q95)+N(U95)+N(Y95)</f>
        <v>0</v>
      </c>
      <c r="AB95" s="26" t="n">
        <f aca="false">F95+J95+N95+R95+V95+Z95</f>
        <v>0</v>
      </c>
      <c r="AC95" s="83" t="str">
        <f aca="false">IF(B95="","",IF(AB95&lt;=0,"Clear",IF(AA95&gt;0,"Partial","Due")))</f>
        <v/>
      </c>
    </row>
    <row r="96" customFormat="false" ht="15" hidden="false" customHeight="false" outlineLevel="0" collapsed="false">
      <c r="A96" s="21" t="n">
        <v>81</v>
      </c>
      <c r="B96" s="46" t="str">
        <f aca="false">IF(Students!B85="","",Students!B85)</f>
        <v/>
      </c>
      <c r="C96" s="33" t="n">
        <f aca="false">'Mar 2027'!F96</f>
        <v>0</v>
      </c>
      <c r="D96" s="33" t="n">
        <f aca="false">IF(B96="",0,N(Students!E85))</f>
        <v>0</v>
      </c>
      <c r="E96" s="23"/>
      <c r="F96" s="24" t="n">
        <f aca="false">N(C96)+N(D96)-N(E96)</f>
        <v>0</v>
      </c>
      <c r="G96" s="33" t="n">
        <f aca="false">'Mar 2027'!J96</f>
        <v>0</v>
      </c>
      <c r="H96" s="33" t="n">
        <f aca="false">IF(B96="",0,N(Students!F85))</f>
        <v>0</v>
      </c>
      <c r="I96" s="23"/>
      <c r="J96" s="24" t="n">
        <f aca="false">N(G96)+N(H96)-N(I96)</f>
        <v>0</v>
      </c>
      <c r="K96" s="33" t="n">
        <f aca="false">'Mar 2027'!N96</f>
        <v>0</v>
      </c>
      <c r="L96" s="33" t="n">
        <f aca="false">IF(B96="",0,N(Students!G85))</f>
        <v>0</v>
      </c>
      <c r="M96" s="23"/>
      <c r="N96" s="24" t="n">
        <f aca="false">N(K96)+N(L96)-N(M96)</f>
        <v>0</v>
      </c>
      <c r="O96" s="33" t="n">
        <f aca="false">'Mar 2027'!R96</f>
        <v>0</v>
      </c>
      <c r="P96" s="33" t="n">
        <f aca="false">IF(B96="",0,N(Students!H85))</f>
        <v>0</v>
      </c>
      <c r="Q96" s="23"/>
      <c r="R96" s="24" t="n">
        <f aca="false">N(O96)+N(P96)-N(Q96)</f>
        <v>0</v>
      </c>
      <c r="S96" s="33" t="n">
        <f aca="false">'Mar 2027'!V96</f>
        <v>0</v>
      </c>
      <c r="T96" s="33" t="n">
        <f aca="false">IF(B96="",0,N(Students!I85))</f>
        <v>0</v>
      </c>
      <c r="U96" s="23"/>
      <c r="V96" s="24" t="n">
        <f aca="false">N(S96)+N(T96)-N(U96)</f>
        <v>0</v>
      </c>
      <c r="W96" s="33" t="n">
        <f aca="false">'Mar 2027'!Z96</f>
        <v>0</v>
      </c>
      <c r="X96" s="33" t="n">
        <f aca="false">IF(B96="",0,N(Students!J85))</f>
        <v>0</v>
      </c>
      <c r="Y96" s="23"/>
      <c r="Z96" s="24" t="n">
        <f aca="false">N(W96)+N(X96)-N(Y96)</f>
        <v>0</v>
      </c>
      <c r="AA96" s="33" t="n">
        <f aca="false">N(E96)+N(I96)+N(M96)+N(Q96)+N(U96)+N(Y96)</f>
        <v>0</v>
      </c>
      <c r="AB96" s="24" t="n">
        <f aca="false">F96+J96+N96+R96+V96+Z96</f>
        <v>0</v>
      </c>
      <c r="AC96" s="81" t="str">
        <f aca="false">IF(B96="","",IF(AB96&lt;=0,"Clear",IF(AA96&gt;0,"Partial","Due")))</f>
        <v/>
      </c>
    </row>
    <row r="97" customFormat="false" ht="15" hidden="false" customHeight="false" outlineLevel="0" collapsed="false">
      <c r="A97" s="25" t="n">
        <v>82</v>
      </c>
      <c r="B97" s="82" t="str">
        <f aca="false">IF(Students!B86="","",Students!B86)</f>
        <v/>
      </c>
      <c r="C97" s="37" t="n">
        <f aca="false">'Mar 2027'!F97</f>
        <v>0</v>
      </c>
      <c r="D97" s="37" t="n">
        <f aca="false">IF(B97="",0,N(Students!E86))</f>
        <v>0</v>
      </c>
      <c r="E97" s="23"/>
      <c r="F97" s="26" t="n">
        <f aca="false">N(C97)+N(D97)-N(E97)</f>
        <v>0</v>
      </c>
      <c r="G97" s="37" t="n">
        <f aca="false">'Mar 2027'!J97</f>
        <v>0</v>
      </c>
      <c r="H97" s="37" t="n">
        <f aca="false">IF(B97="",0,N(Students!F86))</f>
        <v>0</v>
      </c>
      <c r="I97" s="23"/>
      <c r="J97" s="26" t="n">
        <f aca="false">N(G97)+N(H97)-N(I97)</f>
        <v>0</v>
      </c>
      <c r="K97" s="37" t="n">
        <f aca="false">'Mar 2027'!N97</f>
        <v>0</v>
      </c>
      <c r="L97" s="37" t="n">
        <f aca="false">IF(B97="",0,N(Students!G86))</f>
        <v>0</v>
      </c>
      <c r="M97" s="23"/>
      <c r="N97" s="26" t="n">
        <f aca="false">N(K97)+N(L97)-N(M97)</f>
        <v>0</v>
      </c>
      <c r="O97" s="37" t="n">
        <f aca="false">'Mar 2027'!R97</f>
        <v>0</v>
      </c>
      <c r="P97" s="37" t="n">
        <f aca="false">IF(B97="",0,N(Students!H86))</f>
        <v>0</v>
      </c>
      <c r="Q97" s="23"/>
      <c r="R97" s="26" t="n">
        <f aca="false">N(O97)+N(P97)-N(Q97)</f>
        <v>0</v>
      </c>
      <c r="S97" s="37" t="n">
        <f aca="false">'Mar 2027'!V97</f>
        <v>0</v>
      </c>
      <c r="T97" s="37" t="n">
        <f aca="false">IF(B97="",0,N(Students!I86))</f>
        <v>0</v>
      </c>
      <c r="U97" s="23"/>
      <c r="V97" s="26" t="n">
        <f aca="false">N(S97)+N(T97)-N(U97)</f>
        <v>0</v>
      </c>
      <c r="W97" s="37" t="n">
        <f aca="false">'Mar 2027'!Z97</f>
        <v>0</v>
      </c>
      <c r="X97" s="37" t="n">
        <f aca="false">IF(B97="",0,N(Students!J86))</f>
        <v>0</v>
      </c>
      <c r="Y97" s="23"/>
      <c r="Z97" s="26" t="n">
        <f aca="false">N(W97)+N(X97)-N(Y97)</f>
        <v>0</v>
      </c>
      <c r="AA97" s="37" t="n">
        <f aca="false">N(E97)+N(I97)+N(M97)+N(Q97)+N(U97)+N(Y97)</f>
        <v>0</v>
      </c>
      <c r="AB97" s="26" t="n">
        <f aca="false">F97+J97+N97+R97+V97+Z97</f>
        <v>0</v>
      </c>
      <c r="AC97" s="83" t="str">
        <f aca="false">IF(B97="","",IF(AB97&lt;=0,"Clear",IF(AA97&gt;0,"Partial","Due")))</f>
        <v/>
      </c>
    </row>
    <row r="98" customFormat="false" ht="15" hidden="false" customHeight="false" outlineLevel="0" collapsed="false">
      <c r="A98" s="21" t="n">
        <v>83</v>
      </c>
      <c r="B98" s="46" t="str">
        <f aca="false">IF(Students!B87="","",Students!B87)</f>
        <v/>
      </c>
      <c r="C98" s="33" t="n">
        <f aca="false">'Mar 2027'!F98</f>
        <v>0</v>
      </c>
      <c r="D98" s="33" t="n">
        <f aca="false">IF(B98="",0,N(Students!E87))</f>
        <v>0</v>
      </c>
      <c r="E98" s="23"/>
      <c r="F98" s="24" t="n">
        <f aca="false">N(C98)+N(D98)-N(E98)</f>
        <v>0</v>
      </c>
      <c r="G98" s="33" t="n">
        <f aca="false">'Mar 2027'!J98</f>
        <v>0</v>
      </c>
      <c r="H98" s="33" t="n">
        <f aca="false">IF(B98="",0,N(Students!F87))</f>
        <v>0</v>
      </c>
      <c r="I98" s="23"/>
      <c r="J98" s="24" t="n">
        <f aca="false">N(G98)+N(H98)-N(I98)</f>
        <v>0</v>
      </c>
      <c r="K98" s="33" t="n">
        <f aca="false">'Mar 2027'!N98</f>
        <v>0</v>
      </c>
      <c r="L98" s="33" t="n">
        <f aca="false">IF(B98="",0,N(Students!G87))</f>
        <v>0</v>
      </c>
      <c r="M98" s="23"/>
      <c r="N98" s="24" t="n">
        <f aca="false">N(K98)+N(L98)-N(M98)</f>
        <v>0</v>
      </c>
      <c r="O98" s="33" t="n">
        <f aca="false">'Mar 2027'!R98</f>
        <v>0</v>
      </c>
      <c r="P98" s="33" t="n">
        <f aca="false">IF(B98="",0,N(Students!H87))</f>
        <v>0</v>
      </c>
      <c r="Q98" s="23"/>
      <c r="R98" s="24" t="n">
        <f aca="false">N(O98)+N(P98)-N(Q98)</f>
        <v>0</v>
      </c>
      <c r="S98" s="33" t="n">
        <f aca="false">'Mar 2027'!V98</f>
        <v>0</v>
      </c>
      <c r="T98" s="33" t="n">
        <f aca="false">IF(B98="",0,N(Students!I87))</f>
        <v>0</v>
      </c>
      <c r="U98" s="23"/>
      <c r="V98" s="24" t="n">
        <f aca="false">N(S98)+N(T98)-N(U98)</f>
        <v>0</v>
      </c>
      <c r="W98" s="33" t="n">
        <f aca="false">'Mar 2027'!Z98</f>
        <v>0</v>
      </c>
      <c r="X98" s="33" t="n">
        <f aca="false">IF(B98="",0,N(Students!J87))</f>
        <v>0</v>
      </c>
      <c r="Y98" s="23"/>
      <c r="Z98" s="24" t="n">
        <f aca="false">N(W98)+N(X98)-N(Y98)</f>
        <v>0</v>
      </c>
      <c r="AA98" s="33" t="n">
        <f aca="false">N(E98)+N(I98)+N(M98)+N(Q98)+N(U98)+N(Y98)</f>
        <v>0</v>
      </c>
      <c r="AB98" s="24" t="n">
        <f aca="false">F98+J98+N98+R98+V98+Z98</f>
        <v>0</v>
      </c>
      <c r="AC98" s="81" t="str">
        <f aca="false">IF(B98="","",IF(AB98&lt;=0,"Clear",IF(AA98&gt;0,"Partial","Due")))</f>
        <v/>
      </c>
    </row>
    <row r="99" customFormat="false" ht="15" hidden="false" customHeight="false" outlineLevel="0" collapsed="false">
      <c r="A99" s="25" t="n">
        <v>84</v>
      </c>
      <c r="B99" s="82" t="str">
        <f aca="false">IF(Students!B88="","",Students!B88)</f>
        <v/>
      </c>
      <c r="C99" s="37" t="n">
        <f aca="false">'Mar 2027'!F99</f>
        <v>0</v>
      </c>
      <c r="D99" s="37" t="n">
        <f aca="false">IF(B99="",0,N(Students!E88))</f>
        <v>0</v>
      </c>
      <c r="E99" s="23"/>
      <c r="F99" s="26" t="n">
        <f aca="false">N(C99)+N(D99)-N(E99)</f>
        <v>0</v>
      </c>
      <c r="G99" s="37" t="n">
        <f aca="false">'Mar 2027'!J99</f>
        <v>0</v>
      </c>
      <c r="H99" s="37" t="n">
        <f aca="false">IF(B99="",0,N(Students!F88))</f>
        <v>0</v>
      </c>
      <c r="I99" s="23"/>
      <c r="J99" s="26" t="n">
        <f aca="false">N(G99)+N(H99)-N(I99)</f>
        <v>0</v>
      </c>
      <c r="K99" s="37" t="n">
        <f aca="false">'Mar 2027'!N99</f>
        <v>0</v>
      </c>
      <c r="L99" s="37" t="n">
        <f aca="false">IF(B99="",0,N(Students!G88))</f>
        <v>0</v>
      </c>
      <c r="M99" s="23"/>
      <c r="N99" s="26" t="n">
        <f aca="false">N(K99)+N(L99)-N(M99)</f>
        <v>0</v>
      </c>
      <c r="O99" s="37" t="n">
        <f aca="false">'Mar 2027'!R99</f>
        <v>0</v>
      </c>
      <c r="P99" s="37" t="n">
        <f aca="false">IF(B99="",0,N(Students!H88))</f>
        <v>0</v>
      </c>
      <c r="Q99" s="23"/>
      <c r="R99" s="26" t="n">
        <f aca="false">N(O99)+N(P99)-N(Q99)</f>
        <v>0</v>
      </c>
      <c r="S99" s="37" t="n">
        <f aca="false">'Mar 2027'!V99</f>
        <v>0</v>
      </c>
      <c r="T99" s="37" t="n">
        <f aca="false">IF(B99="",0,N(Students!I88))</f>
        <v>0</v>
      </c>
      <c r="U99" s="23"/>
      <c r="V99" s="26" t="n">
        <f aca="false">N(S99)+N(T99)-N(U99)</f>
        <v>0</v>
      </c>
      <c r="W99" s="37" t="n">
        <f aca="false">'Mar 2027'!Z99</f>
        <v>0</v>
      </c>
      <c r="X99" s="37" t="n">
        <f aca="false">IF(B99="",0,N(Students!J88))</f>
        <v>0</v>
      </c>
      <c r="Y99" s="23"/>
      <c r="Z99" s="26" t="n">
        <f aca="false">N(W99)+N(X99)-N(Y99)</f>
        <v>0</v>
      </c>
      <c r="AA99" s="37" t="n">
        <f aca="false">N(E99)+N(I99)+N(M99)+N(Q99)+N(U99)+N(Y99)</f>
        <v>0</v>
      </c>
      <c r="AB99" s="26" t="n">
        <f aca="false">F99+J99+N99+R99+V99+Z99</f>
        <v>0</v>
      </c>
      <c r="AC99" s="83" t="str">
        <f aca="false">IF(B99="","",IF(AB99&lt;=0,"Clear",IF(AA99&gt;0,"Partial","Due")))</f>
        <v/>
      </c>
    </row>
    <row r="100" customFormat="false" ht="15" hidden="false" customHeight="false" outlineLevel="0" collapsed="false">
      <c r="A100" s="21" t="n">
        <v>85</v>
      </c>
      <c r="B100" s="46" t="str">
        <f aca="false">IF(Students!B89="","",Students!B89)</f>
        <v/>
      </c>
      <c r="C100" s="33" t="n">
        <f aca="false">'Mar 2027'!F100</f>
        <v>0</v>
      </c>
      <c r="D100" s="33" t="n">
        <f aca="false">IF(B100="",0,N(Students!E89))</f>
        <v>0</v>
      </c>
      <c r="E100" s="23"/>
      <c r="F100" s="24" t="n">
        <f aca="false">N(C100)+N(D100)-N(E100)</f>
        <v>0</v>
      </c>
      <c r="G100" s="33" t="n">
        <f aca="false">'Mar 2027'!J100</f>
        <v>0</v>
      </c>
      <c r="H100" s="33" t="n">
        <f aca="false">IF(B100="",0,N(Students!F89))</f>
        <v>0</v>
      </c>
      <c r="I100" s="23"/>
      <c r="J100" s="24" t="n">
        <f aca="false">N(G100)+N(H100)-N(I100)</f>
        <v>0</v>
      </c>
      <c r="K100" s="33" t="n">
        <f aca="false">'Mar 2027'!N100</f>
        <v>0</v>
      </c>
      <c r="L100" s="33" t="n">
        <f aca="false">IF(B100="",0,N(Students!G89))</f>
        <v>0</v>
      </c>
      <c r="M100" s="23"/>
      <c r="N100" s="24" t="n">
        <f aca="false">N(K100)+N(L100)-N(M100)</f>
        <v>0</v>
      </c>
      <c r="O100" s="33" t="n">
        <f aca="false">'Mar 2027'!R100</f>
        <v>0</v>
      </c>
      <c r="P100" s="33" t="n">
        <f aca="false">IF(B100="",0,N(Students!H89))</f>
        <v>0</v>
      </c>
      <c r="Q100" s="23"/>
      <c r="R100" s="24" t="n">
        <f aca="false">N(O100)+N(P100)-N(Q100)</f>
        <v>0</v>
      </c>
      <c r="S100" s="33" t="n">
        <f aca="false">'Mar 2027'!V100</f>
        <v>0</v>
      </c>
      <c r="T100" s="33" t="n">
        <f aca="false">IF(B100="",0,N(Students!I89))</f>
        <v>0</v>
      </c>
      <c r="U100" s="23"/>
      <c r="V100" s="24" t="n">
        <f aca="false">N(S100)+N(T100)-N(U100)</f>
        <v>0</v>
      </c>
      <c r="W100" s="33" t="n">
        <f aca="false">'Mar 2027'!Z100</f>
        <v>0</v>
      </c>
      <c r="X100" s="33" t="n">
        <f aca="false">IF(B100="",0,N(Students!J89))</f>
        <v>0</v>
      </c>
      <c r="Y100" s="23"/>
      <c r="Z100" s="24" t="n">
        <f aca="false">N(W100)+N(X100)-N(Y100)</f>
        <v>0</v>
      </c>
      <c r="AA100" s="33" t="n">
        <f aca="false">N(E100)+N(I100)+N(M100)+N(Q100)+N(U100)+N(Y100)</f>
        <v>0</v>
      </c>
      <c r="AB100" s="24" t="n">
        <f aca="false">F100+J100+N100+R100+V100+Z100</f>
        <v>0</v>
      </c>
      <c r="AC100" s="81" t="str">
        <f aca="false">IF(B100="","",IF(AB100&lt;=0,"Clear",IF(AA100&gt;0,"Partial","Due")))</f>
        <v/>
      </c>
    </row>
    <row r="101" customFormat="false" ht="15" hidden="false" customHeight="false" outlineLevel="0" collapsed="false">
      <c r="A101" s="25" t="n">
        <v>86</v>
      </c>
      <c r="B101" s="82" t="str">
        <f aca="false">IF(Students!B90="","",Students!B90)</f>
        <v/>
      </c>
      <c r="C101" s="37" t="n">
        <f aca="false">'Mar 2027'!F101</f>
        <v>0</v>
      </c>
      <c r="D101" s="37" t="n">
        <f aca="false">IF(B101="",0,N(Students!E90))</f>
        <v>0</v>
      </c>
      <c r="E101" s="23"/>
      <c r="F101" s="26" t="n">
        <f aca="false">N(C101)+N(D101)-N(E101)</f>
        <v>0</v>
      </c>
      <c r="G101" s="37" t="n">
        <f aca="false">'Mar 2027'!J101</f>
        <v>0</v>
      </c>
      <c r="H101" s="37" t="n">
        <f aca="false">IF(B101="",0,N(Students!F90))</f>
        <v>0</v>
      </c>
      <c r="I101" s="23"/>
      <c r="J101" s="26" t="n">
        <f aca="false">N(G101)+N(H101)-N(I101)</f>
        <v>0</v>
      </c>
      <c r="K101" s="37" t="n">
        <f aca="false">'Mar 2027'!N101</f>
        <v>0</v>
      </c>
      <c r="L101" s="37" t="n">
        <f aca="false">IF(B101="",0,N(Students!G90))</f>
        <v>0</v>
      </c>
      <c r="M101" s="23"/>
      <c r="N101" s="26" t="n">
        <f aca="false">N(K101)+N(L101)-N(M101)</f>
        <v>0</v>
      </c>
      <c r="O101" s="37" t="n">
        <f aca="false">'Mar 2027'!R101</f>
        <v>0</v>
      </c>
      <c r="P101" s="37" t="n">
        <f aca="false">IF(B101="",0,N(Students!H90))</f>
        <v>0</v>
      </c>
      <c r="Q101" s="23"/>
      <c r="R101" s="26" t="n">
        <f aca="false">N(O101)+N(P101)-N(Q101)</f>
        <v>0</v>
      </c>
      <c r="S101" s="37" t="n">
        <f aca="false">'Mar 2027'!V101</f>
        <v>0</v>
      </c>
      <c r="T101" s="37" t="n">
        <f aca="false">IF(B101="",0,N(Students!I90))</f>
        <v>0</v>
      </c>
      <c r="U101" s="23"/>
      <c r="V101" s="26" t="n">
        <f aca="false">N(S101)+N(T101)-N(U101)</f>
        <v>0</v>
      </c>
      <c r="W101" s="37" t="n">
        <f aca="false">'Mar 2027'!Z101</f>
        <v>0</v>
      </c>
      <c r="X101" s="37" t="n">
        <f aca="false">IF(B101="",0,N(Students!J90))</f>
        <v>0</v>
      </c>
      <c r="Y101" s="23"/>
      <c r="Z101" s="26" t="n">
        <f aca="false">N(W101)+N(X101)-N(Y101)</f>
        <v>0</v>
      </c>
      <c r="AA101" s="37" t="n">
        <f aca="false">N(E101)+N(I101)+N(M101)+N(Q101)+N(U101)+N(Y101)</f>
        <v>0</v>
      </c>
      <c r="AB101" s="26" t="n">
        <f aca="false">F101+J101+N101+R101+V101+Z101</f>
        <v>0</v>
      </c>
      <c r="AC101" s="83" t="str">
        <f aca="false">IF(B101="","",IF(AB101&lt;=0,"Clear",IF(AA101&gt;0,"Partial","Due")))</f>
        <v/>
      </c>
    </row>
    <row r="102" customFormat="false" ht="15" hidden="false" customHeight="false" outlineLevel="0" collapsed="false">
      <c r="A102" s="21" t="n">
        <v>87</v>
      </c>
      <c r="B102" s="46" t="str">
        <f aca="false">IF(Students!B91="","",Students!B91)</f>
        <v/>
      </c>
      <c r="C102" s="33" t="n">
        <f aca="false">'Mar 2027'!F102</f>
        <v>0</v>
      </c>
      <c r="D102" s="33" t="n">
        <f aca="false">IF(B102="",0,N(Students!E91))</f>
        <v>0</v>
      </c>
      <c r="E102" s="23"/>
      <c r="F102" s="24" t="n">
        <f aca="false">N(C102)+N(D102)-N(E102)</f>
        <v>0</v>
      </c>
      <c r="G102" s="33" t="n">
        <f aca="false">'Mar 2027'!J102</f>
        <v>0</v>
      </c>
      <c r="H102" s="33" t="n">
        <f aca="false">IF(B102="",0,N(Students!F91))</f>
        <v>0</v>
      </c>
      <c r="I102" s="23"/>
      <c r="J102" s="24" t="n">
        <f aca="false">N(G102)+N(H102)-N(I102)</f>
        <v>0</v>
      </c>
      <c r="K102" s="33" t="n">
        <f aca="false">'Mar 2027'!N102</f>
        <v>0</v>
      </c>
      <c r="L102" s="33" t="n">
        <f aca="false">IF(B102="",0,N(Students!G91))</f>
        <v>0</v>
      </c>
      <c r="M102" s="23"/>
      <c r="N102" s="24" t="n">
        <f aca="false">N(K102)+N(L102)-N(M102)</f>
        <v>0</v>
      </c>
      <c r="O102" s="33" t="n">
        <f aca="false">'Mar 2027'!R102</f>
        <v>0</v>
      </c>
      <c r="P102" s="33" t="n">
        <f aca="false">IF(B102="",0,N(Students!H91))</f>
        <v>0</v>
      </c>
      <c r="Q102" s="23"/>
      <c r="R102" s="24" t="n">
        <f aca="false">N(O102)+N(P102)-N(Q102)</f>
        <v>0</v>
      </c>
      <c r="S102" s="33" t="n">
        <f aca="false">'Mar 2027'!V102</f>
        <v>0</v>
      </c>
      <c r="T102" s="33" t="n">
        <f aca="false">IF(B102="",0,N(Students!I91))</f>
        <v>0</v>
      </c>
      <c r="U102" s="23"/>
      <c r="V102" s="24" t="n">
        <f aca="false">N(S102)+N(T102)-N(U102)</f>
        <v>0</v>
      </c>
      <c r="W102" s="33" t="n">
        <f aca="false">'Mar 2027'!Z102</f>
        <v>0</v>
      </c>
      <c r="X102" s="33" t="n">
        <f aca="false">IF(B102="",0,N(Students!J91))</f>
        <v>0</v>
      </c>
      <c r="Y102" s="23"/>
      <c r="Z102" s="24" t="n">
        <f aca="false">N(W102)+N(X102)-N(Y102)</f>
        <v>0</v>
      </c>
      <c r="AA102" s="33" t="n">
        <f aca="false">N(E102)+N(I102)+N(M102)+N(Q102)+N(U102)+N(Y102)</f>
        <v>0</v>
      </c>
      <c r="AB102" s="24" t="n">
        <f aca="false">F102+J102+N102+R102+V102+Z102</f>
        <v>0</v>
      </c>
      <c r="AC102" s="81" t="str">
        <f aca="false">IF(B102="","",IF(AB102&lt;=0,"Clear",IF(AA102&gt;0,"Partial","Due")))</f>
        <v/>
      </c>
    </row>
    <row r="103" customFormat="false" ht="15" hidden="false" customHeight="false" outlineLevel="0" collapsed="false">
      <c r="A103" s="25" t="n">
        <v>88</v>
      </c>
      <c r="B103" s="82" t="str">
        <f aca="false">IF(Students!B92="","",Students!B92)</f>
        <v/>
      </c>
      <c r="C103" s="37" t="n">
        <f aca="false">'Mar 2027'!F103</f>
        <v>0</v>
      </c>
      <c r="D103" s="37" t="n">
        <f aca="false">IF(B103="",0,N(Students!E92))</f>
        <v>0</v>
      </c>
      <c r="E103" s="23"/>
      <c r="F103" s="26" t="n">
        <f aca="false">N(C103)+N(D103)-N(E103)</f>
        <v>0</v>
      </c>
      <c r="G103" s="37" t="n">
        <f aca="false">'Mar 2027'!J103</f>
        <v>0</v>
      </c>
      <c r="H103" s="37" t="n">
        <f aca="false">IF(B103="",0,N(Students!F92))</f>
        <v>0</v>
      </c>
      <c r="I103" s="23"/>
      <c r="J103" s="26" t="n">
        <f aca="false">N(G103)+N(H103)-N(I103)</f>
        <v>0</v>
      </c>
      <c r="K103" s="37" t="n">
        <f aca="false">'Mar 2027'!N103</f>
        <v>0</v>
      </c>
      <c r="L103" s="37" t="n">
        <f aca="false">IF(B103="",0,N(Students!G92))</f>
        <v>0</v>
      </c>
      <c r="M103" s="23"/>
      <c r="N103" s="26" t="n">
        <f aca="false">N(K103)+N(L103)-N(M103)</f>
        <v>0</v>
      </c>
      <c r="O103" s="37" t="n">
        <f aca="false">'Mar 2027'!R103</f>
        <v>0</v>
      </c>
      <c r="P103" s="37" t="n">
        <f aca="false">IF(B103="",0,N(Students!H92))</f>
        <v>0</v>
      </c>
      <c r="Q103" s="23"/>
      <c r="R103" s="26" t="n">
        <f aca="false">N(O103)+N(P103)-N(Q103)</f>
        <v>0</v>
      </c>
      <c r="S103" s="37" t="n">
        <f aca="false">'Mar 2027'!V103</f>
        <v>0</v>
      </c>
      <c r="T103" s="37" t="n">
        <f aca="false">IF(B103="",0,N(Students!I92))</f>
        <v>0</v>
      </c>
      <c r="U103" s="23"/>
      <c r="V103" s="26" t="n">
        <f aca="false">N(S103)+N(T103)-N(U103)</f>
        <v>0</v>
      </c>
      <c r="W103" s="37" t="n">
        <f aca="false">'Mar 2027'!Z103</f>
        <v>0</v>
      </c>
      <c r="X103" s="37" t="n">
        <f aca="false">IF(B103="",0,N(Students!J92))</f>
        <v>0</v>
      </c>
      <c r="Y103" s="23"/>
      <c r="Z103" s="26" t="n">
        <f aca="false">N(W103)+N(X103)-N(Y103)</f>
        <v>0</v>
      </c>
      <c r="AA103" s="37" t="n">
        <f aca="false">N(E103)+N(I103)+N(M103)+N(Q103)+N(U103)+N(Y103)</f>
        <v>0</v>
      </c>
      <c r="AB103" s="26" t="n">
        <f aca="false">F103+J103+N103+R103+V103+Z103</f>
        <v>0</v>
      </c>
      <c r="AC103" s="83" t="str">
        <f aca="false">IF(B103="","",IF(AB103&lt;=0,"Clear",IF(AA103&gt;0,"Partial","Due")))</f>
        <v/>
      </c>
    </row>
    <row r="104" customFormat="false" ht="15" hidden="false" customHeight="false" outlineLevel="0" collapsed="false">
      <c r="A104" s="21" t="n">
        <v>89</v>
      </c>
      <c r="B104" s="46" t="str">
        <f aca="false">IF(Students!B93="","",Students!B93)</f>
        <v/>
      </c>
      <c r="C104" s="33" t="n">
        <f aca="false">'Mar 2027'!F104</f>
        <v>0</v>
      </c>
      <c r="D104" s="33" t="n">
        <f aca="false">IF(B104="",0,N(Students!E93))</f>
        <v>0</v>
      </c>
      <c r="E104" s="23"/>
      <c r="F104" s="24" t="n">
        <f aca="false">N(C104)+N(D104)-N(E104)</f>
        <v>0</v>
      </c>
      <c r="G104" s="33" t="n">
        <f aca="false">'Mar 2027'!J104</f>
        <v>0</v>
      </c>
      <c r="H104" s="33" t="n">
        <f aca="false">IF(B104="",0,N(Students!F93))</f>
        <v>0</v>
      </c>
      <c r="I104" s="23"/>
      <c r="J104" s="24" t="n">
        <f aca="false">N(G104)+N(H104)-N(I104)</f>
        <v>0</v>
      </c>
      <c r="K104" s="33" t="n">
        <f aca="false">'Mar 2027'!N104</f>
        <v>0</v>
      </c>
      <c r="L104" s="33" t="n">
        <f aca="false">IF(B104="",0,N(Students!G93))</f>
        <v>0</v>
      </c>
      <c r="M104" s="23"/>
      <c r="N104" s="24" t="n">
        <f aca="false">N(K104)+N(L104)-N(M104)</f>
        <v>0</v>
      </c>
      <c r="O104" s="33" t="n">
        <f aca="false">'Mar 2027'!R104</f>
        <v>0</v>
      </c>
      <c r="P104" s="33" t="n">
        <f aca="false">IF(B104="",0,N(Students!H93))</f>
        <v>0</v>
      </c>
      <c r="Q104" s="23"/>
      <c r="R104" s="24" t="n">
        <f aca="false">N(O104)+N(P104)-N(Q104)</f>
        <v>0</v>
      </c>
      <c r="S104" s="33" t="n">
        <f aca="false">'Mar 2027'!V104</f>
        <v>0</v>
      </c>
      <c r="T104" s="33" t="n">
        <f aca="false">IF(B104="",0,N(Students!I93))</f>
        <v>0</v>
      </c>
      <c r="U104" s="23"/>
      <c r="V104" s="24" t="n">
        <f aca="false">N(S104)+N(T104)-N(U104)</f>
        <v>0</v>
      </c>
      <c r="W104" s="33" t="n">
        <f aca="false">'Mar 2027'!Z104</f>
        <v>0</v>
      </c>
      <c r="X104" s="33" t="n">
        <f aca="false">IF(B104="",0,N(Students!J93))</f>
        <v>0</v>
      </c>
      <c r="Y104" s="23"/>
      <c r="Z104" s="24" t="n">
        <f aca="false">N(W104)+N(X104)-N(Y104)</f>
        <v>0</v>
      </c>
      <c r="AA104" s="33" t="n">
        <f aca="false">N(E104)+N(I104)+N(M104)+N(Q104)+N(U104)+N(Y104)</f>
        <v>0</v>
      </c>
      <c r="AB104" s="24" t="n">
        <f aca="false">F104+J104+N104+R104+V104+Z104</f>
        <v>0</v>
      </c>
      <c r="AC104" s="81" t="str">
        <f aca="false">IF(B104="","",IF(AB104&lt;=0,"Clear",IF(AA104&gt;0,"Partial","Due")))</f>
        <v/>
      </c>
    </row>
    <row r="105" customFormat="false" ht="15" hidden="false" customHeight="false" outlineLevel="0" collapsed="false">
      <c r="A105" s="25" t="n">
        <v>90</v>
      </c>
      <c r="B105" s="82" t="str">
        <f aca="false">IF(Students!B94="","",Students!B94)</f>
        <v/>
      </c>
      <c r="C105" s="37" t="n">
        <f aca="false">'Mar 2027'!F105</f>
        <v>0</v>
      </c>
      <c r="D105" s="37" t="n">
        <f aca="false">IF(B105="",0,N(Students!E94))</f>
        <v>0</v>
      </c>
      <c r="E105" s="23"/>
      <c r="F105" s="26" t="n">
        <f aca="false">N(C105)+N(D105)-N(E105)</f>
        <v>0</v>
      </c>
      <c r="G105" s="37" t="n">
        <f aca="false">'Mar 2027'!J105</f>
        <v>0</v>
      </c>
      <c r="H105" s="37" t="n">
        <f aca="false">IF(B105="",0,N(Students!F94))</f>
        <v>0</v>
      </c>
      <c r="I105" s="23"/>
      <c r="J105" s="26" t="n">
        <f aca="false">N(G105)+N(H105)-N(I105)</f>
        <v>0</v>
      </c>
      <c r="K105" s="37" t="n">
        <f aca="false">'Mar 2027'!N105</f>
        <v>0</v>
      </c>
      <c r="L105" s="37" t="n">
        <f aca="false">IF(B105="",0,N(Students!G94))</f>
        <v>0</v>
      </c>
      <c r="M105" s="23"/>
      <c r="N105" s="26" t="n">
        <f aca="false">N(K105)+N(L105)-N(M105)</f>
        <v>0</v>
      </c>
      <c r="O105" s="37" t="n">
        <f aca="false">'Mar 2027'!R105</f>
        <v>0</v>
      </c>
      <c r="P105" s="37" t="n">
        <f aca="false">IF(B105="",0,N(Students!H94))</f>
        <v>0</v>
      </c>
      <c r="Q105" s="23"/>
      <c r="R105" s="26" t="n">
        <f aca="false">N(O105)+N(P105)-N(Q105)</f>
        <v>0</v>
      </c>
      <c r="S105" s="37" t="n">
        <f aca="false">'Mar 2027'!V105</f>
        <v>0</v>
      </c>
      <c r="T105" s="37" t="n">
        <f aca="false">IF(B105="",0,N(Students!I94))</f>
        <v>0</v>
      </c>
      <c r="U105" s="23"/>
      <c r="V105" s="26" t="n">
        <f aca="false">N(S105)+N(T105)-N(U105)</f>
        <v>0</v>
      </c>
      <c r="W105" s="37" t="n">
        <f aca="false">'Mar 2027'!Z105</f>
        <v>0</v>
      </c>
      <c r="X105" s="37" t="n">
        <f aca="false">IF(B105="",0,N(Students!J94))</f>
        <v>0</v>
      </c>
      <c r="Y105" s="23"/>
      <c r="Z105" s="26" t="n">
        <f aca="false">N(W105)+N(X105)-N(Y105)</f>
        <v>0</v>
      </c>
      <c r="AA105" s="37" t="n">
        <f aca="false">N(E105)+N(I105)+N(M105)+N(Q105)+N(U105)+N(Y105)</f>
        <v>0</v>
      </c>
      <c r="AB105" s="26" t="n">
        <f aca="false">F105+J105+N105+R105+V105+Z105</f>
        <v>0</v>
      </c>
      <c r="AC105" s="83" t="str">
        <f aca="false">IF(B105="","",IF(AB105&lt;=0,"Clear",IF(AA105&gt;0,"Partial","Due")))</f>
        <v/>
      </c>
    </row>
    <row r="106" customFormat="false" ht="15" hidden="false" customHeight="false" outlineLevel="0" collapsed="false">
      <c r="A106" s="21" t="n">
        <v>91</v>
      </c>
      <c r="B106" s="46" t="str">
        <f aca="false">IF(Students!B95="","",Students!B95)</f>
        <v/>
      </c>
      <c r="C106" s="33" t="n">
        <f aca="false">'Mar 2027'!F106</f>
        <v>0</v>
      </c>
      <c r="D106" s="33" t="n">
        <f aca="false">IF(B106="",0,N(Students!E95))</f>
        <v>0</v>
      </c>
      <c r="E106" s="23"/>
      <c r="F106" s="24" t="n">
        <f aca="false">N(C106)+N(D106)-N(E106)</f>
        <v>0</v>
      </c>
      <c r="G106" s="33" t="n">
        <f aca="false">'Mar 2027'!J106</f>
        <v>0</v>
      </c>
      <c r="H106" s="33" t="n">
        <f aca="false">IF(B106="",0,N(Students!F95))</f>
        <v>0</v>
      </c>
      <c r="I106" s="23"/>
      <c r="J106" s="24" t="n">
        <f aca="false">N(G106)+N(H106)-N(I106)</f>
        <v>0</v>
      </c>
      <c r="K106" s="33" t="n">
        <f aca="false">'Mar 2027'!N106</f>
        <v>0</v>
      </c>
      <c r="L106" s="33" t="n">
        <f aca="false">IF(B106="",0,N(Students!G95))</f>
        <v>0</v>
      </c>
      <c r="M106" s="23"/>
      <c r="N106" s="24" t="n">
        <f aca="false">N(K106)+N(L106)-N(M106)</f>
        <v>0</v>
      </c>
      <c r="O106" s="33" t="n">
        <f aca="false">'Mar 2027'!R106</f>
        <v>0</v>
      </c>
      <c r="P106" s="33" t="n">
        <f aca="false">IF(B106="",0,N(Students!H95))</f>
        <v>0</v>
      </c>
      <c r="Q106" s="23"/>
      <c r="R106" s="24" t="n">
        <f aca="false">N(O106)+N(P106)-N(Q106)</f>
        <v>0</v>
      </c>
      <c r="S106" s="33" t="n">
        <f aca="false">'Mar 2027'!V106</f>
        <v>0</v>
      </c>
      <c r="T106" s="33" t="n">
        <f aca="false">IF(B106="",0,N(Students!I95))</f>
        <v>0</v>
      </c>
      <c r="U106" s="23"/>
      <c r="V106" s="24" t="n">
        <f aca="false">N(S106)+N(T106)-N(U106)</f>
        <v>0</v>
      </c>
      <c r="W106" s="33" t="n">
        <f aca="false">'Mar 2027'!Z106</f>
        <v>0</v>
      </c>
      <c r="X106" s="33" t="n">
        <f aca="false">IF(B106="",0,N(Students!J95))</f>
        <v>0</v>
      </c>
      <c r="Y106" s="23"/>
      <c r="Z106" s="24" t="n">
        <f aca="false">N(W106)+N(X106)-N(Y106)</f>
        <v>0</v>
      </c>
      <c r="AA106" s="33" t="n">
        <f aca="false">N(E106)+N(I106)+N(M106)+N(Q106)+N(U106)+N(Y106)</f>
        <v>0</v>
      </c>
      <c r="AB106" s="24" t="n">
        <f aca="false">F106+J106+N106+R106+V106+Z106</f>
        <v>0</v>
      </c>
      <c r="AC106" s="81" t="str">
        <f aca="false">IF(B106="","",IF(AB106&lt;=0,"Clear",IF(AA106&gt;0,"Partial","Due")))</f>
        <v/>
      </c>
    </row>
    <row r="107" customFormat="false" ht="15" hidden="false" customHeight="false" outlineLevel="0" collapsed="false">
      <c r="A107" s="25" t="n">
        <v>92</v>
      </c>
      <c r="B107" s="82" t="str">
        <f aca="false">IF(Students!B96="","",Students!B96)</f>
        <v/>
      </c>
      <c r="C107" s="37" t="n">
        <f aca="false">'Mar 2027'!F107</f>
        <v>0</v>
      </c>
      <c r="D107" s="37" t="n">
        <f aca="false">IF(B107="",0,N(Students!E96))</f>
        <v>0</v>
      </c>
      <c r="E107" s="23"/>
      <c r="F107" s="26" t="n">
        <f aca="false">N(C107)+N(D107)-N(E107)</f>
        <v>0</v>
      </c>
      <c r="G107" s="37" t="n">
        <f aca="false">'Mar 2027'!J107</f>
        <v>0</v>
      </c>
      <c r="H107" s="37" t="n">
        <f aca="false">IF(B107="",0,N(Students!F96))</f>
        <v>0</v>
      </c>
      <c r="I107" s="23"/>
      <c r="J107" s="26" t="n">
        <f aca="false">N(G107)+N(H107)-N(I107)</f>
        <v>0</v>
      </c>
      <c r="K107" s="37" t="n">
        <f aca="false">'Mar 2027'!N107</f>
        <v>0</v>
      </c>
      <c r="L107" s="37" t="n">
        <f aca="false">IF(B107="",0,N(Students!G96))</f>
        <v>0</v>
      </c>
      <c r="M107" s="23"/>
      <c r="N107" s="26" t="n">
        <f aca="false">N(K107)+N(L107)-N(M107)</f>
        <v>0</v>
      </c>
      <c r="O107" s="37" t="n">
        <f aca="false">'Mar 2027'!R107</f>
        <v>0</v>
      </c>
      <c r="P107" s="37" t="n">
        <f aca="false">IF(B107="",0,N(Students!H96))</f>
        <v>0</v>
      </c>
      <c r="Q107" s="23"/>
      <c r="R107" s="26" t="n">
        <f aca="false">N(O107)+N(P107)-N(Q107)</f>
        <v>0</v>
      </c>
      <c r="S107" s="37" t="n">
        <f aca="false">'Mar 2027'!V107</f>
        <v>0</v>
      </c>
      <c r="T107" s="37" t="n">
        <f aca="false">IF(B107="",0,N(Students!I96))</f>
        <v>0</v>
      </c>
      <c r="U107" s="23"/>
      <c r="V107" s="26" t="n">
        <f aca="false">N(S107)+N(T107)-N(U107)</f>
        <v>0</v>
      </c>
      <c r="W107" s="37" t="n">
        <f aca="false">'Mar 2027'!Z107</f>
        <v>0</v>
      </c>
      <c r="X107" s="37" t="n">
        <f aca="false">IF(B107="",0,N(Students!J96))</f>
        <v>0</v>
      </c>
      <c r="Y107" s="23"/>
      <c r="Z107" s="26" t="n">
        <f aca="false">N(W107)+N(X107)-N(Y107)</f>
        <v>0</v>
      </c>
      <c r="AA107" s="37" t="n">
        <f aca="false">N(E107)+N(I107)+N(M107)+N(Q107)+N(U107)+N(Y107)</f>
        <v>0</v>
      </c>
      <c r="AB107" s="26" t="n">
        <f aca="false">F107+J107+N107+R107+V107+Z107</f>
        <v>0</v>
      </c>
      <c r="AC107" s="83" t="str">
        <f aca="false">IF(B107="","",IF(AB107&lt;=0,"Clear",IF(AA107&gt;0,"Partial","Due")))</f>
        <v/>
      </c>
    </row>
    <row r="108" customFormat="false" ht="15" hidden="false" customHeight="false" outlineLevel="0" collapsed="false">
      <c r="A108" s="21" t="n">
        <v>93</v>
      </c>
      <c r="B108" s="46" t="str">
        <f aca="false">IF(Students!B97="","",Students!B97)</f>
        <v/>
      </c>
      <c r="C108" s="33" t="n">
        <f aca="false">'Mar 2027'!F108</f>
        <v>0</v>
      </c>
      <c r="D108" s="33" t="n">
        <f aca="false">IF(B108="",0,N(Students!E97))</f>
        <v>0</v>
      </c>
      <c r="E108" s="23"/>
      <c r="F108" s="24" t="n">
        <f aca="false">N(C108)+N(D108)-N(E108)</f>
        <v>0</v>
      </c>
      <c r="G108" s="33" t="n">
        <f aca="false">'Mar 2027'!J108</f>
        <v>0</v>
      </c>
      <c r="H108" s="33" t="n">
        <f aca="false">IF(B108="",0,N(Students!F97))</f>
        <v>0</v>
      </c>
      <c r="I108" s="23"/>
      <c r="J108" s="24" t="n">
        <f aca="false">N(G108)+N(H108)-N(I108)</f>
        <v>0</v>
      </c>
      <c r="K108" s="33" t="n">
        <f aca="false">'Mar 2027'!N108</f>
        <v>0</v>
      </c>
      <c r="L108" s="33" t="n">
        <f aca="false">IF(B108="",0,N(Students!G97))</f>
        <v>0</v>
      </c>
      <c r="M108" s="23"/>
      <c r="N108" s="24" t="n">
        <f aca="false">N(K108)+N(L108)-N(M108)</f>
        <v>0</v>
      </c>
      <c r="O108" s="33" t="n">
        <f aca="false">'Mar 2027'!R108</f>
        <v>0</v>
      </c>
      <c r="P108" s="33" t="n">
        <f aca="false">IF(B108="",0,N(Students!H97))</f>
        <v>0</v>
      </c>
      <c r="Q108" s="23"/>
      <c r="R108" s="24" t="n">
        <f aca="false">N(O108)+N(P108)-N(Q108)</f>
        <v>0</v>
      </c>
      <c r="S108" s="33" t="n">
        <f aca="false">'Mar 2027'!V108</f>
        <v>0</v>
      </c>
      <c r="T108" s="33" t="n">
        <f aca="false">IF(B108="",0,N(Students!I97))</f>
        <v>0</v>
      </c>
      <c r="U108" s="23"/>
      <c r="V108" s="24" t="n">
        <f aca="false">N(S108)+N(T108)-N(U108)</f>
        <v>0</v>
      </c>
      <c r="W108" s="33" t="n">
        <f aca="false">'Mar 2027'!Z108</f>
        <v>0</v>
      </c>
      <c r="X108" s="33" t="n">
        <f aca="false">IF(B108="",0,N(Students!J97))</f>
        <v>0</v>
      </c>
      <c r="Y108" s="23"/>
      <c r="Z108" s="24" t="n">
        <f aca="false">N(W108)+N(X108)-N(Y108)</f>
        <v>0</v>
      </c>
      <c r="AA108" s="33" t="n">
        <f aca="false">N(E108)+N(I108)+N(M108)+N(Q108)+N(U108)+N(Y108)</f>
        <v>0</v>
      </c>
      <c r="AB108" s="24" t="n">
        <f aca="false">F108+J108+N108+R108+V108+Z108</f>
        <v>0</v>
      </c>
      <c r="AC108" s="81" t="str">
        <f aca="false">IF(B108="","",IF(AB108&lt;=0,"Clear",IF(AA108&gt;0,"Partial","Due")))</f>
        <v/>
      </c>
    </row>
    <row r="109" customFormat="false" ht="15" hidden="false" customHeight="false" outlineLevel="0" collapsed="false">
      <c r="A109" s="25" t="n">
        <v>94</v>
      </c>
      <c r="B109" s="82" t="str">
        <f aca="false">IF(Students!B98="","",Students!B98)</f>
        <v/>
      </c>
      <c r="C109" s="37" t="n">
        <f aca="false">'Mar 2027'!F109</f>
        <v>0</v>
      </c>
      <c r="D109" s="37" t="n">
        <f aca="false">IF(B109="",0,N(Students!E98))</f>
        <v>0</v>
      </c>
      <c r="E109" s="23"/>
      <c r="F109" s="26" t="n">
        <f aca="false">N(C109)+N(D109)-N(E109)</f>
        <v>0</v>
      </c>
      <c r="G109" s="37" t="n">
        <f aca="false">'Mar 2027'!J109</f>
        <v>0</v>
      </c>
      <c r="H109" s="37" t="n">
        <f aca="false">IF(B109="",0,N(Students!F98))</f>
        <v>0</v>
      </c>
      <c r="I109" s="23"/>
      <c r="J109" s="26" t="n">
        <f aca="false">N(G109)+N(H109)-N(I109)</f>
        <v>0</v>
      </c>
      <c r="K109" s="37" t="n">
        <f aca="false">'Mar 2027'!N109</f>
        <v>0</v>
      </c>
      <c r="L109" s="37" t="n">
        <f aca="false">IF(B109="",0,N(Students!G98))</f>
        <v>0</v>
      </c>
      <c r="M109" s="23"/>
      <c r="N109" s="26" t="n">
        <f aca="false">N(K109)+N(L109)-N(M109)</f>
        <v>0</v>
      </c>
      <c r="O109" s="37" t="n">
        <f aca="false">'Mar 2027'!R109</f>
        <v>0</v>
      </c>
      <c r="P109" s="37" t="n">
        <f aca="false">IF(B109="",0,N(Students!H98))</f>
        <v>0</v>
      </c>
      <c r="Q109" s="23"/>
      <c r="R109" s="26" t="n">
        <f aca="false">N(O109)+N(P109)-N(Q109)</f>
        <v>0</v>
      </c>
      <c r="S109" s="37" t="n">
        <f aca="false">'Mar 2027'!V109</f>
        <v>0</v>
      </c>
      <c r="T109" s="37" t="n">
        <f aca="false">IF(B109="",0,N(Students!I98))</f>
        <v>0</v>
      </c>
      <c r="U109" s="23"/>
      <c r="V109" s="26" t="n">
        <f aca="false">N(S109)+N(T109)-N(U109)</f>
        <v>0</v>
      </c>
      <c r="W109" s="37" t="n">
        <f aca="false">'Mar 2027'!Z109</f>
        <v>0</v>
      </c>
      <c r="X109" s="37" t="n">
        <f aca="false">IF(B109="",0,N(Students!J98))</f>
        <v>0</v>
      </c>
      <c r="Y109" s="23"/>
      <c r="Z109" s="26" t="n">
        <f aca="false">N(W109)+N(X109)-N(Y109)</f>
        <v>0</v>
      </c>
      <c r="AA109" s="37" t="n">
        <f aca="false">N(E109)+N(I109)+N(M109)+N(Q109)+N(U109)+N(Y109)</f>
        <v>0</v>
      </c>
      <c r="AB109" s="26" t="n">
        <f aca="false">F109+J109+N109+R109+V109+Z109</f>
        <v>0</v>
      </c>
      <c r="AC109" s="83" t="str">
        <f aca="false">IF(B109="","",IF(AB109&lt;=0,"Clear",IF(AA109&gt;0,"Partial","Due")))</f>
        <v/>
      </c>
    </row>
    <row r="110" customFormat="false" ht="15" hidden="false" customHeight="false" outlineLevel="0" collapsed="false">
      <c r="A110" s="21" t="n">
        <v>95</v>
      </c>
      <c r="B110" s="46" t="str">
        <f aca="false">IF(Students!B99="","",Students!B99)</f>
        <v/>
      </c>
      <c r="C110" s="33" t="n">
        <f aca="false">'Mar 2027'!F110</f>
        <v>0</v>
      </c>
      <c r="D110" s="33" t="n">
        <f aca="false">IF(B110="",0,N(Students!E99))</f>
        <v>0</v>
      </c>
      <c r="E110" s="23"/>
      <c r="F110" s="24" t="n">
        <f aca="false">N(C110)+N(D110)-N(E110)</f>
        <v>0</v>
      </c>
      <c r="G110" s="33" t="n">
        <f aca="false">'Mar 2027'!J110</f>
        <v>0</v>
      </c>
      <c r="H110" s="33" t="n">
        <f aca="false">IF(B110="",0,N(Students!F99))</f>
        <v>0</v>
      </c>
      <c r="I110" s="23"/>
      <c r="J110" s="24" t="n">
        <f aca="false">N(G110)+N(H110)-N(I110)</f>
        <v>0</v>
      </c>
      <c r="K110" s="33" t="n">
        <f aca="false">'Mar 2027'!N110</f>
        <v>0</v>
      </c>
      <c r="L110" s="33" t="n">
        <f aca="false">IF(B110="",0,N(Students!G99))</f>
        <v>0</v>
      </c>
      <c r="M110" s="23"/>
      <c r="N110" s="24" t="n">
        <f aca="false">N(K110)+N(L110)-N(M110)</f>
        <v>0</v>
      </c>
      <c r="O110" s="33" t="n">
        <f aca="false">'Mar 2027'!R110</f>
        <v>0</v>
      </c>
      <c r="P110" s="33" t="n">
        <f aca="false">IF(B110="",0,N(Students!H99))</f>
        <v>0</v>
      </c>
      <c r="Q110" s="23"/>
      <c r="R110" s="24" t="n">
        <f aca="false">N(O110)+N(P110)-N(Q110)</f>
        <v>0</v>
      </c>
      <c r="S110" s="33" t="n">
        <f aca="false">'Mar 2027'!V110</f>
        <v>0</v>
      </c>
      <c r="T110" s="33" t="n">
        <f aca="false">IF(B110="",0,N(Students!I99))</f>
        <v>0</v>
      </c>
      <c r="U110" s="23"/>
      <c r="V110" s="24" t="n">
        <f aca="false">N(S110)+N(T110)-N(U110)</f>
        <v>0</v>
      </c>
      <c r="W110" s="33" t="n">
        <f aca="false">'Mar 2027'!Z110</f>
        <v>0</v>
      </c>
      <c r="X110" s="33" t="n">
        <f aca="false">IF(B110="",0,N(Students!J99))</f>
        <v>0</v>
      </c>
      <c r="Y110" s="23"/>
      <c r="Z110" s="24" t="n">
        <f aca="false">N(W110)+N(X110)-N(Y110)</f>
        <v>0</v>
      </c>
      <c r="AA110" s="33" t="n">
        <f aca="false">N(E110)+N(I110)+N(M110)+N(Q110)+N(U110)+N(Y110)</f>
        <v>0</v>
      </c>
      <c r="AB110" s="24" t="n">
        <f aca="false">F110+J110+N110+R110+V110+Z110</f>
        <v>0</v>
      </c>
      <c r="AC110" s="81" t="str">
        <f aca="false">IF(B110="","",IF(AB110&lt;=0,"Clear",IF(AA110&gt;0,"Partial","Due")))</f>
        <v/>
      </c>
    </row>
    <row r="111" customFormat="false" ht="15" hidden="false" customHeight="false" outlineLevel="0" collapsed="false">
      <c r="A111" s="25" t="n">
        <v>96</v>
      </c>
      <c r="B111" s="82" t="str">
        <f aca="false">IF(Students!B100="","",Students!B100)</f>
        <v/>
      </c>
      <c r="C111" s="37" t="n">
        <f aca="false">'Mar 2027'!F111</f>
        <v>0</v>
      </c>
      <c r="D111" s="37" t="n">
        <f aca="false">IF(B111="",0,N(Students!E100))</f>
        <v>0</v>
      </c>
      <c r="E111" s="23"/>
      <c r="F111" s="26" t="n">
        <f aca="false">N(C111)+N(D111)-N(E111)</f>
        <v>0</v>
      </c>
      <c r="G111" s="37" t="n">
        <f aca="false">'Mar 2027'!J111</f>
        <v>0</v>
      </c>
      <c r="H111" s="37" t="n">
        <f aca="false">IF(B111="",0,N(Students!F100))</f>
        <v>0</v>
      </c>
      <c r="I111" s="23"/>
      <c r="J111" s="26" t="n">
        <f aca="false">N(G111)+N(H111)-N(I111)</f>
        <v>0</v>
      </c>
      <c r="K111" s="37" t="n">
        <f aca="false">'Mar 2027'!N111</f>
        <v>0</v>
      </c>
      <c r="L111" s="37" t="n">
        <f aca="false">IF(B111="",0,N(Students!G100))</f>
        <v>0</v>
      </c>
      <c r="M111" s="23"/>
      <c r="N111" s="26" t="n">
        <f aca="false">N(K111)+N(L111)-N(M111)</f>
        <v>0</v>
      </c>
      <c r="O111" s="37" t="n">
        <f aca="false">'Mar 2027'!R111</f>
        <v>0</v>
      </c>
      <c r="P111" s="37" t="n">
        <f aca="false">IF(B111="",0,N(Students!H100))</f>
        <v>0</v>
      </c>
      <c r="Q111" s="23"/>
      <c r="R111" s="26" t="n">
        <f aca="false">N(O111)+N(P111)-N(Q111)</f>
        <v>0</v>
      </c>
      <c r="S111" s="37" t="n">
        <f aca="false">'Mar 2027'!V111</f>
        <v>0</v>
      </c>
      <c r="T111" s="37" t="n">
        <f aca="false">IF(B111="",0,N(Students!I100))</f>
        <v>0</v>
      </c>
      <c r="U111" s="23"/>
      <c r="V111" s="26" t="n">
        <f aca="false">N(S111)+N(T111)-N(U111)</f>
        <v>0</v>
      </c>
      <c r="W111" s="37" t="n">
        <f aca="false">'Mar 2027'!Z111</f>
        <v>0</v>
      </c>
      <c r="X111" s="37" t="n">
        <f aca="false">IF(B111="",0,N(Students!J100))</f>
        <v>0</v>
      </c>
      <c r="Y111" s="23"/>
      <c r="Z111" s="26" t="n">
        <f aca="false">N(W111)+N(X111)-N(Y111)</f>
        <v>0</v>
      </c>
      <c r="AA111" s="37" t="n">
        <f aca="false">N(E111)+N(I111)+N(M111)+N(Q111)+N(U111)+N(Y111)</f>
        <v>0</v>
      </c>
      <c r="AB111" s="26" t="n">
        <f aca="false">F111+J111+N111+R111+V111+Z111</f>
        <v>0</v>
      </c>
      <c r="AC111" s="83" t="str">
        <f aca="false">IF(B111="","",IF(AB111&lt;=0,"Clear",IF(AA111&gt;0,"Partial","Due")))</f>
        <v/>
      </c>
    </row>
    <row r="112" customFormat="false" ht="15" hidden="false" customHeight="false" outlineLevel="0" collapsed="false">
      <c r="A112" s="21" t="n">
        <v>97</v>
      </c>
      <c r="B112" s="46" t="str">
        <f aca="false">IF(Students!B101="","",Students!B101)</f>
        <v/>
      </c>
      <c r="C112" s="33" t="n">
        <f aca="false">'Mar 2027'!F112</f>
        <v>0</v>
      </c>
      <c r="D112" s="33" t="n">
        <f aca="false">IF(B112="",0,N(Students!E101))</f>
        <v>0</v>
      </c>
      <c r="E112" s="23"/>
      <c r="F112" s="24" t="n">
        <f aca="false">N(C112)+N(D112)-N(E112)</f>
        <v>0</v>
      </c>
      <c r="G112" s="33" t="n">
        <f aca="false">'Mar 2027'!J112</f>
        <v>0</v>
      </c>
      <c r="H112" s="33" t="n">
        <f aca="false">IF(B112="",0,N(Students!F101))</f>
        <v>0</v>
      </c>
      <c r="I112" s="23"/>
      <c r="J112" s="24" t="n">
        <f aca="false">N(G112)+N(H112)-N(I112)</f>
        <v>0</v>
      </c>
      <c r="K112" s="33" t="n">
        <f aca="false">'Mar 2027'!N112</f>
        <v>0</v>
      </c>
      <c r="L112" s="33" t="n">
        <f aca="false">IF(B112="",0,N(Students!G101))</f>
        <v>0</v>
      </c>
      <c r="M112" s="23"/>
      <c r="N112" s="24" t="n">
        <f aca="false">N(K112)+N(L112)-N(M112)</f>
        <v>0</v>
      </c>
      <c r="O112" s="33" t="n">
        <f aca="false">'Mar 2027'!R112</f>
        <v>0</v>
      </c>
      <c r="P112" s="33" t="n">
        <f aca="false">IF(B112="",0,N(Students!H101))</f>
        <v>0</v>
      </c>
      <c r="Q112" s="23"/>
      <c r="R112" s="24" t="n">
        <f aca="false">N(O112)+N(P112)-N(Q112)</f>
        <v>0</v>
      </c>
      <c r="S112" s="33" t="n">
        <f aca="false">'Mar 2027'!V112</f>
        <v>0</v>
      </c>
      <c r="T112" s="33" t="n">
        <f aca="false">IF(B112="",0,N(Students!I101))</f>
        <v>0</v>
      </c>
      <c r="U112" s="23"/>
      <c r="V112" s="24" t="n">
        <f aca="false">N(S112)+N(T112)-N(U112)</f>
        <v>0</v>
      </c>
      <c r="W112" s="33" t="n">
        <f aca="false">'Mar 2027'!Z112</f>
        <v>0</v>
      </c>
      <c r="X112" s="33" t="n">
        <f aca="false">IF(B112="",0,N(Students!J101))</f>
        <v>0</v>
      </c>
      <c r="Y112" s="23"/>
      <c r="Z112" s="24" t="n">
        <f aca="false">N(W112)+N(X112)-N(Y112)</f>
        <v>0</v>
      </c>
      <c r="AA112" s="33" t="n">
        <f aca="false">N(E112)+N(I112)+N(M112)+N(Q112)+N(U112)+N(Y112)</f>
        <v>0</v>
      </c>
      <c r="AB112" s="24" t="n">
        <f aca="false">F112+J112+N112+R112+V112+Z112</f>
        <v>0</v>
      </c>
      <c r="AC112" s="81" t="str">
        <f aca="false">IF(B112="","",IF(AB112&lt;=0,"Clear",IF(AA112&gt;0,"Partial","Due")))</f>
        <v/>
      </c>
    </row>
    <row r="113" customFormat="false" ht="15" hidden="false" customHeight="false" outlineLevel="0" collapsed="false">
      <c r="A113" s="25" t="n">
        <v>98</v>
      </c>
      <c r="B113" s="82" t="str">
        <f aca="false">IF(Students!B102="","",Students!B102)</f>
        <v/>
      </c>
      <c r="C113" s="37" t="n">
        <f aca="false">'Mar 2027'!F113</f>
        <v>0</v>
      </c>
      <c r="D113" s="37" t="n">
        <f aca="false">IF(B113="",0,N(Students!E102))</f>
        <v>0</v>
      </c>
      <c r="E113" s="23"/>
      <c r="F113" s="26" t="n">
        <f aca="false">N(C113)+N(D113)-N(E113)</f>
        <v>0</v>
      </c>
      <c r="G113" s="37" t="n">
        <f aca="false">'Mar 2027'!J113</f>
        <v>0</v>
      </c>
      <c r="H113" s="37" t="n">
        <f aca="false">IF(B113="",0,N(Students!F102))</f>
        <v>0</v>
      </c>
      <c r="I113" s="23"/>
      <c r="J113" s="26" t="n">
        <f aca="false">N(G113)+N(H113)-N(I113)</f>
        <v>0</v>
      </c>
      <c r="K113" s="37" t="n">
        <f aca="false">'Mar 2027'!N113</f>
        <v>0</v>
      </c>
      <c r="L113" s="37" t="n">
        <f aca="false">IF(B113="",0,N(Students!G102))</f>
        <v>0</v>
      </c>
      <c r="M113" s="23"/>
      <c r="N113" s="26" t="n">
        <f aca="false">N(K113)+N(L113)-N(M113)</f>
        <v>0</v>
      </c>
      <c r="O113" s="37" t="n">
        <f aca="false">'Mar 2027'!R113</f>
        <v>0</v>
      </c>
      <c r="P113" s="37" t="n">
        <f aca="false">IF(B113="",0,N(Students!H102))</f>
        <v>0</v>
      </c>
      <c r="Q113" s="23"/>
      <c r="R113" s="26" t="n">
        <f aca="false">N(O113)+N(P113)-N(Q113)</f>
        <v>0</v>
      </c>
      <c r="S113" s="37" t="n">
        <f aca="false">'Mar 2027'!V113</f>
        <v>0</v>
      </c>
      <c r="T113" s="37" t="n">
        <f aca="false">IF(B113="",0,N(Students!I102))</f>
        <v>0</v>
      </c>
      <c r="U113" s="23"/>
      <c r="V113" s="26" t="n">
        <f aca="false">N(S113)+N(T113)-N(U113)</f>
        <v>0</v>
      </c>
      <c r="W113" s="37" t="n">
        <f aca="false">'Mar 2027'!Z113</f>
        <v>0</v>
      </c>
      <c r="X113" s="37" t="n">
        <f aca="false">IF(B113="",0,N(Students!J102))</f>
        <v>0</v>
      </c>
      <c r="Y113" s="23"/>
      <c r="Z113" s="26" t="n">
        <f aca="false">N(W113)+N(X113)-N(Y113)</f>
        <v>0</v>
      </c>
      <c r="AA113" s="37" t="n">
        <f aca="false">N(E113)+N(I113)+N(M113)+N(Q113)+N(U113)+N(Y113)</f>
        <v>0</v>
      </c>
      <c r="AB113" s="26" t="n">
        <f aca="false">F113+J113+N113+R113+V113+Z113</f>
        <v>0</v>
      </c>
      <c r="AC113" s="83" t="str">
        <f aca="false">IF(B113="","",IF(AB113&lt;=0,"Clear",IF(AA113&gt;0,"Partial","Due")))</f>
        <v/>
      </c>
    </row>
    <row r="114" customFormat="false" ht="15" hidden="false" customHeight="false" outlineLevel="0" collapsed="false">
      <c r="A114" s="21" t="n">
        <v>99</v>
      </c>
      <c r="B114" s="46" t="str">
        <f aca="false">IF(Students!B103="","",Students!B103)</f>
        <v/>
      </c>
      <c r="C114" s="33" t="n">
        <f aca="false">'Mar 2027'!F114</f>
        <v>0</v>
      </c>
      <c r="D114" s="33" t="n">
        <f aca="false">IF(B114="",0,N(Students!E103))</f>
        <v>0</v>
      </c>
      <c r="E114" s="23"/>
      <c r="F114" s="24" t="n">
        <f aca="false">N(C114)+N(D114)-N(E114)</f>
        <v>0</v>
      </c>
      <c r="G114" s="33" t="n">
        <f aca="false">'Mar 2027'!J114</f>
        <v>0</v>
      </c>
      <c r="H114" s="33" t="n">
        <f aca="false">IF(B114="",0,N(Students!F103))</f>
        <v>0</v>
      </c>
      <c r="I114" s="23"/>
      <c r="J114" s="24" t="n">
        <f aca="false">N(G114)+N(H114)-N(I114)</f>
        <v>0</v>
      </c>
      <c r="K114" s="33" t="n">
        <f aca="false">'Mar 2027'!N114</f>
        <v>0</v>
      </c>
      <c r="L114" s="33" t="n">
        <f aca="false">IF(B114="",0,N(Students!G103))</f>
        <v>0</v>
      </c>
      <c r="M114" s="23"/>
      <c r="N114" s="24" t="n">
        <f aca="false">N(K114)+N(L114)-N(M114)</f>
        <v>0</v>
      </c>
      <c r="O114" s="33" t="n">
        <f aca="false">'Mar 2027'!R114</f>
        <v>0</v>
      </c>
      <c r="P114" s="33" t="n">
        <f aca="false">IF(B114="",0,N(Students!H103))</f>
        <v>0</v>
      </c>
      <c r="Q114" s="23"/>
      <c r="R114" s="24" t="n">
        <f aca="false">N(O114)+N(P114)-N(Q114)</f>
        <v>0</v>
      </c>
      <c r="S114" s="33" t="n">
        <f aca="false">'Mar 2027'!V114</f>
        <v>0</v>
      </c>
      <c r="T114" s="33" t="n">
        <f aca="false">IF(B114="",0,N(Students!I103))</f>
        <v>0</v>
      </c>
      <c r="U114" s="23"/>
      <c r="V114" s="24" t="n">
        <f aca="false">N(S114)+N(T114)-N(U114)</f>
        <v>0</v>
      </c>
      <c r="W114" s="33" t="n">
        <f aca="false">'Mar 2027'!Z114</f>
        <v>0</v>
      </c>
      <c r="X114" s="33" t="n">
        <f aca="false">IF(B114="",0,N(Students!J103))</f>
        <v>0</v>
      </c>
      <c r="Y114" s="23"/>
      <c r="Z114" s="24" t="n">
        <f aca="false">N(W114)+N(X114)-N(Y114)</f>
        <v>0</v>
      </c>
      <c r="AA114" s="33" t="n">
        <f aca="false">N(E114)+N(I114)+N(M114)+N(Q114)+N(U114)+N(Y114)</f>
        <v>0</v>
      </c>
      <c r="AB114" s="24" t="n">
        <f aca="false">F114+J114+N114+R114+V114+Z114</f>
        <v>0</v>
      </c>
      <c r="AC114" s="81" t="str">
        <f aca="false">IF(B114="","",IF(AB114&lt;=0,"Clear",IF(AA114&gt;0,"Partial","Due")))</f>
        <v/>
      </c>
    </row>
    <row r="115" customFormat="false" ht="15" hidden="false" customHeight="false" outlineLevel="0" collapsed="false">
      <c r="A115" s="25" t="n">
        <v>100</v>
      </c>
      <c r="B115" s="82" t="str">
        <f aca="false">IF(Students!B104="","",Students!B104)</f>
        <v/>
      </c>
      <c r="C115" s="37" t="n">
        <f aca="false">'Mar 2027'!F115</f>
        <v>0</v>
      </c>
      <c r="D115" s="37" t="n">
        <f aca="false">IF(B115="",0,N(Students!E104))</f>
        <v>0</v>
      </c>
      <c r="E115" s="23"/>
      <c r="F115" s="26" t="n">
        <f aca="false">N(C115)+N(D115)-N(E115)</f>
        <v>0</v>
      </c>
      <c r="G115" s="37" t="n">
        <f aca="false">'Mar 2027'!J115</f>
        <v>0</v>
      </c>
      <c r="H115" s="37" t="n">
        <f aca="false">IF(B115="",0,N(Students!F104))</f>
        <v>0</v>
      </c>
      <c r="I115" s="23"/>
      <c r="J115" s="26" t="n">
        <f aca="false">N(G115)+N(H115)-N(I115)</f>
        <v>0</v>
      </c>
      <c r="K115" s="37" t="n">
        <f aca="false">'Mar 2027'!N115</f>
        <v>0</v>
      </c>
      <c r="L115" s="37" t="n">
        <f aca="false">IF(B115="",0,N(Students!G104))</f>
        <v>0</v>
      </c>
      <c r="M115" s="23"/>
      <c r="N115" s="26" t="n">
        <f aca="false">N(K115)+N(L115)-N(M115)</f>
        <v>0</v>
      </c>
      <c r="O115" s="37" t="n">
        <f aca="false">'Mar 2027'!R115</f>
        <v>0</v>
      </c>
      <c r="P115" s="37" t="n">
        <f aca="false">IF(B115="",0,N(Students!H104))</f>
        <v>0</v>
      </c>
      <c r="Q115" s="23"/>
      <c r="R115" s="26" t="n">
        <f aca="false">N(O115)+N(P115)-N(Q115)</f>
        <v>0</v>
      </c>
      <c r="S115" s="37" t="n">
        <f aca="false">'Mar 2027'!V115</f>
        <v>0</v>
      </c>
      <c r="T115" s="37" t="n">
        <f aca="false">IF(B115="",0,N(Students!I104))</f>
        <v>0</v>
      </c>
      <c r="U115" s="23"/>
      <c r="V115" s="26" t="n">
        <f aca="false">N(S115)+N(T115)-N(U115)</f>
        <v>0</v>
      </c>
      <c r="W115" s="37" t="n">
        <f aca="false">'Mar 2027'!Z115</f>
        <v>0</v>
      </c>
      <c r="X115" s="37" t="n">
        <f aca="false">IF(B115="",0,N(Students!J104))</f>
        <v>0</v>
      </c>
      <c r="Y115" s="23"/>
      <c r="Z115" s="26" t="n">
        <f aca="false">N(W115)+N(X115)-N(Y115)</f>
        <v>0</v>
      </c>
      <c r="AA115" s="37" t="n">
        <f aca="false">N(E115)+N(I115)+N(M115)+N(Q115)+N(U115)+N(Y115)</f>
        <v>0</v>
      </c>
      <c r="AB115" s="26" t="n">
        <f aca="false">F115+J115+N115+R115+V115+Z115</f>
        <v>0</v>
      </c>
      <c r="AC115" s="83" t="str">
        <f aca="false">IF(B115="","",IF(AB115&lt;=0,"Clear",IF(AA115&gt;0,"Partial","Due")))</f>
        <v/>
      </c>
    </row>
    <row r="116" customFormat="false" ht="15" hidden="false" customHeight="false" outlineLevel="0" collapsed="false">
      <c r="A116" s="21" t="n">
        <v>101</v>
      </c>
      <c r="B116" s="46" t="str">
        <f aca="false">IF(Students!B105="","",Students!B105)</f>
        <v/>
      </c>
      <c r="C116" s="33" t="n">
        <f aca="false">'Mar 2027'!F116</f>
        <v>0</v>
      </c>
      <c r="D116" s="33" t="n">
        <f aca="false">IF(B116="",0,N(Students!E105))</f>
        <v>0</v>
      </c>
      <c r="E116" s="23"/>
      <c r="F116" s="24" t="n">
        <f aca="false">N(C116)+N(D116)-N(E116)</f>
        <v>0</v>
      </c>
      <c r="G116" s="33" t="n">
        <f aca="false">'Mar 2027'!J116</f>
        <v>0</v>
      </c>
      <c r="H116" s="33" t="n">
        <f aca="false">IF(B116="",0,N(Students!F105))</f>
        <v>0</v>
      </c>
      <c r="I116" s="23"/>
      <c r="J116" s="24" t="n">
        <f aca="false">N(G116)+N(H116)-N(I116)</f>
        <v>0</v>
      </c>
      <c r="K116" s="33" t="n">
        <f aca="false">'Mar 2027'!N116</f>
        <v>0</v>
      </c>
      <c r="L116" s="33" t="n">
        <f aca="false">IF(B116="",0,N(Students!G105))</f>
        <v>0</v>
      </c>
      <c r="M116" s="23"/>
      <c r="N116" s="24" t="n">
        <f aca="false">N(K116)+N(L116)-N(M116)</f>
        <v>0</v>
      </c>
      <c r="O116" s="33" t="n">
        <f aca="false">'Mar 2027'!R116</f>
        <v>0</v>
      </c>
      <c r="P116" s="33" t="n">
        <f aca="false">IF(B116="",0,N(Students!H105))</f>
        <v>0</v>
      </c>
      <c r="Q116" s="23"/>
      <c r="R116" s="24" t="n">
        <f aca="false">N(O116)+N(P116)-N(Q116)</f>
        <v>0</v>
      </c>
      <c r="S116" s="33" t="n">
        <f aca="false">'Mar 2027'!V116</f>
        <v>0</v>
      </c>
      <c r="T116" s="33" t="n">
        <f aca="false">IF(B116="",0,N(Students!I105))</f>
        <v>0</v>
      </c>
      <c r="U116" s="23"/>
      <c r="V116" s="24" t="n">
        <f aca="false">N(S116)+N(T116)-N(U116)</f>
        <v>0</v>
      </c>
      <c r="W116" s="33" t="n">
        <f aca="false">'Mar 2027'!Z116</f>
        <v>0</v>
      </c>
      <c r="X116" s="33" t="n">
        <f aca="false">IF(B116="",0,N(Students!J105))</f>
        <v>0</v>
      </c>
      <c r="Y116" s="23"/>
      <c r="Z116" s="24" t="n">
        <f aca="false">N(W116)+N(X116)-N(Y116)</f>
        <v>0</v>
      </c>
      <c r="AA116" s="33" t="n">
        <f aca="false">N(E116)+N(I116)+N(M116)+N(Q116)+N(U116)+N(Y116)</f>
        <v>0</v>
      </c>
      <c r="AB116" s="24" t="n">
        <f aca="false">F116+J116+N116+R116+V116+Z116</f>
        <v>0</v>
      </c>
      <c r="AC116" s="81" t="str">
        <f aca="false">IF(B116="","",IF(AB116&lt;=0,"Clear",IF(AA116&gt;0,"Partial","Due")))</f>
        <v/>
      </c>
    </row>
    <row r="117" customFormat="false" ht="15" hidden="false" customHeight="false" outlineLevel="0" collapsed="false">
      <c r="A117" s="25" t="n">
        <v>102</v>
      </c>
      <c r="B117" s="82" t="str">
        <f aca="false">IF(Students!B106="","",Students!B106)</f>
        <v/>
      </c>
      <c r="C117" s="37" t="n">
        <f aca="false">'Mar 2027'!F117</f>
        <v>0</v>
      </c>
      <c r="D117" s="37" t="n">
        <f aca="false">IF(B117="",0,N(Students!E106))</f>
        <v>0</v>
      </c>
      <c r="E117" s="23"/>
      <c r="F117" s="26" t="n">
        <f aca="false">N(C117)+N(D117)-N(E117)</f>
        <v>0</v>
      </c>
      <c r="G117" s="37" t="n">
        <f aca="false">'Mar 2027'!J117</f>
        <v>0</v>
      </c>
      <c r="H117" s="37" t="n">
        <f aca="false">IF(B117="",0,N(Students!F106))</f>
        <v>0</v>
      </c>
      <c r="I117" s="23"/>
      <c r="J117" s="26" t="n">
        <f aca="false">N(G117)+N(H117)-N(I117)</f>
        <v>0</v>
      </c>
      <c r="K117" s="37" t="n">
        <f aca="false">'Mar 2027'!N117</f>
        <v>0</v>
      </c>
      <c r="L117" s="37" t="n">
        <f aca="false">IF(B117="",0,N(Students!G106))</f>
        <v>0</v>
      </c>
      <c r="M117" s="23"/>
      <c r="N117" s="26" t="n">
        <f aca="false">N(K117)+N(L117)-N(M117)</f>
        <v>0</v>
      </c>
      <c r="O117" s="37" t="n">
        <f aca="false">'Mar 2027'!R117</f>
        <v>0</v>
      </c>
      <c r="P117" s="37" t="n">
        <f aca="false">IF(B117="",0,N(Students!H106))</f>
        <v>0</v>
      </c>
      <c r="Q117" s="23"/>
      <c r="R117" s="26" t="n">
        <f aca="false">N(O117)+N(P117)-N(Q117)</f>
        <v>0</v>
      </c>
      <c r="S117" s="37" t="n">
        <f aca="false">'Mar 2027'!V117</f>
        <v>0</v>
      </c>
      <c r="T117" s="37" t="n">
        <f aca="false">IF(B117="",0,N(Students!I106))</f>
        <v>0</v>
      </c>
      <c r="U117" s="23"/>
      <c r="V117" s="26" t="n">
        <f aca="false">N(S117)+N(T117)-N(U117)</f>
        <v>0</v>
      </c>
      <c r="W117" s="37" t="n">
        <f aca="false">'Mar 2027'!Z117</f>
        <v>0</v>
      </c>
      <c r="X117" s="37" t="n">
        <f aca="false">IF(B117="",0,N(Students!J106))</f>
        <v>0</v>
      </c>
      <c r="Y117" s="23"/>
      <c r="Z117" s="26" t="n">
        <f aca="false">N(W117)+N(X117)-N(Y117)</f>
        <v>0</v>
      </c>
      <c r="AA117" s="37" t="n">
        <f aca="false">N(E117)+N(I117)+N(M117)+N(Q117)+N(U117)+N(Y117)</f>
        <v>0</v>
      </c>
      <c r="AB117" s="26" t="n">
        <f aca="false">F117+J117+N117+R117+V117+Z117</f>
        <v>0</v>
      </c>
      <c r="AC117" s="83" t="str">
        <f aca="false">IF(B117="","",IF(AB117&lt;=0,"Clear",IF(AA117&gt;0,"Partial","Due")))</f>
        <v/>
      </c>
    </row>
    <row r="118" customFormat="false" ht="15" hidden="false" customHeight="false" outlineLevel="0" collapsed="false">
      <c r="A118" s="21" t="n">
        <v>103</v>
      </c>
      <c r="B118" s="46" t="str">
        <f aca="false">IF(Students!B107="","",Students!B107)</f>
        <v/>
      </c>
      <c r="C118" s="33" t="n">
        <f aca="false">'Mar 2027'!F118</f>
        <v>0</v>
      </c>
      <c r="D118" s="33" t="n">
        <f aca="false">IF(B118="",0,N(Students!E107))</f>
        <v>0</v>
      </c>
      <c r="E118" s="23"/>
      <c r="F118" s="24" t="n">
        <f aca="false">N(C118)+N(D118)-N(E118)</f>
        <v>0</v>
      </c>
      <c r="G118" s="33" t="n">
        <f aca="false">'Mar 2027'!J118</f>
        <v>0</v>
      </c>
      <c r="H118" s="33" t="n">
        <f aca="false">IF(B118="",0,N(Students!F107))</f>
        <v>0</v>
      </c>
      <c r="I118" s="23"/>
      <c r="J118" s="24" t="n">
        <f aca="false">N(G118)+N(H118)-N(I118)</f>
        <v>0</v>
      </c>
      <c r="K118" s="33" t="n">
        <f aca="false">'Mar 2027'!N118</f>
        <v>0</v>
      </c>
      <c r="L118" s="33" t="n">
        <f aca="false">IF(B118="",0,N(Students!G107))</f>
        <v>0</v>
      </c>
      <c r="M118" s="23"/>
      <c r="N118" s="24" t="n">
        <f aca="false">N(K118)+N(L118)-N(M118)</f>
        <v>0</v>
      </c>
      <c r="O118" s="33" t="n">
        <f aca="false">'Mar 2027'!R118</f>
        <v>0</v>
      </c>
      <c r="P118" s="33" t="n">
        <f aca="false">IF(B118="",0,N(Students!H107))</f>
        <v>0</v>
      </c>
      <c r="Q118" s="23"/>
      <c r="R118" s="24" t="n">
        <f aca="false">N(O118)+N(P118)-N(Q118)</f>
        <v>0</v>
      </c>
      <c r="S118" s="33" t="n">
        <f aca="false">'Mar 2027'!V118</f>
        <v>0</v>
      </c>
      <c r="T118" s="33" t="n">
        <f aca="false">IF(B118="",0,N(Students!I107))</f>
        <v>0</v>
      </c>
      <c r="U118" s="23"/>
      <c r="V118" s="24" t="n">
        <f aca="false">N(S118)+N(T118)-N(U118)</f>
        <v>0</v>
      </c>
      <c r="W118" s="33" t="n">
        <f aca="false">'Mar 2027'!Z118</f>
        <v>0</v>
      </c>
      <c r="X118" s="33" t="n">
        <f aca="false">IF(B118="",0,N(Students!J107))</f>
        <v>0</v>
      </c>
      <c r="Y118" s="23"/>
      <c r="Z118" s="24" t="n">
        <f aca="false">N(W118)+N(X118)-N(Y118)</f>
        <v>0</v>
      </c>
      <c r="AA118" s="33" t="n">
        <f aca="false">N(E118)+N(I118)+N(M118)+N(Q118)+N(U118)+N(Y118)</f>
        <v>0</v>
      </c>
      <c r="AB118" s="24" t="n">
        <f aca="false">F118+J118+N118+R118+V118+Z118</f>
        <v>0</v>
      </c>
      <c r="AC118" s="81" t="str">
        <f aca="false">IF(B118="","",IF(AB118&lt;=0,"Clear",IF(AA118&gt;0,"Partial","Due")))</f>
        <v/>
      </c>
    </row>
    <row r="119" customFormat="false" ht="15" hidden="false" customHeight="false" outlineLevel="0" collapsed="false">
      <c r="A119" s="25" t="n">
        <v>104</v>
      </c>
      <c r="B119" s="82" t="str">
        <f aca="false">IF(Students!B108="","",Students!B108)</f>
        <v/>
      </c>
      <c r="C119" s="37" t="n">
        <f aca="false">'Mar 2027'!F119</f>
        <v>0</v>
      </c>
      <c r="D119" s="37" t="n">
        <f aca="false">IF(B119="",0,N(Students!E108))</f>
        <v>0</v>
      </c>
      <c r="E119" s="23"/>
      <c r="F119" s="26" t="n">
        <f aca="false">N(C119)+N(D119)-N(E119)</f>
        <v>0</v>
      </c>
      <c r="G119" s="37" t="n">
        <f aca="false">'Mar 2027'!J119</f>
        <v>0</v>
      </c>
      <c r="H119" s="37" t="n">
        <f aca="false">IF(B119="",0,N(Students!F108))</f>
        <v>0</v>
      </c>
      <c r="I119" s="23"/>
      <c r="J119" s="26" t="n">
        <f aca="false">N(G119)+N(H119)-N(I119)</f>
        <v>0</v>
      </c>
      <c r="K119" s="37" t="n">
        <f aca="false">'Mar 2027'!N119</f>
        <v>0</v>
      </c>
      <c r="L119" s="37" t="n">
        <f aca="false">IF(B119="",0,N(Students!G108))</f>
        <v>0</v>
      </c>
      <c r="M119" s="23"/>
      <c r="N119" s="26" t="n">
        <f aca="false">N(K119)+N(L119)-N(M119)</f>
        <v>0</v>
      </c>
      <c r="O119" s="37" t="n">
        <f aca="false">'Mar 2027'!R119</f>
        <v>0</v>
      </c>
      <c r="P119" s="37" t="n">
        <f aca="false">IF(B119="",0,N(Students!H108))</f>
        <v>0</v>
      </c>
      <c r="Q119" s="23"/>
      <c r="R119" s="26" t="n">
        <f aca="false">N(O119)+N(P119)-N(Q119)</f>
        <v>0</v>
      </c>
      <c r="S119" s="37" t="n">
        <f aca="false">'Mar 2027'!V119</f>
        <v>0</v>
      </c>
      <c r="T119" s="37" t="n">
        <f aca="false">IF(B119="",0,N(Students!I108))</f>
        <v>0</v>
      </c>
      <c r="U119" s="23"/>
      <c r="V119" s="26" t="n">
        <f aca="false">N(S119)+N(T119)-N(U119)</f>
        <v>0</v>
      </c>
      <c r="W119" s="37" t="n">
        <f aca="false">'Mar 2027'!Z119</f>
        <v>0</v>
      </c>
      <c r="X119" s="37" t="n">
        <f aca="false">IF(B119="",0,N(Students!J108))</f>
        <v>0</v>
      </c>
      <c r="Y119" s="23"/>
      <c r="Z119" s="26" t="n">
        <f aca="false">N(W119)+N(X119)-N(Y119)</f>
        <v>0</v>
      </c>
      <c r="AA119" s="37" t="n">
        <f aca="false">N(E119)+N(I119)+N(M119)+N(Q119)+N(U119)+N(Y119)</f>
        <v>0</v>
      </c>
      <c r="AB119" s="26" t="n">
        <f aca="false">F119+J119+N119+R119+V119+Z119</f>
        <v>0</v>
      </c>
      <c r="AC119" s="83" t="str">
        <f aca="false">IF(B119="","",IF(AB119&lt;=0,"Clear",IF(AA119&gt;0,"Partial","Due")))</f>
        <v/>
      </c>
    </row>
    <row r="120" customFormat="false" ht="15" hidden="false" customHeight="false" outlineLevel="0" collapsed="false">
      <c r="A120" s="21" t="n">
        <v>105</v>
      </c>
      <c r="B120" s="46" t="str">
        <f aca="false">IF(Students!B109="","",Students!B109)</f>
        <v/>
      </c>
      <c r="C120" s="33" t="n">
        <f aca="false">'Mar 2027'!F120</f>
        <v>0</v>
      </c>
      <c r="D120" s="33" t="n">
        <f aca="false">IF(B120="",0,N(Students!E109))</f>
        <v>0</v>
      </c>
      <c r="E120" s="23"/>
      <c r="F120" s="24" t="n">
        <f aca="false">N(C120)+N(D120)-N(E120)</f>
        <v>0</v>
      </c>
      <c r="G120" s="33" t="n">
        <f aca="false">'Mar 2027'!J120</f>
        <v>0</v>
      </c>
      <c r="H120" s="33" t="n">
        <f aca="false">IF(B120="",0,N(Students!F109))</f>
        <v>0</v>
      </c>
      <c r="I120" s="23"/>
      <c r="J120" s="24" t="n">
        <f aca="false">N(G120)+N(H120)-N(I120)</f>
        <v>0</v>
      </c>
      <c r="K120" s="33" t="n">
        <f aca="false">'Mar 2027'!N120</f>
        <v>0</v>
      </c>
      <c r="L120" s="33" t="n">
        <f aca="false">IF(B120="",0,N(Students!G109))</f>
        <v>0</v>
      </c>
      <c r="M120" s="23"/>
      <c r="N120" s="24" t="n">
        <f aca="false">N(K120)+N(L120)-N(M120)</f>
        <v>0</v>
      </c>
      <c r="O120" s="33" t="n">
        <f aca="false">'Mar 2027'!R120</f>
        <v>0</v>
      </c>
      <c r="P120" s="33" t="n">
        <f aca="false">IF(B120="",0,N(Students!H109))</f>
        <v>0</v>
      </c>
      <c r="Q120" s="23"/>
      <c r="R120" s="24" t="n">
        <f aca="false">N(O120)+N(P120)-N(Q120)</f>
        <v>0</v>
      </c>
      <c r="S120" s="33" t="n">
        <f aca="false">'Mar 2027'!V120</f>
        <v>0</v>
      </c>
      <c r="T120" s="33" t="n">
        <f aca="false">IF(B120="",0,N(Students!I109))</f>
        <v>0</v>
      </c>
      <c r="U120" s="23"/>
      <c r="V120" s="24" t="n">
        <f aca="false">N(S120)+N(T120)-N(U120)</f>
        <v>0</v>
      </c>
      <c r="W120" s="33" t="n">
        <f aca="false">'Mar 2027'!Z120</f>
        <v>0</v>
      </c>
      <c r="X120" s="33" t="n">
        <f aca="false">IF(B120="",0,N(Students!J109))</f>
        <v>0</v>
      </c>
      <c r="Y120" s="23"/>
      <c r="Z120" s="24" t="n">
        <f aca="false">N(W120)+N(X120)-N(Y120)</f>
        <v>0</v>
      </c>
      <c r="AA120" s="33" t="n">
        <f aca="false">N(E120)+N(I120)+N(M120)+N(Q120)+N(U120)+N(Y120)</f>
        <v>0</v>
      </c>
      <c r="AB120" s="24" t="n">
        <f aca="false">F120+J120+N120+R120+V120+Z120</f>
        <v>0</v>
      </c>
      <c r="AC120" s="81" t="str">
        <f aca="false">IF(B120="","",IF(AB120&lt;=0,"Clear",IF(AA120&gt;0,"Partial","Due")))</f>
        <v/>
      </c>
    </row>
    <row r="121" customFormat="false" ht="15" hidden="false" customHeight="false" outlineLevel="0" collapsed="false">
      <c r="A121" s="25" t="n">
        <v>106</v>
      </c>
      <c r="B121" s="82" t="str">
        <f aca="false">IF(Students!B110="","",Students!B110)</f>
        <v/>
      </c>
      <c r="C121" s="37" t="n">
        <f aca="false">'Mar 2027'!F121</f>
        <v>0</v>
      </c>
      <c r="D121" s="37" t="n">
        <f aca="false">IF(B121="",0,N(Students!E110))</f>
        <v>0</v>
      </c>
      <c r="E121" s="23"/>
      <c r="F121" s="26" t="n">
        <f aca="false">N(C121)+N(D121)-N(E121)</f>
        <v>0</v>
      </c>
      <c r="G121" s="37" t="n">
        <f aca="false">'Mar 2027'!J121</f>
        <v>0</v>
      </c>
      <c r="H121" s="37" t="n">
        <f aca="false">IF(B121="",0,N(Students!F110))</f>
        <v>0</v>
      </c>
      <c r="I121" s="23"/>
      <c r="J121" s="26" t="n">
        <f aca="false">N(G121)+N(H121)-N(I121)</f>
        <v>0</v>
      </c>
      <c r="K121" s="37" t="n">
        <f aca="false">'Mar 2027'!N121</f>
        <v>0</v>
      </c>
      <c r="L121" s="37" t="n">
        <f aca="false">IF(B121="",0,N(Students!G110))</f>
        <v>0</v>
      </c>
      <c r="M121" s="23"/>
      <c r="N121" s="26" t="n">
        <f aca="false">N(K121)+N(L121)-N(M121)</f>
        <v>0</v>
      </c>
      <c r="O121" s="37" t="n">
        <f aca="false">'Mar 2027'!R121</f>
        <v>0</v>
      </c>
      <c r="P121" s="37" t="n">
        <f aca="false">IF(B121="",0,N(Students!H110))</f>
        <v>0</v>
      </c>
      <c r="Q121" s="23"/>
      <c r="R121" s="26" t="n">
        <f aca="false">N(O121)+N(P121)-N(Q121)</f>
        <v>0</v>
      </c>
      <c r="S121" s="37" t="n">
        <f aca="false">'Mar 2027'!V121</f>
        <v>0</v>
      </c>
      <c r="T121" s="37" t="n">
        <f aca="false">IF(B121="",0,N(Students!I110))</f>
        <v>0</v>
      </c>
      <c r="U121" s="23"/>
      <c r="V121" s="26" t="n">
        <f aca="false">N(S121)+N(T121)-N(U121)</f>
        <v>0</v>
      </c>
      <c r="W121" s="37" t="n">
        <f aca="false">'Mar 2027'!Z121</f>
        <v>0</v>
      </c>
      <c r="X121" s="37" t="n">
        <f aca="false">IF(B121="",0,N(Students!J110))</f>
        <v>0</v>
      </c>
      <c r="Y121" s="23"/>
      <c r="Z121" s="26" t="n">
        <f aca="false">N(W121)+N(X121)-N(Y121)</f>
        <v>0</v>
      </c>
      <c r="AA121" s="37" t="n">
        <f aca="false">N(E121)+N(I121)+N(M121)+N(Q121)+N(U121)+N(Y121)</f>
        <v>0</v>
      </c>
      <c r="AB121" s="26" t="n">
        <f aca="false">F121+J121+N121+R121+V121+Z121</f>
        <v>0</v>
      </c>
      <c r="AC121" s="83" t="str">
        <f aca="false">IF(B121="","",IF(AB121&lt;=0,"Clear",IF(AA121&gt;0,"Partial","Due")))</f>
        <v/>
      </c>
    </row>
    <row r="122" customFormat="false" ht="15" hidden="false" customHeight="false" outlineLevel="0" collapsed="false">
      <c r="A122" s="21" t="n">
        <v>107</v>
      </c>
      <c r="B122" s="46" t="str">
        <f aca="false">IF(Students!B111="","",Students!B111)</f>
        <v/>
      </c>
      <c r="C122" s="33" t="n">
        <f aca="false">'Mar 2027'!F122</f>
        <v>0</v>
      </c>
      <c r="D122" s="33" t="n">
        <f aca="false">IF(B122="",0,N(Students!E111))</f>
        <v>0</v>
      </c>
      <c r="E122" s="23"/>
      <c r="F122" s="24" t="n">
        <f aca="false">N(C122)+N(D122)-N(E122)</f>
        <v>0</v>
      </c>
      <c r="G122" s="33" t="n">
        <f aca="false">'Mar 2027'!J122</f>
        <v>0</v>
      </c>
      <c r="H122" s="33" t="n">
        <f aca="false">IF(B122="",0,N(Students!F111))</f>
        <v>0</v>
      </c>
      <c r="I122" s="23"/>
      <c r="J122" s="24" t="n">
        <f aca="false">N(G122)+N(H122)-N(I122)</f>
        <v>0</v>
      </c>
      <c r="K122" s="33" t="n">
        <f aca="false">'Mar 2027'!N122</f>
        <v>0</v>
      </c>
      <c r="L122" s="33" t="n">
        <f aca="false">IF(B122="",0,N(Students!G111))</f>
        <v>0</v>
      </c>
      <c r="M122" s="23"/>
      <c r="N122" s="24" t="n">
        <f aca="false">N(K122)+N(L122)-N(M122)</f>
        <v>0</v>
      </c>
      <c r="O122" s="33" t="n">
        <f aca="false">'Mar 2027'!R122</f>
        <v>0</v>
      </c>
      <c r="P122" s="33" t="n">
        <f aca="false">IF(B122="",0,N(Students!H111))</f>
        <v>0</v>
      </c>
      <c r="Q122" s="23"/>
      <c r="R122" s="24" t="n">
        <f aca="false">N(O122)+N(P122)-N(Q122)</f>
        <v>0</v>
      </c>
      <c r="S122" s="33" t="n">
        <f aca="false">'Mar 2027'!V122</f>
        <v>0</v>
      </c>
      <c r="T122" s="33" t="n">
        <f aca="false">IF(B122="",0,N(Students!I111))</f>
        <v>0</v>
      </c>
      <c r="U122" s="23"/>
      <c r="V122" s="24" t="n">
        <f aca="false">N(S122)+N(T122)-N(U122)</f>
        <v>0</v>
      </c>
      <c r="W122" s="33" t="n">
        <f aca="false">'Mar 2027'!Z122</f>
        <v>0</v>
      </c>
      <c r="X122" s="33" t="n">
        <f aca="false">IF(B122="",0,N(Students!J111))</f>
        <v>0</v>
      </c>
      <c r="Y122" s="23"/>
      <c r="Z122" s="24" t="n">
        <f aca="false">N(W122)+N(X122)-N(Y122)</f>
        <v>0</v>
      </c>
      <c r="AA122" s="33" t="n">
        <f aca="false">N(E122)+N(I122)+N(M122)+N(Q122)+N(U122)+N(Y122)</f>
        <v>0</v>
      </c>
      <c r="AB122" s="24" t="n">
        <f aca="false">F122+J122+N122+R122+V122+Z122</f>
        <v>0</v>
      </c>
      <c r="AC122" s="81" t="str">
        <f aca="false">IF(B122="","",IF(AB122&lt;=0,"Clear",IF(AA122&gt;0,"Partial","Due")))</f>
        <v/>
      </c>
    </row>
    <row r="123" customFormat="false" ht="15" hidden="false" customHeight="false" outlineLevel="0" collapsed="false">
      <c r="A123" s="25" t="n">
        <v>108</v>
      </c>
      <c r="B123" s="82" t="str">
        <f aca="false">IF(Students!B112="","",Students!B112)</f>
        <v/>
      </c>
      <c r="C123" s="37" t="n">
        <f aca="false">'Mar 2027'!F123</f>
        <v>0</v>
      </c>
      <c r="D123" s="37" t="n">
        <f aca="false">IF(B123="",0,N(Students!E112))</f>
        <v>0</v>
      </c>
      <c r="E123" s="23"/>
      <c r="F123" s="26" t="n">
        <f aca="false">N(C123)+N(D123)-N(E123)</f>
        <v>0</v>
      </c>
      <c r="G123" s="37" t="n">
        <f aca="false">'Mar 2027'!J123</f>
        <v>0</v>
      </c>
      <c r="H123" s="37" t="n">
        <f aca="false">IF(B123="",0,N(Students!F112))</f>
        <v>0</v>
      </c>
      <c r="I123" s="23"/>
      <c r="J123" s="26" t="n">
        <f aca="false">N(G123)+N(H123)-N(I123)</f>
        <v>0</v>
      </c>
      <c r="K123" s="37" t="n">
        <f aca="false">'Mar 2027'!N123</f>
        <v>0</v>
      </c>
      <c r="L123" s="37" t="n">
        <f aca="false">IF(B123="",0,N(Students!G112))</f>
        <v>0</v>
      </c>
      <c r="M123" s="23"/>
      <c r="N123" s="26" t="n">
        <f aca="false">N(K123)+N(L123)-N(M123)</f>
        <v>0</v>
      </c>
      <c r="O123" s="37" t="n">
        <f aca="false">'Mar 2027'!R123</f>
        <v>0</v>
      </c>
      <c r="P123" s="37" t="n">
        <f aca="false">IF(B123="",0,N(Students!H112))</f>
        <v>0</v>
      </c>
      <c r="Q123" s="23"/>
      <c r="R123" s="26" t="n">
        <f aca="false">N(O123)+N(P123)-N(Q123)</f>
        <v>0</v>
      </c>
      <c r="S123" s="37" t="n">
        <f aca="false">'Mar 2027'!V123</f>
        <v>0</v>
      </c>
      <c r="T123" s="37" t="n">
        <f aca="false">IF(B123="",0,N(Students!I112))</f>
        <v>0</v>
      </c>
      <c r="U123" s="23"/>
      <c r="V123" s="26" t="n">
        <f aca="false">N(S123)+N(T123)-N(U123)</f>
        <v>0</v>
      </c>
      <c r="W123" s="37" t="n">
        <f aca="false">'Mar 2027'!Z123</f>
        <v>0</v>
      </c>
      <c r="X123" s="37" t="n">
        <f aca="false">IF(B123="",0,N(Students!J112))</f>
        <v>0</v>
      </c>
      <c r="Y123" s="23"/>
      <c r="Z123" s="26" t="n">
        <f aca="false">N(W123)+N(X123)-N(Y123)</f>
        <v>0</v>
      </c>
      <c r="AA123" s="37" t="n">
        <f aca="false">N(E123)+N(I123)+N(M123)+N(Q123)+N(U123)+N(Y123)</f>
        <v>0</v>
      </c>
      <c r="AB123" s="26" t="n">
        <f aca="false">F123+J123+N123+R123+V123+Z123</f>
        <v>0</v>
      </c>
      <c r="AC123" s="83" t="str">
        <f aca="false">IF(B123="","",IF(AB123&lt;=0,"Clear",IF(AA123&gt;0,"Partial","Due")))</f>
        <v/>
      </c>
    </row>
    <row r="124" customFormat="false" ht="15" hidden="false" customHeight="false" outlineLevel="0" collapsed="false">
      <c r="A124" s="21" t="n">
        <v>109</v>
      </c>
      <c r="B124" s="46" t="str">
        <f aca="false">IF(Students!B113="","",Students!B113)</f>
        <v/>
      </c>
      <c r="C124" s="33" t="n">
        <f aca="false">'Mar 2027'!F124</f>
        <v>0</v>
      </c>
      <c r="D124" s="33" t="n">
        <f aca="false">IF(B124="",0,N(Students!E113))</f>
        <v>0</v>
      </c>
      <c r="E124" s="23"/>
      <c r="F124" s="24" t="n">
        <f aca="false">N(C124)+N(D124)-N(E124)</f>
        <v>0</v>
      </c>
      <c r="G124" s="33" t="n">
        <f aca="false">'Mar 2027'!J124</f>
        <v>0</v>
      </c>
      <c r="H124" s="33" t="n">
        <f aca="false">IF(B124="",0,N(Students!F113))</f>
        <v>0</v>
      </c>
      <c r="I124" s="23"/>
      <c r="J124" s="24" t="n">
        <f aca="false">N(G124)+N(H124)-N(I124)</f>
        <v>0</v>
      </c>
      <c r="K124" s="33" t="n">
        <f aca="false">'Mar 2027'!N124</f>
        <v>0</v>
      </c>
      <c r="L124" s="33" t="n">
        <f aca="false">IF(B124="",0,N(Students!G113))</f>
        <v>0</v>
      </c>
      <c r="M124" s="23"/>
      <c r="N124" s="24" t="n">
        <f aca="false">N(K124)+N(L124)-N(M124)</f>
        <v>0</v>
      </c>
      <c r="O124" s="33" t="n">
        <f aca="false">'Mar 2027'!R124</f>
        <v>0</v>
      </c>
      <c r="P124" s="33" t="n">
        <f aca="false">IF(B124="",0,N(Students!H113))</f>
        <v>0</v>
      </c>
      <c r="Q124" s="23"/>
      <c r="R124" s="24" t="n">
        <f aca="false">N(O124)+N(P124)-N(Q124)</f>
        <v>0</v>
      </c>
      <c r="S124" s="33" t="n">
        <f aca="false">'Mar 2027'!V124</f>
        <v>0</v>
      </c>
      <c r="T124" s="33" t="n">
        <f aca="false">IF(B124="",0,N(Students!I113))</f>
        <v>0</v>
      </c>
      <c r="U124" s="23"/>
      <c r="V124" s="24" t="n">
        <f aca="false">N(S124)+N(T124)-N(U124)</f>
        <v>0</v>
      </c>
      <c r="W124" s="33" t="n">
        <f aca="false">'Mar 2027'!Z124</f>
        <v>0</v>
      </c>
      <c r="X124" s="33" t="n">
        <f aca="false">IF(B124="",0,N(Students!J113))</f>
        <v>0</v>
      </c>
      <c r="Y124" s="23"/>
      <c r="Z124" s="24" t="n">
        <f aca="false">N(W124)+N(X124)-N(Y124)</f>
        <v>0</v>
      </c>
      <c r="AA124" s="33" t="n">
        <f aca="false">N(E124)+N(I124)+N(M124)+N(Q124)+N(U124)+N(Y124)</f>
        <v>0</v>
      </c>
      <c r="AB124" s="24" t="n">
        <f aca="false">F124+J124+N124+R124+V124+Z124</f>
        <v>0</v>
      </c>
      <c r="AC124" s="81" t="str">
        <f aca="false">IF(B124="","",IF(AB124&lt;=0,"Clear",IF(AA124&gt;0,"Partial","Due")))</f>
        <v/>
      </c>
    </row>
    <row r="125" customFormat="false" ht="15" hidden="false" customHeight="false" outlineLevel="0" collapsed="false">
      <c r="A125" s="25" t="n">
        <v>110</v>
      </c>
      <c r="B125" s="82" t="str">
        <f aca="false">IF(Students!B114="","",Students!B114)</f>
        <v/>
      </c>
      <c r="C125" s="37" t="n">
        <f aca="false">'Mar 2027'!F125</f>
        <v>0</v>
      </c>
      <c r="D125" s="37" t="n">
        <f aca="false">IF(B125="",0,N(Students!E114))</f>
        <v>0</v>
      </c>
      <c r="E125" s="23"/>
      <c r="F125" s="26" t="n">
        <f aca="false">N(C125)+N(D125)-N(E125)</f>
        <v>0</v>
      </c>
      <c r="G125" s="37" t="n">
        <f aca="false">'Mar 2027'!J125</f>
        <v>0</v>
      </c>
      <c r="H125" s="37" t="n">
        <f aca="false">IF(B125="",0,N(Students!F114))</f>
        <v>0</v>
      </c>
      <c r="I125" s="23"/>
      <c r="J125" s="26" t="n">
        <f aca="false">N(G125)+N(H125)-N(I125)</f>
        <v>0</v>
      </c>
      <c r="K125" s="37" t="n">
        <f aca="false">'Mar 2027'!N125</f>
        <v>0</v>
      </c>
      <c r="L125" s="37" t="n">
        <f aca="false">IF(B125="",0,N(Students!G114))</f>
        <v>0</v>
      </c>
      <c r="M125" s="23"/>
      <c r="N125" s="26" t="n">
        <f aca="false">N(K125)+N(L125)-N(M125)</f>
        <v>0</v>
      </c>
      <c r="O125" s="37" t="n">
        <f aca="false">'Mar 2027'!R125</f>
        <v>0</v>
      </c>
      <c r="P125" s="37" t="n">
        <f aca="false">IF(B125="",0,N(Students!H114))</f>
        <v>0</v>
      </c>
      <c r="Q125" s="23"/>
      <c r="R125" s="26" t="n">
        <f aca="false">N(O125)+N(P125)-N(Q125)</f>
        <v>0</v>
      </c>
      <c r="S125" s="37" t="n">
        <f aca="false">'Mar 2027'!V125</f>
        <v>0</v>
      </c>
      <c r="T125" s="37" t="n">
        <f aca="false">IF(B125="",0,N(Students!I114))</f>
        <v>0</v>
      </c>
      <c r="U125" s="23"/>
      <c r="V125" s="26" t="n">
        <f aca="false">N(S125)+N(T125)-N(U125)</f>
        <v>0</v>
      </c>
      <c r="W125" s="37" t="n">
        <f aca="false">'Mar 2027'!Z125</f>
        <v>0</v>
      </c>
      <c r="X125" s="37" t="n">
        <f aca="false">IF(B125="",0,N(Students!J114))</f>
        <v>0</v>
      </c>
      <c r="Y125" s="23"/>
      <c r="Z125" s="26" t="n">
        <f aca="false">N(W125)+N(X125)-N(Y125)</f>
        <v>0</v>
      </c>
      <c r="AA125" s="37" t="n">
        <f aca="false">N(E125)+N(I125)+N(M125)+N(Q125)+N(U125)+N(Y125)</f>
        <v>0</v>
      </c>
      <c r="AB125" s="26" t="n">
        <f aca="false">F125+J125+N125+R125+V125+Z125</f>
        <v>0</v>
      </c>
      <c r="AC125" s="83" t="str">
        <f aca="false">IF(B125="","",IF(AB125&lt;=0,"Clear",IF(AA125&gt;0,"Partial","Due")))</f>
        <v/>
      </c>
    </row>
    <row r="126" customFormat="false" ht="15" hidden="false" customHeight="false" outlineLevel="0" collapsed="false">
      <c r="A126" s="21" t="n">
        <v>111</v>
      </c>
      <c r="B126" s="46" t="str">
        <f aca="false">IF(Students!B115="","",Students!B115)</f>
        <v/>
      </c>
      <c r="C126" s="33" t="n">
        <f aca="false">'Mar 2027'!F126</f>
        <v>0</v>
      </c>
      <c r="D126" s="33" t="n">
        <f aca="false">IF(B126="",0,N(Students!E115))</f>
        <v>0</v>
      </c>
      <c r="E126" s="23"/>
      <c r="F126" s="24" t="n">
        <f aca="false">N(C126)+N(D126)-N(E126)</f>
        <v>0</v>
      </c>
      <c r="G126" s="33" t="n">
        <f aca="false">'Mar 2027'!J126</f>
        <v>0</v>
      </c>
      <c r="H126" s="33" t="n">
        <f aca="false">IF(B126="",0,N(Students!F115))</f>
        <v>0</v>
      </c>
      <c r="I126" s="23"/>
      <c r="J126" s="24" t="n">
        <f aca="false">N(G126)+N(H126)-N(I126)</f>
        <v>0</v>
      </c>
      <c r="K126" s="33" t="n">
        <f aca="false">'Mar 2027'!N126</f>
        <v>0</v>
      </c>
      <c r="L126" s="33" t="n">
        <f aca="false">IF(B126="",0,N(Students!G115))</f>
        <v>0</v>
      </c>
      <c r="M126" s="23"/>
      <c r="N126" s="24" t="n">
        <f aca="false">N(K126)+N(L126)-N(M126)</f>
        <v>0</v>
      </c>
      <c r="O126" s="33" t="n">
        <f aca="false">'Mar 2027'!R126</f>
        <v>0</v>
      </c>
      <c r="P126" s="33" t="n">
        <f aca="false">IF(B126="",0,N(Students!H115))</f>
        <v>0</v>
      </c>
      <c r="Q126" s="23"/>
      <c r="R126" s="24" t="n">
        <f aca="false">N(O126)+N(P126)-N(Q126)</f>
        <v>0</v>
      </c>
      <c r="S126" s="33" t="n">
        <f aca="false">'Mar 2027'!V126</f>
        <v>0</v>
      </c>
      <c r="T126" s="33" t="n">
        <f aca="false">IF(B126="",0,N(Students!I115))</f>
        <v>0</v>
      </c>
      <c r="U126" s="23"/>
      <c r="V126" s="24" t="n">
        <f aca="false">N(S126)+N(T126)-N(U126)</f>
        <v>0</v>
      </c>
      <c r="W126" s="33" t="n">
        <f aca="false">'Mar 2027'!Z126</f>
        <v>0</v>
      </c>
      <c r="X126" s="33" t="n">
        <f aca="false">IF(B126="",0,N(Students!J115))</f>
        <v>0</v>
      </c>
      <c r="Y126" s="23"/>
      <c r="Z126" s="24" t="n">
        <f aca="false">N(W126)+N(X126)-N(Y126)</f>
        <v>0</v>
      </c>
      <c r="AA126" s="33" t="n">
        <f aca="false">N(E126)+N(I126)+N(M126)+N(Q126)+N(U126)+N(Y126)</f>
        <v>0</v>
      </c>
      <c r="AB126" s="24" t="n">
        <f aca="false">F126+J126+N126+R126+V126+Z126</f>
        <v>0</v>
      </c>
      <c r="AC126" s="81" t="str">
        <f aca="false">IF(B126="","",IF(AB126&lt;=0,"Clear",IF(AA126&gt;0,"Partial","Due")))</f>
        <v/>
      </c>
    </row>
    <row r="127" customFormat="false" ht="15" hidden="false" customHeight="false" outlineLevel="0" collapsed="false">
      <c r="A127" s="25" t="n">
        <v>112</v>
      </c>
      <c r="B127" s="82" t="str">
        <f aca="false">IF(Students!B116="","",Students!B116)</f>
        <v/>
      </c>
      <c r="C127" s="37" t="n">
        <f aca="false">'Mar 2027'!F127</f>
        <v>0</v>
      </c>
      <c r="D127" s="37" t="n">
        <f aca="false">IF(B127="",0,N(Students!E116))</f>
        <v>0</v>
      </c>
      <c r="E127" s="23"/>
      <c r="F127" s="26" t="n">
        <f aca="false">N(C127)+N(D127)-N(E127)</f>
        <v>0</v>
      </c>
      <c r="G127" s="37" t="n">
        <f aca="false">'Mar 2027'!J127</f>
        <v>0</v>
      </c>
      <c r="H127" s="37" t="n">
        <f aca="false">IF(B127="",0,N(Students!F116))</f>
        <v>0</v>
      </c>
      <c r="I127" s="23"/>
      <c r="J127" s="26" t="n">
        <f aca="false">N(G127)+N(H127)-N(I127)</f>
        <v>0</v>
      </c>
      <c r="K127" s="37" t="n">
        <f aca="false">'Mar 2027'!N127</f>
        <v>0</v>
      </c>
      <c r="L127" s="37" t="n">
        <f aca="false">IF(B127="",0,N(Students!G116))</f>
        <v>0</v>
      </c>
      <c r="M127" s="23"/>
      <c r="N127" s="26" t="n">
        <f aca="false">N(K127)+N(L127)-N(M127)</f>
        <v>0</v>
      </c>
      <c r="O127" s="37" t="n">
        <f aca="false">'Mar 2027'!R127</f>
        <v>0</v>
      </c>
      <c r="P127" s="37" t="n">
        <f aca="false">IF(B127="",0,N(Students!H116))</f>
        <v>0</v>
      </c>
      <c r="Q127" s="23"/>
      <c r="R127" s="26" t="n">
        <f aca="false">N(O127)+N(P127)-N(Q127)</f>
        <v>0</v>
      </c>
      <c r="S127" s="37" t="n">
        <f aca="false">'Mar 2027'!V127</f>
        <v>0</v>
      </c>
      <c r="T127" s="37" t="n">
        <f aca="false">IF(B127="",0,N(Students!I116))</f>
        <v>0</v>
      </c>
      <c r="U127" s="23"/>
      <c r="V127" s="26" t="n">
        <f aca="false">N(S127)+N(T127)-N(U127)</f>
        <v>0</v>
      </c>
      <c r="W127" s="37" t="n">
        <f aca="false">'Mar 2027'!Z127</f>
        <v>0</v>
      </c>
      <c r="X127" s="37" t="n">
        <f aca="false">IF(B127="",0,N(Students!J116))</f>
        <v>0</v>
      </c>
      <c r="Y127" s="23"/>
      <c r="Z127" s="26" t="n">
        <f aca="false">N(W127)+N(X127)-N(Y127)</f>
        <v>0</v>
      </c>
      <c r="AA127" s="37" t="n">
        <f aca="false">N(E127)+N(I127)+N(M127)+N(Q127)+N(U127)+N(Y127)</f>
        <v>0</v>
      </c>
      <c r="AB127" s="26" t="n">
        <f aca="false">F127+J127+N127+R127+V127+Z127</f>
        <v>0</v>
      </c>
      <c r="AC127" s="83" t="str">
        <f aca="false">IF(B127="","",IF(AB127&lt;=0,"Clear",IF(AA127&gt;0,"Partial","Due")))</f>
        <v/>
      </c>
    </row>
    <row r="128" customFormat="false" ht="15" hidden="false" customHeight="false" outlineLevel="0" collapsed="false">
      <c r="A128" s="21" t="n">
        <v>113</v>
      </c>
      <c r="B128" s="46" t="str">
        <f aca="false">IF(Students!B117="","",Students!B117)</f>
        <v/>
      </c>
      <c r="C128" s="33" t="n">
        <f aca="false">'Mar 2027'!F128</f>
        <v>0</v>
      </c>
      <c r="D128" s="33" t="n">
        <f aca="false">IF(B128="",0,N(Students!E117))</f>
        <v>0</v>
      </c>
      <c r="E128" s="23"/>
      <c r="F128" s="24" t="n">
        <f aca="false">N(C128)+N(D128)-N(E128)</f>
        <v>0</v>
      </c>
      <c r="G128" s="33" t="n">
        <f aca="false">'Mar 2027'!J128</f>
        <v>0</v>
      </c>
      <c r="H128" s="33" t="n">
        <f aca="false">IF(B128="",0,N(Students!F117))</f>
        <v>0</v>
      </c>
      <c r="I128" s="23"/>
      <c r="J128" s="24" t="n">
        <f aca="false">N(G128)+N(H128)-N(I128)</f>
        <v>0</v>
      </c>
      <c r="K128" s="33" t="n">
        <f aca="false">'Mar 2027'!N128</f>
        <v>0</v>
      </c>
      <c r="L128" s="33" t="n">
        <f aca="false">IF(B128="",0,N(Students!G117))</f>
        <v>0</v>
      </c>
      <c r="M128" s="23"/>
      <c r="N128" s="24" t="n">
        <f aca="false">N(K128)+N(L128)-N(M128)</f>
        <v>0</v>
      </c>
      <c r="O128" s="33" t="n">
        <f aca="false">'Mar 2027'!R128</f>
        <v>0</v>
      </c>
      <c r="P128" s="33" t="n">
        <f aca="false">IF(B128="",0,N(Students!H117))</f>
        <v>0</v>
      </c>
      <c r="Q128" s="23"/>
      <c r="R128" s="24" t="n">
        <f aca="false">N(O128)+N(P128)-N(Q128)</f>
        <v>0</v>
      </c>
      <c r="S128" s="33" t="n">
        <f aca="false">'Mar 2027'!V128</f>
        <v>0</v>
      </c>
      <c r="T128" s="33" t="n">
        <f aca="false">IF(B128="",0,N(Students!I117))</f>
        <v>0</v>
      </c>
      <c r="U128" s="23"/>
      <c r="V128" s="24" t="n">
        <f aca="false">N(S128)+N(T128)-N(U128)</f>
        <v>0</v>
      </c>
      <c r="W128" s="33" t="n">
        <f aca="false">'Mar 2027'!Z128</f>
        <v>0</v>
      </c>
      <c r="X128" s="33" t="n">
        <f aca="false">IF(B128="",0,N(Students!J117))</f>
        <v>0</v>
      </c>
      <c r="Y128" s="23"/>
      <c r="Z128" s="24" t="n">
        <f aca="false">N(W128)+N(X128)-N(Y128)</f>
        <v>0</v>
      </c>
      <c r="AA128" s="33" t="n">
        <f aca="false">N(E128)+N(I128)+N(M128)+N(Q128)+N(U128)+N(Y128)</f>
        <v>0</v>
      </c>
      <c r="AB128" s="24" t="n">
        <f aca="false">F128+J128+N128+R128+V128+Z128</f>
        <v>0</v>
      </c>
      <c r="AC128" s="81" t="str">
        <f aca="false">IF(B128="","",IF(AB128&lt;=0,"Clear",IF(AA128&gt;0,"Partial","Due")))</f>
        <v/>
      </c>
    </row>
    <row r="129" customFormat="false" ht="15" hidden="false" customHeight="false" outlineLevel="0" collapsed="false">
      <c r="A129" s="25" t="n">
        <v>114</v>
      </c>
      <c r="B129" s="82" t="str">
        <f aca="false">IF(Students!B118="","",Students!B118)</f>
        <v/>
      </c>
      <c r="C129" s="37" t="n">
        <f aca="false">'Mar 2027'!F129</f>
        <v>0</v>
      </c>
      <c r="D129" s="37" t="n">
        <f aca="false">IF(B129="",0,N(Students!E118))</f>
        <v>0</v>
      </c>
      <c r="E129" s="23"/>
      <c r="F129" s="26" t="n">
        <f aca="false">N(C129)+N(D129)-N(E129)</f>
        <v>0</v>
      </c>
      <c r="G129" s="37" t="n">
        <f aca="false">'Mar 2027'!J129</f>
        <v>0</v>
      </c>
      <c r="H129" s="37" t="n">
        <f aca="false">IF(B129="",0,N(Students!F118))</f>
        <v>0</v>
      </c>
      <c r="I129" s="23"/>
      <c r="J129" s="26" t="n">
        <f aca="false">N(G129)+N(H129)-N(I129)</f>
        <v>0</v>
      </c>
      <c r="K129" s="37" t="n">
        <f aca="false">'Mar 2027'!N129</f>
        <v>0</v>
      </c>
      <c r="L129" s="37" t="n">
        <f aca="false">IF(B129="",0,N(Students!G118))</f>
        <v>0</v>
      </c>
      <c r="M129" s="23"/>
      <c r="N129" s="26" t="n">
        <f aca="false">N(K129)+N(L129)-N(M129)</f>
        <v>0</v>
      </c>
      <c r="O129" s="37" t="n">
        <f aca="false">'Mar 2027'!R129</f>
        <v>0</v>
      </c>
      <c r="P129" s="37" t="n">
        <f aca="false">IF(B129="",0,N(Students!H118))</f>
        <v>0</v>
      </c>
      <c r="Q129" s="23"/>
      <c r="R129" s="26" t="n">
        <f aca="false">N(O129)+N(P129)-N(Q129)</f>
        <v>0</v>
      </c>
      <c r="S129" s="37" t="n">
        <f aca="false">'Mar 2027'!V129</f>
        <v>0</v>
      </c>
      <c r="T129" s="37" t="n">
        <f aca="false">IF(B129="",0,N(Students!I118))</f>
        <v>0</v>
      </c>
      <c r="U129" s="23"/>
      <c r="V129" s="26" t="n">
        <f aca="false">N(S129)+N(T129)-N(U129)</f>
        <v>0</v>
      </c>
      <c r="W129" s="37" t="n">
        <f aca="false">'Mar 2027'!Z129</f>
        <v>0</v>
      </c>
      <c r="X129" s="37" t="n">
        <f aca="false">IF(B129="",0,N(Students!J118))</f>
        <v>0</v>
      </c>
      <c r="Y129" s="23"/>
      <c r="Z129" s="26" t="n">
        <f aca="false">N(W129)+N(X129)-N(Y129)</f>
        <v>0</v>
      </c>
      <c r="AA129" s="37" t="n">
        <f aca="false">N(E129)+N(I129)+N(M129)+N(Q129)+N(U129)+N(Y129)</f>
        <v>0</v>
      </c>
      <c r="AB129" s="26" t="n">
        <f aca="false">F129+J129+N129+R129+V129+Z129</f>
        <v>0</v>
      </c>
      <c r="AC129" s="83" t="str">
        <f aca="false">IF(B129="","",IF(AB129&lt;=0,"Clear",IF(AA129&gt;0,"Partial","Due")))</f>
        <v/>
      </c>
    </row>
    <row r="130" customFormat="false" ht="15" hidden="false" customHeight="false" outlineLevel="0" collapsed="false">
      <c r="A130" s="21" t="n">
        <v>115</v>
      </c>
      <c r="B130" s="46" t="str">
        <f aca="false">IF(Students!B119="","",Students!B119)</f>
        <v/>
      </c>
      <c r="C130" s="33" t="n">
        <f aca="false">'Mar 2027'!F130</f>
        <v>0</v>
      </c>
      <c r="D130" s="33" t="n">
        <f aca="false">IF(B130="",0,N(Students!E119))</f>
        <v>0</v>
      </c>
      <c r="E130" s="23"/>
      <c r="F130" s="24" t="n">
        <f aca="false">N(C130)+N(D130)-N(E130)</f>
        <v>0</v>
      </c>
      <c r="G130" s="33" t="n">
        <f aca="false">'Mar 2027'!J130</f>
        <v>0</v>
      </c>
      <c r="H130" s="33" t="n">
        <f aca="false">IF(B130="",0,N(Students!F119))</f>
        <v>0</v>
      </c>
      <c r="I130" s="23"/>
      <c r="J130" s="24" t="n">
        <f aca="false">N(G130)+N(H130)-N(I130)</f>
        <v>0</v>
      </c>
      <c r="K130" s="33" t="n">
        <f aca="false">'Mar 2027'!N130</f>
        <v>0</v>
      </c>
      <c r="L130" s="33" t="n">
        <f aca="false">IF(B130="",0,N(Students!G119))</f>
        <v>0</v>
      </c>
      <c r="M130" s="23"/>
      <c r="N130" s="24" t="n">
        <f aca="false">N(K130)+N(L130)-N(M130)</f>
        <v>0</v>
      </c>
      <c r="O130" s="33" t="n">
        <f aca="false">'Mar 2027'!R130</f>
        <v>0</v>
      </c>
      <c r="P130" s="33" t="n">
        <f aca="false">IF(B130="",0,N(Students!H119))</f>
        <v>0</v>
      </c>
      <c r="Q130" s="23"/>
      <c r="R130" s="24" t="n">
        <f aca="false">N(O130)+N(P130)-N(Q130)</f>
        <v>0</v>
      </c>
      <c r="S130" s="33" t="n">
        <f aca="false">'Mar 2027'!V130</f>
        <v>0</v>
      </c>
      <c r="T130" s="33" t="n">
        <f aca="false">IF(B130="",0,N(Students!I119))</f>
        <v>0</v>
      </c>
      <c r="U130" s="23"/>
      <c r="V130" s="24" t="n">
        <f aca="false">N(S130)+N(T130)-N(U130)</f>
        <v>0</v>
      </c>
      <c r="W130" s="33" t="n">
        <f aca="false">'Mar 2027'!Z130</f>
        <v>0</v>
      </c>
      <c r="X130" s="33" t="n">
        <f aca="false">IF(B130="",0,N(Students!J119))</f>
        <v>0</v>
      </c>
      <c r="Y130" s="23"/>
      <c r="Z130" s="24" t="n">
        <f aca="false">N(W130)+N(X130)-N(Y130)</f>
        <v>0</v>
      </c>
      <c r="AA130" s="33" t="n">
        <f aca="false">N(E130)+N(I130)+N(M130)+N(Q130)+N(U130)+N(Y130)</f>
        <v>0</v>
      </c>
      <c r="AB130" s="24" t="n">
        <f aca="false">F130+J130+N130+R130+V130+Z130</f>
        <v>0</v>
      </c>
      <c r="AC130" s="81" t="str">
        <f aca="false">IF(B130="","",IF(AB130&lt;=0,"Clear",IF(AA130&gt;0,"Partial","Due")))</f>
        <v/>
      </c>
    </row>
    <row r="131" customFormat="false" ht="15" hidden="false" customHeight="false" outlineLevel="0" collapsed="false">
      <c r="A131" s="25" t="n">
        <v>116</v>
      </c>
      <c r="B131" s="82" t="str">
        <f aca="false">IF(Students!B120="","",Students!B120)</f>
        <v/>
      </c>
      <c r="C131" s="37" t="n">
        <f aca="false">'Mar 2027'!F131</f>
        <v>0</v>
      </c>
      <c r="D131" s="37" t="n">
        <f aca="false">IF(B131="",0,N(Students!E120))</f>
        <v>0</v>
      </c>
      <c r="E131" s="23"/>
      <c r="F131" s="26" t="n">
        <f aca="false">N(C131)+N(D131)-N(E131)</f>
        <v>0</v>
      </c>
      <c r="G131" s="37" t="n">
        <f aca="false">'Mar 2027'!J131</f>
        <v>0</v>
      </c>
      <c r="H131" s="37" t="n">
        <f aca="false">IF(B131="",0,N(Students!F120))</f>
        <v>0</v>
      </c>
      <c r="I131" s="23"/>
      <c r="J131" s="26" t="n">
        <f aca="false">N(G131)+N(H131)-N(I131)</f>
        <v>0</v>
      </c>
      <c r="K131" s="37" t="n">
        <f aca="false">'Mar 2027'!N131</f>
        <v>0</v>
      </c>
      <c r="L131" s="37" t="n">
        <f aca="false">IF(B131="",0,N(Students!G120))</f>
        <v>0</v>
      </c>
      <c r="M131" s="23"/>
      <c r="N131" s="26" t="n">
        <f aca="false">N(K131)+N(L131)-N(M131)</f>
        <v>0</v>
      </c>
      <c r="O131" s="37" t="n">
        <f aca="false">'Mar 2027'!R131</f>
        <v>0</v>
      </c>
      <c r="P131" s="37" t="n">
        <f aca="false">IF(B131="",0,N(Students!H120))</f>
        <v>0</v>
      </c>
      <c r="Q131" s="23"/>
      <c r="R131" s="26" t="n">
        <f aca="false">N(O131)+N(P131)-N(Q131)</f>
        <v>0</v>
      </c>
      <c r="S131" s="37" t="n">
        <f aca="false">'Mar 2027'!V131</f>
        <v>0</v>
      </c>
      <c r="T131" s="37" t="n">
        <f aca="false">IF(B131="",0,N(Students!I120))</f>
        <v>0</v>
      </c>
      <c r="U131" s="23"/>
      <c r="V131" s="26" t="n">
        <f aca="false">N(S131)+N(T131)-N(U131)</f>
        <v>0</v>
      </c>
      <c r="W131" s="37" t="n">
        <f aca="false">'Mar 2027'!Z131</f>
        <v>0</v>
      </c>
      <c r="X131" s="37" t="n">
        <f aca="false">IF(B131="",0,N(Students!J120))</f>
        <v>0</v>
      </c>
      <c r="Y131" s="23"/>
      <c r="Z131" s="26" t="n">
        <f aca="false">N(W131)+N(X131)-N(Y131)</f>
        <v>0</v>
      </c>
      <c r="AA131" s="37" t="n">
        <f aca="false">N(E131)+N(I131)+N(M131)+N(Q131)+N(U131)+N(Y131)</f>
        <v>0</v>
      </c>
      <c r="AB131" s="26" t="n">
        <f aca="false">F131+J131+N131+R131+V131+Z131</f>
        <v>0</v>
      </c>
      <c r="AC131" s="83" t="str">
        <f aca="false">IF(B131="","",IF(AB131&lt;=0,"Clear",IF(AA131&gt;0,"Partial","Due")))</f>
        <v/>
      </c>
    </row>
    <row r="132" customFormat="false" ht="15" hidden="false" customHeight="false" outlineLevel="0" collapsed="false">
      <c r="A132" s="21" t="n">
        <v>117</v>
      </c>
      <c r="B132" s="46" t="str">
        <f aca="false">IF(Students!B121="","",Students!B121)</f>
        <v/>
      </c>
      <c r="C132" s="33" t="n">
        <f aca="false">'Mar 2027'!F132</f>
        <v>0</v>
      </c>
      <c r="D132" s="33" t="n">
        <f aca="false">IF(B132="",0,N(Students!E121))</f>
        <v>0</v>
      </c>
      <c r="E132" s="23"/>
      <c r="F132" s="24" t="n">
        <f aca="false">N(C132)+N(D132)-N(E132)</f>
        <v>0</v>
      </c>
      <c r="G132" s="33" t="n">
        <f aca="false">'Mar 2027'!J132</f>
        <v>0</v>
      </c>
      <c r="H132" s="33" t="n">
        <f aca="false">IF(B132="",0,N(Students!F121))</f>
        <v>0</v>
      </c>
      <c r="I132" s="23"/>
      <c r="J132" s="24" t="n">
        <f aca="false">N(G132)+N(H132)-N(I132)</f>
        <v>0</v>
      </c>
      <c r="K132" s="33" t="n">
        <f aca="false">'Mar 2027'!N132</f>
        <v>0</v>
      </c>
      <c r="L132" s="33" t="n">
        <f aca="false">IF(B132="",0,N(Students!G121))</f>
        <v>0</v>
      </c>
      <c r="M132" s="23"/>
      <c r="N132" s="24" t="n">
        <f aca="false">N(K132)+N(L132)-N(M132)</f>
        <v>0</v>
      </c>
      <c r="O132" s="33" t="n">
        <f aca="false">'Mar 2027'!R132</f>
        <v>0</v>
      </c>
      <c r="P132" s="33" t="n">
        <f aca="false">IF(B132="",0,N(Students!H121))</f>
        <v>0</v>
      </c>
      <c r="Q132" s="23"/>
      <c r="R132" s="24" t="n">
        <f aca="false">N(O132)+N(P132)-N(Q132)</f>
        <v>0</v>
      </c>
      <c r="S132" s="33" t="n">
        <f aca="false">'Mar 2027'!V132</f>
        <v>0</v>
      </c>
      <c r="T132" s="33" t="n">
        <f aca="false">IF(B132="",0,N(Students!I121))</f>
        <v>0</v>
      </c>
      <c r="U132" s="23"/>
      <c r="V132" s="24" t="n">
        <f aca="false">N(S132)+N(T132)-N(U132)</f>
        <v>0</v>
      </c>
      <c r="W132" s="33" t="n">
        <f aca="false">'Mar 2027'!Z132</f>
        <v>0</v>
      </c>
      <c r="X132" s="33" t="n">
        <f aca="false">IF(B132="",0,N(Students!J121))</f>
        <v>0</v>
      </c>
      <c r="Y132" s="23"/>
      <c r="Z132" s="24" t="n">
        <f aca="false">N(W132)+N(X132)-N(Y132)</f>
        <v>0</v>
      </c>
      <c r="AA132" s="33" t="n">
        <f aca="false">N(E132)+N(I132)+N(M132)+N(Q132)+N(U132)+N(Y132)</f>
        <v>0</v>
      </c>
      <c r="AB132" s="24" t="n">
        <f aca="false">F132+J132+N132+R132+V132+Z132</f>
        <v>0</v>
      </c>
      <c r="AC132" s="81" t="str">
        <f aca="false">IF(B132="","",IF(AB132&lt;=0,"Clear",IF(AA132&gt;0,"Partial","Due")))</f>
        <v/>
      </c>
    </row>
    <row r="133" customFormat="false" ht="15" hidden="false" customHeight="false" outlineLevel="0" collapsed="false">
      <c r="A133" s="25" t="n">
        <v>118</v>
      </c>
      <c r="B133" s="82" t="str">
        <f aca="false">IF(Students!B122="","",Students!B122)</f>
        <v/>
      </c>
      <c r="C133" s="37" t="n">
        <f aca="false">'Mar 2027'!F133</f>
        <v>0</v>
      </c>
      <c r="D133" s="37" t="n">
        <f aca="false">IF(B133="",0,N(Students!E122))</f>
        <v>0</v>
      </c>
      <c r="E133" s="23"/>
      <c r="F133" s="26" t="n">
        <f aca="false">N(C133)+N(D133)-N(E133)</f>
        <v>0</v>
      </c>
      <c r="G133" s="37" t="n">
        <f aca="false">'Mar 2027'!J133</f>
        <v>0</v>
      </c>
      <c r="H133" s="37" t="n">
        <f aca="false">IF(B133="",0,N(Students!F122))</f>
        <v>0</v>
      </c>
      <c r="I133" s="23"/>
      <c r="J133" s="26" t="n">
        <f aca="false">N(G133)+N(H133)-N(I133)</f>
        <v>0</v>
      </c>
      <c r="K133" s="37" t="n">
        <f aca="false">'Mar 2027'!N133</f>
        <v>0</v>
      </c>
      <c r="L133" s="37" t="n">
        <f aca="false">IF(B133="",0,N(Students!G122))</f>
        <v>0</v>
      </c>
      <c r="M133" s="23"/>
      <c r="N133" s="26" t="n">
        <f aca="false">N(K133)+N(L133)-N(M133)</f>
        <v>0</v>
      </c>
      <c r="O133" s="37" t="n">
        <f aca="false">'Mar 2027'!R133</f>
        <v>0</v>
      </c>
      <c r="P133" s="37" t="n">
        <f aca="false">IF(B133="",0,N(Students!H122))</f>
        <v>0</v>
      </c>
      <c r="Q133" s="23"/>
      <c r="R133" s="26" t="n">
        <f aca="false">N(O133)+N(P133)-N(Q133)</f>
        <v>0</v>
      </c>
      <c r="S133" s="37" t="n">
        <f aca="false">'Mar 2027'!V133</f>
        <v>0</v>
      </c>
      <c r="T133" s="37" t="n">
        <f aca="false">IF(B133="",0,N(Students!I122))</f>
        <v>0</v>
      </c>
      <c r="U133" s="23"/>
      <c r="V133" s="26" t="n">
        <f aca="false">N(S133)+N(T133)-N(U133)</f>
        <v>0</v>
      </c>
      <c r="W133" s="37" t="n">
        <f aca="false">'Mar 2027'!Z133</f>
        <v>0</v>
      </c>
      <c r="X133" s="37" t="n">
        <f aca="false">IF(B133="",0,N(Students!J122))</f>
        <v>0</v>
      </c>
      <c r="Y133" s="23"/>
      <c r="Z133" s="26" t="n">
        <f aca="false">N(W133)+N(X133)-N(Y133)</f>
        <v>0</v>
      </c>
      <c r="AA133" s="37" t="n">
        <f aca="false">N(E133)+N(I133)+N(M133)+N(Q133)+N(U133)+N(Y133)</f>
        <v>0</v>
      </c>
      <c r="AB133" s="26" t="n">
        <f aca="false">F133+J133+N133+R133+V133+Z133</f>
        <v>0</v>
      </c>
      <c r="AC133" s="83" t="str">
        <f aca="false">IF(B133="","",IF(AB133&lt;=0,"Clear",IF(AA133&gt;0,"Partial","Due")))</f>
        <v/>
      </c>
    </row>
    <row r="134" customFormat="false" ht="15" hidden="false" customHeight="false" outlineLevel="0" collapsed="false">
      <c r="A134" s="21" t="n">
        <v>119</v>
      </c>
      <c r="B134" s="46" t="str">
        <f aca="false">IF(Students!B123="","",Students!B123)</f>
        <v/>
      </c>
      <c r="C134" s="33" t="n">
        <f aca="false">'Mar 2027'!F134</f>
        <v>0</v>
      </c>
      <c r="D134" s="33" t="n">
        <f aca="false">IF(B134="",0,N(Students!E123))</f>
        <v>0</v>
      </c>
      <c r="E134" s="23"/>
      <c r="F134" s="24" t="n">
        <f aca="false">N(C134)+N(D134)-N(E134)</f>
        <v>0</v>
      </c>
      <c r="G134" s="33" t="n">
        <f aca="false">'Mar 2027'!J134</f>
        <v>0</v>
      </c>
      <c r="H134" s="33" t="n">
        <f aca="false">IF(B134="",0,N(Students!F123))</f>
        <v>0</v>
      </c>
      <c r="I134" s="23"/>
      <c r="J134" s="24" t="n">
        <f aca="false">N(G134)+N(H134)-N(I134)</f>
        <v>0</v>
      </c>
      <c r="K134" s="33" t="n">
        <f aca="false">'Mar 2027'!N134</f>
        <v>0</v>
      </c>
      <c r="L134" s="33" t="n">
        <f aca="false">IF(B134="",0,N(Students!G123))</f>
        <v>0</v>
      </c>
      <c r="M134" s="23"/>
      <c r="N134" s="24" t="n">
        <f aca="false">N(K134)+N(L134)-N(M134)</f>
        <v>0</v>
      </c>
      <c r="O134" s="33" t="n">
        <f aca="false">'Mar 2027'!R134</f>
        <v>0</v>
      </c>
      <c r="P134" s="33" t="n">
        <f aca="false">IF(B134="",0,N(Students!H123))</f>
        <v>0</v>
      </c>
      <c r="Q134" s="23"/>
      <c r="R134" s="24" t="n">
        <f aca="false">N(O134)+N(P134)-N(Q134)</f>
        <v>0</v>
      </c>
      <c r="S134" s="33" t="n">
        <f aca="false">'Mar 2027'!V134</f>
        <v>0</v>
      </c>
      <c r="T134" s="33" t="n">
        <f aca="false">IF(B134="",0,N(Students!I123))</f>
        <v>0</v>
      </c>
      <c r="U134" s="23"/>
      <c r="V134" s="24" t="n">
        <f aca="false">N(S134)+N(T134)-N(U134)</f>
        <v>0</v>
      </c>
      <c r="W134" s="33" t="n">
        <f aca="false">'Mar 2027'!Z134</f>
        <v>0</v>
      </c>
      <c r="X134" s="33" t="n">
        <f aca="false">IF(B134="",0,N(Students!J123))</f>
        <v>0</v>
      </c>
      <c r="Y134" s="23"/>
      <c r="Z134" s="24" t="n">
        <f aca="false">N(W134)+N(X134)-N(Y134)</f>
        <v>0</v>
      </c>
      <c r="AA134" s="33" t="n">
        <f aca="false">N(E134)+N(I134)+N(M134)+N(Q134)+N(U134)+N(Y134)</f>
        <v>0</v>
      </c>
      <c r="AB134" s="24" t="n">
        <f aca="false">F134+J134+N134+R134+V134+Z134</f>
        <v>0</v>
      </c>
      <c r="AC134" s="81" t="str">
        <f aca="false">IF(B134="","",IF(AB134&lt;=0,"Clear",IF(AA134&gt;0,"Partial","Due")))</f>
        <v/>
      </c>
    </row>
    <row r="135" customFormat="false" ht="15" hidden="false" customHeight="false" outlineLevel="0" collapsed="false">
      <c r="A135" s="25" t="n">
        <v>120</v>
      </c>
      <c r="B135" s="82" t="str">
        <f aca="false">IF(Students!B124="","",Students!B124)</f>
        <v/>
      </c>
      <c r="C135" s="37" t="n">
        <f aca="false">'Mar 2027'!F135</f>
        <v>0</v>
      </c>
      <c r="D135" s="37" t="n">
        <f aca="false">IF(B135="",0,N(Students!E124))</f>
        <v>0</v>
      </c>
      <c r="E135" s="23"/>
      <c r="F135" s="26" t="n">
        <f aca="false">N(C135)+N(D135)-N(E135)</f>
        <v>0</v>
      </c>
      <c r="G135" s="37" t="n">
        <f aca="false">'Mar 2027'!J135</f>
        <v>0</v>
      </c>
      <c r="H135" s="37" t="n">
        <f aca="false">IF(B135="",0,N(Students!F124))</f>
        <v>0</v>
      </c>
      <c r="I135" s="23"/>
      <c r="J135" s="26" t="n">
        <f aca="false">N(G135)+N(H135)-N(I135)</f>
        <v>0</v>
      </c>
      <c r="K135" s="37" t="n">
        <f aca="false">'Mar 2027'!N135</f>
        <v>0</v>
      </c>
      <c r="L135" s="37" t="n">
        <f aca="false">IF(B135="",0,N(Students!G124))</f>
        <v>0</v>
      </c>
      <c r="M135" s="23"/>
      <c r="N135" s="26" t="n">
        <f aca="false">N(K135)+N(L135)-N(M135)</f>
        <v>0</v>
      </c>
      <c r="O135" s="37" t="n">
        <f aca="false">'Mar 2027'!R135</f>
        <v>0</v>
      </c>
      <c r="P135" s="37" t="n">
        <f aca="false">IF(B135="",0,N(Students!H124))</f>
        <v>0</v>
      </c>
      <c r="Q135" s="23"/>
      <c r="R135" s="26" t="n">
        <f aca="false">N(O135)+N(P135)-N(Q135)</f>
        <v>0</v>
      </c>
      <c r="S135" s="37" t="n">
        <f aca="false">'Mar 2027'!V135</f>
        <v>0</v>
      </c>
      <c r="T135" s="37" t="n">
        <f aca="false">IF(B135="",0,N(Students!I124))</f>
        <v>0</v>
      </c>
      <c r="U135" s="23"/>
      <c r="V135" s="26" t="n">
        <f aca="false">N(S135)+N(T135)-N(U135)</f>
        <v>0</v>
      </c>
      <c r="W135" s="37" t="n">
        <f aca="false">'Mar 2027'!Z135</f>
        <v>0</v>
      </c>
      <c r="X135" s="37" t="n">
        <f aca="false">IF(B135="",0,N(Students!J124))</f>
        <v>0</v>
      </c>
      <c r="Y135" s="23"/>
      <c r="Z135" s="26" t="n">
        <f aca="false">N(W135)+N(X135)-N(Y135)</f>
        <v>0</v>
      </c>
      <c r="AA135" s="37" t="n">
        <f aca="false">N(E135)+N(I135)+N(M135)+N(Q135)+N(U135)+N(Y135)</f>
        <v>0</v>
      </c>
      <c r="AB135" s="26" t="n">
        <f aca="false">F135+J135+N135+R135+V135+Z135</f>
        <v>0</v>
      </c>
      <c r="AC135" s="83" t="str">
        <f aca="false">IF(B135="","",IF(AB135&lt;=0,"Clear",IF(AA135&gt;0,"Partial","Due")))</f>
        <v/>
      </c>
    </row>
    <row r="136" customFormat="false" ht="15" hidden="false" customHeight="false" outlineLevel="0" collapsed="false">
      <c r="A136" s="21" t="n">
        <v>121</v>
      </c>
      <c r="B136" s="46" t="str">
        <f aca="false">IF(Students!B125="","",Students!B125)</f>
        <v/>
      </c>
      <c r="C136" s="33" t="n">
        <f aca="false">'Mar 2027'!F136</f>
        <v>0</v>
      </c>
      <c r="D136" s="33" t="n">
        <f aca="false">IF(B136="",0,N(Students!E125))</f>
        <v>0</v>
      </c>
      <c r="E136" s="23"/>
      <c r="F136" s="24" t="n">
        <f aca="false">N(C136)+N(D136)-N(E136)</f>
        <v>0</v>
      </c>
      <c r="G136" s="33" t="n">
        <f aca="false">'Mar 2027'!J136</f>
        <v>0</v>
      </c>
      <c r="H136" s="33" t="n">
        <f aca="false">IF(B136="",0,N(Students!F125))</f>
        <v>0</v>
      </c>
      <c r="I136" s="23"/>
      <c r="J136" s="24" t="n">
        <f aca="false">N(G136)+N(H136)-N(I136)</f>
        <v>0</v>
      </c>
      <c r="K136" s="33" t="n">
        <f aca="false">'Mar 2027'!N136</f>
        <v>0</v>
      </c>
      <c r="L136" s="33" t="n">
        <f aca="false">IF(B136="",0,N(Students!G125))</f>
        <v>0</v>
      </c>
      <c r="M136" s="23"/>
      <c r="N136" s="24" t="n">
        <f aca="false">N(K136)+N(L136)-N(M136)</f>
        <v>0</v>
      </c>
      <c r="O136" s="33" t="n">
        <f aca="false">'Mar 2027'!R136</f>
        <v>0</v>
      </c>
      <c r="P136" s="33" t="n">
        <f aca="false">IF(B136="",0,N(Students!H125))</f>
        <v>0</v>
      </c>
      <c r="Q136" s="23"/>
      <c r="R136" s="24" t="n">
        <f aca="false">N(O136)+N(P136)-N(Q136)</f>
        <v>0</v>
      </c>
      <c r="S136" s="33" t="n">
        <f aca="false">'Mar 2027'!V136</f>
        <v>0</v>
      </c>
      <c r="T136" s="33" t="n">
        <f aca="false">IF(B136="",0,N(Students!I125))</f>
        <v>0</v>
      </c>
      <c r="U136" s="23"/>
      <c r="V136" s="24" t="n">
        <f aca="false">N(S136)+N(T136)-N(U136)</f>
        <v>0</v>
      </c>
      <c r="W136" s="33" t="n">
        <f aca="false">'Mar 2027'!Z136</f>
        <v>0</v>
      </c>
      <c r="X136" s="33" t="n">
        <f aca="false">IF(B136="",0,N(Students!J125))</f>
        <v>0</v>
      </c>
      <c r="Y136" s="23"/>
      <c r="Z136" s="24" t="n">
        <f aca="false">N(W136)+N(X136)-N(Y136)</f>
        <v>0</v>
      </c>
      <c r="AA136" s="33" t="n">
        <f aca="false">N(E136)+N(I136)+N(M136)+N(Q136)+N(U136)+N(Y136)</f>
        <v>0</v>
      </c>
      <c r="AB136" s="24" t="n">
        <f aca="false">F136+J136+N136+R136+V136+Z136</f>
        <v>0</v>
      </c>
      <c r="AC136" s="81" t="str">
        <f aca="false">IF(B136="","",IF(AB136&lt;=0,"Clear",IF(AA136&gt;0,"Partial","Due")))</f>
        <v/>
      </c>
    </row>
    <row r="137" customFormat="false" ht="15" hidden="false" customHeight="false" outlineLevel="0" collapsed="false">
      <c r="A137" s="25" t="n">
        <v>122</v>
      </c>
      <c r="B137" s="82" t="str">
        <f aca="false">IF(Students!B126="","",Students!B126)</f>
        <v/>
      </c>
      <c r="C137" s="37" t="n">
        <f aca="false">'Mar 2027'!F137</f>
        <v>0</v>
      </c>
      <c r="D137" s="37" t="n">
        <f aca="false">IF(B137="",0,N(Students!E126))</f>
        <v>0</v>
      </c>
      <c r="E137" s="23"/>
      <c r="F137" s="26" t="n">
        <f aca="false">N(C137)+N(D137)-N(E137)</f>
        <v>0</v>
      </c>
      <c r="G137" s="37" t="n">
        <f aca="false">'Mar 2027'!J137</f>
        <v>0</v>
      </c>
      <c r="H137" s="37" t="n">
        <f aca="false">IF(B137="",0,N(Students!F126))</f>
        <v>0</v>
      </c>
      <c r="I137" s="23"/>
      <c r="J137" s="26" t="n">
        <f aca="false">N(G137)+N(H137)-N(I137)</f>
        <v>0</v>
      </c>
      <c r="K137" s="37" t="n">
        <f aca="false">'Mar 2027'!N137</f>
        <v>0</v>
      </c>
      <c r="L137" s="37" t="n">
        <f aca="false">IF(B137="",0,N(Students!G126))</f>
        <v>0</v>
      </c>
      <c r="M137" s="23"/>
      <c r="N137" s="26" t="n">
        <f aca="false">N(K137)+N(L137)-N(M137)</f>
        <v>0</v>
      </c>
      <c r="O137" s="37" t="n">
        <f aca="false">'Mar 2027'!R137</f>
        <v>0</v>
      </c>
      <c r="P137" s="37" t="n">
        <f aca="false">IF(B137="",0,N(Students!H126))</f>
        <v>0</v>
      </c>
      <c r="Q137" s="23"/>
      <c r="R137" s="26" t="n">
        <f aca="false">N(O137)+N(P137)-N(Q137)</f>
        <v>0</v>
      </c>
      <c r="S137" s="37" t="n">
        <f aca="false">'Mar 2027'!V137</f>
        <v>0</v>
      </c>
      <c r="T137" s="37" t="n">
        <f aca="false">IF(B137="",0,N(Students!I126))</f>
        <v>0</v>
      </c>
      <c r="U137" s="23"/>
      <c r="V137" s="26" t="n">
        <f aca="false">N(S137)+N(T137)-N(U137)</f>
        <v>0</v>
      </c>
      <c r="W137" s="37" t="n">
        <f aca="false">'Mar 2027'!Z137</f>
        <v>0</v>
      </c>
      <c r="X137" s="37" t="n">
        <f aca="false">IF(B137="",0,N(Students!J126))</f>
        <v>0</v>
      </c>
      <c r="Y137" s="23"/>
      <c r="Z137" s="26" t="n">
        <f aca="false">N(W137)+N(X137)-N(Y137)</f>
        <v>0</v>
      </c>
      <c r="AA137" s="37" t="n">
        <f aca="false">N(E137)+N(I137)+N(M137)+N(Q137)+N(U137)+N(Y137)</f>
        <v>0</v>
      </c>
      <c r="AB137" s="26" t="n">
        <f aca="false">F137+J137+N137+R137+V137+Z137</f>
        <v>0</v>
      </c>
      <c r="AC137" s="83" t="str">
        <f aca="false">IF(B137="","",IF(AB137&lt;=0,"Clear",IF(AA137&gt;0,"Partial","Due")))</f>
        <v/>
      </c>
    </row>
    <row r="138" customFormat="false" ht="15" hidden="false" customHeight="false" outlineLevel="0" collapsed="false">
      <c r="A138" s="21" t="n">
        <v>123</v>
      </c>
      <c r="B138" s="46" t="str">
        <f aca="false">IF(Students!B127="","",Students!B127)</f>
        <v/>
      </c>
      <c r="C138" s="33" t="n">
        <f aca="false">'Mar 2027'!F138</f>
        <v>0</v>
      </c>
      <c r="D138" s="33" t="n">
        <f aca="false">IF(B138="",0,N(Students!E127))</f>
        <v>0</v>
      </c>
      <c r="E138" s="23"/>
      <c r="F138" s="24" t="n">
        <f aca="false">N(C138)+N(D138)-N(E138)</f>
        <v>0</v>
      </c>
      <c r="G138" s="33" t="n">
        <f aca="false">'Mar 2027'!J138</f>
        <v>0</v>
      </c>
      <c r="H138" s="33" t="n">
        <f aca="false">IF(B138="",0,N(Students!F127))</f>
        <v>0</v>
      </c>
      <c r="I138" s="23"/>
      <c r="J138" s="24" t="n">
        <f aca="false">N(G138)+N(H138)-N(I138)</f>
        <v>0</v>
      </c>
      <c r="K138" s="33" t="n">
        <f aca="false">'Mar 2027'!N138</f>
        <v>0</v>
      </c>
      <c r="L138" s="33" t="n">
        <f aca="false">IF(B138="",0,N(Students!G127))</f>
        <v>0</v>
      </c>
      <c r="M138" s="23"/>
      <c r="N138" s="24" t="n">
        <f aca="false">N(K138)+N(L138)-N(M138)</f>
        <v>0</v>
      </c>
      <c r="O138" s="33" t="n">
        <f aca="false">'Mar 2027'!R138</f>
        <v>0</v>
      </c>
      <c r="P138" s="33" t="n">
        <f aca="false">IF(B138="",0,N(Students!H127))</f>
        <v>0</v>
      </c>
      <c r="Q138" s="23"/>
      <c r="R138" s="24" t="n">
        <f aca="false">N(O138)+N(P138)-N(Q138)</f>
        <v>0</v>
      </c>
      <c r="S138" s="33" t="n">
        <f aca="false">'Mar 2027'!V138</f>
        <v>0</v>
      </c>
      <c r="T138" s="33" t="n">
        <f aca="false">IF(B138="",0,N(Students!I127))</f>
        <v>0</v>
      </c>
      <c r="U138" s="23"/>
      <c r="V138" s="24" t="n">
        <f aca="false">N(S138)+N(T138)-N(U138)</f>
        <v>0</v>
      </c>
      <c r="W138" s="33" t="n">
        <f aca="false">'Mar 2027'!Z138</f>
        <v>0</v>
      </c>
      <c r="X138" s="33" t="n">
        <f aca="false">IF(B138="",0,N(Students!J127))</f>
        <v>0</v>
      </c>
      <c r="Y138" s="23"/>
      <c r="Z138" s="24" t="n">
        <f aca="false">N(W138)+N(X138)-N(Y138)</f>
        <v>0</v>
      </c>
      <c r="AA138" s="33" t="n">
        <f aca="false">N(E138)+N(I138)+N(M138)+N(Q138)+N(U138)+N(Y138)</f>
        <v>0</v>
      </c>
      <c r="AB138" s="24" t="n">
        <f aca="false">F138+J138+N138+R138+V138+Z138</f>
        <v>0</v>
      </c>
      <c r="AC138" s="81" t="str">
        <f aca="false">IF(B138="","",IF(AB138&lt;=0,"Clear",IF(AA138&gt;0,"Partial","Due")))</f>
        <v/>
      </c>
    </row>
    <row r="139" customFormat="false" ht="15" hidden="false" customHeight="false" outlineLevel="0" collapsed="false">
      <c r="A139" s="25" t="n">
        <v>124</v>
      </c>
      <c r="B139" s="82" t="str">
        <f aca="false">IF(Students!B128="","",Students!B128)</f>
        <v/>
      </c>
      <c r="C139" s="37" t="n">
        <f aca="false">'Mar 2027'!F139</f>
        <v>0</v>
      </c>
      <c r="D139" s="37" t="n">
        <f aca="false">IF(B139="",0,N(Students!E128))</f>
        <v>0</v>
      </c>
      <c r="E139" s="23"/>
      <c r="F139" s="26" t="n">
        <f aca="false">N(C139)+N(D139)-N(E139)</f>
        <v>0</v>
      </c>
      <c r="G139" s="37" t="n">
        <f aca="false">'Mar 2027'!J139</f>
        <v>0</v>
      </c>
      <c r="H139" s="37" t="n">
        <f aca="false">IF(B139="",0,N(Students!F128))</f>
        <v>0</v>
      </c>
      <c r="I139" s="23"/>
      <c r="J139" s="26" t="n">
        <f aca="false">N(G139)+N(H139)-N(I139)</f>
        <v>0</v>
      </c>
      <c r="K139" s="37" t="n">
        <f aca="false">'Mar 2027'!N139</f>
        <v>0</v>
      </c>
      <c r="L139" s="37" t="n">
        <f aca="false">IF(B139="",0,N(Students!G128))</f>
        <v>0</v>
      </c>
      <c r="M139" s="23"/>
      <c r="N139" s="26" t="n">
        <f aca="false">N(K139)+N(L139)-N(M139)</f>
        <v>0</v>
      </c>
      <c r="O139" s="37" t="n">
        <f aca="false">'Mar 2027'!R139</f>
        <v>0</v>
      </c>
      <c r="P139" s="37" t="n">
        <f aca="false">IF(B139="",0,N(Students!H128))</f>
        <v>0</v>
      </c>
      <c r="Q139" s="23"/>
      <c r="R139" s="26" t="n">
        <f aca="false">N(O139)+N(P139)-N(Q139)</f>
        <v>0</v>
      </c>
      <c r="S139" s="37" t="n">
        <f aca="false">'Mar 2027'!V139</f>
        <v>0</v>
      </c>
      <c r="T139" s="37" t="n">
        <f aca="false">IF(B139="",0,N(Students!I128))</f>
        <v>0</v>
      </c>
      <c r="U139" s="23"/>
      <c r="V139" s="26" t="n">
        <f aca="false">N(S139)+N(T139)-N(U139)</f>
        <v>0</v>
      </c>
      <c r="W139" s="37" t="n">
        <f aca="false">'Mar 2027'!Z139</f>
        <v>0</v>
      </c>
      <c r="X139" s="37" t="n">
        <f aca="false">IF(B139="",0,N(Students!J128))</f>
        <v>0</v>
      </c>
      <c r="Y139" s="23"/>
      <c r="Z139" s="26" t="n">
        <f aca="false">N(W139)+N(X139)-N(Y139)</f>
        <v>0</v>
      </c>
      <c r="AA139" s="37" t="n">
        <f aca="false">N(E139)+N(I139)+N(M139)+N(Q139)+N(U139)+N(Y139)</f>
        <v>0</v>
      </c>
      <c r="AB139" s="26" t="n">
        <f aca="false">F139+J139+N139+R139+V139+Z139</f>
        <v>0</v>
      </c>
      <c r="AC139" s="83" t="str">
        <f aca="false">IF(B139="","",IF(AB139&lt;=0,"Clear",IF(AA139&gt;0,"Partial","Due")))</f>
        <v/>
      </c>
    </row>
    <row r="140" customFormat="false" ht="15" hidden="false" customHeight="false" outlineLevel="0" collapsed="false">
      <c r="A140" s="21" t="n">
        <v>125</v>
      </c>
      <c r="B140" s="46" t="str">
        <f aca="false">IF(Students!B129="","",Students!B129)</f>
        <v/>
      </c>
      <c r="C140" s="33" t="n">
        <f aca="false">'Mar 2027'!F140</f>
        <v>0</v>
      </c>
      <c r="D140" s="33" t="n">
        <f aca="false">IF(B140="",0,N(Students!E129))</f>
        <v>0</v>
      </c>
      <c r="E140" s="23"/>
      <c r="F140" s="24" t="n">
        <f aca="false">N(C140)+N(D140)-N(E140)</f>
        <v>0</v>
      </c>
      <c r="G140" s="33" t="n">
        <f aca="false">'Mar 2027'!J140</f>
        <v>0</v>
      </c>
      <c r="H140" s="33" t="n">
        <f aca="false">IF(B140="",0,N(Students!F129))</f>
        <v>0</v>
      </c>
      <c r="I140" s="23"/>
      <c r="J140" s="24" t="n">
        <f aca="false">N(G140)+N(H140)-N(I140)</f>
        <v>0</v>
      </c>
      <c r="K140" s="33" t="n">
        <f aca="false">'Mar 2027'!N140</f>
        <v>0</v>
      </c>
      <c r="L140" s="33" t="n">
        <f aca="false">IF(B140="",0,N(Students!G129))</f>
        <v>0</v>
      </c>
      <c r="M140" s="23"/>
      <c r="N140" s="24" t="n">
        <f aca="false">N(K140)+N(L140)-N(M140)</f>
        <v>0</v>
      </c>
      <c r="O140" s="33" t="n">
        <f aca="false">'Mar 2027'!R140</f>
        <v>0</v>
      </c>
      <c r="P140" s="33" t="n">
        <f aca="false">IF(B140="",0,N(Students!H129))</f>
        <v>0</v>
      </c>
      <c r="Q140" s="23"/>
      <c r="R140" s="24" t="n">
        <f aca="false">N(O140)+N(P140)-N(Q140)</f>
        <v>0</v>
      </c>
      <c r="S140" s="33" t="n">
        <f aca="false">'Mar 2027'!V140</f>
        <v>0</v>
      </c>
      <c r="T140" s="33" t="n">
        <f aca="false">IF(B140="",0,N(Students!I129))</f>
        <v>0</v>
      </c>
      <c r="U140" s="23"/>
      <c r="V140" s="24" t="n">
        <f aca="false">N(S140)+N(T140)-N(U140)</f>
        <v>0</v>
      </c>
      <c r="W140" s="33" t="n">
        <f aca="false">'Mar 2027'!Z140</f>
        <v>0</v>
      </c>
      <c r="X140" s="33" t="n">
        <f aca="false">IF(B140="",0,N(Students!J129))</f>
        <v>0</v>
      </c>
      <c r="Y140" s="23"/>
      <c r="Z140" s="24" t="n">
        <f aca="false">N(W140)+N(X140)-N(Y140)</f>
        <v>0</v>
      </c>
      <c r="AA140" s="33" t="n">
        <f aca="false">N(E140)+N(I140)+N(M140)+N(Q140)+N(U140)+N(Y140)</f>
        <v>0</v>
      </c>
      <c r="AB140" s="24" t="n">
        <f aca="false">F140+J140+N140+R140+V140+Z140</f>
        <v>0</v>
      </c>
      <c r="AC140" s="81" t="str">
        <f aca="false">IF(B140="","",IF(AB140&lt;=0,"Clear",IF(AA140&gt;0,"Partial","Due")))</f>
        <v/>
      </c>
    </row>
    <row r="141" customFormat="false" ht="15" hidden="false" customHeight="false" outlineLevel="0" collapsed="false">
      <c r="A141" s="25" t="n">
        <v>126</v>
      </c>
      <c r="B141" s="82" t="str">
        <f aca="false">IF(Students!B130="","",Students!B130)</f>
        <v/>
      </c>
      <c r="C141" s="37" t="n">
        <f aca="false">'Mar 2027'!F141</f>
        <v>0</v>
      </c>
      <c r="D141" s="37" t="n">
        <f aca="false">IF(B141="",0,N(Students!E130))</f>
        <v>0</v>
      </c>
      <c r="E141" s="23"/>
      <c r="F141" s="26" t="n">
        <f aca="false">N(C141)+N(D141)-N(E141)</f>
        <v>0</v>
      </c>
      <c r="G141" s="37" t="n">
        <f aca="false">'Mar 2027'!J141</f>
        <v>0</v>
      </c>
      <c r="H141" s="37" t="n">
        <f aca="false">IF(B141="",0,N(Students!F130))</f>
        <v>0</v>
      </c>
      <c r="I141" s="23"/>
      <c r="J141" s="26" t="n">
        <f aca="false">N(G141)+N(H141)-N(I141)</f>
        <v>0</v>
      </c>
      <c r="K141" s="37" t="n">
        <f aca="false">'Mar 2027'!N141</f>
        <v>0</v>
      </c>
      <c r="L141" s="37" t="n">
        <f aca="false">IF(B141="",0,N(Students!G130))</f>
        <v>0</v>
      </c>
      <c r="M141" s="23"/>
      <c r="N141" s="26" t="n">
        <f aca="false">N(K141)+N(L141)-N(M141)</f>
        <v>0</v>
      </c>
      <c r="O141" s="37" t="n">
        <f aca="false">'Mar 2027'!R141</f>
        <v>0</v>
      </c>
      <c r="P141" s="37" t="n">
        <f aca="false">IF(B141="",0,N(Students!H130))</f>
        <v>0</v>
      </c>
      <c r="Q141" s="23"/>
      <c r="R141" s="26" t="n">
        <f aca="false">N(O141)+N(P141)-N(Q141)</f>
        <v>0</v>
      </c>
      <c r="S141" s="37" t="n">
        <f aca="false">'Mar 2027'!V141</f>
        <v>0</v>
      </c>
      <c r="T141" s="37" t="n">
        <f aca="false">IF(B141="",0,N(Students!I130))</f>
        <v>0</v>
      </c>
      <c r="U141" s="23"/>
      <c r="V141" s="26" t="n">
        <f aca="false">N(S141)+N(T141)-N(U141)</f>
        <v>0</v>
      </c>
      <c r="W141" s="37" t="n">
        <f aca="false">'Mar 2027'!Z141</f>
        <v>0</v>
      </c>
      <c r="X141" s="37" t="n">
        <f aca="false">IF(B141="",0,N(Students!J130))</f>
        <v>0</v>
      </c>
      <c r="Y141" s="23"/>
      <c r="Z141" s="26" t="n">
        <f aca="false">N(W141)+N(X141)-N(Y141)</f>
        <v>0</v>
      </c>
      <c r="AA141" s="37" t="n">
        <f aca="false">N(E141)+N(I141)+N(M141)+N(Q141)+N(U141)+N(Y141)</f>
        <v>0</v>
      </c>
      <c r="AB141" s="26" t="n">
        <f aca="false">F141+J141+N141+R141+V141+Z141</f>
        <v>0</v>
      </c>
      <c r="AC141" s="83" t="str">
        <f aca="false">IF(B141="","",IF(AB141&lt;=0,"Clear",IF(AA141&gt;0,"Partial","Due")))</f>
        <v/>
      </c>
    </row>
    <row r="142" customFormat="false" ht="15" hidden="false" customHeight="false" outlineLevel="0" collapsed="false">
      <c r="A142" s="21" t="n">
        <v>127</v>
      </c>
      <c r="B142" s="46" t="str">
        <f aca="false">IF(Students!B131="","",Students!B131)</f>
        <v/>
      </c>
      <c r="C142" s="33" t="n">
        <f aca="false">'Mar 2027'!F142</f>
        <v>0</v>
      </c>
      <c r="D142" s="33" t="n">
        <f aca="false">IF(B142="",0,N(Students!E131))</f>
        <v>0</v>
      </c>
      <c r="E142" s="23"/>
      <c r="F142" s="24" t="n">
        <f aca="false">N(C142)+N(D142)-N(E142)</f>
        <v>0</v>
      </c>
      <c r="G142" s="33" t="n">
        <f aca="false">'Mar 2027'!J142</f>
        <v>0</v>
      </c>
      <c r="H142" s="33" t="n">
        <f aca="false">IF(B142="",0,N(Students!F131))</f>
        <v>0</v>
      </c>
      <c r="I142" s="23"/>
      <c r="J142" s="24" t="n">
        <f aca="false">N(G142)+N(H142)-N(I142)</f>
        <v>0</v>
      </c>
      <c r="K142" s="33" t="n">
        <f aca="false">'Mar 2027'!N142</f>
        <v>0</v>
      </c>
      <c r="L142" s="33" t="n">
        <f aca="false">IF(B142="",0,N(Students!G131))</f>
        <v>0</v>
      </c>
      <c r="M142" s="23"/>
      <c r="N142" s="24" t="n">
        <f aca="false">N(K142)+N(L142)-N(M142)</f>
        <v>0</v>
      </c>
      <c r="O142" s="33" t="n">
        <f aca="false">'Mar 2027'!R142</f>
        <v>0</v>
      </c>
      <c r="P142" s="33" t="n">
        <f aca="false">IF(B142="",0,N(Students!H131))</f>
        <v>0</v>
      </c>
      <c r="Q142" s="23"/>
      <c r="R142" s="24" t="n">
        <f aca="false">N(O142)+N(P142)-N(Q142)</f>
        <v>0</v>
      </c>
      <c r="S142" s="33" t="n">
        <f aca="false">'Mar 2027'!V142</f>
        <v>0</v>
      </c>
      <c r="T142" s="33" t="n">
        <f aca="false">IF(B142="",0,N(Students!I131))</f>
        <v>0</v>
      </c>
      <c r="U142" s="23"/>
      <c r="V142" s="24" t="n">
        <f aca="false">N(S142)+N(T142)-N(U142)</f>
        <v>0</v>
      </c>
      <c r="W142" s="33" t="n">
        <f aca="false">'Mar 2027'!Z142</f>
        <v>0</v>
      </c>
      <c r="X142" s="33" t="n">
        <f aca="false">IF(B142="",0,N(Students!J131))</f>
        <v>0</v>
      </c>
      <c r="Y142" s="23"/>
      <c r="Z142" s="24" t="n">
        <f aca="false">N(W142)+N(X142)-N(Y142)</f>
        <v>0</v>
      </c>
      <c r="AA142" s="33" t="n">
        <f aca="false">N(E142)+N(I142)+N(M142)+N(Q142)+N(U142)+N(Y142)</f>
        <v>0</v>
      </c>
      <c r="AB142" s="24" t="n">
        <f aca="false">F142+J142+N142+R142+V142+Z142</f>
        <v>0</v>
      </c>
      <c r="AC142" s="81" t="str">
        <f aca="false">IF(B142="","",IF(AB142&lt;=0,"Clear",IF(AA142&gt;0,"Partial","Due")))</f>
        <v/>
      </c>
    </row>
    <row r="143" customFormat="false" ht="15" hidden="false" customHeight="false" outlineLevel="0" collapsed="false">
      <c r="A143" s="25" t="n">
        <v>128</v>
      </c>
      <c r="B143" s="82" t="str">
        <f aca="false">IF(Students!B132="","",Students!B132)</f>
        <v/>
      </c>
      <c r="C143" s="37" t="n">
        <f aca="false">'Mar 2027'!F143</f>
        <v>0</v>
      </c>
      <c r="D143" s="37" t="n">
        <f aca="false">IF(B143="",0,N(Students!E132))</f>
        <v>0</v>
      </c>
      <c r="E143" s="23"/>
      <c r="F143" s="26" t="n">
        <f aca="false">N(C143)+N(D143)-N(E143)</f>
        <v>0</v>
      </c>
      <c r="G143" s="37" t="n">
        <f aca="false">'Mar 2027'!J143</f>
        <v>0</v>
      </c>
      <c r="H143" s="37" t="n">
        <f aca="false">IF(B143="",0,N(Students!F132))</f>
        <v>0</v>
      </c>
      <c r="I143" s="23"/>
      <c r="J143" s="26" t="n">
        <f aca="false">N(G143)+N(H143)-N(I143)</f>
        <v>0</v>
      </c>
      <c r="K143" s="37" t="n">
        <f aca="false">'Mar 2027'!N143</f>
        <v>0</v>
      </c>
      <c r="L143" s="37" t="n">
        <f aca="false">IF(B143="",0,N(Students!G132))</f>
        <v>0</v>
      </c>
      <c r="M143" s="23"/>
      <c r="N143" s="26" t="n">
        <f aca="false">N(K143)+N(L143)-N(M143)</f>
        <v>0</v>
      </c>
      <c r="O143" s="37" t="n">
        <f aca="false">'Mar 2027'!R143</f>
        <v>0</v>
      </c>
      <c r="P143" s="37" t="n">
        <f aca="false">IF(B143="",0,N(Students!H132))</f>
        <v>0</v>
      </c>
      <c r="Q143" s="23"/>
      <c r="R143" s="26" t="n">
        <f aca="false">N(O143)+N(P143)-N(Q143)</f>
        <v>0</v>
      </c>
      <c r="S143" s="37" t="n">
        <f aca="false">'Mar 2027'!V143</f>
        <v>0</v>
      </c>
      <c r="T143" s="37" t="n">
        <f aca="false">IF(B143="",0,N(Students!I132))</f>
        <v>0</v>
      </c>
      <c r="U143" s="23"/>
      <c r="V143" s="26" t="n">
        <f aca="false">N(S143)+N(T143)-N(U143)</f>
        <v>0</v>
      </c>
      <c r="W143" s="37" t="n">
        <f aca="false">'Mar 2027'!Z143</f>
        <v>0</v>
      </c>
      <c r="X143" s="37" t="n">
        <f aca="false">IF(B143="",0,N(Students!J132))</f>
        <v>0</v>
      </c>
      <c r="Y143" s="23"/>
      <c r="Z143" s="26" t="n">
        <f aca="false">N(W143)+N(X143)-N(Y143)</f>
        <v>0</v>
      </c>
      <c r="AA143" s="37" t="n">
        <f aca="false">N(E143)+N(I143)+N(M143)+N(Q143)+N(U143)+N(Y143)</f>
        <v>0</v>
      </c>
      <c r="AB143" s="26" t="n">
        <f aca="false">F143+J143+N143+R143+V143+Z143</f>
        <v>0</v>
      </c>
      <c r="AC143" s="83" t="str">
        <f aca="false">IF(B143="","",IF(AB143&lt;=0,"Clear",IF(AA143&gt;0,"Partial","Due")))</f>
        <v/>
      </c>
    </row>
    <row r="144" customFormat="false" ht="15" hidden="false" customHeight="false" outlineLevel="0" collapsed="false">
      <c r="A144" s="21" t="n">
        <v>129</v>
      </c>
      <c r="B144" s="46" t="str">
        <f aca="false">IF(Students!B133="","",Students!B133)</f>
        <v/>
      </c>
      <c r="C144" s="33" t="n">
        <f aca="false">'Mar 2027'!F144</f>
        <v>0</v>
      </c>
      <c r="D144" s="33" t="n">
        <f aca="false">IF(B144="",0,N(Students!E133))</f>
        <v>0</v>
      </c>
      <c r="E144" s="23"/>
      <c r="F144" s="24" t="n">
        <f aca="false">N(C144)+N(D144)-N(E144)</f>
        <v>0</v>
      </c>
      <c r="G144" s="33" t="n">
        <f aca="false">'Mar 2027'!J144</f>
        <v>0</v>
      </c>
      <c r="H144" s="33" t="n">
        <f aca="false">IF(B144="",0,N(Students!F133))</f>
        <v>0</v>
      </c>
      <c r="I144" s="23"/>
      <c r="J144" s="24" t="n">
        <f aca="false">N(G144)+N(H144)-N(I144)</f>
        <v>0</v>
      </c>
      <c r="K144" s="33" t="n">
        <f aca="false">'Mar 2027'!N144</f>
        <v>0</v>
      </c>
      <c r="L144" s="33" t="n">
        <f aca="false">IF(B144="",0,N(Students!G133))</f>
        <v>0</v>
      </c>
      <c r="M144" s="23"/>
      <c r="N144" s="24" t="n">
        <f aca="false">N(K144)+N(L144)-N(M144)</f>
        <v>0</v>
      </c>
      <c r="O144" s="33" t="n">
        <f aca="false">'Mar 2027'!R144</f>
        <v>0</v>
      </c>
      <c r="P144" s="33" t="n">
        <f aca="false">IF(B144="",0,N(Students!H133))</f>
        <v>0</v>
      </c>
      <c r="Q144" s="23"/>
      <c r="R144" s="24" t="n">
        <f aca="false">N(O144)+N(P144)-N(Q144)</f>
        <v>0</v>
      </c>
      <c r="S144" s="33" t="n">
        <f aca="false">'Mar 2027'!V144</f>
        <v>0</v>
      </c>
      <c r="T144" s="33" t="n">
        <f aca="false">IF(B144="",0,N(Students!I133))</f>
        <v>0</v>
      </c>
      <c r="U144" s="23"/>
      <c r="V144" s="24" t="n">
        <f aca="false">N(S144)+N(T144)-N(U144)</f>
        <v>0</v>
      </c>
      <c r="W144" s="33" t="n">
        <f aca="false">'Mar 2027'!Z144</f>
        <v>0</v>
      </c>
      <c r="X144" s="33" t="n">
        <f aca="false">IF(B144="",0,N(Students!J133))</f>
        <v>0</v>
      </c>
      <c r="Y144" s="23"/>
      <c r="Z144" s="24" t="n">
        <f aca="false">N(W144)+N(X144)-N(Y144)</f>
        <v>0</v>
      </c>
      <c r="AA144" s="33" t="n">
        <f aca="false">N(E144)+N(I144)+N(M144)+N(Q144)+N(U144)+N(Y144)</f>
        <v>0</v>
      </c>
      <c r="AB144" s="24" t="n">
        <f aca="false">F144+J144+N144+R144+V144+Z144</f>
        <v>0</v>
      </c>
      <c r="AC144" s="81" t="str">
        <f aca="false">IF(B144="","",IF(AB144&lt;=0,"Clear",IF(AA144&gt;0,"Partial","Due")))</f>
        <v/>
      </c>
    </row>
    <row r="145" customFormat="false" ht="15" hidden="false" customHeight="false" outlineLevel="0" collapsed="false">
      <c r="A145" s="25" t="n">
        <v>130</v>
      </c>
      <c r="B145" s="82" t="str">
        <f aca="false">IF(Students!B134="","",Students!B134)</f>
        <v/>
      </c>
      <c r="C145" s="37" t="n">
        <f aca="false">'Mar 2027'!F145</f>
        <v>0</v>
      </c>
      <c r="D145" s="37" t="n">
        <f aca="false">IF(B145="",0,N(Students!E134))</f>
        <v>0</v>
      </c>
      <c r="E145" s="23"/>
      <c r="F145" s="26" t="n">
        <f aca="false">N(C145)+N(D145)-N(E145)</f>
        <v>0</v>
      </c>
      <c r="G145" s="37" t="n">
        <f aca="false">'Mar 2027'!J145</f>
        <v>0</v>
      </c>
      <c r="H145" s="37" t="n">
        <f aca="false">IF(B145="",0,N(Students!F134))</f>
        <v>0</v>
      </c>
      <c r="I145" s="23"/>
      <c r="J145" s="26" t="n">
        <f aca="false">N(G145)+N(H145)-N(I145)</f>
        <v>0</v>
      </c>
      <c r="K145" s="37" t="n">
        <f aca="false">'Mar 2027'!N145</f>
        <v>0</v>
      </c>
      <c r="L145" s="37" t="n">
        <f aca="false">IF(B145="",0,N(Students!G134))</f>
        <v>0</v>
      </c>
      <c r="M145" s="23"/>
      <c r="N145" s="26" t="n">
        <f aca="false">N(K145)+N(L145)-N(M145)</f>
        <v>0</v>
      </c>
      <c r="O145" s="37" t="n">
        <f aca="false">'Mar 2027'!R145</f>
        <v>0</v>
      </c>
      <c r="P145" s="37" t="n">
        <f aca="false">IF(B145="",0,N(Students!H134))</f>
        <v>0</v>
      </c>
      <c r="Q145" s="23"/>
      <c r="R145" s="26" t="n">
        <f aca="false">N(O145)+N(P145)-N(Q145)</f>
        <v>0</v>
      </c>
      <c r="S145" s="37" t="n">
        <f aca="false">'Mar 2027'!V145</f>
        <v>0</v>
      </c>
      <c r="T145" s="37" t="n">
        <f aca="false">IF(B145="",0,N(Students!I134))</f>
        <v>0</v>
      </c>
      <c r="U145" s="23"/>
      <c r="V145" s="26" t="n">
        <f aca="false">N(S145)+N(T145)-N(U145)</f>
        <v>0</v>
      </c>
      <c r="W145" s="37" t="n">
        <f aca="false">'Mar 2027'!Z145</f>
        <v>0</v>
      </c>
      <c r="X145" s="37" t="n">
        <f aca="false">IF(B145="",0,N(Students!J134))</f>
        <v>0</v>
      </c>
      <c r="Y145" s="23"/>
      <c r="Z145" s="26" t="n">
        <f aca="false">N(W145)+N(X145)-N(Y145)</f>
        <v>0</v>
      </c>
      <c r="AA145" s="37" t="n">
        <f aca="false">N(E145)+N(I145)+N(M145)+N(Q145)+N(U145)+N(Y145)</f>
        <v>0</v>
      </c>
      <c r="AB145" s="26" t="n">
        <f aca="false">F145+J145+N145+R145+V145+Z145</f>
        <v>0</v>
      </c>
      <c r="AC145" s="83" t="str">
        <f aca="false">IF(B145="","",IF(AB145&lt;=0,"Clear",IF(AA145&gt;0,"Partial","Due")))</f>
        <v/>
      </c>
    </row>
    <row r="146" customFormat="false" ht="15" hidden="false" customHeight="false" outlineLevel="0" collapsed="false">
      <c r="A146" s="21" t="n">
        <v>131</v>
      </c>
      <c r="B146" s="46" t="str">
        <f aca="false">IF(Students!B135="","",Students!B135)</f>
        <v/>
      </c>
      <c r="C146" s="33" t="n">
        <f aca="false">'Mar 2027'!F146</f>
        <v>0</v>
      </c>
      <c r="D146" s="33" t="n">
        <f aca="false">IF(B146="",0,N(Students!E135))</f>
        <v>0</v>
      </c>
      <c r="E146" s="23"/>
      <c r="F146" s="24" t="n">
        <f aca="false">N(C146)+N(D146)-N(E146)</f>
        <v>0</v>
      </c>
      <c r="G146" s="33" t="n">
        <f aca="false">'Mar 2027'!J146</f>
        <v>0</v>
      </c>
      <c r="H146" s="33" t="n">
        <f aca="false">IF(B146="",0,N(Students!F135))</f>
        <v>0</v>
      </c>
      <c r="I146" s="23"/>
      <c r="J146" s="24" t="n">
        <f aca="false">N(G146)+N(H146)-N(I146)</f>
        <v>0</v>
      </c>
      <c r="K146" s="33" t="n">
        <f aca="false">'Mar 2027'!N146</f>
        <v>0</v>
      </c>
      <c r="L146" s="33" t="n">
        <f aca="false">IF(B146="",0,N(Students!G135))</f>
        <v>0</v>
      </c>
      <c r="M146" s="23"/>
      <c r="N146" s="24" t="n">
        <f aca="false">N(K146)+N(L146)-N(M146)</f>
        <v>0</v>
      </c>
      <c r="O146" s="33" t="n">
        <f aca="false">'Mar 2027'!R146</f>
        <v>0</v>
      </c>
      <c r="P146" s="33" t="n">
        <f aca="false">IF(B146="",0,N(Students!H135))</f>
        <v>0</v>
      </c>
      <c r="Q146" s="23"/>
      <c r="R146" s="24" t="n">
        <f aca="false">N(O146)+N(P146)-N(Q146)</f>
        <v>0</v>
      </c>
      <c r="S146" s="33" t="n">
        <f aca="false">'Mar 2027'!V146</f>
        <v>0</v>
      </c>
      <c r="T146" s="33" t="n">
        <f aca="false">IF(B146="",0,N(Students!I135))</f>
        <v>0</v>
      </c>
      <c r="U146" s="23"/>
      <c r="V146" s="24" t="n">
        <f aca="false">N(S146)+N(T146)-N(U146)</f>
        <v>0</v>
      </c>
      <c r="W146" s="33" t="n">
        <f aca="false">'Mar 2027'!Z146</f>
        <v>0</v>
      </c>
      <c r="X146" s="33" t="n">
        <f aca="false">IF(B146="",0,N(Students!J135))</f>
        <v>0</v>
      </c>
      <c r="Y146" s="23"/>
      <c r="Z146" s="24" t="n">
        <f aca="false">N(W146)+N(X146)-N(Y146)</f>
        <v>0</v>
      </c>
      <c r="AA146" s="33" t="n">
        <f aca="false">N(E146)+N(I146)+N(M146)+N(Q146)+N(U146)+N(Y146)</f>
        <v>0</v>
      </c>
      <c r="AB146" s="24" t="n">
        <f aca="false">F146+J146+N146+R146+V146+Z146</f>
        <v>0</v>
      </c>
      <c r="AC146" s="81" t="str">
        <f aca="false">IF(B146="","",IF(AB146&lt;=0,"Clear",IF(AA146&gt;0,"Partial","Due")))</f>
        <v/>
      </c>
    </row>
    <row r="147" customFormat="false" ht="15" hidden="false" customHeight="false" outlineLevel="0" collapsed="false">
      <c r="A147" s="25" t="n">
        <v>132</v>
      </c>
      <c r="B147" s="82" t="str">
        <f aca="false">IF(Students!B136="","",Students!B136)</f>
        <v/>
      </c>
      <c r="C147" s="37" t="n">
        <f aca="false">'Mar 2027'!F147</f>
        <v>0</v>
      </c>
      <c r="D147" s="37" t="n">
        <f aca="false">IF(B147="",0,N(Students!E136))</f>
        <v>0</v>
      </c>
      <c r="E147" s="23"/>
      <c r="F147" s="26" t="n">
        <f aca="false">N(C147)+N(D147)-N(E147)</f>
        <v>0</v>
      </c>
      <c r="G147" s="37" t="n">
        <f aca="false">'Mar 2027'!J147</f>
        <v>0</v>
      </c>
      <c r="H147" s="37" t="n">
        <f aca="false">IF(B147="",0,N(Students!F136))</f>
        <v>0</v>
      </c>
      <c r="I147" s="23"/>
      <c r="J147" s="26" t="n">
        <f aca="false">N(G147)+N(H147)-N(I147)</f>
        <v>0</v>
      </c>
      <c r="K147" s="37" t="n">
        <f aca="false">'Mar 2027'!N147</f>
        <v>0</v>
      </c>
      <c r="L147" s="37" t="n">
        <f aca="false">IF(B147="",0,N(Students!G136))</f>
        <v>0</v>
      </c>
      <c r="M147" s="23"/>
      <c r="N147" s="26" t="n">
        <f aca="false">N(K147)+N(L147)-N(M147)</f>
        <v>0</v>
      </c>
      <c r="O147" s="37" t="n">
        <f aca="false">'Mar 2027'!R147</f>
        <v>0</v>
      </c>
      <c r="P147" s="37" t="n">
        <f aca="false">IF(B147="",0,N(Students!H136))</f>
        <v>0</v>
      </c>
      <c r="Q147" s="23"/>
      <c r="R147" s="26" t="n">
        <f aca="false">N(O147)+N(P147)-N(Q147)</f>
        <v>0</v>
      </c>
      <c r="S147" s="37" t="n">
        <f aca="false">'Mar 2027'!V147</f>
        <v>0</v>
      </c>
      <c r="T147" s="37" t="n">
        <f aca="false">IF(B147="",0,N(Students!I136))</f>
        <v>0</v>
      </c>
      <c r="U147" s="23"/>
      <c r="V147" s="26" t="n">
        <f aca="false">N(S147)+N(T147)-N(U147)</f>
        <v>0</v>
      </c>
      <c r="W147" s="37" t="n">
        <f aca="false">'Mar 2027'!Z147</f>
        <v>0</v>
      </c>
      <c r="X147" s="37" t="n">
        <f aca="false">IF(B147="",0,N(Students!J136))</f>
        <v>0</v>
      </c>
      <c r="Y147" s="23"/>
      <c r="Z147" s="26" t="n">
        <f aca="false">N(W147)+N(X147)-N(Y147)</f>
        <v>0</v>
      </c>
      <c r="AA147" s="37" t="n">
        <f aca="false">N(E147)+N(I147)+N(M147)+N(Q147)+N(U147)+N(Y147)</f>
        <v>0</v>
      </c>
      <c r="AB147" s="26" t="n">
        <f aca="false">F147+J147+N147+R147+V147+Z147</f>
        <v>0</v>
      </c>
      <c r="AC147" s="83" t="str">
        <f aca="false">IF(B147="","",IF(AB147&lt;=0,"Clear",IF(AA147&gt;0,"Partial","Due")))</f>
        <v/>
      </c>
    </row>
    <row r="148" customFormat="false" ht="15" hidden="false" customHeight="false" outlineLevel="0" collapsed="false">
      <c r="A148" s="21" t="n">
        <v>133</v>
      </c>
      <c r="B148" s="46" t="str">
        <f aca="false">IF(Students!B137="","",Students!B137)</f>
        <v/>
      </c>
      <c r="C148" s="33" t="n">
        <f aca="false">'Mar 2027'!F148</f>
        <v>0</v>
      </c>
      <c r="D148" s="33" t="n">
        <f aca="false">IF(B148="",0,N(Students!E137))</f>
        <v>0</v>
      </c>
      <c r="E148" s="23"/>
      <c r="F148" s="24" t="n">
        <f aca="false">N(C148)+N(D148)-N(E148)</f>
        <v>0</v>
      </c>
      <c r="G148" s="33" t="n">
        <f aca="false">'Mar 2027'!J148</f>
        <v>0</v>
      </c>
      <c r="H148" s="33" t="n">
        <f aca="false">IF(B148="",0,N(Students!F137))</f>
        <v>0</v>
      </c>
      <c r="I148" s="23"/>
      <c r="J148" s="24" t="n">
        <f aca="false">N(G148)+N(H148)-N(I148)</f>
        <v>0</v>
      </c>
      <c r="K148" s="33" t="n">
        <f aca="false">'Mar 2027'!N148</f>
        <v>0</v>
      </c>
      <c r="L148" s="33" t="n">
        <f aca="false">IF(B148="",0,N(Students!G137))</f>
        <v>0</v>
      </c>
      <c r="M148" s="23"/>
      <c r="N148" s="24" t="n">
        <f aca="false">N(K148)+N(L148)-N(M148)</f>
        <v>0</v>
      </c>
      <c r="O148" s="33" t="n">
        <f aca="false">'Mar 2027'!R148</f>
        <v>0</v>
      </c>
      <c r="P148" s="33" t="n">
        <f aca="false">IF(B148="",0,N(Students!H137))</f>
        <v>0</v>
      </c>
      <c r="Q148" s="23"/>
      <c r="R148" s="24" t="n">
        <f aca="false">N(O148)+N(P148)-N(Q148)</f>
        <v>0</v>
      </c>
      <c r="S148" s="33" t="n">
        <f aca="false">'Mar 2027'!V148</f>
        <v>0</v>
      </c>
      <c r="T148" s="33" t="n">
        <f aca="false">IF(B148="",0,N(Students!I137))</f>
        <v>0</v>
      </c>
      <c r="U148" s="23"/>
      <c r="V148" s="24" t="n">
        <f aca="false">N(S148)+N(T148)-N(U148)</f>
        <v>0</v>
      </c>
      <c r="W148" s="33" t="n">
        <f aca="false">'Mar 2027'!Z148</f>
        <v>0</v>
      </c>
      <c r="X148" s="33" t="n">
        <f aca="false">IF(B148="",0,N(Students!J137))</f>
        <v>0</v>
      </c>
      <c r="Y148" s="23"/>
      <c r="Z148" s="24" t="n">
        <f aca="false">N(W148)+N(X148)-N(Y148)</f>
        <v>0</v>
      </c>
      <c r="AA148" s="33" t="n">
        <f aca="false">N(E148)+N(I148)+N(M148)+N(Q148)+N(U148)+N(Y148)</f>
        <v>0</v>
      </c>
      <c r="AB148" s="24" t="n">
        <f aca="false">F148+J148+N148+R148+V148+Z148</f>
        <v>0</v>
      </c>
      <c r="AC148" s="81" t="str">
        <f aca="false">IF(B148="","",IF(AB148&lt;=0,"Clear",IF(AA148&gt;0,"Partial","Due")))</f>
        <v/>
      </c>
    </row>
    <row r="149" customFormat="false" ht="15" hidden="false" customHeight="false" outlineLevel="0" collapsed="false">
      <c r="A149" s="25" t="n">
        <v>134</v>
      </c>
      <c r="B149" s="82" t="str">
        <f aca="false">IF(Students!B138="","",Students!B138)</f>
        <v/>
      </c>
      <c r="C149" s="37" t="n">
        <f aca="false">'Mar 2027'!F149</f>
        <v>0</v>
      </c>
      <c r="D149" s="37" t="n">
        <f aca="false">IF(B149="",0,N(Students!E138))</f>
        <v>0</v>
      </c>
      <c r="E149" s="23"/>
      <c r="F149" s="26" t="n">
        <f aca="false">N(C149)+N(D149)-N(E149)</f>
        <v>0</v>
      </c>
      <c r="G149" s="37" t="n">
        <f aca="false">'Mar 2027'!J149</f>
        <v>0</v>
      </c>
      <c r="H149" s="37" t="n">
        <f aca="false">IF(B149="",0,N(Students!F138))</f>
        <v>0</v>
      </c>
      <c r="I149" s="23"/>
      <c r="J149" s="26" t="n">
        <f aca="false">N(G149)+N(H149)-N(I149)</f>
        <v>0</v>
      </c>
      <c r="K149" s="37" t="n">
        <f aca="false">'Mar 2027'!N149</f>
        <v>0</v>
      </c>
      <c r="L149" s="37" t="n">
        <f aca="false">IF(B149="",0,N(Students!G138))</f>
        <v>0</v>
      </c>
      <c r="M149" s="23"/>
      <c r="N149" s="26" t="n">
        <f aca="false">N(K149)+N(L149)-N(M149)</f>
        <v>0</v>
      </c>
      <c r="O149" s="37" t="n">
        <f aca="false">'Mar 2027'!R149</f>
        <v>0</v>
      </c>
      <c r="P149" s="37" t="n">
        <f aca="false">IF(B149="",0,N(Students!H138))</f>
        <v>0</v>
      </c>
      <c r="Q149" s="23"/>
      <c r="R149" s="26" t="n">
        <f aca="false">N(O149)+N(P149)-N(Q149)</f>
        <v>0</v>
      </c>
      <c r="S149" s="37" t="n">
        <f aca="false">'Mar 2027'!V149</f>
        <v>0</v>
      </c>
      <c r="T149" s="37" t="n">
        <f aca="false">IF(B149="",0,N(Students!I138))</f>
        <v>0</v>
      </c>
      <c r="U149" s="23"/>
      <c r="V149" s="26" t="n">
        <f aca="false">N(S149)+N(T149)-N(U149)</f>
        <v>0</v>
      </c>
      <c r="W149" s="37" t="n">
        <f aca="false">'Mar 2027'!Z149</f>
        <v>0</v>
      </c>
      <c r="X149" s="37" t="n">
        <f aca="false">IF(B149="",0,N(Students!J138))</f>
        <v>0</v>
      </c>
      <c r="Y149" s="23"/>
      <c r="Z149" s="26" t="n">
        <f aca="false">N(W149)+N(X149)-N(Y149)</f>
        <v>0</v>
      </c>
      <c r="AA149" s="37" t="n">
        <f aca="false">N(E149)+N(I149)+N(M149)+N(Q149)+N(U149)+N(Y149)</f>
        <v>0</v>
      </c>
      <c r="AB149" s="26" t="n">
        <f aca="false">F149+J149+N149+R149+V149+Z149</f>
        <v>0</v>
      </c>
      <c r="AC149" s="83" t="str">
        <f aca="false">IF(B149="","",IF(AB149&lt;=0,"Clear",IF(AA149&gt;0,"Partial","Due")))</f>
        <v/>
      </c>
    </row>
    <row r="150" customFormat="false" ht="15" hidden="false" customHeight="false" outlineLevel="0" collapsed="false">
      <c r="A150" s="21" t="n">
        <v>135</v>
      </c>
      <c r="B150" s="46" t="str">
        <f aca="false">IF(Students!B139="","",Students!B139)</f>
        <v/>
      </c>
      <c r="C150" s="33" t="n">
        <f aca="false">'Mar 2027'!F150</f>
        <v>0</v>
      </c>
      <c r="D150" s="33" t="n">
        <f aca="false">IF(B150="",0,N(Students!E139))</f>
        <v>0</v>
      </c>
      <c r="E150" s="23"/>
      <c r="F150" s="24" t="n">
        <f aca="false">N(C150)+N(D150)-N(E150)</f>
        <v>0</v>
      </c>
      <c r="G150" s="33" t="n">
        <f aca="false">'Mar 2027'!J150</f>
        <v>0</v>
      </c>
      <c r="H150" s="33" t="n">
        <f aca="false">IF(B150="",0,N(Students!F139))</f>
        <v>0</v>
      </c>
      <c r="I150" s="23"/>
      <c r="J150" s="24" t="n">
        <f aca="false">N(G150)+N(H150)-N(I150)</f>
        <v>0</v>
      </c>
      <c r="K150" s="33" t="n">
        <f aca="false">'Mar 2027'!N150</f>
        <v>0</v>
      </c>
      <c r="L150" s="33" t="n">
        <f aca="false">IF(B150="",0,N(Students!G139))</f>
        <v>0</v>
      </c>
      <c r="M150" s="23"/>
      <c r="N150" s="24" t="n">
        <f aca="false">N(K150)+N(L150)-N(M150)</f>
        <v>0</v>
      </c>
      <c r="O150" s="33" t="n">
        <f aca="false">'Mar 2027'!R150</f>
        <v>0</v>
      </c>
      <c r="P150" s="33" t="n">
        <f aca="false">IF(B150="",0,N(Students!H139))</f>
        <v>0</v>
      </c>
      <c r="Q150" s="23"/>
      <c r="R150" s="24" t="n">
        <f aca="false">N(O150)+N(P150)-N(Q150)</f>
        <v>0</v>
      </c>
      <c r="S150" s="33" t="n">
        <f aca="false">'Mar 2027'!V150</f>
        <v>0</v>
      </c>
      <c r="T150" s="33" t="n">
        <f aca="false">IF(B150="",0,N(Students!I139))</f>
        <v>0</v>
      </c>
      <c r="U150" s="23"/>
      <c r="V150" s="24" t="n">
        <f aca="false">N(S150)+N(T150)-N(U150)</f>
        <v>0</v>
      </c>
      <c r="W150" s="33" t="n">
        <f aca="false">'Mar 2027'!Z150</f>
        <v>0</v>
      </c>
      <c r="X150" s="33" t="n">
        <f aca="false">IF(B150="",0,N(Students!J139))</f>
        <v>0</v>
      </c>
      <c r="Y150" s="23"/>
      <c r="Z150" s="24" t="n">
        <f aca="false">N(W150)+N(X150)-N(Y150)</f>
        <v>0</v>
      </c>
      <c r="AA150" s="33" t="n">
        <f aca="false">N(E150)+N(I150)+N(M150)+N(Q150)+N(U150)+N(Y150)</f>
        <v>0</v>
      </c>
      <c r="AB150" s="24" t="n">
        <f aca="false">F150+J150+N150+R150+V150+Z150</f>
        <v>0</v>
      </c>
      <c r="AC150" s="81" t="str">
        <f aca="false">IF(B150="","",IF(AB150&lt;=0,"Clear",IF(AA150&gt;0,"Partial","Due")))</f>
        <v/>
      </c>
    </row>
    <row r="151" customFormat="false" ht="15" hidden="false" customHeight="false" outlineLevel="0" collapsed="false">
      <c r="A151" s="25" t="n">
        <v>136</v>
      </c>
      <c r="B151" s="82" t="str">
        <f aca="false">IF(Students!B140="","",Students!B140)</f>
        <v/>
      </c>
      <c r="C151" s="37" t="n">
        <f aca="false">'Mar 2027'!F151</f>
        <v>0</v>
      </c>
      <c r="D151" s="37" t="n">
        <f aca="false">IF(B151="",0,N(Students!E140))</f>
        <v>0</v>
      </c>
      <c r="E151" s="23"/>
      <c r="F151" s="26" t="n">
        <f aca="false">N(C151)+N(D151)-N(E151)</f>
        <v>0</v>
      </c>
      <c r="G151" s="37" t="n">
        <f aca="false">'Mar 2027'!J151</f>
        <v>0</v>
      </c>
      <c r="H151" s="37" t="n">
        <f aca="false">IF(B151="",0,N(Students!F140))</f>
        <v>0</v>
      </c>
      <c r="I151" s="23"/>
      <c r="J151" s="26" t="n">
        <f aca="false">N(G151)+N(H151)-N(I151)</f>
        <v>0</v>
      </c>
      <c r="K151" s="37" t="n">
        <f aca="false">'Mar 2027'!N151</f>
        <v>0</v>
      </c>
      <c r="L151" s="37" t="n">
        <f aca="false">IF(B151="",0,N(Students!G140))</f>
        <v>0</v>
      </c>
      <c r="M151" s="23"/>
      <c r="N151" s="26" t="n">
        <f aca="false">N(K151)+N(L151)-N(M151)</f>
        <v>0</v>
      </c>
      <c r="O151" s="37" t="n">
        <f aca="false">'Mar 2027'!R151</f>
        <v>0</v>
      </c>
      <c r="P151" s="37" t="n">
        <f aca="false">IF(B151="",0,N(Students!H140))</f>
        <v>0</v>
      </c>
      <c r="Q151" s="23"/>
      <c r="R151" s="26" t="n">
        <f aca="false">N(O151)+N(P151)-N(Q151)</f>
        <v>0</v>
      </c>
      <c r="S151" s="37" t="n">
        <f aca="false">'Mar 2027'!V151</f>
        <v>0</v>
      </c>
      <c r="T151" s="37" t="n">
        <f aca="false">IF(B151="",0,N(Students!I140))</f>
        <v>0</v>
      </c>
      <c r="U151" s="23"/>
      <c r="V151" s="26" t="n">
        <f aca="false">N(S151)+N(T151)-N(U151)</f>
        <v>0</v>
      </c>
      <c r="W151" s="37" t="n">
        <f aca="false">'Mar 2027'!Z151</f>
        <v>0</v>
      </c>
      <c r="X151" s="37" t="n">
        <f aca="false">IF(B151="",0,N(Students!J140))</f>
        <v>0</v>
      </c>
      <c r="Y151" s="23"/>
      <c r="Z151" s="26" t="n">
        <f aca="false">N(W151)+N(X151)-N(Y151)</f>
        <v>0</v>
      </c>
      <c r="AA151" s="37" t="n">
        <f aca="false">N(E151)+N(I151)+N(M151)+N(Q151)+N(U151)+N(Y151)</f>
        <v>0</v>
      </c>
      <c r="AB151" s="26" t="n">
        <f aca="false">F151+J151+N151+R151+V151+Z151</f>
        <v>0</v>
      </c>
      <c r="AC151" s="83" t="str">
        <f aca="false">IF(B151="","",IF(AB151&lt;=0,"Clear",IF(AA151&gt;0,"Partial","Due")))</f>
        <v/>
      </c>
    </row>
    <row r="152" customFormat="false" ht="15" hidden="false" customHeight="false" outlineLevel="0" collapsed="false">
      <c r="A152" s="21" t="n">
        <v>137</v>
      </c>
      <c r="B152" s="46" t="str">
        <f aca="false">IF(Students!B141="","",Students!B141)</f>
        <v/>
      </c>
      <c r="C152" s="33" t="n">
        <f aca="false">'Mar 2027'!F152</f>
        <v>0</v>
      </c>
      <c r="D152" s="33" t="n">
        <f aca="false">IF(B152="",0,N(Students!E141))</f>
        <v>0</v>
      </c>
      <c r="E152" s="23"/>
      <c r="F152" s="24" t="n">
        <f aca="false">N(C152)+N(D152)-N(E152)</f>
        <v>0</v>
      </c>
      <c r="G152" s="33" t="n">
        <f aca="false">'Mar 2027'!J152</f>
        <v>0</v>
      </c>
      <c r="H152" s="33" t="n">
        <f aca="false">IF(B152="",0,N(Students!F141))</f>
        <v>0</v>
      </c>
      <c r="I152" s="23"/>
      <c r="J152" s="24" t="n">
        <f aca="false">N(G152)+N(H152)-N(I152)</f>
        <v>0</v>
      </c>
      <c r="K152" s="33" t="n">
        <f aca="false">'Mar 2027'!N152</f>
        <v>0</v>
      </c>
      <c r="L152" s="33" t="n">
        <f aca="false">IF(B152="",0,N(Students!G141))</f>
        <v>0</v>
      </c>
      <c r="M152" s="23"/>
      <c r="N152" s="24" t="n">
        <f aca="false">N(K152)+N(L152)-N(M152)</f>
        <v>0</v>
      </c>
      <c r="O152" s="33" t="n">
        <f aca="false">'Mar 2027'!R152</f>
        <v>0</v>
      </c>
      <c r="P152" s="33" t="n">
        <f aca="false">IF(B152="",0,N(Students!H141))</f>
        <v>0</v>
      </c>
      <c r="Q152" s="23"/>
      <c r="R152" s="24" t="n">
        <f aca="false">N(O152)+N(P152)-N(Q152)</f>
        <v>0</v>
      </c>
      <c r="S152" s="33" t="n">
        <f aca="false">'Mar 2027'!V152</f>
        <v>0</v>
      </c>
      <c r="T152" s="33" t="n">
        <f aca="false">IF(B152="",0,N(Students!I141))</f>
        <v>0</v>
      </c>
      <c r="U152" s="23"/>
      <c r="V152" s="24" t="n">
        <f aca="false">N(S152)+N(T152)-N(U152)</f>
        <v>0</v>
      </c>
      <c r="W152" s="33" t="n">
        <f aca="false">'Mar 2027'!Z152</f>
        <v>0</v>
      </c>
      <c r="X152" s="33" t="n">
        <f aca="false">IF(B152="",0,N(Students!J141))</f>
        <v>0</v>
      </c>
      <c r="Y152" s="23"/>
      <c r="Z152" s="24" t="n">
        <f aca="false">N(W152)+N(X152)-N(Y152)</f>
        <v>0</v>
      </c>
      <c r="AA152" s="33" t="n">
        <f aca="false">N(E152)+N(I152)+N(M152)+N(Q152)+N(U152)+N(Y152)</f>
        <v>0</v>
      </c>
      <c r="AB152" s="24" t="n">
        <f aca="false">F152+J152+N152+R152+V152+Z152</f>
        <v>0</v>
      </c>
      <c r="AC152" s="81" t="str">
        <f aca="false">IF(B152="","",IF(AB152&lt;=0,"Clear",IF(AA152&gt;0,"Partial","Due")))</f>
        <v/>
      </c>
    </row>
    <row r="153" customFormat="false" ht="15" hidden="false" customHeight="false" outlineLevel="0" collapsed="false">
      <c r="A153" s="25" t="n">
        <v>138</v>
      </c>
      <c r="B153" s="82" t="str">
        <f aca="false">IF(Students!B142="","",Students!B142)</f>
        <v/>
      </c>
      <c r="C153" s="37" t="n">
        <f aca="false">'Mar 2027'!F153</f>
        <v>0</v>
      </c>
      <c r="D153" s="37" t="n">
        <f aca="false">IF(B153="",0,N(Students!E142))</f>
        <v>0</v>
      </c>
      <c r="E153" s="23"/>
      <c r="F153" s="26" t="n">
        <f aca="false">N(C153)+N(D153)-N(E153)</f>
        <v>0</v>
      </c>
      <c r="G153" s="37" t="n">
        <f aca="false">'Mar 2027'!J153</f>
        <v>0</v>
      </c>
      <c r="H153" s="37" t="n">
        <f aca="false">IF(B153="",0,N(Students!F142))</f>
        <v>0</v>
      </c>
      <c r="I153" s="23"/>
      <c r="J153" s="26" t="n">
        <f aca="false">N(G153)+N(H153)-N(I153)</f>
        <v>0</v>
      </c>
      <c r="K153" s="37" t="n">
        <f aca="false">'Mar 2027'!N153</f>
        <v>0</v>
      </c>
      <c r="L153" s="37" t="n">
        <f aca="false">IF(B153="",0,N(Students!G142))</f>
        <v>0</v>
      </c>
      <c r="M153" s="23"/>
      <c r="N153" s="26" t="n">
        <f aca="false">N(K153)+N(L153)-N(M153)</f>
        <v>0</v>
      </c>
      <c r="O153" s="37" t="n">
        <f aca="false">'Mar 2027'!R153</f>
        <v>0</v>
      </c>
      <c r="P153" s="37" t="n">
        <f aca="false">IF(B153="",0,N(Students!H142))</f>
        <v>0</v>
      </c>
      <c r="Q153" s="23"/>
      <c r="R153" s="26" t="n">
        <f aca="false">N(O153)+N(P153)-N(Q153)</f>
        <v>0</v>
      </c>
      <c r="S153" s="37" t="n">
        <f aca="false">'Mar 2027'!V153</f>
        <v>0</v>
      </c>
      <c r="T153" s="37" t="n">
        <f aca="false">IF(B153="",0,N(Students!I142))</f>
        <v>0</v>
      </c>
      <c r="U153" s="23"/>
      <c r="V153" s="26" t="n">
        <f aca="false">N(S153)+N(T153)-N(U153)</f>
        <v>0</v>
      </c>
      <c r="W153" s="37" t="n">
        <f aca="false">'Mar 2027'!Z153</f>
        <v>0</v>
      </c>
      <c r="X153" s="37" t="n">
        <f aca="false">IF(B153="",0,N(Students!J142))</f>
        <v>0</v>
      </c>
      <c r="Y153" s="23"/>
      <c r="Z153" s="26" t="n">
        <f aca="false">N(W153)+N(X153)-N(Y153)</f>
        <v>0</v>
      </c>
      <c r="AA153" s="37" t="n">
        <f aca="false">N(E153)+N(I153)+N(M153)+N(Q153)+N(U153)+N(Y153)</f>
        <v>0</v>
      </c>
      <c r="AB153" s="26" t="n">
        <f aca="false">F153+J153+N153+R153+V153+Z153</f>
        <v>0</v>
      </c>
      <c r="AC153" s="83" t="str">
        <f aca="false">IF(B153="","",IF(AB153&lt;=0,"Clear",IF(AA153&gt;0,"Partial","Due")))</f>
        <v/>
      </c>
    </row>
    <row r="154" customFormat="false" ht="15" hidden="false" customHeight="false" outlineLevel="0" collapsed="false">
      <c r="A154" s="21" t="n">
        <v>139</v>
      </c>
      <c r="B154" s="46" t="str">
        <f aca="false">IF(Students!B143="","",Students!B143)</f>
        <v/>
      </c>
      <c r="C154" s="33" t="n">
        <f aca="false">'Mar 2027'!F154</f>
        <v>0</v>
      </c>
      <c r="D154" s="33" t="n">
        <f aca="false">IF(B154="",0,N(Students!E143))</f>
        <v>0</v>
      </c>
      <c r="E154" s="23"/>
      <c r="F154" s="24" t="n">
        <f aca="false">N(C154)+N(D154)-N(E154)</f>
        <v>0</v>
      </c>
      <c r="G154" s="33" t="n">
        <f aca="false">'Mar 2027'!J154</f>
        <v>0</v>
      </c>
      <c r="H154" s="33" t="n">
        <f aca="false">IF(B154="",0,N(Students!F143))</f>
        <v>0</v>
      </c>
      <c r="I154" s="23"/>
      <c r="J154" s="24" t="n">
        <f aca="false">N(G154)+N(H154)-N(I154)</f>
        <v>0</v>
      </c>
      <c r="K154" s="33" t="n">
        <f aca="false">'Mar 2027'!N154</f>
        <v>0</v>
      </c>
      <c r="L154" s="33" t="n">
        <f aca="false">IF(B154="",0,N(Students!G143))</f>
        <v>0</v>
      </c>
      <c r="M154" s="23"/>
      <c r="N154" s="24" t="n">
        <f aca="false">N(K154)+N(L154)-N(M154)</f>
        <v>0</v>
      </c>
      <c r="O154" s="33" t="n">
        <f aca="false">'Mar 2027'!R154</f>
        <v>0</v>
      </c>
      <c r="P154" s="33" t="n">
        <f aca="false">IF(B154="",0,N(Students!H143))</f>
        <v>0</v>
      </c>
      <c r="Q154" s="23"/>
      <c r="R154" s="24" t="n">
        <f aca="false">N(O154)+N(P154)-N(Q154)</f>
        <v>0</v>
      </c>
      <c r="S154" s="33" t="n">
        <f aca="false">'Mar 2027'!V154</f>
        <v>0</v>
      </c>
      <c r="T154" s="33" t="n">
        <f aca="false">IF(B154="",0,N(Students!I143))</f>
        <v>0</v>
      </c>
      <c r="U154" s="23"/>
      <c r="V154" s="24" t="n">
        <f aca="false">N(S154)+N(T154)-N(U154)</f>
        <v>0</v>
      </c>
      <c r="W154" s="33" t="n">
        <f aca="false">'Mar 2027'!Z154</f>
        <v>0</v>
      </c>
      <c r="X154" s="33" t="n">
        <f aca="false">IF(B154="",0,N(Students!J143))</f>
        <v>0</v>
      </c>
      <c r="Y154" s="23"/>
      <c r="Z154" s="24" t="n">
        <f aca="false">N(W154)+N(X154)-N(Y154)</f>
        <v>0</v>
      </c>
      <c r="AA154" s="33" t="n">
        <f aca="false">N(E154)+N(I154)+N(M154)+N(Q154)+N(U154)+N(Y154)</f>
        <v>0</v>
      </c>
      <c r="AB154" s="24" t="n">
        <f aca="false">F154+J154+N154+R154+V154+Z154</f>
        <v>0</v>
      </c>
      <c r="AC154" s="81" t="str">
        <f aca="false">IF(B154="","",IF(AB154&lt;=0,"Clear",IF(AA154&gt;0,"Partial","Due")))</f>
        <v/>
      </c>
    </row>
    <row r="155" customFormat="false" ht="15" hidden="false" customHeight="false" outlineLevel="0" collapsed="false">
      <c r="A155" s="25" t="n">
        <v>140</v>
      </c>
      <c r="B155" s="82" t="str">
        <f aca="false">IF(Students!B144="","",Students!B144)</f>
        <v/>
      </c>
      <c r="C155" s="37" t="n">
        <f aca="false">'Mar 2027'!F155</f>
        <v>0</v>
      </c>
      <c r="D155" s="37" t="n">
        <f aca="false">IF(B155="",0,N(Students!E144))</f>
        <v>0</v>
      </c>
      <c r="E155" s="23"/>
      <c r="F155" s="26" t="n">
        <f aca="false">N(C155)+N(D155)-N(E155)</f>
        <v>0</v>
      </c>
      <c r="G155" s="37" t="n">
        <f aca="false">'Mar 2027'!J155</f>
        <v>0</v>
      </c>
      <c r="H155" s="37" t="n">
        <f aca="false">IF(B155="",0,N(Students!F144))</f>
        <v>0</v>
      </c>
      <c r="I155" s="23"/>
      <c r="J155" s="26" t="n">
        <f aca="false">N(G155)+N(H155)-N(I155)</f>
        <v>0</v>
      </c>
      <c r="K155" s="37" t="n">
        <f aca="false">'Mar 2027'!N155</f>
        <v>0</v>
      </c>
      <c r="L155" s="37" t="n">
        <f aca="false">IF(B155="",0,N(Students!G144))</f>
        <v>0</v>
      </c>
      <c r="M155" s="23"/>
      <c r="N155" s="26" t="n">
        <f aca="false">N(K155)+N(L155)-N(M155)</f>
        <v>0</v>
      </c>
      <c r="O155" s="37" t="n">
        <f aca="false">'Mar 2027'!R155</f>
        <v>0</v>
      </c>
      <c r="P155" s="37" t="n">
        <f aca="false">IF(B155="",0,N(Students!H144))</f>
        <v>0</v>
      </c>
      <c r="Q155" s="23"/>
      <c r="R155" s="26" t="n">
        <f aca="false">N(O155)+N(P155)-N(Q155)</f>
        <v>0</v>
      </c>
      <c r="S155" s="37" t="n">
        <f aca="false">'Mar 2027'!V155</f>
        <v>0</v>
      </c>
      <c r="T155" s="37" t="n">
        <f aca="false">IF(B155="",0,N(Students!I144))</f>
        <v>0</v>
      </c>
      <c r="U155" s="23"/>
      <c r="V155" s="26" t="n">
        <f aca="false">N(S155)+N(T155)-N(U155)</f>
        <v>0</v>
      </c>
      <c r="W155" s="37" t="n">
        <f aca="false">'Mar 2027'!Z155</f>
        <v>0</v>
      </c>
      <c r="X155" s="37" t="n">
        <f aca="false">IF(B155="",0,N(Students!J144))</f>
        <v>0</v>
      </c>
      <c r="Y155" s="23"/>
      <c r="Z155" s="26" t="n">
        <f aca="false">N(W155)+N(X155)-N(Y155)</f>
        <v>0</v>
      </c>
      <c r="AA155" s="37" t="n">
        <f aca="false">N(E155)+N(I155)+N(M155)+N(Q155)+N(U155)+N(Y155)</f>
        <v>0</v>
      </c>
      <c r="AB155" s="26" t="n">
        <f aca="false">F155+J155+N155+R155+V155+Z155</f>
        <v>0</v>
      </c>
      <c r="AC155" s="83" t="str">
        <f aca="false">IF(B155="","",IF(AB155&lt;=0,"Clear",IF(AA155&gt;0,"Partial","Due")))</f>
        <v/>
      </c>
    </row>
    <row r="156" customFormat="false" ht="15" hidden="false" customHeight="false" outlineLevel="0" collapsed="false">
      <c r="A156" s="21" t="n">
        <v>141</v>
      </c>
      <c r="B156" s="46" t="str">
        <f aca="false">IF(Students!B145="","",Students!B145)</f>
        <v/>
      </c>
      <c r="C156" s="33" t="n">
        <f aca="false">'Mar 2027'!F156</f>
        <v>0</v>
      </c>
      <c r="D156" s="33" t="n">
        <f aca="false">IF(B156="",0,N(Students!E145))</f>
        <v>0</v>
      </c>
      <c r="E156" s="23"/>
      <c r="F156" s="24" t="n">
        <f aca="false">N(C156)+N(D156)-N(E156)</f>
        <v>0</v>
      </c>
      <c r="G156" s="33" t="n">
        <f aca="false">'Mar 2027'!J156</f>
        <v>0</v>
      </c>
      <c r="H156" s="33" t="n">
        <f aca="false">IF(B156="",0,N(Students!F145))</f>
        <v>0</v>
      </c>
      <c r="I156" s="23"/>
      <c r="J156" s="24" t="n">
        <f aca="false">N(G156)+N(H156)-N(I156)</f>
        <v>0</v>
      </c>
      <c r="K156" s="33" t="n">
        <f aca="false">'Mar 2027'!N156</f>
        <v>0</v>
      </c>
      <c r="L156" s="33" t="n">
        <f aca="false">IF(B156="",0,N(Students!G145))</f>
        <v>0</v>
      </c>
      <c r="M156" s="23"/>
      <c r="N156" s="24" t="n">
        <f aca="false">N(K156)+N(L156)-N(M156)</f>
        <v>0</v>
      </c>
      <c r="O156" s="33" t="n">
        <f aca="false">'Mar 2027'!R156</f>
        <v>0</v>
      </c>
      <c r="P156" s="33" t="n">
        <f aca="false">IF(B156="",0,N(Students!H145))</f>
        <v>0</v>
      </c>
      <c r="Q156" s="23"/>
      <c r="R156" s="24" t="n">
        <f aca="false">N(O156)+N(P156)-N(Q156)</f>
        <v>0</v>
      </c>
      <c r="S156" s="33" t="n">
        <f aca="false">'Mar 2027'!V156</f>
        <v>0</v>
      </c>
      <c r="T156" s="33" t="n">
        <f aca="false">IF(B156="",0,N(Students!I145))</f>
        <v>0</v>
      </c>
      <c r="U156" s="23"/>
      <c r="V156" s="24" t="n">
        <f aca="false">N(S156)+N(T156)-N(U156)</f>
        <v>0</v>
      </c>
      <c r="W156" s="33" t="n">
        <f aca="false">'Mar 2027'!Z156</f>
        <v>0</v>
      </c>
      <c r="X156" s="33" t="n">
        <f aca="false">IF(B156="",0,N(Students!J145))</f>
        <v>0</v>
      </c>
      <c r="Y156" s="23"/>
      <c r="Z156" s="24" t="n">
        <f aca="false">N(W156)+N(X156)-N(Y156)</f>
        <v>0</v>
      </c>
      <c r="AA156" s="33" t="n">
        <f aca="false">N(E156)+N(I156)+N(M156)+N(Q156)+N(U156)+N(Y156)</f>
        <v>0</v>
      </c>
      <c r="AB156" s="24" t="n">
        <f aca="false">F156+J156+N156+R156+V156+Z156</f>
        <v>0</v>
      </c>
      <c r="AC156" s="81" t="str">
        <f aca="false">IF(B156="","",IF(AB156&lt;=0,"Clear",IF(AA156&gt;0,"Partial","Due")))</f>
        <v/>
      </c>
    </row>
    <row r="157" customFormat="false" ht="15" hidden="false" customHeight="false" outlineLevel="0" collapsed="false">
      <c r="A157" s="25" t="n">
        <v>142</v>
      </c>
      <c r="B157" s="82" t="str">
        <f aca="false">IF(Students!B146="","",Students!B146)</f>
        <v/>
      </c>
      <c r="C157" s="37" t="n">
        <f aca="false">'Mar 2027'!F157</f>
        <v>0</v>
      </c>
      <c r="D157" s="37" t="n">
        <f aca="false">IF(B157="",0,N(Students!E146))</f>
        <v>0</v>
      </c>
      <c r="E157" s="23"/>
      <c r="F157" s="26" t="n">
        <f aca="false">N(C157)+N(D157)-N(E157)</f>
        <v>0</v>
      </c>
      <c r="G157" s="37" t="n">
        <f aca="false">'Mar 2027'!J157</f>
        <v>0</v>
      </c>
      <c r="H157" s="37" t="n">
        <f aca="false">IF(B157="",0,N(Students!F146))</f>
        <v>0</v>
      </c>
      <c r="I157" s="23"/>
      <c r="J157" s="26" t="n">
        <f aca="false">N(G157)+N(H157)-N(I157)</f>
        <v>0</v>
      </c>
      <c r="K157" s="37" t="n">
        <f aca="false">'Mar 2027'!N157</f>
        <v>0</v>
      </c>
      <c r="L157" s="37" t="n">
        <f aca="false">IF(B157="",0,N(Students!G146))</f>
        <v>0</v>
      </c>
      <c r="M157" s="23"/>
      <c r="N157" s="26" t="n">
        <f aca="false">N(K157)+N(L157)-N(M157)</f>
        <v>0</v>
      </c>
      <c r="O157" s="37" t="n">
        <f aca="false">'Mar 2027'!R157</f>
        <v>0</v>
      </c>
      <c r="P157" s="37" t="n">
        <f aca="false">IF(B157="",0,N(Students!H146))</f>
        <v>0</v>
      </c>
      <c r="Q157" s="23"/>
      <c r="R157" s="26" t="n">
        <f aca="false">N(O157)+N(P157)-N(Q157)</f>
        <v>0</v>
      </c>
      <c r="S157" s="37" t="n">
        <f aca="false">'Mar 2027'!V157</f>
        <v>0</v>
      </c>
      <c r="T157" s="37" t="n">
        <f aca="false">IF(B157="",0,N(Students!I146))</f>
        <v>0</v>
      </c>
      <c r="U157" s="23"/>
      <c r="V157" s="26" t="n">
        <f aca="false">N(S157)+N(T157)-N(U157)</f>
        <v>0</v>
      </c>
      <c r="W157" s="37" t="n">
        <f aca="false">'Mar 2027'!Z157</f>
        <v>0</v>
      </c>
      <c r="X157" s="37" t="n">
        <f aca="false">IF(B157="",0,N(Students!J146))</f>
        <v>0</v>
      </c>
      <c r="Y157" s="23"/>
      <c r="Z157" s="26" t="n">
        <f aca="false">N(W157)+N(X157)-N(Y157)</f>
        <v>0</v>
      </c>
      <c r="AA157" s="37" t="n">
        <f aca="false">N(E157)+N(I157)+N(M157)+N(Q157)+N(U157)+N(Y157)</f>
        <v>0</v>
      </c>
      <c r="AB157" s="26" t="n">
        <f aca="false">F157+J157+N157+R157+V157+Z157</f>
        <v>0</v>
      </c>
      <c r="AC157" s="83" t="str">
        <f aca="false">IF(B157="","",IF(AB157&lt;=0,"Clear",IF(AA157&gt;0,"Partial","Due")))</f>
        <v/>
      </c>
    </row>
    <row r="158" customFormat="false" ht="15" hidden="false" customHeight="false" outlineLevel="0" collapsed="false">
      <c r="A158" s="21" t="n">
        <v>143</v>
      </c>
      <c r="B158" s="46" t="str">
        <f aca="false">IF(Students!B147="","",Students!B147)</f>
        <v/>
      </c>
      <c r="C158" s="33" t="n">
        <f aca="false">'Mar 2027'!F158</f>
        <v>0</v>
      </c>
      <c r="D158" s="33" t="n">
        <f aca="false">IF(B158="",0,N(Students!E147))</f>
        <v>0</v>
      </c>
      <c r="E158" s="23"/>
      <c r="F158" s="24" t="n">
        <f aca="false">N(C158)+N(D158)-N(E158)</f>
        <v>0</v>
      </c>
      <c r="G158" s="33" t="n">
        <f aca="false">'Mar 2027'!J158</f>
        <v>0</v>
      </c>
      <c r="H158" s="33" t="n">
        <f aca="false">IF(B158="",0,N(Students!F147))</f>
        <v>0</v>
      </c>
      <c r="I158" s="23"/>
      <c r="J158" s="24" t="n">
        <f aca="false">N(G158)+N(H158)-N(I158)</f>
        <v>0</v>
      </c>
      <c r="K158" s="33" t="n">
        <f aca="false">'Mar 2027'!N158</f>
        <v>0</v>
      </c>
      <c r="L158" s="33" t="n">
        <f aca="false">IF(B158="",0,N(Students!G147))</f>
        <v>0</v>
      </c>
      <c r="M158" s="23"/>
      <c r="N158" s="24" t="n">
        <f aca="false">N(K158)+N(L158)-N(M158)</f>
        <v>0</v>
      </c>
      <c r="O158" s="33" t="n">
        <f aca="false">'Mar 2027'!R158</f>
        <v>0</v>
      </c>
      <c r="P158" s="33" t="n">
        <f aca="false">IF(B158="",0,N(Students!H147))</f>
        <v>0</v>
      </c>
      <c r="Q158" s="23"/>
      <c r="R158" s="24" t="n">
        <f aca="false">N(O158)+N(P158)-N(Q158)</f>
        <v>0</v>
      </c>
      <c r="S158" s="33" t="n">
        <f aca="false">'Mar 2027'!V158</f>
        <v>0</v>
      </c>
      <c r="T158" s="33" t="n">
        <f aca="false">IF(B158="",0,N(Students!I147))</f>
        <v>0</v>
      </c>
      <c r="U158" s="23"/>
      <c r="V158" s="24" t="n">
        <f aca="false">N(S158)+N(T158)-N(U158)</f>
        <v>0</v>
      </c>
      <c r="W158" s="33" t="n">
        <f aca="false">'Mar 2027'!Z158</f>
        <v>0</v>
      </c>
      <c r="X158" s="33" t="n">
        <f aca="false">IF(B158="",0,N(Students!J147))</f>
        <v>0</v>
      </c>
      <c r="Y158" s="23"/>
      <c r="Z158" s="24" t="n">
        <f aca="false">N(W158)+N(X158)-N(Y158)</f>
        <v>0</v>
      </c>
      <c r="AA158" s="33" t="n">
        <f aca="false">N(E158)+N(I158)+N(M158)+N(Q158)+N(U158)+N(Y158)</f>
        <v>0</v>
      </c>
      <c r="AB158" s="24" t="n">
        <f aca="false">F158+J158+N158+R158+V158+Z158</f>
        <v>0</v>
      </c>
      <c r="AC158" s="81" t="str">
        <f aca="false">IF(B158="","",IF(AB158&lt;=0,"Clear",IF(AA158&gt;0,"Partial","Due")))</f>
        <v/>
      </c>
    </row>
    <row r="159" customFormat="false" ht="15" hidden="false" customHeight="false" outlineLevel="0" collapsed="false">
      <c r="A159" s="25" t="n">
        <v>144</v>
      </c>
      <c r="B159" s="82" t="str">
        <f aca="false">IF(Students!B148="","",Students!B148)</f>
        <v/>
      </c>
      <c r="C159" s="37" t="n">
        <f aca="false">'Mar 2027'!F159</f>
        <v>0</v>
      </c>
      <c r="D159" s="37" t="n">
        <f aca="false">IF(B159="",0,N(Students!E148))</f>
        <v>0</v>
      </c>
      <c r="E159" s="23"/>
      <c r="F159" s="26" t="n">
        <f aca="false">N(C159)+N(D159)-N(E159)</f>
        <v>0</v>
      </c>
      <c r="G159" s="37" t="n">
        <f aca="false">'Mar 2027'!J159</f>
        <v>0</v>
      </c>
      <c r="H159" s="37" t="n">
        <f aca="false">IF(B159="",0,N(Students!F148))</f>
        <v>0</v>
      </c>
      <c r="I159" s="23"/>
      <c r="J159" s="26" t="n">
        <f aca="false">N(G159)+N(H159)-N(I159)</f>
        <v>0</v>
      </c>
      <c r="K159" s="37" t="n">
        <f aca="false">'Mar 2027'!N159</f>
        <v>0</v>
      </c>
      <c r="L159" s="37" t="n">
        <f aca="false">IF(B159="",0,N(Students!G148))</f>
        <v>0</v>
      </c>
      <c r="M159" s="23"/>
      <c r="N159" s="26" t="n">
        <f aca="false">N(K159)+N(L159)-N(M159)</f>
        <v>0</v>
      </c>
      <c r="O159" s="37" t="n">
        <f aca="false">'Mar 2027'!R159</f>
        <v>0</v>
      </c>
      <c r="P159" s="37" t="n">
        <f aca="false">IF(B159="",0,N(Students!H148))</f>
        <v>0</v>
      </c>
      <c r="Q159" s="23"/>
      <c r="R159" s="26" t="n">
        <f aca="false">N(O159)+N(P159)-N(Q159)</f>
        <v>0</v>
      </c>
      <c r="S159" s="37" t="n">
        <f aca="false">'Mar 2027'!V159</f>
        <v>0</v>
      </c>
      <c r="T159" s="37" t="n">
        <f aca="false">IF(B159="",0,N(Students!I148))</f>
        <v>0</v>
      </c>
      <c r="U159" s="23"/>
      <c r="V159" s="26" t="n">
        <f aca="false">N(S159)+N(T159)-N(U159)</f>
        <v>0</v>
      </c>
      <c r="W159" s="37" t="n">
        <f aca="false">'Mar 2027'!Z159</f>
        <v>0</v>
      </c>
      <c r="X159" s="37" t="n">
        <f aca="false">IF(B159="",0,N(Students!J148))</f>
        <v>0</v>
      </c>
      <c r="Y159" s="23"/>
      <c r="Z159" s="26" t="n">
        <f aca="false">N(W159)+N(X159)-N(Y159)</f>
        <v>0</v>
      </c>
      <c r="AA159" s="37" t="n">
        <f aca="false">N(E159)+N(I159)+N(M159)+N(Q159)+N(U159)+N(Y159)</f>
        <v>0</v>
      </c>
      <c r="AB159" s="26" t="n">
        <f aca="false">F159+J159+N159+R159+V159+Z159</f>
        <v>0</v>
      </c>
      <c r="AC159" s="83" t="str">
        <f aca="false">IF(B159="","",IF(AB159&lt;=0,"Clear",IF(AA159&gt;0,"Partial","Due")))</f>
        <v/>
      </c>
    </row>
    <row r="160" customFormat="false" ht="15" hidden="false" customHeight="false" outlineLevel="0" collapsed="false">
      <c r="A160" s="21" t="n">
        <v>145</v>
      </c>
      <c r="B160" s="46" t="str">
        <f aca="false">IF(Students!B149="","",Students!B149)</f>
        <v/>
      </c>
      <c r="C160" s="33" t="n">
        <f aca="false">'Mar 2027'!F160</f>
        <v>0</v>
      </c>
      <c r="D160" s="33" t="n">
        <f aca="false">IF(B160="",0,N(Students!E149))</f>
        <v>0</v>
      </c>
      <c r="E160" s="23"/>
      <c r="F160" s="24" t="n">
        <f aca="false">N(C160)+N(D160)-N(E160)</f>
        <v>0</v>
      </c>
      <c r="G160" s="33" t="n">
        <f aca="false">'Mar 2027'!J160</f>
        <v>0</v>
      </c>
      <c r="H160" s="33" t="n">
        <f aca="false">IF(B160="",0,N(Students!F149))</f>
        <v>0</v>
      </c>
      <c r="I160" s="23"/>
      <c r="J160" s="24" t="n">
        <f aca="false">N(G160)+N(H160)-N(I160)</f>
        <v>0</v>
      </c>
      <c r="K160" s="33" t="n">
        <f aca="false">'Mar 2027'!N160</f>
        <v>0</v>
      </c>
      <c r="L160" s="33" t="n">
        <f aca="false">IF(B160="",0,N(Students!G149))</f>
        <v>0</v>
      </c>
      <c r="M160" s="23"/>
      <c r="N160" s="24" t="n">
        <f aca="false">N(K160)+N(L160)-N(M160)</f>
        <v>0</v>
      </c>
      <c r="O160" s="33" t="n">
        <f aca="false">'Mar 2027'!R160</f>
        <v>0</v>
      </c>
      <c r="P160" s="33" t="n">
        <f aca="false">IF(B160="",0,N(Students!H149))</f>
        <v>0</v>
      </c>
      <c r="Q160" s="23"/>
      <c r="R160" s="24" t="n">
        <f aca="false">N(O160)+N(P160)-N(Q160)</f>
        <v>0</v>
      </c>
      <c r="S160" s="33" t="n">
        <f aca="false">'Mar 2027'!V160</f>
        <v>0</v>
      </c>
      <c r="T160" s="33" t="n">
        <f aca="false">IF(B160="",0,N(Students!I149))</f>
        <v>0</v>
      </c>
      <c r="U160" s="23"/>
      <c r="V160" s="24" t="n">
        <f aca="false">N(S160)+N(T160)-N(U160)</f>
        <v>0</v>
      </c>
      <c r="W160" s="33" t="n">
        <f aca="false">'Mar 2027'!Z160</f>
        <v>0</v>
      </c>
      <c r="X160" s="33" t="n">
        <f aca="false">IF(B160="",0,N(Students!J149))</f>
        <v>0</v>
      </c>
      <c r="Y160" s="23"/>
      <c r="Z160" s="24" t="n">
        <f aca="false">N(W160)+N(X160)-N(Y160)</f>
        <v>0</v>
      </c>
      <c r="AA160" s="33" t="n">
        <f aca="false">N(E160)+N(I160)+N(M160)+N(Q160)+N(U160)+N(Y160)</f>
        <v>0</v>
      </c>
      <c r="AB160" s="24" t="n">
        <f aca="false">F160+J160+N160+R160+V160+Z160</f>
        <v>0</v>
      </c>
      <c r="AC160" s="81" t="str">
        <f aca="false">IF(B160="","",IF(AB160&lt;=0,"Clear",IF(AA160&gt;0,"Partial","Due")))</f>
        <v/>
      </c>
    </row>
    <row r="161" customFormat="false" ht="15" hidden="false" customHeight="false" outlineLevel="0" collapsed="false">
      <c r="A161" s="25" t="n">
        <v>146</v>
      </c>
      <c r="B161" s="82" t="str">
        <f aca="false">IF(Students!B150="","",Students!B150)</f>
        <v/>
      </c>
      <c r="C161" s="37" t="n">
        <f aca="false">'Mar 2027'!F161</f>
        <v>0</v>
      </c>
      <c r="D161" s="37" t="n">
        <f aca="false">IF(B161="",0,N(Students!E150))</f>
        <v>0</v>
      </c>
      <c r="E161" s="23"/>
      <c r="F161" s="26" t="n">
        <f aca="false">N(C161)+N(D161)-N(E161)</f>
        <v>0</v>
      </c>
      <c r="G161" s="37" t="n">
        <f aca="false">'Mar 2027'!J161</f>
        <v>0</v>
      </c>
      <c r="H161" s="37" t="n">
        <f aca="false">IF(B161="",0,N(Students!F150))</f>
        <v>0</v>
      </c>
      <c r="I161" s="23"/>
      <c r="J161" s="26" t="n">
        <f aca="false">N(G161)+N(H161)-N(I161)</f>
        <v>0</v>
      </c>
      <c r="K161" s="37" t="n">
        <f aca="false">'Mar 2027'!N161</f>
        <v>0</v>
      </c>
      <c r="L161" s="37" t="n">
        <f aca="false">IF(B161="",0,N(Students!G150))</f>
        <v>0</v>
      </c>
      <c r="M161" s="23"/>
      <c r="N161" s="26" t="n">
        <f aca="false">N(K161)+N(L161)-N(M161)</f>
        <v>0</v>
      </c>
      <c r="O161" s="37" t="n">
        <f aca="false">'Mar 2027'!R161</f>
        <v>0</v>
      </c>
      <c r="P161" s="37" t="n">
        <f aca="false">IF(B161="",0,N(Students!H150))</f>
        <v>0</v>
      </c>
      <c r="Q161" s="23"/>
      <c r="R161" s="26" t="n">
        <f aca="false">N(O161)+N(P161)-N(Q161)</f>
        <v>0</v>
      </c>
      <c r="S161" s="37" t="n">
        <f aca="false">'Mar 2027'!V161</f>
        <v>0</v>
      </c>
      <c r="T161" s="37" t="n">
        <f aca="false">IF(B161="",0,N(Students!I150))</f>
        <v>0</v>
      </c>
      <c r="U161" s="23"/>
      <c r="V161" s="26" t="n">
        <f aca="false">N(S161)+N(T161)-N(U161)</f>
        <v>0</v>
      </c>
      <c r="W161" s="37" t="n">
        <f aca="false">'Mar 2027'!Z161</f>
        <v>0</v>
      </c>
      <c r="X161" s="37" t="n">
        <f aca="false">IF(B161="",0,N(Students!J150))</f>
        <v>0</v>
      </c>
      <c r="Y161" s="23"/>
      <c r="Z161" s="26" t="n">
        <f aca="false">N(W161)+N(X161)-N(Y161)</f>
        <v>0</v>
      </c>
      <c r="AA161" s="37" t="n">
        <f aca="false">N(E161)+N(I161)+N(M161)+N(Q161)+N(U161)+N(Y161)</f>
        <v>0</v>
      </c>
      <c r="AB161" s="26" t="n">
        <f aca="false">F161+J161+N161+R161+V161+Z161</f>
        <v>0</v>
      </c>
      <c r="AC161" s="83" t="str">
        <f aca="false">IF(B161="","",IF(AB161&lt;=0,"Clear",IF(AA161&gt;0,"Partial","Due")))</f>
        <v/>
      </c>
    </row>
    <row r="162" customFormat="false" ht="15" hidden="false" customHeight="false" outlineLevel="0" collapsed="false">
      <c r="A162" s="21" t="n">
        <v>147</v>
      </c>
      <c r="B162" s="46" t="str">
        <f aca="false">IF(Students!B151="","",Students!B151)</f>
        <v/>
      </c>
      <c r="C162" s="33" t="n">
        <f aca="false">'Mar 2027'!F162</f>
        <v>0</v>
      </c>
      <c r="D162" s="33" t="n">
        <f aca="false">IF(B162="",0,N(Students!E151))</f>
        <v>0</v>
      </c>
      <c r="E162" s="23"/>
      <c r="F162" s="24" t="n">
        <f aca="false">N(C162)+N(D162)-N(E162)</f>
        <v>0</v>
      </c>
      <c r="G162" s="33" t="n">
        <f aca="false">'Mar 2027'!J162</f>
        <v>0</v>
      </c>
      <c r="H162" s="33" t="n">
        <f aca="false">IF(B162="",0,N(Students!F151))</f>
        <v>0</v>
      </c>
      <c r="I162" s="23"/>
      <c r="J162" s="24" t="n">
        <f aca="false">N(G162)+N(H162)-N(I162)</f>
        <v>0</v>
      </c>
      <c r="K162" s="33" t="n">
        <f aca="false">'Mar 2027'!N162</f>
        <v>0</v>
      </c>
      <c r="L162" s="33" t="n">
        <f aca="false">IF(B162="",0,N(Students!G151))</f>
        <v>0</v>
      </c>
      <c r="M162" s="23"/>
      <c r="N162" s="24" t="n">
        <f aca="false">N(K162)+N(L162)-N(M162)</f>
        <v>0</v>
      </c>
      <c r="O162" s="33" t="n">
        <f aca="false">'Mar 2027'!R162</f>
        <v>0</v>
      </c>
      <c r="P162" s="33" t="n">
        <f aca="false">IF(B162="",0,N(Students!H151))</f>
        <v>0</v>
      </c>
      <c r="Q162" s="23"/>
      <c r="R162" s="24" t="n">
        <f aca="false">N(O162)+N(P162)-N(Q162)</f>
        <v>0</v>
      </c>
      <c r="S162" s="33" t="n">
        <f aca="false">'Mar 2027'!V162</f>
        <v>0</v>
      </c>
      <c r="T162" s="33" t="n">
        <f aca="false">IF(B162="",0,N(Students!I151))</f>
        <v>0</v>
      </c>
      <c r="U162" s="23"/>
      <c r="V162" s="24" t="n">
        <f aca="false">N(S162)+N(T162)-N(U162)</f>
        <v>0</v>
      </c>
      <c r="W162" s="33" t="n">
        <f aca="false">'Mar 2027'!Z162</f>
        <v>0</v>
      </c>
      <c r="X162" s="33" t="n">
        <f aca="false">IF(B162="",0,N(Students!J151))</f>
        <v>0</v>
      </c>
      <c r="Y162" s="23"/>
      <c r="Z162" s="24" t="n">
        <f aca="false">N(W162)+N(X162)-N(Y162)</f>
        <v>0</v>
      </c>
      <c r="AA162" s="33" t="n">
        <f aca="false">N(E162)+N(I162)+N(M162)+N(Q162)+N(U162)+N(Y162)</f>
        <v>0</v>
      </c>
      <c r="AB162" s="24" t="n">
        <f aca="false">F162+J162+N162+R162+V162+Z162</f>
        <v>0</v>
      </c>
      <c r="AC162" s="81" t="str">
        <f aca="false">IF(B162="","",IF(AB162&lt;=0,"Clear",IF(AA162&gt;0,"Partial","Due")))</f>
        <v/>
      </c>
    </row>
    <row r="163" customFormat="false" ht="15" hidden="false" customHeight="false" outlineLevel="0" collapsed="false">
      <c r="A163" s="25" t="n">
        <v>148</v>
      </c>
      <c r="B163" s="82" t="str">
        <f aca="false">IF(Students!B152="","",Students!B152)</f>
        <v/>
      </c>
      <c r="C163" s="37" t="n">
        <f aca="false">'Mar 2027'!F163</f>
        <v>0</v>
      </c>
      <c r="D163" s="37" t="n">
        <f aca="false">IF(B163="",0,N(Students!E152))</f>
        <v>0</v>
      </c>
      <c r="E163" s="23"/>
      <c r="F163" s="26" t="n">
        <f aca="false">N(C163)+N(D163)-N(E163)</f>
        <v>0</v>
      </c>
      <c r="G163" s="37" t="n">
        <f aca="false">'Mar 2027'!J163</f>
        <v>0</v>
      </c>
      <c r="H163" s="37" t="n">
        <f aca="false">IF(B163="",0,N(Students!F152))</f>
        <v>0</v>
      </c>
      <c r="I163" s="23"/>
      <c r="J163" s="26" t="n">
        <f aca="false">N(G163)+N(H163)-N(I163)</f>
        <v>0</v>
      </c>
      <c r="K163" s="37" t="n">
        <f aca="false">'Mar 2027'!N163</f>
        <v>0</v>
      </c>
      <c r="L163" s="37" t="n">
        <f aca="false">IF(B163="",0,N(Students!G152))</f>
        <v>0</v>
      </c>
      <c r="M163" s="23"/>
      <c r="N163" s="26" t="n">
        <f aca="false">N(K163)+N(L163)-N(M163)</f>
        <v>0</v>
      </c>
      <c r="O163" s="37" t="n">
        <f aca="false">'Mar 2027'!R163</f>
        <v>0</v>
      </c>
      <c r="P163" s="37" t="n">
        <f aca="false">IF(B163="",0,N(Students!H152))</f>
        <v>0</v>
      </c>
      <c r="Q163" s="23"/>
      <c r="R163" s="26" t="n">
        <f aca="false">N(O163)+N(P163)-N(Q163)</f>
        <v>0</v>
      </c>
      <c r="S163" s="37" t="n">
        <f aca="false">'Mar 2027'!V163</f>
        <v>0</v>
      </c>
      <c r="T163" s="37" t="n">
        <f aca="false">IF(B163="",0,N(Students!I152))</f>
        <v>0</v>
      </c>
      <c r="U163" s="23"/>
      <c r="V163" s="26" t="n">
        <f aca="false">N(S163)+N(T163)-N(U163)</f>
        <v>0</v>
      </c>
      <c r="W163" s="37" t="n">
        <f aca="false">'Mar 2027'!Z163</f>
        <v>0</v>
      </c>
      <c r="X163" s="37" t="n">
        <f aca="false">IF(B163="",0,N(Students!J152))</f>
        <v>0</v>
      </c>
      <c r="Y163" s="23"/>
      <c r="Z163" s="26" t="n">
        <f aca="false">N(W163)+N(X163)-N(Y163)</f>
        <v>0</v>
      </c>
      <c r="AA163" s="37" t="n">
        <f aca="false">N(E163)+N(I163)+N(M163)+N(Q163)+N(U163)+N(Y163)</f>
        <v>0</v>
      </c>
      <c r="AB163" s="26" t="n">
        <f aca="false">F163+J163+N163+R163+V163+Z163</f>
        <v>0</v>
      </c>
      <c r="AC163" s="83" t="str">
        <f aca="false">IF(B163="","",IF(AB163&lt;=0,"Clear",IF(AA163&gt;0,"Partial","Due")))</f>
        <v/>
      </c>
    </row>
    <row r="164" customFormat="false" ht="15" hidden="false" customHeight="false" outlineLevel="0" collapsed="false">
      <c r="A164" s="21" t="n">
        <v>149</v>
      </c>
      <c r="B164" s="46" t="str">
        <f aca="false">IF(Students!B153="","",Students!B153)</f>
        <v/>
      </c>
      <c r="C164" s="33" t="n">
        <f aca="false">'Mar 2027'!F164</f>
        <v>0</v>
      </c>
      <c r="D164" s="33" t="n">
        <f aca="false">IF(B164="",0,N(Students!E153))</f>
        <v>0</v>
      </c>
      <c r="E164" s="23"/>
      <c r="F164" s="24" t="n">
        <f aca="false">N(C164)+N(D164)-N(E164)</f>
        <v>0</v>
      </c>
      <c r="G164" s="33" t="n">
        <f aca="false">'Mar 2027'!J164</f>
        <v>0</v>
      </c>
      <c r="H164" s="33" t="n">
        <f aca="false">IF(B164="",0,N(Students!F153))</f>
        <v>0</v>
      </c>
      <c r="I164" s="23"/>
      <c r="J164" s="24" t="n">
        <f aca="false">N(G164)+N(H164)-N(I164)</f>
        <v>0</v>
      </c>
      <c r="K164" s="33" t="n">
        <f aca="false">'Mar 2027'!N164</f>
        <v>0</v>
      </c>
      <c r="L164" s="33" t="n">
        <f aca="false">IF(B164="",0,N(Students!G153))</f>
        <v>0</v>
      </c>
      <c r="M164" s="23"/>
      <c r="N164" s="24" t="n">
        <f aca="false">N(K164)+N(L164)-N(M164)</f>
        <v>0</v>
      </c>
      <c r="O164" s="33" t="n">
        <f aca="false">'Mar 2027'!R164</f>
        <v>0</v>
      </c>
      <c r="P164" s="33" t="n">
        <f aca="false">IF(B164="",0,N(Students!H153))</f>
        <v>0</v>
      </c>
      <c r="Q164" s="23"/>
      <c r="R164" s="24" t="n">
        <f aca="false">N(O164)+N(P164)-N(Q164)</f>
        <v>0</v>
      </c>
      <c r="S164" s="33" t="n">
        <f aca="false">'Mar 2027'!V164</f>
        <v>0</v>
      </c>
      <c r="T164" s="33" t="n">
        <f aca="false">IF(B164="",0,N(Students!I153))</f>
        <v>0</v>
      </c>
      <c r="U164" s="23"/>
      <c r="V164" s="24" t="n">
        <f aca="false">N(S164)+N(T164)-N(U164)</f>
        <v>0</v>
      </c>
      <c r="W164" s="33" t="n">
        <f aca="false">'Mar 2027'!Z164</f>
        <v>0</v>
      </c>
      <c r="X164" s="33" t="n">
        <f aca="false">IF(B164="",0,N(Students!J153))</f>
        <v>0</v>
      </c>
      <c r="Y164" s="23"/>
      <c r="Z164" s="24" t="n">
        <f aca="false">N(W164)+N(X164)-N(Y164)</f>
        <v>0</v>
      </c>
      <c r="AA164" s="33" t="n">
        <f aca="false">N(E164)+N(I164)+N(M164)+N(Q164)+N(U164)+N(Y164)</f>
        <v>0</v>
      </c>
      <c r="AB164" s="24" t="n">
        <f aca="false">F164+J164+N164+R164+V164+Z164</f>
        <v>0</v>
      </c>
      <c r="AC164" s="81" t="str">
        <f aca="false">IF(B164="","",IF(AB164&lt;=0,"Clear",IF(AA164&gt;0,"Partial","Due")))</f>
        <v/>
      </c>
    </row>
    <row r="165" customFormat="false" ht="15" hidden="false" customHeight="false" outlineLevel="0" collapsed="false">
      <c r="A165" s="25" t="n">
        <v>150</v>
      </c>
      <c r="B165" s="82" t="str">
        <f aca="false">IF(Students!B154="","",Students!B154)</f>
        <v/>
      </c>
      <c r="C165" s="37" t="n">
        <f aca="false">'Mar 2027'!F165</f>
        <v>0</v>
      </c>
      <c r="D165" s="37" t="n">
        <f aca="false">IF(B165="",0,N(Students!E154))</f>
        <v>0</v>
      </c>
      <c r="E165" s="23"/>
      <c r="F165" s="26" t="n">
        <f aca="false">N(C165)+N(D165)-N(E165)</f>
        <v>0</v>
      </c>
      <c r="G165" s="37" t="n">
        <f aca="false">'Mar 2027'!J165</f>
        <v>0</v>
      </c>
      <c r="H165" s="37" t="n">
        <f aca="false">IF(B165="",0,N(Students!F154))</f>
        <v>0</v>
      </c>
      <c r="I165" s="23"/>
      <c r="J165" s="26" t="n">
        <f aca="false">N(G165)+N(H165)-N(I165)</f>
        <v>0</v>
      </c>
      <c r="K165" s="37" t="n">
        <f aca="false">'Mar 2027'!N165</f>
        <v>0</v>
      </c>
      <c r="L165" s="37" t="n">
        <f aca="false">IF(B165="",0,N(Students!G154))</f>
        <v>0</v>
      </c>
      <c r="M165" s="23"/>
      <c r="N165" s="26" t="n">
        <f aca="false">N(K165)+N(L165)-N(M165)</f>
        <v>0</v>
      </c>
      <c r="O165" s="37" t="n">
        <f aca="false">'Mar 2027'!R165</f>
        <v>0</v>
      </c>
      <c r="P165" s="37" t="n">
        <f aca="false">IF(B165="",0,N(Students!H154))</f>
        <v>0</v>
      </c>
      <c r="Q165" s="23"/>
      <c r="R165" s="26" t="n">
        <f aca="false">N(O165)+N(P165)-N(Q165)</f>
        <v>0</v>
      </c>
      <c r="S165" s="37" t="n">
        <f aca="false">'Mar 2027'!V165</f>
        <v>0</v>
      </c>
      <c r="T165" s="37" t="n">
        <f aca="false">IF(B165="",0,N(Students!I154))</f>
        <v>0</v>
      </c>
      <c r="U165" s="23"/>
      <c r="V165" s="26" t="n">
        <f aca="false">N(S165)+N(T165)-N(U165)</f>
        <v>0</v>
      </c>
      <c r="W165" s="37" t="n">
        <f aca="false">'Mar 2027'!Z165</f>
        <v>0</v>
      </c>
      <c r="X165" s="37" t="n">
        <f aca="false">IF(B165="",0,N(Students!J154))</f>
        <v>0</v>
      </c>
      <c r="Y165" s="23"/>
      <c r="Z165" s="26" t="n">
        <f aca="false">N(W165)+N(X165)-N(Y165)</f>
        <v>0</v>
      </c>
      <c r="AA165" s="37" t="n">
        <f aca="false">N(E165)+N(I165)+N(M165)+N(Q165)+N(U165)+N(Y165)</f>
        <v>0</v>
      </c>
      <c r="AB165" s="26" t="n">
        <f aca="false">F165+J165+N165+R165+V165+Z165</f>
        <v>0</v>
      </c>
      <c r="AC165" s="83" t="str">
        <f aca="false">IF(B165="","",IF(AB165&lt;=0,"Clear",IF(AA165&gt;0,"Partial","Due")))</f>
        <v/>
      </c>
    </row>
    <row r="166" customFormat="false" ht="15" hidden="false" customHeight="true" outlineLevel="0" collapsed="false">
      <c r="A166" s="4" t="s">
        <v>79</v>
      </c>
      <c r="B166" s="4"/>
      <c r="C166" s="41" t="n">
        <f aca="false">SUM(C16:C165)</f>
        <v>0</v>
      </c>
      <c r="D166" s="41" t="n">
        <f aca="false">SUM(D16:D165)</f>
        <v>0</v>
      </c>
      <c r="E166" s="41" t="n">
        <f aca="false">SUM(E16:E165)</f>
        <v>0</v>
      </c>
      <c r="F166" s="41" t="n">
        <f aca="false">SUM(F16:F165)</f>
        <v>0</v>
      </c>
      <c r="G166" s="41" t="n">
        <f aca="false">SUM(G16:G165)</f>
        <v>10000</v>
      </c>
      <c r="H166" s="41" t="n">
        <f aca="false">SUM(H16:H165)</f>
        <v>2000</v>
      </c>
      <c r="I166" s="41" t="n">
        <f aca="false">SUM(I16:I165)</f>
        <v>0</v>
      </c>
      <c r="J166" s="41" t="n">
        <f aca="false">SUM(J16:J165)</f>
        <v>12000</v>
      </c>
      <c r="K166" s="41" t="n">
        <f aca="false">SUM(K16:K165)</f>
        <v>0</v>
      </c>
      <c r="L166" s="41" t="n">
        <f aca="false">SUM(L16:L165)</f>
        <v>0</v>
      </c>
      <c r="M166" s="41" t="n">
        <f aca="false">SUM(M16:M165)</f>
        <v>0</v>
      </c>
      <c r="N166" s="41" t="n">
        <f aca="false">SUM(N16:N165)</f>
        <v>0</v>
      </c>
      <c r="O166" s="41" t="n">
        <f aca="false">SUM(O16:O165)</f>
        <v>8000</v>
      </c>
      <c r="P166" s="41" t="n">
        <f aca="false">SUM(P16:P165)</f>
        <v>1500</v>
      </c>
      <c r="Q166" s="41" t="n">
        <f aca="false">SUM(Q16:Q165)</f>
        <v>0</v>
      </c>
      <c r="R166" s="41" t="n">
        <f aca="false">SUM(R16:R165)</f>
        <v>9500</v>
      </c>
      <c r="S166" s="41" t="n">
        <f aca="false">SUM(S16:S165)</f>
        <v>0</v>
      </c>
      <c r="T166" s="41" t="n">
        <f aca="false">SUM(T16:T165)</f>
        <v>0</v>
      </c>
      <c r="U166" s="41" t="n">
        <f aca="false">SUM(U16:U165)</f>
        <v>0</v>
      </c>
      <c r="V166" s="41" t="n">
        <f aca="false">SUM(V16:V165)</f>
        <v>0</v>
      </c>
      <c r="W166" s="41" t="n">
        <f aca="false">SUM(W16:W165)</f>
        <v>0</v>
      </c>
      <c r="X166" s="41" t="n">
        <f aca="false">SUM(X16:X165)</f>
        <v>0</v>
      </c>
      <c r="Y166" s="41" t="n">
        <f aca="false">SUM(Y16:Y165)</f>
        <v>0</v>
      </c>
      <c r="Z166" s="41" t="n">
        <f aca="false">SUM(Z16:Z165)</f>
        <v>0</v>
      </c>
      <c r="AA166" s="41" t="n">
        <f aca="false">SUM(AA16:AA165)</f>
        <v>0</v>
      </c>
      <c r="AB166" s="41" t="n">
        <f aca="false">SUM(AB16:AB165)</f>
        <v>21500</v>
      </c>
      <c r="AC166" s="43"/>
    </row>
  </sheetData>
  <mergeCells count="34">
    <mergeCell ref="A1:AC1"/>
    <mergeCell ref="A2:AC2"/>
    <mergeCell ref="B4:I4"/>
    <mergeCell ref="K4:N4"/>
    <mergeCell ref="C5:D5"/>
    <mergeCell ref="K5:M5"/>
    <mergeCell ref="P5:R5"/>
    <mergeCell ref="T5:V5"/>
    <mergeCell ref="X5:Z5"/>
    <mergeCell ref="C6:D6"/>
    <mergeCell ref="K6:M6"/>
    <mergeCell ref="P6:R7"/>
    <mergeCell ref="T6:V7"/>
    <mergeCell ref="X6:Z7"/>
    <mergeCell ref="C7:D7"/>
    <mergeCell ref="K7:M7"/>
    <mergeCell ref="C8:D8"/>
    <mergeCell ref="K8:M8"/>
    <mergeCell ref="C9:D9"/>
    <mergeCell ref="P9:Z9"/>
    <mergeCell ref="C10:D10"/>
    <mergeCell ref="K10:M10"/>
    <mergeCell ref="C11:D11"/>
    <mergeCell ref="K11:N11"/>
    <mergeCell ref="C12:D12"/>
    <mergeCell ref="A14:B14"/>
    <mergeCell ref="C14:F14"/>
    <mergeCell ref="G14:J14"/>
    <mergeCell ref="K14:N14"/>
    <mergeCell ref="O14:R14"/>
    <mergeCell ref="S14:V14"/>
    <mergeCell ref="W14:Z14"/>
    <mergeCell ref="AA14:AC14"/>
    <mergeCell ref="A166:B166"/>
  </mergeCells>
  <conditionalFormatting sqref="AC16:AC165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F16:F165 J16:J165 N16:N165 R16:R165 V16:V165 Z16:Z165 AB16:AB165">
    <cfRule type="cellIs" priority="5" operator="greaterThan" aboveAverage="0" equalAverage="0" bottom="0" percent="0" rank="0" text="" dxfId="0">
      <formula>0</formula>
    </cfRule>
  </conditionalFormatting>
  <conditionalFormatting sqref="N10"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AC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29" min="5" style="0" width="11.5"/>
  </cols>
  <sheetData>
    <row r="1" customFormat="false" ht="31.5" hidden="false" customHeight="true" outlineLevel="0" collapsed="false">
      <c r="A1" s="54" t="str">
        <f aca="false">UPPER(Setup!B3)</f>
        <v>FUTURE TALENT ACADEMY JAMSHORO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customFormat="false" ht="21.75" hidden="false" customHeight="true" outlineLevel="0" collapsed="false">
      <c r="A2" s="55" t="s">
        <v>109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customFormat="false" ht="15" hidden="false" customHeight="true" outlineLevel="0" collapsed="false">
      <c r="B4" s="4" t="s">
        <v>82</v>
      </c>
      <c r="C4" s="4"/>
      <c r="D4" s="4"/>
      <c r="E4" s="4"/>
      <c r="F4" s="4"/>
      <c r="G4" s="4"/>
      <c r="H4" s="4"/>
      <c r="I4" s="4"/>
      <c r="K4" s="28" t="s">
        <v>83</v>
      </c>
      <c r="L4" s="28"/>
      <c r="M4" s="28"/>
      <c r="N4" s="28"/>
    </row>
    <row r="5" customFormat="false" ht="22.35" hidden="false" customHeight="true" outlineLevel="0" collapsed="false">
      <c r="B5" s="56" t="s">
        <v>76</v>
      </c>
      <c r="C5" s="56" t="s">
        <v>77</v>
      </c>
      <c r="D5" s="56"/>
      <c r="E5" s="56" t="s">
        <v>84</v>
      </c>
      <c r="F5" s="56" t="s">
        <v>85</v>
      </c>
      <c r="G5" s="56" t="s">
        <v>5</v>
      </c>
      <c r="H5" s="56" t="s">
        <v>6</v>
      </c>
      <c r="I5" s="56" t="s">
        <v>86</v>
      </c>
      <c r="K5" s="57" t="s">
        <v>87</v>
      </c>
      <c r="L5" s="57"/>
      <c r="M5" s="57"/>
      <c r="N5" s="58" t="n">
        <f aca="false">H12</f>
        <v>0</v>
      </c>
      <c r="P5" s="59" t="s">
        <v>88</v>
      </c>
      <c r="Q5" s="59"/>
      <c r="R5" s="59"/>
      <c r="T5" s="60" t="s">
        <v>89</v>
      </c>
      <c r="U5" s="60"/>
      <c r="V5" s="60"/>
      <c r="X5" s="61" t="s">
        <v>90</v>
      </c>
      <c r="Y5" s="61"/>
      <c r="Z5" s="61"/>
    </row>
    <row r="6" customFormat="false" ht="15" hidden="false" customHeight="true" outlineLevel="0" collapsed="false">
      <c r="B6" s="62" t="str">
        <f aca="false">Setup!A6</f>
        <v>English</v>
      </c>
      <c r="C6" s="63" t="str">
        <f aca="false">Setup!B6</f>
        <v>Sir Sajjad Ali Birhmani</v>
      </c>
      <c r="D6" s="63"/>
      <c r="E6" s="64" t="n">
        <f aca="false">D166</f>
        <v>0</v>
      </c>
      <c r="F6" s="58" t="n">
        <f aca="false">E166</f>
        <v>0</v>
      </c>
      <c r="G6" s="65" t="n">
        <f aca="false">F6*Setup!C6</f>
        <v>0</v>
      </c>
      <c r="H6" s="66" t="n">
        <f aca="false">F6-G6</f>
        <v>0</v>
      </c>
      <c r="I6" s="67" t="n">
        <f aca="false">F166</f>
        <v>0</v>
      </c>
      <c r="K6" s="57" t="s">
        <v>91</v>
      </c>
      <c r="L6" s="57"/>
      <c r="M6" s="57"/>
      <c r="N6" s="65" t="n">
        <f aca="false">SUMIFS(Administration!$G$5:$G$304,Administration!$C$5:$C$304,"May 2027",Administration!$D$5:$D$304,"Other Income")</f>
        <v>0</v>
      </c>
      <c r="P6" s="68" t="n">
        <f aca="false">F12</f>
        <v>0</v>
      </c>
      <c r="Q6" s="68"/>
      <c r="R6" s="68"/>
      <c r="T6" s="69" t="n">
        <f aca="false">G12</f>
        <v>0</v>
      </c>
      <c r="U6" s="69"/>
      <c r="V6" s="69"/>
      <c r="X6" s="70" t="n">
        <f aca="false">I12</f>
        <v>25000</v>
      </c>
      <c r="Y6" s="70"/>
      <c r="Z6" s="70"/>
    </row>
    <row r="7" customFormat="false" ht="15" hidden="false" customHeight="true" outlineLevel="0" collapsed="false">
      <c r="B7" s="71" t="str">
        <f aca="false">Setup!A7</f>
        <v>Computer</v>
      </c>
      <c r="C7" s="63" t="str">
        <f aca="false">Setup!B7</f>
        <v>Sir Nazeer Ahmed Jamali</v>
      </c>
      <c r="D7" s="63"/>
      <c r="E7" s="64" t="n">
        <f aca="false">H166</f>
        <v>2000</v>
      </c>
      <c r="F7" s="58" t="n">
        <f aca="false">I166</f>
        <v>0</v>
      </c>
      <c r="G7" s="65" t="n">
        <f aca="false">F7*Setup!C7</f>
        <v>0</v>
      </c>
      <c r="H7" s="66" t="n">
        <f aca="false">F7-G7</f>
        <v>0</v>
      </c>
      <c r="I7" s="67" t="n">
        <f aca="false">J166</f>
        <v>14000</v>
      </c>
      <c r="K7" s="57" t="s">
        <v>92</v>
      </c>
      <c r="L7" s="57"/>
      <c r="M7" s="57"/>
      <c r="N7" s="72" t="n">
        <f aca="false">SUMIFS(Administration!$G$5:$G$304,Administration!$C$5:$C$304,"May 2027",Administration!$D$5:$D$304,"Expense")</f>
        <v>0</v>
      </c>
      <c r="P7" s="68"/>
      <c r="Q7" s="68"/>
      <c r="R7" s="68"/>
      <c r="T7" s="69"/>
      <c r="U7" s="69"/>
      <c r="V7" s="69"/>
      <c r="X7" s="70"/>
      <c r="Y7" s="70"/>
      <c r="Z7" s="70"/>
    </row>
    <row r="8" customFormat="false" ht="15" hidden="false" customHeight="true" outlineLevel="0" collapsed="false">
      <c r="B8" s="73" t="str">
        <f aca="false">Setup!A8</f>
        <v>Biology</v>
      </c>
      <c r="C8" s="63" t="str">
        <f aca="false">Setup!B8</f>
        <v>Sir Azhar Ali Chandio</v>
      </c>
      <c r="D8" s="63"/>
      <c r="E8" s="64" t="n">
        <f aca="false">L166</f>
        <v>0</v>
      </c>
      <c r="F8" s="58" t="n">
        <f aca="false">M166</f>
        <v>0</v>
      </c>
      <c r="G8" s="65" t="n">
        <f aca="false">F8*Setup!C8</f>
        <v>0</v>
      </c>
      <c r="H8" s="66" t="n">
        <f aca="false">F8-G8</f>
        <v>0</v>
      </c>
      <c r="I8" s="67" t="n">
        <f aca="false">N166</f>
        <v>0</v>
      </c>
      <c r="K8" s="57" t="s">
        <v>93</v>
      </c>
      <c r="L8" s="57"/>
      <c r="M8" s="57"/>
      <c r="N8" s="72" t="n">
        <f aca="false">SUMIFS(Administration!$G$5:$G$304,Administration!$C$5:$C$304,"May 2027",Administration!$D$5:$D$304,"Investment")</f>
        <v>0</v>
      </c>
    </row>
    <row r="9" customFormat="false" ht="15" hidden="false" customHeight="false" outlineLevel="0" collapsed="false">
      <c r="B9" s="74" t="str">
        <f aca="false">Setup!A9</f>
        <v>Math</v>
      </c>
      <c r="C9" s="63" t="str">
        <f aca="false">Setup!B9</f>
        <v>Sir M. Faheem</v>
      </c>
      <c r="D9" s="63"/>
      <c r="E9" s="64" t="n">
        <f aca="false">P166</f>
        <v>1500</v>
      </c>
      <c r="F9" s="58" t="n">
        <f aca="false">Q166</f>
        <v>0</v>
      </c>
      <c r="G9" s="65" t="n">
        <f aca="false">F9*Setup!C9</f>
        <v>0</v>
      </c>
      <c r="H9" s="66" t="n">
        <f aca="false">F9-G9</f>
        <v>0</v>
      </c>
      <c r="I9" s="67" t="n">
        <f aca="false">R166</f>
        <v>11000</v>
      </c>
      <c r="P9" s="75" t="str">
        <f aca="false">COUNTIF(AC16:AC165,"Clear")&amp;" students fully paid   •   "&amp;(COUNTIF(AC16:AC165,"Due")+COUNTIF(AC16:AC165,"Partial"))&amp;" students with dues"</f>
        <v>0 students fully paid   •   1 students with dues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15" hidden="false" customHeight="true" outlineLevel="0" collapsed="false">
      <c r="B10" s="76" t="str">
        <f aca="false">Setup!A10</f>
        <v>Kids Coaching (Class 1)</v>
      </c>
      <c r="C10" s="63" t="str">
        <f aca="false">Setup!B10</f>
        <v>Miss Farzana</v>
      </c>
      <c r="D10" s="63"/>
      <c r="E10" s="64" t="n">
        <f aca="false">T166</f>
        <v>0</v>
      </c>
      <c r="F10" s="58" t="n">
        <f aca="false">U166</f>
        <v>0</v>
      </c>
      <c r="G10" s="65" t="n">
        <f aca="false">F10*Setup!C10</f>
        <v>0</v>
      </c>
      <c r="H10" s="66" t="n">
        <f aca="false">F10-G10</f>
        <v>0</v>
      </c>
      <c r="I10" s="67" t="n">
        <f aca="false">V166</f>
        <v>0</v>
      </c>
      <c r="K10" s="77" t="s">
        <v>59</v>
      </c>
      <c r="L10" s="77"/>
      <c r="M10" s="77"/>
      <c r="N10" s="78" t="n">
        <f aca="false">N5+N6-N7-N8</f>
        <v>0</v>
      </c>
    </row>
    <row r="11" customFormat="false" ht="15" hidden="false" customHeight="true" outlineLevel="0" collapsed="false">
      <c r="B11" s="79" t="str">
        <f aca="false">Setup!A11</f>
        <v>Kids Coaching (Class 2)</v>
      </c>
      <c r="C11" s="63" t="str">
        <f aca="false">Setup!B11</f>
        <v>Miss Fozia</v>
      </c>
      <c r="D11" s="63"/>
      <c r="E11" s="64" t="n">
        <f aca="false">X166</f>
        <v>0</v>
      </c>
      <c r="F11" s="58" t="n">
        <f aca="false">Y166</f>
        <v>0</v>
      </c>
      <c r="G11" s="65" t="n">
        <f aca="false">F11*Setup!C11</f>
        <v>0</v>
      </c>
      <c r="H11" s="66" t="n">
        <f aca="false">F11-G11</f>
        <v>0</v>
      </c>
      <c r="I11" s="67" t="n">
        <f aca="false">Z166</f>
        <v>0</v>
      </c>
      <c r="K11" s="53" t="s">
        <v>94</v>
      </c>
      <c r="L11" s="53"/>
      <c r="M11" s="53"/>
      <c r="N11" s="53"/>
    </row>
    <row r="12" customFormat="false" ht="15" hidden="false" customHeight="false" outlineLevel="0" collapsed="false">
      <c r="B12" s="40" t="s">
        <v>79</v>
      </c>
      <c r="C12" s="43"/>
      <c r="D12" s="43"/>
      <c r="E12" s="41" t="n">
        <f aca="false">SUM(E6:E11)</f>
        <v>3500</v>
      </c>
      <c r="F12" s="41" t="n">
        <f aca="false">SUM(F6:F11)</f>
        <v>0</v>
      </c>
      <c r="G12" s="41" t="n">
        <f aca="false">SUM(G6:G11)</f>
        <v>0</v>
      </c>
      <c r="H12" s="41" t="n">
        <f aca="false">SUM(H6:H11)</f>
        <v>0</v>
      </c>
      <c r="I12" s="41" t="n">
        <f aca="false">SUM(I6:I11)</f>
        <v>25000</v>
      </c>
    </row>
    <row r="14" customFormat="false" ht="25.5" hidden="false" customHeight="true" outlineLevel="0" collapsed="false">
      <c r="A14" s="4" t="s">
        <v>28</v>
      </c>
      <c r="B14" s="4"/>
      <c r="C14" s="14" t="str">
        <f aca="false">Setup!A6&amp;" — "&amp;Setup!B6</f>
        <v>English — Sir Sajjad Ali Birhmani</v>
      </c>
      <c r="D14" s="14"/>
      <c r="E14" s="14"/>
      <c r="F14" s="14"/>
      <c r="G14" s="15" t="str">
        <f aca="false">Setup!A7&amp;" — "&amp;Setup!B7</f>
        <v>Computer — Sir Nazeer Ahmed Jamali</v>
      </c>
      <c r="H14" s="15"/>
      <c r="I14" s="15"/>
      <c r="J14" s="15"/>
      <c r="K14" s="16" t="str">
        <f aca="false">Setup!A8&amp;" — "&amp;Setup!B8</f>
        <v>Biology — Sir Azhar Ali Chandio</v>
      </c>
      <c r="L14" s="16"/>
      <c r="M14" s="16"/>
      <c r="N14" s="16"/>
      <c r="O14" s="17" t="str">
        <f aca="false">Setup!A9&amp;" — "&amp;Setup!B9</f>
        <v>Math — Sir M. Faheem</v>
      </c>
      <c r="P14" s="17"/>
      <c r="Q14" s="17"/>
      <c r="R14" s="17"/>
      <c r="S14" s="18" t="str">
        <f aca="false">Setup!A10&amp;" — "&amp;Setup!B10</f>
        <v>Kids Coaching (Class 1) — Miss Farzana</v>
      </c>
      <c r="T14" s="18"/>
      <c r="U14" s="18"/>
      <c r="V14" s="18"/>
      <c r="W14" s="19" t="str">
        <f aca="false">Setup!A11&amp;" — "&amp;Setup!B11</f>
        <v>Kids Coaching (Class 2) — Miss Fozia</v>
      </c>
      <c r="X14" s="19"/>
      <c r="Y14" s="19"/>
      <c r="Z14" s="19"/>
      <c r="AA14" s="80" t="s">
        <v>95</v>
      </c>
      <c r="AB14" s="80"/>
      <c r="AC14" s="80"/>
    </row>
    <row r="15" customFormat="false" ht="30" hidden="false" customHeight="true" outlineLevel="0" collapsed="false">
      <c r="A15" s="13" t="s">
        <v>30</v>
      </c>
      <c r="B15" s="13" t="s">
        <v>31</v>
      </c>
      <c r="C15" s="14" t="s">
        <v>96</v>
      </c>
      <c r="D15" s="14" t="s">
        <v>97</v>
      </c>
      <c r="E15" s="14" t="s">
        <v>98</v>
      </c>
      <c r="F15" s="14" t="s">
        <v>99</v>
      </c>
      <c r="G15" s="15" t="s">
        <v>96</v>
      </c>
      <c r="H15" s="15" t="s">
        <v>97</v>
      </c>
      <c r="I15" s="15" t="s">
        <v>98</v>
      </c>
      <c r="J15" s="15" t="s">
        <v>99</v>
      </c>
      <c r="K15" s="16" t="s">
        <v>96</v>
      </c>
      <c r="L15" s="16" t="s">
        <v>97</v>
      </c>
      <c r="M15" s="16" t="s">
        <v>98</v>
      </c>
      <c r="N15" s="16" t="s">
        <v>99</v>
      </c>
      <c r="O15" s="17" t="s">
        <v>96</v>
      </c>
      <c r="P15" s="17" t="s">
        <v>97</v>
      </c>
      <c r="Q15" s="17" t="s">
        <v>98</v>
      </c>
      <c r="R15" s="17" t="s">
        <v>99</v>
      </c>
      <c r="S15" s="18" t="s">
        <v>96</v>
      </c>
      <c r="T15" s="18" t="s">
        <v>97</v>
      </c>
      <c r="U15" s="18" t="s">
        <v>98</v>
      </c>
      <c r="V15" s="18" t="s">
        <v>99</v>
      </c>
      <c r="W15" s="19" t="s">
        <v>96</v>
      </c>
      <c r="X15" s="19" t="s">
        <v>97</v>
      </c>
      <c r="Y15" s="19" t="s">
        <v>98</v>
      </c>
      <c r="Z15" s="19" t="s">
        <v>99</v>
      </c>
      <c r="AA15" s="20" t="s">
        <v>100</v>
      </c>
      <c r="AB15" s="20" t="s">
        <v>101</v>
      </c>
      <c r="AC15" s="20" t="s">
        <v>102</v>
      </c>
    </row>
    <row r="16" customFormat="false" ht="15" hidden="false" customHeight="false" outlineLevel="0" collapsed="false">
      <c r="A16" s="21" t="n">
        <v>1</v>
      </c>
      <c r="B16" s="46" t="str">
        <f aca="false">IF(Students!B5="","",Students!B5)</f>
        <v>Ali (example)</v>
      </c>
      <c r="C16" s="33" t="n">
        <f aca="false">'Apr 2027'!F16</f>
        <v>0</v>
      </c>
      <c r="D16" s="33" t="n">
        <f aca="false">IF(B16="",0,N(Students!E5))</f>
        <v>0</v>
      </c>
      <c r="E16" s="23"/>
      <c r="F16" s="24" t="n">
        <f aca="false">N(C16)+N(D16)-N(E16)</f>
        <v>0</v>
      </c>
      <c r="G16" s="33" t="n">
        <f aca="false">'Apr 2027'!J16</f>
        <v>12000</v>
      </c>
      <c r="H16" s="33" t="n">
        <f aca="false">IF(B16="",0,N(Students!F5))</f>
        <v>2000</v>
      </c>
      <c r="I16" s="23"/>
      <c r="J16" s="24" t="n">
        <f aca="false">N(G16)+N(H16)-N(I16)</f>
        <v>14000</v>
      </c>
      <c r="K16" s="33" t="n">
        <f aca="false">'Apr 2027'!N16</f>
        <v>0</v>
      </c>
      <c r="L16" s="33" t="n">
        <f aca="false">IF(B16="",0,N(Students!G5))</f>
        <v>0</v>
      </c>
      <c r="M16" s="23"/>
      <c r="N16" s="24" t="n">
        <f aca="false">N(K16)+N(L16)-N(M16)</f>
        <v>0</v>
      </c>
      <c r="O16" s="33" t="n">
        <f aca="false">'Apr 2027'!R16</f>
        <v>9500</v>
      </c>
      <c r="P16" s="33" t="n">
        <f aca="false">IF(B16="",0,N(Students!H5))</f>
        <v>1500</v>
      </c>
      <c r="Q16" s="23"/>
      <c r="R16" s="24" t="n">
        <f aca="false">N(O16)+N(P16)-N(Q16)</f>
        <v>11000</v>
      </c>
      <c r="S16" s="33" t="n">
        <f aca="false">'Apr 2027'!V16</f>
        <v>0</v>
      </c>
      <c r="T16" s="33" t="n">
        <f aca="false">IF(B16="",0,N(Students!I5))</f>
        <v>0</v>
      </c>
      <c r="U16" s="23"/>
      <c r="V16" s="24" t="n">
        <f aca="false">N(S16)+N(T16)-N(U16)</f>
        <v>0</v>
      </c>
      <c r="W16" s="33" t="n">
        <f aca="false">'Apr 2027'!Z16</f>
        <v>0</v>
      </c>
      <c r="X16" s="33" t="n">
        <f aca="false">IF(B16="",0,N(Students!J5))</f>
        <v>0</v>
      </c>
      <c r="Y16" s="23"/>
      <c r="Z16" s="24" t="n">
        <f aca="false">N(W16)+N(X16)-N(Y16)</f>
        <v>0</v>
      </c>
      <c r="AA16" s="33" t="n">
        <f aca="false">N(E16)+N(I16)+N(M16)+N(Q16)+N(U16)+N(Y16)</f>
        <v>0</v>
      </c>
      <c r="AB16" s="24" t="n">
        <f aca="false">F16+J16+N16+R16+V16+Z16</f>
        <v>25000</v>
      </c>
      <c r="AC16" s="81" t="str">
        <f aca="false">IF(B16="","",IF(AB16&lt;=0,"Clear",IF(AA16&gt;0,"Partial","Due")))</f>
        <v>Due</v>
      </c>
    </row>
    <row r="17" customFormat="false" ht="15" hidden="false" customHeight="false" outlineLevel="0" collapsed="false">
      <c r="A17" s="25" t="n">
        <v>2</v>
      </c>
      <c r="B17" s="82" t="str">
        <f aca="false">IF(Students!B6="","",Students!B6)</f>
        <v/>
      </c>
      <c r="C17" s="37" t="n">
        <f aca="false">'Apr 2027'!F17</f>
        <v>0</v>
      </c>
      <c r="D17" s="37" t="n">
        <f aca="false">IF(B17="",0,N(Students!E6))</f>
        <v>0</v>
      </c>
      <c r="E17" s="23"/>
      <c r="F17" s="26" t="n">
        <f aca="false">N(C17)+N(D17)-N(E17)</f>
        <v>0</v>
      </c>
      <c r="G17" s="37" t="n">
        <f aca="false">'Apr 2027'!J17</f>
        <v>0</v>
      </c>
      <c r="H17" s="37" t="n">
        <f aca="false">IF(B17="",0,N(Students!F6))</f>
        <v>0</v>
      </c>
      <c r="I17" s="23"/>
      <c r="J17" s="26" t="n">
        <f aca="false">N(G17)+N(H17)-N(I17)</f>
        <v>0</v>
      </c>
      <c r="K17" s="37" t="n">
        <f aca="false">'Apr 2027'!N17</f>
        <v>0</v>
      </c>
      <c r="L17" s="37" t="n">
        <f aca="false">IF(B17="",0,N(Students!G6))</f>
        <v>0</v>
      </c>
      <c r="M17" s="23"/>
      <c r="N17" s="26" t="n">
        <f aca="false">N(K17)+N(L17)-N(M17)</f>
        <v>0</v>
      </c>
      <c r="O17" s="37" t="n">
        <f aca="false">'Apr 2027'!R17</f>
        <v>0</v>
      </c>
      <c r="P17" s="37" t="n">
        <f aca="false">IF(B17="",0,N(Students!H6))</f>
        <v>0</v>
      </c>
      <c r="Q17" s="23"/>
      <c r="R17" s="26" t="n">
        <f aca="false">N(O17)+N(P17)-N(Q17)</f>
        <v>0</v>
      </c>
      <c r="S17" s="37" t="n">
        <f aca="false">'Apr 2027'!V17</f>
        <v>0</v>
      </c>
      <c r="T17" s="37" t="n">
        <f aca="false">IF(B17="",0,N(Students!I6))</f>
        <v>0</v>
      </c>
      <c r="U17" s="23"/>
      <c r="V17" s="26" t="n">
        <f aca="false">N(S17)+N(T17)-N(U17)</f>
        <v>0</v>
      </c>
      <c r="W17" s="37" t="n">
        <f aca="false">'Apr 2027'!Z17</f>
        <v>0</v>
      </c>
      <c r="X17" s="37" t="n">
        <f aca="false">IF(B17="",0,N(Students!J6))</f>
        <v>0</v>
      </c>
      <c r="Y17" s="23"/>
      <c r="Z17" s="26" t="n">
        <f aca="false">N(W17)+N(X17)-N(Y17)</f>
        <v>0</v>
      </c>
      <c r="AA17" s="37" t="n">
        <f aca="false">N(E17)+N(I17)+N(M17)+N(Q17)+N(U17)+N(Y17)</f>
        <v>0</v>
      </c>
      <c r="AB17" s="26" t="n">
        <f aca="false">F17+J17+N17+R17+V17+Z17</f>
        <v>0</v>
      </c>
      <c r="AC17" s="83" t="str">
        <f aca="false">IF(B17="","",IF(AB17&lt;=0,"Clear",IF(AA17&gt;0,"Partial","Due")))</f>
        <v/>
      </c>
    </row>
    <row r="18" customFormat="false" ht="15" hidden="false" customHeight="false" outlineLevel="0" collapsed="false">
      <c r="A18" s="21" t="n">
        <v>3</v>
      </c>
      <c r="B18" s="46" t="str">
        <f aca="false">IF(Students!B7="","",Students!B7)</f>
        <v/>
      </c>
      <c r="C18" s="33" t="n">
        <f aca="false">'Apr 2027'!F18</f>
        <v>0</v>
      </c>
      <c r="D18" s="33" t="n">
        <f aca="false">IF(B18="",0,N(Students!E7))</f>
        <v>0</v>
      </c>
      <c r="E18" s="23"/>
      <c r="F18" s="24" t="n">
        <f aca="false">N(C18)+N(D18)-N(E18)</f>
        <v>0</v>
      </c>
      <c r="G18" s="33" t="n">
        <f aca="false">'Apr 2027'!J18</f>
        <v>0</v>
      </c>
      <c r="H18" s="33" t="n">
        <f aca="false">IF(B18="",0,N(Students!F7))</f>
        <v>0</v>
      </c>
      <c r="I18" s="23"/>
      <c r="J18" s="24" t="n">
        <f aca="false">N(G18)+N(H18)-N(I18)</f>
        <v>0</v>
      </c>
      <c r="K18" s="33" t="n">
        <f aca="false">'Apr 2027'!N18</f>
        <v>0</v>
      </c>
      <c r="L18" s="33" t="n">
        <f aca="false">IF(B18="",0,N(Students!G7))</f>
        <v>0</v>
      </c>
      <c r="M18" s="23"/>
      <c r="N18" s="24" t="n">
        <f aca="false">N(K18)+N(L18)-N(M18)</f>
        <v>0</v>
      </c>
      <c r="O18" s="33" t="n">
        <f aca="false">'Apr 2027'!R18</f>
        <v>0</v>
      </c>
      <c r="P18" s="33" t="n">
        <f aca="false">IF(B18="",0,N(Students!H7))</f>
        <v>0</v>
      </c>
      <c r="Q18" s="23"/>
      <c r="R18" s="24" t="n">
        <f aca="false">N(O18)+N(P18)-N(Q18)</f>
        <v>0</v>
      </c>
      <c r="S18" s="33" t="n">
        <f aca="false">'Apr 2027'!V18</f>
        <v>0</v>
      </c>
      <c r="T18" s="33" t="n">
        <f aca="false">IF(B18="",0,N(Students!I7))</f>
        <v>0</v>
      </c>
      <c r="U18" s="23"/>
      <c r="V18" s="24" t="n">
        <f aca="false">N(S18)+N(T18)-N(U18)</f>
        <v>0</v>
      </c>
      <c r="W18" s="33" t="n">
        <f aca="false">'Apr 2027'!Z18</f>
        <v>0</v>
      </c>
      <c r="X18" s="33" t="n">
        <f aca="false">IF(B18="",0,N(Students!J7))</f>
        <v>0</v>
      </c>
      <c r="Y18" s="23"/>
      <c r="Z18" s="24" t="n">
        <f aca="false">N(W18)+N(X18)-N(Y18)</f>
        <v>0</v>
      </c>
      <c r="AA18" s="33" t="n">
        <f aca="false">N(E18)+N(I18)+N(M18)+N(Q18)+N(U18)+N(Y18)</f>
        <v>0</v>
      </c>
      <c r="AB18" s="24" t="n">
        <f aca="false">F18+J18+N18+R18+V18+Z18</f>
        <v>0</v>
      </c>
      <c r="AC18" s="81" t="str">
        <f aca="false">IF(B18="","",IF(AB18&lt;=0,"Clear",IF(AA18&gt;0,"Partial","Due")))</f>
        <v/>
      </c>
    </row>
    <row r="19" customFormat="false" ht="15" hidden="false" customHeight="false" outlineLevel="0" collapsed="false">
      <c r="A19" s="25" t="n">
        <v>4</v>
      </c>
      <c r="B19" s="82" t="str">
        <f aca="false">IF(Students!B8="","",Students!B8)</f>
        <v/>
      </c>
      <c r="C19" s="37" t="n">
        <f aca="false">'Apr 2027'!F19</f>
        <v>0</v>
      </c>
      <c r="D19" s="37" t="n">
        <f aca="false">IF(B19="",0,N(Students!E8))</f>
        <v>0</v>
      </c>
      <c r="E19" s="23"/>
      <c r="F19" s="26" t="n">
        <f aca="false">N(C19)+N(D19)-N(E19)</f>
        <v>0</v>
      </c>
      <c r="G19" s="37" t="n">
        <f aca="false">'Apr 2027'!J19</f>
        <v>0</v>
      </c>
      <c r="H19" s="37" t="n">
        <f aca="false">IF(B19="",0,N(Students!F8))</f>
        <v>0</v>
      </c>
      <c r="I19" s="23"/>
      <c r="J19" s="26" t="n">
        <f aca="false">N(G19)+N(H19)-N(I19)</f>
        <v>0</v>
      </c>
      <c r="K19" s="37" t="n">
        <f aca="false">'Apr 2027'!N19</f>
        <v>0</v>
      </c>
      <c r="L19" s="37" t="n">
        <f aca="false">IF(B19="",0,N(Students!G8))</f>
        <v>0</v>
      </c>
      <c r="M19" s="23"/>
      <c r="N19" s="26" t="n">
        <f aca="false">N(K19)+N(L19)-N(M19)</f>
        <v>0</v>
      </c>
      <c r="O19" s="37" t="n">
        <f aca="false">'Apr 2027'!R19</f>
        <v>0</v>
      </c>
      <c r="P19" s="37" t="n">
        <f aca="false">IF(B19="",0,N(Students!H8))</f>
        <v>0</v>
      </c>
      <c r="Q19" s="23"/>
      <c r="R19" s="26" t="n">
        <f aca="false">N(O19)+N(P19)-N(Q19)</f>
        <v>0</v>
      </c>
      <c r="S19" s="37" t="n">
        <f aca="false">'Apr 2027'!V19</f>
        <v>0</v>
      </c>
      <c r="T19" s="37" t="n">
        <f aca="false">IF(B19="",0,N(Students!I8))</f>
        <v>0</v>
      </c>
      <c r="U19" s="23"/>
      <c r="V19" s="26" t="n">
        <f aca="false">N(S19)+N(T19)-N(U19)</f>
        <v>0</v>
      </c>
      <c r="W19" s="37" t="n">
        <f aca="false">'Apr 2027'!Z19</f>
        <v>0</v>
      </c>
      <c r="X19" s="37" t="n">
        <f aca="false">IF(B19="",0,N(Students!J8))</f>
        <v>0</v>
      </c>
      <c r="Y19" s="23"/>
      <c r="Z19" s="26" t="n">
        <f aca="false">N(W19)+N(X19)-N(Y19)</f>
        <v>0</v>
      </c>
      <c r="AA19" s="37" t="n">
        <f aca="false">N(E19)+N(I19)+N(M19)+N(Q19)+N(U19)+N(Y19)</f>
        <v>0</v>
      </c>
      <c r="AB19" s="26" t="n">
        <f aca="false">F19+J19+N19+R19+V19+Z19</f>
        <v>0</v>
      </c>
      <c r="AC19" s="83" t="str">
        <f aca="false">IF(B19="","",IF(AB19&lt;=0,"Clear",IF(AA19&gt;0,"Partial","Due")))</f>
        <v/>
      </c>
    </row>
    <row r="20" customFormat="false" ht="15" hidden="false" customHeight="false" outlineLevel="0" collapsed="false">
      <c r="A20" s="21" t="n">
        <v>5</v>
      </c>
      <c r="B20" s="46" t="str">
        <f aca="false">IF(Students!B9="","",Students!B9)</f>
        <v/>
      </c>
      <c r="C20" s="33" t="n">
        <f aca="false">'Apr 2027'!F20</f>
        <v>0</v>
      </c>
      <c r="D20" s="33" t="n">
        <f aca="false">IF(B20="",0,N(Students!E9))</f>
        <v>0</v>
      </c>
      <c r="E20" s="23"/>
      <c r="F20" s="24" t="n">
        <f aca="false">N(C20)+N(D20)-N(E20)</f>
        <v>0</v>
      </c>
      <c r="G20" s="33" t="n">
        <f aca="false">'Apr 2027'!J20</f>
        <v>0</v>
      </c>
      <c r="H20" s="33" t="n">
        <f aca="false">IF(B20="",0,N(Students!F9))</f>
        <v>0</v>
      </c>
      <c r="I20" s="23"/>
      <c r="J20" s="24" t="n">
        <f aca="false">N(G20)+N(H20)-N(I20)</f>
        <v>0</v>
      </c>
      <c r="K20" s="33" t="n">
        <f aca="false">'Apr 2027'!N20</f>
        <v>0</v>
      </c>
      <c r="L20" s="33" t="n">
        <f aca="false">IF(B20="",0,N(Students!G9))</f>
        <v>0</v>
      </c>
      <c r="M20" s="23"/>
      <c r="N20" s="24" t="n">
        <f aca="false">N(K20)+N(L20)-N(M20)</f>
        <v>0</v>
      </c>
      <c r="O20" s="33" t="n">
        <f aca="false">'Apr 2027'!R20</f>
        <v>0</v>
      </c>
      <c r="P20" s="33" t="n">
        <f aca="false">IF(B20="",0,N(Students!H9))</f>
        <v>0</v>
      </c>
      <c r="Q20" s="23"/>
      <c r="R20" s="24" t="n">
        <f aca="false">N(O20)+N(P20)-N(Q20)</f>
        <v>0</v>
      </c>
      <c r="S20" s="33" t="n">
        <f aca="false">'Apr 2027'!V20</f>
        <v>0</v>
      </c>
      <c r="T20" s="33" t="n">
        <f aca="false">IF(B20="",0,N(Students!I9))</f>
        <v>0</v>
      </c>
      <c r="U20" s="23"/>
      <c r="V20" s="24" t="n">
        <f aca="false">N(S20)+N(T20)-N(U20)</f>
        <v>0</v>
      </c>
      <c r="W20" s="33" t="n">
        <f aca="false">'Apr 2027'!Z20</f>
        <v>0</v>
      </c>
      <c r="X20" s="33" t="n">
        <f aca="false">IF(B20="",0,N(Students!J9))</f>
        <v>0</v>
      </c>
      <c r="Y20" s="23"/>
      <c r="Z20" s="24" t="n">
        <f aca="false">N(W20)+N(X20)-N(Y20)</f>
        <v>0</v>
      </c>
      <c r="AA20" s="33" t="n">
        <f aca="false">N(E20)+N(I20)+N(M20)+N(Q20)+N(U20)+N(Y20)</f>
        <v>0</v>
      </c>
      <c r="AB20" s="24" t="n">
        <f aca="false">F20+J20+N20+R20+V20+Z20</f>
        <v>0</v>
      </c>
      <c r="AC20" s="81" t="str">
        <f aca="false">IF(B20="","",IF(AB20&lt;=0,"Clear",IF(AA20&gt;0,"Partial","Due")))</f>
        <v/>
      </c>
    </row>
    <row r="21" customFormat="false" ht="15" hidden="false" customHeight="false" outlineLevel="0" collapsed="false">
      <c r="A21" s="25" t="n">
        <v>6</v>
      </c>
      <c r="B21" s="82" t="str">
        <f aca="false">IF(Students!B10="","",Students!B10)</f>
        <v/>
      </c>
      <c r="C21" s="37" t="n">
        <f aca="false">'Apr 2027'!F21</f>
        <v>0</v>
      </c>
      <c r="D21" s="37" t="n">
        <f aca="false">IF(B21="",0,N(Students!E10))</f>
        <v>0</v>
      </c>
      <c r="E21" s="23"/>
      <c r="F21" s="26" t="n">
        <f aca="false">N(C21)+N(D21)-N(E21)</f>
        <v>0</v>
      </c>
      <c r="G21" s="37" t="n">
        <f aca="false">'Apr 2027'!J21</f>
        <v>0</v>
      </c>
      <c r="H21" s="37" t="n">
        <f aca="false">IF(B21="",0,N(Students!F10))</f>
        <v>0</v>
      </c>
      <c r="I21" s="23"/>
      <c r="J21" s="26" t="n">
        <f aca="false">N(G21)+N(H21)-N(I21)</f>
        <v>0</v>
      </c>
      <c r="K21" s="37" t="n">
        <f aca="false">'Apr 2027'!N21</f>
        <v>0</v>
      </c>
      <c r="L21" s="37" t="n">
        <f aca="false">IF(B21="",0,N(Students!G10))</f>
        <v>0</v>
      </c>
      <c r="M21" s="23"/>
      <c r="N21" s="26" t="n">
        <f aca="false">N(K21)+N(L21)-N(M21)</f>
        <v>0</v>
      </c>
      <c r="O21" s="37" t="n">
        <f aca="false">'Apr 2027'!R21</f>
        <v>0</v>
      </c>
      <c r="P21" s="37" t="n">
        <f aca="false">IF(B21="",0,N(Students!H10))</f>
        <v>0</v>
      </c>
      <c r="Q21" s="23"/>
      <c r="R21" s="26" t="n">
        <f aca="false">N(O21)+N(P21)-N(Q21)</f>
        <v>0</v>
      </c>
      <c r="S21" s="37" t="n">
        <f aca="false">'Apr 2027'!V21</f>
        <v>0</v>
      </c>
      <c r="T21" s="37" t="n">
        <f aca="false">IF(B21="",0,N(Students!I10))</f>
        <v>0</v>
      </c>
      <c r="U21" s="23"/>
      <c r="V21" s="26" t="n">
        <f aca="false">N(S21)+N(T21)-N(U21)</f>
        <v>0</v>
      </c>
      <c r="W21" s="37" t="n">
        <f aca="false">'Apr 2027'!Z21</f>
        <v>0</v>
      </c>
      <c r="X21" s="37" t="n">
        <f aca="false">IF(B21="",0,N(Students!J10))</f>
        <v>0</v>
      </c>
      <c r="Y21" s="23"/>
      <c r="Z21" s="26" t="n">
        <f aca="false">N(W21)+N(X21)-N(Y21)</f>
        <v>0</v>
      </c>
      <c r="AA21" s="37" t="n">
        <f aca="false">N(E21)+N(I21)+N(M21)+N(Q21)+N(U21)+N(Y21)</f>
        <v>0</v>
      </c>
      <c r="AB21" s="26" t="n">
        <f aca="false">F21+J21+N21+R21+V21+Z21</f>
        <v>0</v>
      </c>
      <c r="AC21" s="83" t="str">
        <f aca="false">IF(B21="","",IF(AB21&lt;=0,"Clear",IF(AA21&gt;0,"Partial","Due")))</f>
        <v/>
      </c>
    </row>
    <row r="22" customFormat="false" ht="15" hidden="false" customHeight="false" outlineLevel="0" collapsed="false">
      <c r="A22" s="21" t="n">
        <v>7</v>
      </c>
      <c r="B22" s="46" t="str">
        <f aca="false">IF(Students!B11="","",Students!B11)</f>
        <v/>
      </c>
      <c r="C22" s="33" t="n">
        <f aca="false">'Apr 2027'!F22</f>
        <v>0</v>
      </c>
      <c r="D22" s="33" t="n">
        <f aca="false">IF(B22="",0,N(Students!E11))</f>
        <v>0</v>
      </c>
      <c r="E22" s="23"/>
      <c r="F22" s="24" t="n">
        <f aca="false">N(C22)+N(D22)-N(E22)</f>
        <v>0</v>
      </c>
      <c r="G22" s="33" t="n">
        <f aca="false">'Apr 2027'!J22</f>
        <v>0</v>
      </c>
      <c r="H22" s="33" t="n">
        <f aca="false">IF(B22="",0,N(Students!F11))</f>
        <v>0</v>
      </c>
      <c r="I22" s="23"/>
      <c r="J22" s="24" t="n">
        <f aca="false">N(G22)+N(H22)-N(I22)</f>
        <v>0</v>
      </c>
      <c r="K22" s="33" t="n">
        <f aca="false">'Apr 2027'!N22</f>
        <v>0</v>
      </c>
      <c r="L22" s="33" t="n">
        <f aca="false">IF(B22="",0,N(Students!G11))</f>
        <v>0</v>
      </c>
      <c r="M22" s="23"/>
      <c r="N22" s="24" t="n">
        <f aca="false">N(K22)+N(L22)-N(M22)</f>
        <v>0</v>
      </c>
      <c r="O22" s="33" t="n">
        <f aca="false">'Apr 2027'!R22</f>
        <v>0</v>
      </c>
      <c r="P22" s="33" t="n">
        <f aca="false">IF(B22="",0,N(Students!H11))</f>
        <v>0</v>
      </c>
      <c r="Q22" s="23"/>
      <c r="R22" s="24" t="n">
        <f aca="false">N(O22)+N(P22)-N(Q22)</f>
        <v>0</v>
      </c>
      <c r="S22" s="33" t="n">
        <f aca="false">'Apr 2027'!V22</f>
        <v>0</v>
      </c>
      <c r="T22" s="33" t="n">
        <f aca="false">IF(B22="",0,N(Students!I11))</f>
        <v>0</v>
      </c>
      <c r="U22" s="23"/>
      <c r="V22" s="24" t="n">
        <f aca="false">N(S22)+N(T22)-N(U22)</f>
        <v>0</v>
      </c>
      <c r="W22" s="33" t="n">
        <f aca="false">'Apr 2027'!Z22</f>
        <v>0</v>
      </c>
      <c r="X22" s="33" t="n">
        <f aca="false">IF(B22="",0,N(Students!J11))</f>
        <v>0</v>
      </c>
      <c r="Y22" s="23"/>
      <c r="Z22" s="24" t="n">
        <f aca="false">N(W22)+N(X22)-N(Y22)</f>
        <v>0</v>
      </c>
      <c r="AA22" s="33" t="n">
        <f aca="false">N(E22)+N(I22)+N(M22)+N(Q22)+N(U22)+N(Y22)</f>
        <v>0</v>
      </c>
      <c r="AB22" s="24" t="n">
        <f aca="false">F22+J22+N22+R22+V22+Z22</f>
        <v>0</v>
      </c>
      <c r="AC22" s="81" t="str">
        <f aca="false">IF(B22="","",IF(AB22&lt;=0,"Clear",IF(AA22&gt;0,"Partial","Due")))</f>
        <v/>
      </c>
    </row>
    <row r="23" customFormat="false" ht="15" hidden="false" customHeight="false" outlineLevel="0" collapsed="false">
      <c r="A23" s="25" t="n">
        <v>8</v>
      </c>
      <c r="B23" s="82" t="str">
        <f aca="false">IF(Students!B12="","",Students!B12)</f>
        <v/>
      </c>
      <c r="C23" s="37" t="n">
        <f aca="false">'Apr 2027'!F23</f>
        <v>0</v>
      </c>
      <c r="D23" s="37" t="n">
        <f aca="false">IF(B23="",0,N(Students!E12))</f>
        <v>0</v>
      </c>
      <c r="E23" s="23"/>
      <c r="F23" s="26" t="n">
        <f aca="false">N(C23)+N(D23)-N(E23)</f>
        <v>0</v>
      </c>
      <c r="G23" s="37" t="n">
        <f aca="false">'Apr 2027'!J23</f>
        <v>0</v>
      </c>
      <c r="H23" s="37" t="n">
        <f aca="false">IF(B23="",0,N(Students!F12))</f>
        <v>0</v>
      </c>
      <c r="I23" s="23"/>
      <c r="J23" s="26" t="n">
        <f aca="false">N(G23)+N(H23)-N(I23)</f>
        <v>0</v>
      </c>
      <c r="K23" s="37" t="n">
        <f aca="false">'Apr 2027'!N23</f>
        <v>0</v>
      </c>
      <c r="L23" s="37" t="n">
        <f aca="false">IF(B23="",0,N(Students!G12))</f>
        <v>0</v>
      </c>
      <c r="M23" s="23"/>
      <c r="N23" s="26" t="n">
        <f aca="false">N(K23)+N(L23)-N(M23)</f>
        <v>0</v>
      </c>
      <c r="O23" s="37" t="n">
        <f aca="false">'Apr 2027'!R23</f>
        <v>0</v>
      </c>
      <c r="P23" s="37" t="n">
        <f aca="false">IF(B23="",0,N(Students!H12))</f>
        <v>0</v>
      </c>
      <c r="Q23" s="23"/>
      <c r="R23" s="26" t="n">
        <f aca="false">N(O23)+N(P23)-N(Q23)</f>
        <v>0</v>
      </c>
      <c r="S23" s="37" t="n">
        <f aca="false">'Apr 2027'!V23</f>
        <v>0</v>
      </c>
      <c r="T23" s="37" t="n">
        <f aca="false">IF(B23="",0,N(Students!I12))</f>
        <v>0</v>
      </c>
      <c r="U23" s="23"/>
      <c r="V23" s="26" t="n">
        <f aca="false">N(S23)+N(T23)-N(U23)</f>
        <v>0</v>
      </c>
      <c r="W23" s="37" t="n">
        <f aca="false">'Apr 2027'!Z23</f>
        <v>0</v>
      </c>
      <c r="X23" s="37" t="n">
        <f aca="false">IF(B23="",0,N(Students!J12))</f>
        <v>0</v>
      </c>
      <c r="Y23" s="23"/>
      <c r="Z23" s="26" t="n">
        <f aca="false">N(W23)+N(X23)-N(Y23)</f>
        <v>0</v>
      </c>
      <c r="AA23" s="37" t="n">
        <f aca="false">N(E23)+N(I23)+N(M23)+N(Q23)+N(U23)+N(Y23)</f>
        <v>0</v>
      </c>
      <c r="AB23" s="26" t="n">
        <f aca="false">F23+J23+N23+R23+V23+Z23</f>
        <v>0</v>
      </c>
      <c r="AC23" s="83" t="str">
        <f aca="false">IF(B23="","",IF(AB23&lt;=0,"Clear",IF(AA23&gt;0,"Partial","Due")))</f>
        <v/>
      </c>
    </row>
    <row r="24" customFormat="false" ht="15" hidden="false" customHeight="false" outlineLevel="0" collapsed="false">
      <c r="A24" s="21" t="n">
        <v>9</v>
      </c>
      <c r="B24" s="46" t="str">
        <f aca="false">IF(Students!B13="","",Students!B13)</f>
        <v/>
      </c>
      <c r="C24" s="33" t="n">
        <f aca="false">'Apr 2027'!F24</f>
        <v>0</v>
      </c>
      <c r="D24" s="33" t="n">
        <f aca="false">IF(B24="",0,N(Students!E13))</f>
        <v>0</v>
      </c>
      <c r="E24" s="23"/>
      <c r="F24" s="24" t="n">
        <f aca="false">N(C24)+N(D24)-N(E24)</f>
        <v>0</v>
      </c>
      <c r="G24" s="33" t="n">
        <f aca="false">'Apr 2027'!J24</f>
        <v>0</v>
      </c>
      <c r="H24" s="33" t="n">
        <f aca="false">IF(B24="",0,N(Students!F13))</f>
        <v>0</v>
      </c>
      <c r="I24" s="23"/>
      <c r="J24" s="24" t="n">
        <f aca="false">N(G24)+N(H24)-N(I24)</f>
        <v>0</v>
      </c>
      <c r="K24" s="33" t="n">
        <f aca="false">'Apr 2027'!N24</f>
        <v>0</v>
      </c>
      <c r="L24" s="33" t="n">
        <f aca="false">IF(B24="",0,N(Students!G13))</f>
        <v>0</v>
      </c>
      <c r="M24" s="23"/>
      <c r="N24" s="24" t="n">
        <f aca="false">N(K24)+N(L24)-N(M24)</f>
        <v>0</v>
      </c>
      <c r="O24" s="33" t="n">
        <f aca="false">'Apr 2027'!R24</f>
        <v>0</v>
      </c>
      <c r="P24" s="33" t="n">
        <f aca="false">IF(B24="",0,N(Students!H13))</f>
        <v>0</v>
      </c>
      <c r="Q24" s="23"/>
      <c r="R24" s="24" t="n">
        <f aca="false">N(O24)+N(P24)-N(Q24)</f>
        <v>0</v>
      </c>
      <c r="S24" s="33" t="n">
        <f aca="false">'Apr 2027'!V24</f>
        <v>0</v>
      </c>
      <c r="T24" s="33" t="n">
        <f aca="false">IF(B24="",0,N(Students!I13))</f>
        <v>0</v>
      </c>
      <c r="U24" s="23"/>
      <c r="V24" s="24" t="n">
        <f aca="false">N(S24)+N(T24)-N(U24)</f>
        <v>0</v>
      </c>
      <c r="W24" s="33" t="n">
        <f aca="false">'Apr 2027'!Z24</f>
        <v>0</v>
      </c>
      <c r="X24" s="33" t="n">
        <f aca="false">IF(B24="",0,N(Students!J13))</f>
        <v>0</v>
      </c>
      <c r="Y24" s="23"/>
      <c r="Z24" s="24" t="n">
        <f aca="false">N(W24)+N(X24)-N(Y24)</f>
        <v>0</v>
      </c>
      <c r="AA24" s="33" t="n">
        <f aca="false">N(E24)+N(I24)+N(M24)+N(Q24)+N(U24)+N(Y24)</f>
        <v>0</v>
      </c>
      <c r="AB24" s="24" t="n">
        <f aca="false">F24+J24+N24+R24+V24+Z24</f>
        <v>0</v>
      </c>
      <c r="AC24" s="81" t="str">
        <f aca="false">IF(B24="","",IF(AB24&lt;=0,"Clear",IF(AA24&gt;0,"Partial","Due")))</f>
        <v/>
      </c>
    </row>
    <row r="25" customFormat="false" ht="15" hidden="false" customHeight="false" outlineLevel="0" collapsed="false">
      <c r="A25" s="25" t="n">
        <v>10</v>
      </c>
      <c r="B25" s="82" t="str">
        <f aca="false">IF(Students!B14="","",Students!B14)</f>
        <v/>
      </c>
      <c r="C25" s="37" t="n">
        <f aca="false">'Apr 2027'!F25</f>
        <v>0</v>
      </c>
      <c r="D25" s="37" t="n">
        <f aca="false">IF(B25="",0,N(Students!E14))</f>
        <v>0</v>
      </c>
      <c r="E25" s="23"/>
      <c r="F25" s="26" t="n">
        <f aca="false">N(C25)+N(D25)-N(E25)</f>
        <v>0</v>
      </c>
      <c r="G25" s="37" t="n">
        <f aca="false">'Apr 2027'!J25</f>
        <v>0</v>
      </c>
      <c r="H25" s="37" t="n">
        <f aca="false">IF(B25="",0,N(Students!F14))</f>
        <v>0</v>
      </c>
      <c r="I25" s="23"/>
      <c r="J25" s="26" t="n">
        <f aca="false">N(G25)+N(H25)-N(I25)</f>
        <v>0</v>
      </c>
      <c r="K25" s="37" t="n">
        <f aca="false">'Apr 2027'!N25</f>
        <v>0</v>
      </c>
      <c r="L25" s="37" t="n">
        <f aca="false">IF(B25="",0,N(Students!G14))</f>
        <v>0</v>
      </c>
      <c r="M25" s="23"/>
      <c r="N25" s="26" t="n">
        <f aca="false">N(K25)+N(L25)-N(M25)</f>
        <v>0</v>
      </c>
      <c r="O25" s="37" t="n">
        <f aca="false">'Apr 2027'!R25</f>
        <v>0</v>
      </c>
      <c r="P25" s="37" t="n">
        <f aca="false">IF(B25="",0,N(Students!H14))</f>
        <v>0</v>
      </c>
      <c r="Q25" s="23"/>
      <c r="R25" s="26" t="n">
        <f aca="false">N(O25)+N(P25)-N(Q25)</f>
        <v>0</v>
      </c>
      <c r="S25" s="37" t="n">
        <f aca="false">'Apr 2027'!V25</f>
        <v>0</v>
      </c>
      <c r="T25" s="37" t="n">
        <f aca="false">IF(B25="",0,N(Students!I14))</f>
        <v>0</v>
      </c>
      <c r="U25" s="23"/>
      <c r="V25" s="26" t="n">
        <f aca="false">N(S25)+N(T25)-N(U25)</f>
        <v>0</v>
      </c>
      <c r="W25" s="37" t="n">
        <f aca="false">'Apr 2027'!Z25</f>
        <v>0</v>
      </c>
      <c r="X25" s="37" t="n">
        <f aca="false">IF(B25="",0,N(Students!J14))</f>
        <v>0</v>
      </c>
      <c r="Y25" s="23"/>
      <c r="Z25" s="26" t="n">
        <f aca="false">N(W25)+N(X25)-N(Y25)</f>
        <v>0</v>
      </c>
      <c r="AA25" s="37" t="n">
        <f aca="false">N(E25)+N(I25)+N(M25)+N(Q25)+N(U25)+N(Y25)</f>
        <v>0</v>
      </c>
      <c r="AB25" s="26" t="n">
        <f aca="false">F25+J25+N25+R25+V25+Z25</f>
        <v>0</v>
      </c>
      <c r="AC25" s="83" t="str">
        <f aca="false">IF(B25="","",IF(AB25&lt;=0,"Clear",IF(AA25&gt;0,"Partial","Due")))</f>
        <v/>
      </c>
    </row>
    <row r="26" customFormat="false" ht="15" hidden="false" customHeight="false" outlineLevel="0" collapsed="false">
      <c r="A26" s="21" t="n">
        <v>11</v>
      </c>
      <c r="B26" s="46" t="str">
        <f aca="false">IF(Students!B15="","",Students!B15)</f>
        <v/>
      </c>
      <c r="C26" s="33" t="n">
        <f aca="false">'Apr 2027'!F26</f>
        <v>0</v>
      </c>
      <c r="D26" s="33" t="n">
        <f aca="false">IF(B26="",0,N(Students!E15))</f>
        <v>0</v>
      </c>
      <c r="E26" s="23"/>
      <c r="F26" s="24" t="n">
        <f aca="false">N(C26)+N(D26)-N(E26)</f>
        <v>0</v>
      </c>
      <c r="G26" s="33" t="n">
        <f aca="false">'Apr 2027'!J26</f>
        <v>0</v>
      </c>
      <c r="H26" s="33" t="n">
        <f aca="false">IF(B26="",0,N(Students!F15))</f>
        <v>0</v>
      </c>
      <c r="I26" s="23"/>
      <c r="J26" s="24" t="n">
        <f aca="false">N(G26)+N(H26)-N(I26)</f>
        <v>0</v>
      </c>
      <c r="K26" s="33" t="n">
        <f aca="false">'Apr 2027'!N26</f>
        <v>0</v>
      </c>
      <c r="L26" s="33" t="n">
        <f aca="false">IF(B26="",0,N(Students!G15))</f>
        <v>0</v>
      </c>
      <c r="M26" s="23"/>
      <c r="N26" s="24" t="n">
        <f aca="false">N(K26)+N(L26)-N(M26)</f>
        <v>0</v>
      </c>
      <c r="O26" s="33" t="n">
        <f aca="false">'Apr 2027'!R26</f>
        <v>0</v>
      </c>
      <c r="P26" s="33" t="n">
        <f aca="false">IF(B26="",0,N(Students!H15))</f>
        <v>0</v>
      </c>
      <c r="Q26" s="23"/>
      <c r="R26" s="24" t="n">
        <f aca="false">N(O26)+N(P26)-N(Q26)</f>
        <v>0</v>
      </c>
      <c r="S26" s="33" t="n">
        <f aca="false">'Apr 2027'!V26</f>
        <v>0</v>
      </c>
      <c r="T26" s="33" t="n">
        <f aca="false">IF(B26="",0,N(Students!I15))</f>
        <v>0</v>
      </c>
      <c r="U26" s="23"/>
      <c r="V26" s="24" t="n">
        <f aca="false">N(S26)+N(T26)-N(U26)</f>
        <v>0</v>
      </c>
      <c r="W26" s="33" t="n">
        <f aca="false">'Apr 2027'!Z26</f>
        <v>0</v>
      </c>
      <c r="X26" s="33" t="n">
        <f aca="false">IF(B26="",0,N(Students!J15))</f>
        <v>0</v>
      </c>
      <c r="Y26" s="23"/>
      <c r="Z26" s="24" t="n">
        <f aca="false">N(W26)+N(X26)-N(Y26)</f>
        <v>0</v>
      </c>
      <c r="AA26" s="33" t="n">
        <f aca="false">N(E26)+N(I26)+N(M26)+N(Q26)+N(U26)+N(Y26)</f>
        <v>0</v>
      </c>
      <c r="AB26" s="24" t="n">
        <f aca="false">F26+J26+N26+R26+V26+Z26</f>
        <v>0</v>
      </c>
      <c r="AC26" s="81" t="str">
        <f aca="false">IF(B26="","",IF(AB26&lt;=0,"Clear",IF(AA26&gt;0,"Partial","Due")))</f>
        <v/>
      </c>
    </row>
    <row r="27" customFormat="false" ht="15" hidden="false" customHeight="false" outlineLevel="0" collapsed="false">
      <c r="A27" s="25" t="n">
        <v>12</v>
      </c>
      <c r="B27" s="82" t="str">
        <f aca="false">IF(Students!B16="","",Students!B16)</f>
        <v/>
      </c>
      <c r="C27" s="37" t="n">
        <f aca="false">'Apr 2027'!F27</f>
        <v>0</v>
      </c>
      <c r="D27" s="37" t="n">
        <f aca="false">IF(B27="",0,N(Students!E16))</f>
        <v>0</v>
      </c>
      <c r="E27" s="23"/>
      <c r="F27" s="26" t="n">
        <f aca="false">N(C27)+N(D27)-N(E27)</f>
        <v>0</v>
      </c>
      <c r="G27" s="37" t="n">
        <f aca="false">'Apr 2027'!J27</f>
        <v>0</v>
      </c>
      <c r="H27" s="37" t="n">
        <f aca="false">IF(B27="",0,N(Students!F16))</f>
        <v>0</v>
      </c>
      <c r="I27" s="23"/>
      <c r="J27" s="26" t="n">
        <f aca="false">N(G27)+N(H27)-N(I27)</f>
        <v>0</v>
      </c>
      <c r="K27" s="37" t="n">
        <f aca="false">'Apr 2027'!N27</f>
        <v>0</v>
      </c>
      <c r="L27" s="37" t="n">
        <f aca="false">IF(B27="",0,N(Students!G16))</f>
        <v>0</v>
      </c>
      <c r="M27" s="23"/>
      <c r="N27" s="26" t="n">
        <f aca="false">N(K27)+N(L27)-N(M27)</f>
        <v>0</v>
      </c>
      <c r="O27" s="37" t="n">
        <f aca="false">'Apr 2027'!R27</f>
        <v>0</v>
      </c>
      <c r="P27" s="37" t="n">
        <f aca="false">IF(B27="",0,N(Students!H16))</f>
        <v>0</v>
      </c>
      <c r="Q27" s="23"/>
      <c r="R27" s="26" t="n">
        <f aca="false">N(O27)+N(P27)-N(Q27)</f>
        <v>0</v>
      </c>
      <c r="S27" s="37" t="n">
        <f aca="false">'Apr 2027'!V27</f>
        <v>0</v>
      </c>
      <c r="T27" s="37" t="n">
        <f aca="false">IF(B27="",0,N(Students!I16))</f>
        <v>0</v>
      </c>
      <c r="U27" s="23"/>
      <c r="V27" s="26" t="n">
        <f aca="false">N(S27)+N(T27)-N(U27)</f>
        <v>0</v>
      </c>
      <c r="W27" s="37" t="n">
        <f aca="false">'Apr 2027'!Z27</f>
        <v>0</v>
      </c>
      <c r="X27" s="37" t="n">
        <f aca="false">IF(B27="",0,N(Students!J16))</f>
        <v>0</v>
      </c>
      <c r="Y27" s="23"/>
      <c r="Z27" s="26" t="n">
        <f aca="false">N(W27)+N(X27)-N(Y27)</f>
        <v>0</v>
      </c>
      <c r="AA27" s="37" t="n">
        <f aca="false">N(E27)+N(I27)+N(M27)+N(Q27)+N(U27)+N(Y27)</f>
        <v>0</v>
      </c>
      <c r="AB27" s="26" t="n">
        <f aca="false">F27+J27+N27+R27+V27+Z27</f>
        <v>0</v>
      </c>
      <c r="AC27" s="83" t="str">
        <f aca="false">IF(B27="","",IF(AB27&lt;=0,"Clear",IF(AA27&gt;0,"Partial","Due")))</f>
        <v/>
      </c>
    </row>
    <row r="28" customFormat="false" ht="15" hidden="false" customHeight="false" outlineLevel="0" collapsed="false">
      <c r="A28" s="21" t="n">
        <v>13</v>
      </c>
      <c r="B28" s="46" t="str">
        <f aca="false">IF(Students!B17="","",Students!B17)</f>
        <v/>
      </c>
      <c r="C28" s="33" t="n">
        <f aca="false">'Apr 2027'!F28</f>
        <v>0</v>
      </c>
      <c r="D28" s="33" t="n">
        <f aca="false">IF(B28="",0,N(Students!E17))</f>
        <v>0</v>
      </c>
      <c r="E28" s="23"/>
      <c r="F28" s="24" t="n">
        <f aca="false">N(C28)+N(D28)-N(E28)</f>
        <v>0</v>
      </c>
      <c r="G28" s="33" t="n">
        <f aca="false">'Apr 2027'!J28</f>
        <v>0</v>
      </c>
      <c r="H28" s="33" t="n">
        <f aca="false">IF(B28="",0,N(Students!F17))</f>
        <v>0</v>
      </c>
      <c r="I28" s="23"/>
      <c r="J28" s="24" t="n">
        <f aca="false">N(G28)+N(H28)-N(I28)</f>
        <v>0</v>
      </c>
      <c r="K28" s="33" t="n">
        <f aca="false">'Apr 2027'!N28</f>
        <v>0</v>
      </c>
      <c r="L28" s="33" t="n">
        <f aca="false">IF(B28="",0,N(Students!G17))</f>
        <v>0</v>
      </c>
      <c r="M28" s="23"/>
      <c r="N28" s="24" t="n">
        <f aca="false">N(K28)+N(L28)-N(M28)</f>
        <v>0</v>
      </c>
      <c r="O28" s="33" t="n">
        <f aca="false">'Apr 2027'!R28</f>
        <v>0</v>
      </c>
      <c r="P28" s="33" t="n">
        <f aca="false">IF(B28="",0,N(Students!H17))</f>
        <v>0</v>
      </c>
      <c r="Q28" s="23"/>
      <c r="R28" s="24" t="n">
        <f aca="false">N(O28)+N(P28)-N(Q28)</f>
        <v>0</v>
      </c>
      <c r="S28" s="33" t="n">
        <f aca="false">'Apr 2027'!V28</f>
        <v>0</v>
      </c>
      <c r="T28" s="33" t="n">
        <f aca="false">IF(B28="",0,N(Students!I17))</f>
        <v>0</v>
      </c>
      <c r="U28" s="23"/>
      <c r="V28" s="24" t="n">
        <f aca="false">N(S28)+N(T28)-N(U28)</f>
        <v>0</v>
      </c>
      <c r="W28" s="33" t="n">
        <f aca="false">'Apr 2027'!Z28</f>
        <v>0</v>
      </c>
      <c r="X28" s="33" t="n">
        <f aca="false">IF(B28="",0,N(Students!J17))</f>
        <v>0</v>
      </c>
      <c r="Y28" s="23"/>
      <c r="Z28" s="24" t="n">
        <f aca="false">N(W28)+N(X28)-N(Y28)</f>
        <v>0</v>
      </c>
      <c r="AA28" s="33" t="n">
        <f aca="false">N(E28)+N(I28)+N(M28)+N(Q28)+N(U28)+N(Y28)</f>
        <v>0</v>
      </c>
      <c r="AB28" s="24" t="n">
        <f aca="false">F28+J28+N28+R28+V28+Z28</f>
        <v>0</v>
      </c>
      <c r="AC28" s="81" t="str">
        <f aca="false">IF(B28="","",IF(AB28&lt;=0,"Clear",IF(AA28&gt;0,"Partial","Due")))</f>
        <v/>
      </c>
    </row>
    <row r="29" customFormat="false" ht="15" hidden="false" customHeight="false" outlineLevel="0" collapsed="false">
      <c r="A29" s="25" t="n">
        <v>14</v>
      </c>
      <c r="B29" s="82" t="str">
        <f aca="false">IF(Students!B18="","",Students!B18)</f>
        <v/>
      </c>
      <c r="C29" s="37" t="n">
        <f aca="false">'Apr 2027'!F29</f>
        <v>0</v>
      </c>
      <c r="D29" s="37" t="n">
        <f aca="false">IF(B29="",0,N(Students!E18))</f>
        <v>0</v>
      </c>
      <c r="E29" s="23"/>
      <c r="F29" s="26" t="n">
        <f aca="false">N(C29)+N(D29)-N(E29)</f>
        <v>0</v>
      </c>
      <c r="G29" s="37" t="n">
        <f aca="false">'Apr 2027'!J29</f>
        <v>0</v>
      </c>
      <c r="H29" s="37" t="n">
        <f aca="false">IF(B29="",0,N(Students!F18))</f>
        <v>0</v>
      </c>
      <c r="I29" s="23"/>
      <c r="J29" s="26" t="n">
        <f aca="false">N(G29)+N(H29)-N(I29)</f>
        <v>0</v>
      </c>
      <c r="K29" s="37" t="n">
        <f aca="false">'Apr 2027'!N29</f>
        <v>0</v>
      </c>
      <c r="L29" s="37" t="n">
        <f aca="false">IF(B29="",0,N(Students!G18))</f>
        <v>0</v>
      </c>
      <c r="M29" s="23"/>
      <c r="N29" s="26" t="n">
        <f aca="false">N(K29)+N(L29)-N(M29)</f>
        <v>0</v>
      </c>
      <c r="O29" s="37" t="n">
        <f aca="false">'Apr 2027'!R29</f>
        <v>0</v>
      </c>
      <c r="P29" s="37" t="n">
        <f aca="false">IF(B29="",0,N(Students!H18))</f>
        <v>0</v>
      </c>
      <c r="Q29" s="23"/>
      <c r="R29" s="26" t="n">
        <f aca="false">N(O29)+N(P29)-N(Q29)</f>
        <v>0</v>
      </c>
      <c r="S29" s="37" t="n">
        <f aca="false">'Apr 2027'!V29</f>
        <v>0</v>
      </c>
      <c r="T29" s="37" t="n">
        <f aca="false">IF(B29="",0,N(Students!I18))</f>
        <v>0</v>
      </c>
      <c r="U29" s="23"/>
      <c r="V29" s="26" t="n">
        <f aca="false">N(S29)+N(T29)-N(U29)</f>
        <v>0</v>
      </c>
      <c r="W29" s="37" t="n">
        <f aca="false">'Apr 2027'!Z29</f>
        <v>0</v>
      </c>
      <c r="X29" s="37" t="n">
        <f aca="false">IF(B29="",0,N(Students!J18))</f>
        <v>0</v>
      </c>
      <c r="Y29" s="23"/>
      <c r="Z29" s="26" t="n">
        <f aca="false">N(W29)+N(X29)-N(Y29)</f>
        <v>0</v>
      </c>
      <c r="AA29" s="37" t="n">
        <f aca="false">N(E29)+N(I29)+N(M29)+N(Q29)+N(U29)+N(Y29)</f>
        <v>0</v>
      </c>
      <c r="AB29" s="26" t="n">
        <f aca="false">F29+J29+N29+R29+V29+Z29</f>
        <v>0</v>
      </c>
      <c r="AC29" s="83" t="str">
        <f aca="false">IF(B29="","",IF(AB29&lt;=0,"Clear",IF(AA29&gt;0,"Partial","Due")))</f>
        <v/>
      </c>
    </row>
    <row r="30" customFormat="false" ht="15" hidden="false" customHeight="false" outlineLevel="0" collapsed="false">
      <c r="A30" s="21" t="n">
        <v>15</v>
      </c>
      <c r="B30" s="46" t="str">
        <f aca="false">IF(Students!B19="","",Students!B19)</f>
        <v/>
      </c>
      <c r="C30" s="33" t="n">
        <f aca="false">'Apr 2027'!F30</f>
        <v>0</v>
      </c>
      <c r="D30" s="33" t="n">
        <f aca="false">IF(B30="",0,N(Students!E19))</f>
        <v>0</v>
      </c>
      <c r="E30" s="23"/>
      <c r="F30" s="24" t="n">
        <f aca="false">N(C30)+N(D30)-N(E30)</f>
        <v>0</v>
      </c>
      <c r="G30" s="33" t="n">
        <f aca="false">'Apr 2027'!J30</f>
        <v>0</v>
      </c>
      <c r="H30" s="33" t="n">
        <f aca="false">IF(B30="",0,N(Students!F19))</f>
        <v>0</v>
      </c>
      <c r="I30" s="23"/>
      <c r="J30" s="24" t="n">
        <f aca="false">N(G30)+N(H30)-N(I30)</f>
        <v>0</v>
      </c>
      <c r="K30" s="33" t="n">
        <f aca="false">'Apr 2027'!N30</f>
        <v>0</v>
      </c>
      <c r="L30" s="33" t="n">
        <f aca="false">IF(B30="",0,N(Students!G19))</f>
        <v>0</v>
      </c>
      <c r="M30" s="23"/>
      <c r="N30" s="24" t="n">
        <f aca="false">N(K30)+N(L30)-N(M30)</f>
        <v>0</v>
      </c>
      <c r="O30" s="33" t="n">
        <f aca="false">'Apr 2027'!R30</f>
        <v>0</v>
      </c>
      <c r="P30" s="33" t="n">
        <f aca="false">IF(B30="",0,N(Students!H19))</f>
        <v>0</v>
      </c>
      <c r="Q30" s="23"/>
      <c r="R30" s="24" t="n">
        <f aca="false">N(O30)+N(P30)-N(Q30)</f>
        <v>0</v>
      </c>
      <c r="S30" s="33" t="n">
        <f aca="false">'Apr 2027'!V30</f>
        <v>0</v>
      </c>
      <c r="T30" s="33" t="n">
        <f aca="false">IF(B30="",0,N(Students!I19))</f>
        <v>0</v>
      </c>
      <c r="U30" s="23"/>
      <c r="V30" s="24" t="n">
        <f aca="false">N(S30)+N(T30)-N(U30)</f>
        <v>0</v>
      </c>
      <c r="W30" s="33" t="n">
        <f aca="false">'Apr 2027'!Z30</f>
        <v>0</v>
      </c>
      <c r="X30" s="33" t="n">
        <f aca="false">IF(B30="",0,N(Students!J19))</f>
        <v>0</v>
      </c>
      <c r="Y30" s="23"/>
      <c r="Z30" s="24" t="n">
        <f aca="false">N(W30)+N(X30)-N(Y30)</f>
        <v>0</v>
      </c>
      <c r="AA30" s="33" t="n">
        <f aca="false">N(E30)+N(I30)+N(M30)+N(Q30)+N(U30)+N(Y30)</f>
        <v>0</v>
      </c>
      <c r="AB30" s="24" t="n">
        <f aca="false">F30+J30+N30+R30+V30+Z30</f>
        <v>0</v>
      </c>
      <c r="AC30" s="81" t="str">
        <f aca="false">IF(B30="","",IF(AB30&lt;=0,"Clear",IF(AA30&gt;0,"Partial","Due")))</f>
        <v/>
      </c>
    </row>
    <row r="31" customFormat="false" ht="15" hidden="false" customHeight="false" outlineLevel="0" collapsed="false">
      <c r="A31" s="25" t="n">
        <v>16</v>
      </c>
      <c r="B31" s="82" t="str">
        <f aca="false">IF(Students!B20="","",Students!B20)</f>
        <v/>
      </c>
      <c r="C31" s="37" t="n">
        <f aca="false">'Apr 2027'!F31</f>
        <v>0</v>
      </c>
      <c r="D31" s="37" t="n">
        <f aca="false">IF(B31="",0,N(Students!E20))</f>
        <v>0</v>
      </c>
      <c r="E31" s="23"/>
      <c r="F31" s="26" t="n">
        <f aca="false">N(C31)+N(D31)-N(E31)</f>
        <v>0</v>
      </c>
      <c r="G31" s="37" t="n">
        <f aca="false">'Apr 2027'!J31</f>
        <v>0</v>
      </c>
      <c r="H31" s="37" t="n">
        <f aca="false">IF(B31="",0,N(Students!F20))</f>
        <v>0</v>
      </c>
      <c r="I31" s="23"/>
      <c r="J31" s="26" t="n">
        <f aca="false">N(G31)+N(H31)-N(I31)</f>
        <v>0</v>
      </c>
      <c r="K31" s="37" t="n">
        <f aca="false">'Apr 2027'!N31</f>
        <v>0</v>
      </c>
      <c r="L31" s="37" t="n">
        <f aca="false">IF(B31="",0,N(Students!G20))</f>
        <v>0</v>
      </c>
      <c r="M31" s="23"/>
      <c r="N31" s="26" t="n">
        <f aca="false">N(K31)+N(L31)-N(M31)</f>
        <v>0</v>
      </c>
      <c r="O31" s="37" t="n">
        <f aca="false">'Apr 2027'!R31</f>
        <v>0</v>
      </c>
      <c r="P31" s="37" t="n">
        <f aca="false">IF(B31="",0,N(Students!H20))</f>
        <v>0</v>
      </c>
      <c r="Q31" s="23"/>
      <c r="R31" s="26" t="n">
        <f aca="false">N(O31)+N(P31)-N(Q31)</f>
        <v>0</v>
      </c>
      <c r="S31" s="37" t="n">
        <f aca="false">'Apr 2027'!V31</f>
        <v>0</v>
      </c>
      <c r="T31" s="37" t="n">
        <f aca="false">IF(B31="",0,N(Students!I20))</f>
        <v>0</v>
      </c>
      <c r="U31" s="23"/>
      <c r="V31" s="26" t="n">
        <f aca="false">N(S31)+N(T31)-N(U31)</f>
        <v>0</v>
      </c>
      <c r="W31" s="37" t="n">
        <f aca="false">'Apr 2027'!Z31</f>
        <v>0</v>
      </c>
      <c r="X31" s="37" t="n">
        <f aca="false">IF(B31="",0,N(Students!J20))</f>
        <v>0</v>
      </c>
      <c r="Y31" s="23"/>
      <c r="Z31" s="26" t="n">
        <f aca="false">N(W31)+N(X31)-N(Y31)</f>
        <v>0</v>
      </c>
      <c r="AA31" s="37" t="n">
        <f aca="false">N(E31)+N(I31)+N(M31)+N(Q31)+N(U31)+N(Y31)</f>
        <v>0</v>
      </c>
      <c r="AB31" s="26" t="n">
        <f aca="false">F31+J31+N31+R31+V31+Z31</f>
        <v>0</v>
      </c>
      <c r="AC31" s="83" t="str">
        <f aca="false">IF(B31="","",IF(AB31&lt;=0,"Clear",IF(AA31&gt;0,"Partial","Due")))</f>
        <v/>
      </c>
    </row>
    <row r="32" customFormat="false" ht="15" hidden="false" customHeight="false" outlineLevel="0" collapsed="false">
      <c r="A32" s="21" t="n">
        <v>17</v>
      </c>
      <c r="B32" s="46" t="str">
        <f aca="false">IF(Students!B21="","",Students!B21)</f>
        <v/>
      </c>
      <c r="C32" s="33" t="n">
        <f aca="false">'Apr 2027'!F32</f>
        <v>0</v>
      </c>
      <c r="D32" s="33" t="n">
        <f aca="false">IF(B32="",0,N(Students!E21))</f>
        <v>0</v>
      </c>
      <c r="E32" s="23"/>
      <c r="F32" s="24" t="n">
        <f aca="false">N(C32)+N(D32)-N(E32)</f>
        <v>0</v>
      </c>
      <c r="G32" s="33" t="n">
        <f aca="false">'Apr 2027'!J32</f>
        <v>0</v>
      </c>
      <c r="H32" s="33" t="n">
        <f aca="false">IF(B32="",0,N(Students!F21))</f>
        <v>0</v>
      </c>
      <c r="I32" s="23"/>
      <c r="J32" s="24" t="n">
        <f aca="false">N(G32)+N(H32)-N(I32)</f>
        <v>0</v>
      </c>
      <c r="K32" s="33" t="n">
        <f aca="false">'Apr 2027'!N32</f>
        <v>0</v>
      </c>
      <c r="L32" s="33" t="n">
        <f aca="false">IF(B32="",0,N(Students!G21))</f>
        <v>0</v>
      </c>
      <c r="M32" s="23"/>
      <c r="N32" s="24" t="n">
        <f aca="false">N(K32)+N(L32)-N(M32)</f>
        <v>0</v>
      </c>
      <c r="O32" s="33" t="n">
        <f aca="false">'Apr 2027'!R32</f>
        <v>0</v>
      </c>
      <c r="P32" s="33" t="n">
        <f aca="false">IF(B32="",0,N(Students!H21))</f>
        <v>0</v>
      </c>
      <c r="Q32" s="23"/>
      <c r="R32" s="24" t="n">
        <f aca="false">N(O32)+N(P32)-N(Q32)</f>
        <v>0</v>
      </c>
      <c r="S32" s="33" t="n">
        <f aca="false">'Apr 2027'!V32</f>
        <v>0</v>
      </c>
      <c r="T32" s="33" t="n">
        <f aca="false">IF(B32="",0,N(Students!I21))</f>
        <v>0</v>
      </c>
      <c r="U32" s="23"/>
      <c r="V32" s="24" t="n">
        <f aca="false">N(S32)+N(T32)-N(U32)</f>
        <v>0</v>
      </c>
      <c r="W32" s="33" t="n">
        <f aca="false">'Apr 2027'!Z32</f>
        <v>0</v>
      </c>
      <c r="X32" s="33" t="n">
        <f aca="false">IF(B32="",0,N(Students!J21))</f>
        <v>0</v>
      </c>
      <c r="Y32" s="23"/>
      <c r="Z32" s="24" t="n">
        <f aca="false">N(W32)+N(X32)-N(Y32)</f>
        <v>0</v>
      </c>
      <c r="AA32" s="33" t="n">
        <f aca="false">N(E32)+N(I32)+N(M32)+N(Q32)+N(U32)+N(Y32)</f>
        <v>0</v>
      </c>
      <c r="AB32" s="24" t="n">
        <f aca="false">F32+J32+N32+R32+V32+Z32</f>
        <v>0</v>
      </c>
      <c r="AC32" s="81" t="str">
        <f aca="false">IF(B32="","",IF(AB32&lt;=0,"Clear",IF(AA32&gt;0,"Partial","Due")))</f>
        <v/>
      </c>
    </row>
    <row r="33" customFormat="false" ht="15" hidden="false" customHeight="false" outlineLevel="0" collapsed="false">
      <c r="A33" s="25" t="n">
        <v>18</v>
      </c>
      <c r="B33" s="82" t="str">
        <f aca="false">IF(Students!B22="","",Students!B22)</f>
        <v/>
      </c>
      <c r="C33" s="37" t="n">
        <f aca="false">'Apr 2027'!F33</f>
        <v>0</v>
      </c>
      <c r="D33" s="37" t="n">
        <f aca="false">IF(B33="",0,N(Students!E22))</f>
        <v>0</v>
      </c>
      <c r="E33" s="23"/>
      <c r="F33" s="26" t="n">
        <f aca="false">N(C33)+N(D33)-N(E33)</f>
        <v>0</v>
      </c>
      <c r="G33" s="37" t="n">
        <f aca="false">'Apr 2027'!J33</f>
        <v>0</v>
      </c>
      <c r="H33" s="37" t="n">
        <f aca="false">IF(B33="",0,N(Students!F22))</f>
        <v>0</v>
      </c>
      <c r="I33" s="23"/>
      <c r="J33" s="26" t="n">
        <f aca="false">N(G33)+N(H33)-N(I33)</f>
        <v>0</v>
      </c>
      <c r="K33" s="37" t="n">
        <f aca="false">'Apr 2027'!N33</f>
        <v>0</v>
      </c>
      <c r="L33" s="37" t="n">
        <f aca="false">IF(B33="",0,N(Students!G22))</f>
        <v>0</v>
      </c>
      <c r="M33" s="23"/>
      <c r="N33" s="26" t="n">
        <f aca="false">N(K33)+N(L33)-N(M33)</f>
        <v>0</v>
      </c>
      <c r="O33" s="37" t="n">
        <f aca="false">'Apr 2027'!R33</f>
        <v>0</v>
      </c>
      <c r="P33" s="37" t="n">
        <f aca="false">IF(B33="",0,N(Students!H22))</f>
        <v>0</v>
      </c>
      <c r="Q33" s="23"/>
      <c r="R33" s="26" t="n">
        <f aca="false">N(O33)+N(P33)-N(Q33)</f>
        <v>0</v>
      </c>
      <c r="S33" s="37" t="n">
        <f aca="false">'Apr 2027'!V33</f>
        <v>0</v>
      </c>
      <c r="T33" s="37" t="n">
        <f aca="false">IF(B33="",0,N(Students!I22))</f>
        <v>0</v>
      </c>
      <c r="U33" s="23"/>
      <c r="V33" s="26" t="n">
        <f aca="false">N(S33)+N(T33)-N(U33)</f>
        <v>0</v>
      </c>
      <c r="W33" s="37" t="n">
        <f aca="false">'Apr 2027'!Z33</f>
        <v>0</v>
      </c>
      <c r="X33" s="37" t="n">
        <f aca="false">IF(B33="",0,N(Students!J22))</f>
        <v>0</v>
      </c>
      <c r="Y33" s="23"/>
      <c r="Z33" s="26" t="n">
        <f aca="false">N(W33)+N(X33)-N(Y33)</f>
        <v>0</v>
      </c>
      <c r="AA33" s="37" t="n">
        <f aca="false">N(E33)+N(I33)+N(M33)+N(Q33)+N(U33)+N(Y33)</f>
        <v>0</v>
      </c>
      <c r="AB33" s="26" t="n">
        <f aca="false">F33+J33+N33+R33+V33+Z33</f>
        <v>0</v>
      </c>
      <c r="AC33" s="83" t="str">
        <f aca="false">IF(B33="","",IF(AB33&lt;=0,"Clear",IF(AA33&gt;0,"Partial","Due")))</f>
        <v/>
      </c>
    </row>
    <row r="34" customFormat="false" ht="15" hidden="false" customHeight="false" outlineLevel="0" collapsed="false">
      <c r="A34" s="21" t="n">
        <v>19</v>
      </c>
      <c r="B34" s="46" t="str">
        <f aca="false">IF(Students!B23="","",Students!B23)</f>
        <v/>
      </c>
      <c r="C34" s="33" t="n">
        <f aca="false">'Apr 2027'!F34</f>
        <v>0</v>
      </c>
      <c r="D34" s="33" t="n">
        <f aca="false">IF(B34="",0,N(Students!E23))</f>
        <v>0</v>
      </c>
      <c r="E34" s="23"/>
      <c r="F34" s="24" t="n">
        <f aca="false">N(C34)+N(D34)-N(E34)</f>
        <v>0</v>
      </c>
      <c r="G34" s="33" t="n">
        <f aca="false">'Apr 2027'!J34</f>
        <v>0</v>
      </c>
      <c r="H34" s="33" t="n">
        <f aca="false">IF(B34="",0,N(Students!F23))</f>
        <v>0</v>
      </c>
      <c r="I34" s="23"/>
      <c r="J34" s="24" t="n">
        <f aca="false">N(G34)+N(H34)-N(I34)</f>
        <v>0</v>
      </c>
      <c r="K34" s="33" t="n">
        <f aca="false">'Apr 2027'!N34</f>
        <v>0</v>
      </c>
      <c r="L34" s="33" t="n">
        <f aca="false">IF(B34="",0,N(Students!G23))</f>
        <v>0</v>
      </c>
      <c r="M34" s="23"/>
      <c r="N34" s="24" t="n">
        <f aca="false">N(K34)+N(L34)-N(M34)</f>
        <v>0</v>
      </c>
      <c r="O34" s="33" t="n">
        <f aca="false">'Apr 2027'!R34</f>
        <v>0</v>
      </c>
      <c r="P34" s="33" t="n">
        <f aca="false">IF(B34="",0,N(Students!H23))</f>
        <v>0</v>
      </c>
      <c r="Q34" s="23"/>
      <c r="R34" s="24" t="n">
        <f aca="false">N(O34)+N(P34)-N(Q34)</f>
        <v>0</v>
      </c>
      <c r="S34" s="33" t="n">
        <f aca="false">'Apr 2027'!V34</f>
        <v>0</v>
      </c>
      <c r="T34" s="33" t="n">
        <f aca="false">IF(B34="",0,N(Students!I23))</f>
        <v>0</v>
      </c>
      <c r="U34" s="23"/>
      <c r="V34" s="24" t="n">
        <f aca="false">N(S34)+N(T34)-N(U34)</f>
        <v>0</v>
      </c>
      <c r="W34" s="33" t="n">
        <f aca="false">'Apr 2027'!Z34</f>
        <v>0</v>
      </c>
      <c r="X34" s="33" t="n">
        <f aca="false">IF(B34="",0,N(Students!J23))</f>
        <v>0</v>
      </c>
      <c r="Y34" s="23"/>
      <c r="Z34" s="24" t="n">
        <f aca="false">N(W34)+N(X34)-N(Y34)</f>
        <v>0</v>
      </c>
      <c r="AA34" s="33" t="n">
        <f aca="false">N(E34)+N(I34)+N(M34)+N(Q34)+N(U34)+N(Y34)</f>
        <v>0</v>
      </c>
      <c r="AB34" s="24" t="n">
        <f aca="false">F34+J34+N34+R34+V34+Z34</f>
        <v>0</v>
      </c>
      <c r="AC34" s="81" t="str">
        <f aca="false">IF(B34="","",IF(AB34&lt;=0,"Clear",IF(AA34&gt;0,"Partial","Due")))</f>
        <v/>
      </c>
    </row>
    <row r="35" customFormat="false" ht="15" hidden="false" customHeight="false" outlineLevel="0" collapsed="false">
      <c r="A35" s="25" t="n">
        <v>20</v>
      </c>
      <c r="B35" s="82" t="str">
        <f aca="false">IF(Students!B24="","",Students!B24)</f>
        <v/>
      </c>
      <c r="C35" s="37" t="n">
        <f aca="false">'Apr 2027'!F35</f>
        <v>0</v>
      </c>
      <c r="D35" s="37" t="n">
        <f aca="false">IF(B35="",0,N(Students!E24))</f>
        <v>0</v>
      </c>
      <c r="E35" s="23"/>
      <c r="F35" s="26" t="n">
        <f aca="false">N(C35)+N(D35)-N(E35)</f>
        <v>0</v>
      </c>
      <c r="G35" s="37" t="n">
        <f aca="false">'Apr 2027'!J35</f>
        <v>0</v>
      </c>
      <c r="H35" s="37" t="n">
        <f aca="false">IF(B35="",0,N(Students!F24))</f>
        <v>0</v>
      </c>
      <c r="I35" s="23"/>
      <c r="J35" s="26" t="n">
        <f aca="false">N(G35)+N(H35)-N(I35)</f>
        <v>0</v>
      </c>
      <c r="K35" s="37" t="n">
        <f aca="false">'Apr 2027'!N35</f>
        <v>0</v>
      </c>
      <c r="L35" s="37" t="n">
        <f aca="false">IF(B35="",0,N(Students!G24))</f>
        <v>0</v>
      </c>
      <c r="M35" s="23"/>
      <c r="N35" s="26" t="n">
        <f aca="false">N(K35)+N(L35)-N(M35)</f>
        <v>0</v>
      </c>
      <c r="O35" s="37" t="n">
        <f aca="false">'Apr 2027'!R35</f>
        <v>0</v>
      </c>
      <c r="P35" s="37" t="n">
        <f aca="false">IF(B35="",0,N(Students!H24))</f>
        <v>0</v>
      </c>
      <c r="Q35" s="23"/>
      <c r="R35" s="26" t="n">
        <f aca="false">N(O35)+N(P35)-N(Q35)</f>
        <v>0</v>
      </c>
      <c r="S35" s="37" t="n">
        <f aca="false">'Apr 2027'!V35</f>
        <v>0</v>
      </c>
      <c r="T35" s="37" t="n">
        <f aca="false">IF(B35="",0,N(Students!I24))</f>
        <v>0</v>
      </c>
      <c r="U35" s="23"/>
      <c r="V35" s="26" t="n">
        <f aca="false">N(S35)+N(T35)-N(U35)</f>
        <v>0</v>
      </c>
      <c r="W35" s="37" t="n">
        <f aca="false">'Apr 2027'!Z35</f>
        <v>0</v>
      </c>
      <c r="X35" s="37" t="n">
        <f aca="false">IF(B35="",0,N(Students!J24))</f>
        <v>0</v>
      </c>
      <c r="Y35" s="23"/>
      <c r="Z35" s="26" t="n">
        <f aca="false">N(W35)+N(X35)-N(Y35)</f>
        <v>0</v>
      </c>
      <c r="AA35" s="37" t="n">
        <f aca="false">N(E35)+N(I35)+N(M35)+N(Q35)+N(U35)+N(Y35)</f>
        <v>0</v>
      </c>
      <c r="AB35" s="26" t="n">
        <f aca="false">F35+J35+N35+R35+V35+Z35</f>
        <v>0</v>
      </c>
      <c r="AC35" s="83" t="str">
        <f aca="false">IF(B35="","",IF(AB35&lt;=0,"Clear",IF(AA35&gt;0,"Partial","Due")))</f>
        <v/>
      </c>
    </row>
    <row r="36" customFormat="false" ht="15" hidden="false" customHeight="false" outlineLevel="0" collapsed="false">
      <c r="A36" s="21" t="n">
        <v>21</v>
      </c>
      <c r="B36" s="46" t="str">
        <f aca="false">IF(Students!B25="","",Students!B25)</f>
        <v/>
      </c>
      <c r="C36" s="33" t="n">
        <f aca="false">'Apr 2027'!F36</f>
        <v>0</v>
      </c>
      <c r="D36" s="33" t="n">
        <f aca="false">IF(B36="",0,N(Students!E25))</f>
        <v>0</v>
      </c>
      <c r="E36" s="23"/>
      <c r="F36" s="24" t="n">
        <f aca="false">N(C36)+N(D36)-N(E36)</f>
        <v>0</v>
      </c>
      <c r="G36" s="33" t="n">
        <f aca="false">'Apr 2027'!J36</f>
        <v>0</v>
      </c>
      <c r="H36" s="33" t="n">
        <f aca="false">IF(B36="",0,N(Students!F25))</f>
        <v>0</v>
      </c>
      <c r="I36" s="23"/>
      <c r="J36" s="24" t="n">
        <f aca="false">N(G36)+N(H36)-N(I36)</f>
        <v>0</v>
      </c>
      <c r="K36" s="33" t="n">
        <f aca="false">'Apr 2027'!N36</f>
        <v>0</v>
      </c>
      <c r="L36" s="33" t="n">
        <f aca="false">IF(B36="",0,N(Students!G25))</f>
        <v>0</v>
      </c>
      <c r="M36" s="23"/>
      <c r="N36" s="24" t="n">
        <f aca="false">N(K36)+N(L36)-N(M36)</f>
        <v>0</v>
      </c>
      <c r="O36" s="33" t="n">
        <f aca="false">'Apr 2027'!R36</f>
        <v>0</v>
      </c>
      <c r="P36" s="33" t="n">
        <f aca="false">IF(B36="",0,N(Students!H25))</f>
        <v>0</v>
      </c>
      <c r="Q36" s="23"/>
      <c r="R36" s="24" t="n">
        <f aca="false">N(O36)+N(P36)-N(Q36)</f>
        <v>0</v>
      </c>
      <c r="S36" s="33" t="n">
        <f aca="false">'Apr 2027'!V36</f>
        <v>0</v>
      </c>
      <c r="T36" s="33" t="n">
        <f aca="false">IF(B36="",0,N(Students!I25))</f>
        <v>0</v>
      </c>
      <c r="U36" s="23"/>
      <c r="V36" s="24" t="n">
        <f aca="false">N(S36)+N(T36)-N(U36)</f>
        <v>0</v>
      </c>
      <c r="W36" s="33" t="n">
        <f aca="false">'Apr 2027'!Z36</f>
        <v>0</v>
      </c>
      <c r="X36" s="33" t="n">
        <f aca="false">IF(B36="",0,N(Students!J25))</f>
        <v>0</v>
      </c>
      <c r="Y36" s="23"/>
      <c r="Z36" s="24" t="n">
        <f aca="false">N(W36)+N(X36)-N(Y36)</f>
        <v>0</v>
      </c>
      <c r="AA36" s="33" t="n">
        <f aca="false">N(E36)+N(I36)+N(M36)+N(Q36)+N(U36)+N(Y36)</f>
        <v>0</v>
      </c>
      <c r="AB36" s="24" t="n">
        <f aca="false">F36+J36+N36+R36+V36+Z36</f>
        <v>0</v>
      </c>
      <c r="AC36" s="81" t="str">
        <f aca="false">IF(B36="","",IF(AB36&lt;=0,"Clear",IF(AA36&gt;0,"Partial","Due")))</f>
        <v/>
      </c>
    </row>
    <row r="37" customFormat="false" ht="15" hidden="false" customHeight="false" outlineLevel="0" collapsed="false">
      <c r="A37" s="25" t="n">
        <v>22</v>
      </c>
      <c r="B37" s="82" t="str">
        <f aca="false">IF(Students!B26="","",Students!B26)</f>
        <v/>
      </c>
      <c r="C37" s="37" t="n">
        <f aca="false">'Apr 2027'!F37</f>
        <v>0</v>
      </c>
      <c r="D37" s="37" t="n">
        <f aca="false">IF(B37="",0,N(Students!E26))</f>
        <v>0</v>
      </c>
      <c r="E37" s="23"/>
      <c r="F37" s="26" t="n">
        <f aca="false">N(C37)+N(D37)-N(E37)</f>
        <v>0</v>
      </c>
      <c r="G37" s="37" t="n">
        <f aca="false">'Apr 2027'!J37</f>
        <v>0</v>
      </c>
      <c r="H37" s="37" t="n">
        <f aca="false">IF(B37="",0,N(Students!F26))</f>
        <v>0</v>
      </c>
      <c r="I37" s="23"/>
      <c r="J37" s="26" t="n">
        <f aca="false">N(G37)+N(H37)-N(I37)</f>
        <v>0</v>
      </c>
      <c r="K37" s="37" t="n">
        <f aca="false">'Apr 2027'!N37</f>
        <v>0</v>
      </c>
      <c r="L37" s="37" t="n">
        <f aca="false">IF(B37="",0,N(Students!G26))</f>
        <v>0</v>
      </c>
      <c r="M37" s="23"/>
      <c r="N37" s="26" t="n">
        <f aca="false">N(K37)+N(L37)-N(M37)</f>
        <v>0</v>
      </c>
      <c r="O37" s="37" t="n">
        <f aca="false">'Apr 2027'!R37</f>
        <v>0</v>
      </c>
      <c r="P37" s="37" t="n">
        <f aca="false">IF(B37="",0,N(Students!H26))</f>
        <v>0</v>
      </c>
      <c r="Q37" s="23"/>
      <c r="R37" s="26" t="n">
        <f aca="false">N(O37)+N(P37)-N(Q37)</f>
        <v>0</v>
      </c>
      <c r="S37" s="37" t="n">
        <f aca="false">'Apr 2027'!V37</f>
        <v>0</v>
      </c>
      <c r="T37" s="37" t="n">
        <f aca="false">IF(B37="",0,N(Students!I26))</f>
        <v>0</v>
      </c>
      <c r="U37" s="23"/>
      <c r="V37" s="26" t="n">
        <f aca="false">N(S37)+N(T37)-N(U37)</f>
        <v>0</v>
      </c>
      <c r="W37" s="37" t="n">
        <f aca="false">'Apr 2027'!Z37</f>
        <v>0</v>
      </c>
      <c r="X37" s="37" t="n">
        <f aca="false">IF(B37="",0,N(Students!J26))</f>
        <v>0</v>
      </c>
      <c r="Y37" s="23"/>
      <c r="Z37" s="26" t="n">
        <f aca="false">N(W37)+N(X37)-N(Y37)</f>
        <v>0</v>
      </c>
      <c r="AA37" s="37" t="n">
        <f aca="false">N(E37)+N(I37)+N(M37)+N(Q37)+N(U37)+N(Y37)</f>
        <v>0</v>
      </c>
      <c r="AB37" s="26" t="n">
        <f aca="false">F37+J37+N37+R37+V37+Z37</f>
        <v>0</v>
      </c>
      <c r="AC37" s="83" t="str">
        <f aca="false">IF(B37="","",IF(AB37&lt;=0,"Clear",IF(AA37&gt;0,"Partial","Due")))</f>
        <v/>
      </c>
    </row>
    <row r="38" customFormat="false" ht="15" hidden="false" customHeight="false" outlineLevel="0" collapsed="false">
      <c r="A38" s="21" t="n">
        <v>23</v>
      </c>
      <c r="B38" s="46" t="str">
        <f aca="false">IF(Students!B27="","",Students!B27)</f>
        <v/>
      </c>
      <c r="C38" s="33" t="n">
        <f aca="false">'Apr 2027'!F38</f>
        <v>0</v>
      </c>
      <c r="D38" s="33" t="n">
        <f aca="false">IF(B38="",0,N(Students!E27))</f>
        <v>0</v>
      </c>
      <c r="E38" s="23"/>
      <c r="F38" s="24" t="n">
        <f aca="false">N(C38)+N(D38)-N(E38)</f>
        <v>0</v>
      </c>
      <c r="G38" s="33" t="n">
        <f aca="false">'Apr 2027'!J38</f>
        <v>0</v>
      </c>
      <c r="H38" s="33" t="n">
        <f aca="false">IF(B38="",0,N(Students!F27))</f>
        <v>0</v>
      </c>
      <c r="I38" s="23"/>
      <c r="J38" s="24" t="n">
        <f aca="false">N(G38)+N(H38)-N(I38)</f>
        <v>0</v>
      </c>
      <c r="K38" s="33" t="n">
        <f aca="false">'Apr 2027'!N38</f>
        <v>0</v>
      </c>
      <c r="L38" s="33" t="n">
        <f aca="false">IF(B38="",0,N(Students!G27))</f>
        <v>0</v>
      </c>
      <c r="M38" s="23"/>
      <c r="N38" s="24" t="n">
        <f aca="false">N(K38)+N(L38)-N(M38)</f>
        <v>0</v>
      </c>
      <c r="O38" s="33" t="n">
        <f aca="false">'Apr 2027'!R38</f>
        <v>0</v>
      </c>
      <c r="P38" s="33" t="n">
        <f aca="false">IF(B38="",0,N(Students!H27))</f>
        <v>0</v>
      </c>
      <c r="Q38" s="23"/>
      <c r="R38" s="24" t="n">
        <f aca="false">N(O38)+N(P38)-N(Q38)</f>
        <v>0</v>
      </c>
      <c r="S38" s="33" t="n">
        <f aca="false">'Apr 2027'!V38</f>
        <v>0</v>
      </c>
      <c r="T38" s="33" t="n">
        <f aca="false">IF(B38="",0,N(Students!I27))</f>
        <v>0</v>
      </c>
      <c r="U38" s="23"/>
      <c r="V38" s="24" t="n">
        <f aca="false">N(S38)+N(T38)-N(U38)</f>
        <v>0</v>
      </c>
      <c r="W38" s="33" t="n">
        <f aca="false">'Apr 2027'!Z38</f>
        <v>0</v>
      </c>
      <c r="X38" s="33" t="n">
        <f aca="false">IF(B38="",0,N(Students!J27))</f>
        <v>0</v>
      </c>
      <c r="Y38" s="23"/>
      <c r="Z38" s="24" t="n">
        <f aca="false">N(W38)+N(X38)-N(Y38)</f>
        <v>0</v>
      </c>
      <c r="AA38" s="33" t="n">
        <f aca="false">N(E38)+N(I38)+N(M38)+N(Q38)+N(U38)+N(Y38)</f>
        <v>0</v>
      </c>
      <c r="AB38" s="24" t="n">
        <f aca="false">F38+J38+N38+R38+V38+Z38</f>
        <v>0</v>
      </c>
      <c r="AC38" s="81" t="str">
        <f aca="false">IF(B38="","",IF(AB38&lt;=0,"Clear",IF(AA38&gt;0,"Partial","Due")))</f>
        <v/>
      </c>
    </row>
    <row r="39" customFormat="false" ht="15" hidden="false" customHeight="false" outlineLevel="0" collapsed="false">
      <c r="A39" s="25" t="n">
        <v>24</v>
      </c>
      <c r="B39" s="82" t="str">
        <f aca="false">IF(Students!B28="","",Students!B28)</f>
        <v/>
      </c>
      <c r="C39" s="37" t="n">
        <f aca="false">'Apr 2027'!F39</f>
        <v>0</v>
      </c>
      <c r="D39" s="37" t="n">
        <f aca="false">IF(B39="",0,N(Students!E28))</f>
        <v>0</v>
      </c>
      <c r="E39" s="23"/>
      <c r="F39" s="26" t="n">
        <f aca="false">N(C39)+N(D39)-N(E39)</f>
        <v>0</v>
      </c>
      <c r="G39" s="37" t="n">
        <f aca="false">'Apr 2027'!J39</f>
        <v>0</v>
      </c>
      <c r="H39" s="37" t="n">
        <f aca="false">IF(B39="",0,N(Students!F28))</f>
        <v>0</v>
      </c>
      <c r="I39" s="23"/>
      <c r="J39" s="26" t="n">
        <f aca="false">N(G39)+N(H39)-N(I39)</f>
        <v>0</v>
      </c>
      <c r="K39" s="37" t="n">
        <f aca="false">'Apr 2027'!N39</f>
        <v>0</v>
      </c>
      <c r="L39" s="37" t="n">
        <f aca="false">IF(B39="",0,N(Students!G28))</f>
        <v>0</v>
      </c>
      <c r="M39" s="23"/>
      <c r="N39" s="26" t="n">
        <f aca="false">N(K39)+N(L39)-N(M39)</f>
        <v>0</v>
      </c>
      <c r="O39" s="37" t="n">
        <f aca="false">'Apr 2027'!R39</f>
        <v>0</v>
      </c>
      <c r="P39" s="37" t="n">
        <f aca="false">IF(B39="",0,N(Students!H28))</f>
        <v>0</v>
      </c>
      <c r="Q39" s="23"/>
      <c r="R39" s="26" t="n">
        <f aca="false">N(O39)+N(P39)-N(Q39)</f>
        <v>0</v>
      </c>
      <c r="S39" s="37" t="n">
        <f aca="false">'Apr 2027'!V39</f>
        <v>0</v>
      </c>
      <c r="T39" s="37" t="n">
        <f aca="false">IF(B39="",0,N(Students!I28))</f>
        <v>0</v>
      </c>
      <c r="U39" s="23"/>
      <c r="V39" s="26" t="n">
        <f aca="false">N(S39)+N(T39)-N(U39)</f>
        <v>0</v>
      </c>
      <c r="W39" s="37" t="n">
        <f aca="false">'Apr 2027'!Z39</f>
        <v>0</v>
      </c>
      <c r="X39" s="37" t="n">
        <f aca="false">IF(B39="",0,N(Students!J28))</f>
        <v>0</v>
      </c>
      <c r="Y39" s="23"/>
      <c r="Z39" s="26" t="n">
        <f aca="false">N(W39)+N(X39)-N(Y39)</f>
        <v>0</v>
      </c>
      <c r="AA39" s="37" t="n">
        <f aca="false">N(E39)+N(I39)+N(M39)+N(Q39)+N(U39)+N(Y39)</f>
        <v>0</v>
      </c>
      <c r="AB39" s="26" t="n">
        <f aca="false">F39+J39+N39+R39+V39+Z39</f>
        <v>0</v>
      </c>
      <c r="AC39" s="83" t="str">
        <f aca="false">IF(B39="","",IF(AB39&lt;=0,"Clear",IF(AA39&gt;0,"Partial","Due")))</f>
        <v/>
      </c>
    </row>
    <row r="40" customFormat="false" ht="15" hidden="false" customHeight="false" outlineLevel="0" collapsed="false">
      <c r="A40" s="21" t="n">
        <v>25</v>
      </c>
      <c r="B40" s="46" t="str">
        <f aca="false">IF(Students!B29="","",Students!B29)</f>
        <v/>
      </c>
      <c r="C40" s="33" t="n">
        <f aca="false">'Apr 2027'!F40</f>
        <v>0</v>
      </c>
      <c r="D40" s="33" t="n">
        <f aca="false">IF(B40="",0,N(Students!E29))</f>
        <v>0</v>
      </c>
      <c r="E40" s="23"/>
      <c r="F40" s="24" t="n">
        <f aca="false">N(C40)+N(D40)-N(E40)</f>
        <v>0</v>
      </c>
      <c r="G40" s="33" t="n">
        <f aca="false">'Apr 2027'!J40</f>
        <v>0</v>
      </c>
      <c r="H40" s="33" t="n">
        <f aca="false">IF(B40="",0,N(Students!F29))</f>
        <v>0</v>
      </c>
      <c r="I40" s="23"/>
      <c r="J40" s="24" t="n">
        <f aca="false">N(G40)+N(H40)-N(I40)</f>
        <v>0</v>
      </c>
      <c r="K40" s="33" t="n">
        <f aca="false">'Apr 2027'!N40</f>
        <v>0</v>
      </c>
      <c r="L40" s="33" t="n">
        <f aca="false">IF(B40="",0,N(Students!G29))</f>
        <v>0</v>
      </c>
      <c r="M40" s="23"/>
      <c r="N40" s="24" t="n">
        <f aca="false">N(K40)+N(L40)-N(M40)</f>
        <v>0</v>
      </c>
      <c r="O40" s="33" t="n">
        <f aca="false">'Apr 2027'!R40</f>
        <v>0</v>
      </c>
      <c r="P40" s="33" t="n">
        <f aca="false">IF(B40="",0,N(Students!H29))</f>
        <v>0</v>
      </c>
      <c r="Q40" s="23"/>
      <c r="R40" s="24" t="n">
        <f aca="false">N(O40)+N(P40)-N(Q40)</f>
        <v>0</v>
      </c>
      <c r="S40" s="33" t="n">
        <f aca="false">'Apr 2027'!V40</f>
        <v>0</v>
      </c>
      <c r="T40" s="33" t="n">
        <f aca="false">IF(B40="",0,N(Students!I29))</f>
        <v>0</v>
      </c>
      <c r="U40" s="23"/>
      <c r="V40" s="24" t="n">
        <f aca="false">N(S40)+N(T40)-N(U40)</f>
        <v>0</v>
      </c>
      <c r="W40" s="33" t="n">
        <f aca="false">'Apr 2027'!Z40</f>
        <v>0</v>
      </c>
      <c r="X40" s="33" t="n">
        <f aca="false">IF(B40="",0,N(Students!J29))</f>
        <v>0</v>
      </c>
      <c r="Y40" s="23"/>
      <c r="Z40" s="24" t="n">
        <f aca="false">N(W40)+N(X40)-N(Y40)</f>
        <v>0</v>
      </c>
      <c r="AA40" s="33" t="n">
        <f aca="false">N(E40)+N(I40)+N(M40)+N(Q40)+N(U40)+N(Y40)</f>
        <v>0</v>
      </c>
      <c r="AB40" s="24" t="n">
        <f aca="false">F40+J40+N40+R40+V40+Z40</f>
        <v>0</v>
      </c>
      <c r="AC40" s="81" t="str">
        <f aca="false">IF(B40="","",IF(AB40&lt;=0,"Clear",IF(AA40&gt;0,"Partial","Due")))</f>
        <v/>
      </c>
    </row>
    <row r="41" customFormat="false" ht="15" hidden="false" customHeight="false" outlineLevel="0" collapsed="false">
      <c r="A41" s="25" t="n">
        <v>26</v>
      </c>
      <c r="B41" s="82" t="str">
        <f aca="false">IF(Students!B30="","",Students!B30)</f>
        <v/>
      </c>
      <c r="C41" s="37" t="n">
        <f aca="false">'Apr 2027'!F41</f>
        <v>0</v>
      </c>
      <c r="D41" s="37" t="n">
        <f aca="false">IF(B41="",0,N(Students!E30))</f>
        <v>0</v>
      </c>
      <c r="E41" s="23"/>
      <c r="F41" s="26" t="n">
        <f aca="false">N(C41)+N(D41)-N(E41)</f>
        <v>0</v>
      </c>
      <c r="G41" s="37" t="n">
        <f aca="false">'Apr 2027'!J41</f>
        <v>0</v>
      </c>
      <c r="H41" s="37" t="n">
        <f aca="false">IF(B41="",0,N(Students!F30))</f>
        <v>0</v>
      </c>
      <c r="I41" s="23"/>
      <c r="J41" s="26" t="n">
        <f aca="false">N(G41)+N(H41)-N(I41)</f>
        <v>0</v>
      </c>
      <c r="K41" s="37" t="n">
        <f aca="false">'Apr 2027'!N41</f>
        <v>0</v>
      </c>
      <c r="L41" s="37" t="n">
        <f aca="false">IF(B41="",0,N(Students!G30))</f>
        <v>0</v>
      </c>
      <c r="M41" s="23"/>
      <c r="N41" s="26" t="n">
        <f aca="false">N(K41)+N(L41)-N(M41)</f>
        <v>0</v>
      </c>
      <c r="O41" s="37" t="n">
        <f aca="false">'Apr 2027'!R41</f>
        <v>0</v>
      </c>
      <c r="P41" s="37" t="n">
        <f aca="false">IF(B41="",0,N(Students!H30))</f>
        <v>0</v>
      </c>
      <c r="Q41" s="23"/>
      <c r="R41" s="26" t="n">
        <f aca="false">N(O41)+N(P41)-N(Q41)</f>
        <v>0</v>
      </c>
      <c r="S41" s="37" t="n">
        <f aca="false">'Apr 2027'!V41</f>
        <v>0</v>
      </c>
      <c r="T41" s="37" t="n">
        <f aca="false">IF(B41="",0,N(Students!I30))</f>
        <v>0</v>
      </c>
      <c r="U41" s="23"/>
      <c r="V41" s="26" t="n">
        <f aca="false">N(S41)+N(T41)-N(U41)</f>
        <v>0</v>
      </c>
      <c r="W41" s="37" t="n">
        <f aca="false">'Apr 2027'!Z41</f>
        <v>0</v>
      </c>
      <c r="X41" s="37" t="n">
        <f aca="false">IF(B41="",0,N(Students!J30))</f>
        <v>0</v>
      </c>
      <c r="Y41" s="23"/>
      <c r="Z41" s="26" t="n">
        <f aca="false">N(W41)+N(X41)-N(Y41)</f>
        <v>0</v>
      </c>
      <c r="AA41" s="37" t="n">
        <f aca="false">N(E41)+N(I41)+N(M41)+N(Q41)+N(U41)+N(Y41)</f>
        <v>0</v>
      </c>
      <c r="AB41" s="26" t="n">
        <f aca="false">F41+J41+N41+R41+V41+Z41</f>
        <v>0</v>
      </c>
      <c r="AC41" s="83" t="str">
        <f aca="false">IF(B41="","",IF(AB41&lt;=0,"Clear",IF(AA41&gt;0,"Partial","Due")))</f>
        <v/>
      </c>
    </row>
    <row r="42" customFormat="false" ht="15" hidden="false" customHeight="false" outlineLevel="0" collapsed="false">
      <c r="A42" s="21" t="n">
        <v>27</v>
      </c>
      <c r="B42" s="46" t="str">
        <f aca="false">IF(Students!B31="","",Students!B31)</f>
        <v/>
      </c>
      <c r="C42" s="33" t="n">
        <f aca="false">'Apr 2027'!F42</f>
        <v>0</v>
      </c>
      <c r="D42" s="33" t="n">
        <f aca="false">IF(B42="",0,N(Students!E31))</f>
        <v>0</v>
      </c>
      <c r="E42" s="23"/>
      <c r="F42" s="24" t="n">
        <f aca="false">N(C42)+N(D42)-N(E42)</f>
        <v>0</v>
      </c>
      <c r="G42" s="33" t="n">
        <f aca="false">'Apr 2027'!J42</f>
        <v>0</v>
      </c>
      <c r="H42" s="33" t="n">
        <f aca="false">IF(B42="",0,N(Students!F31))</f>
        <v>0</v>
      </c>
      <c r="I42" s="23"/>
      <c r="J42" s="24" t="n">
        <f aca="false">N(G42)+N(H42)-N(I42)</f>
        <v>0</v>
      </c>
      <c r="K42" s="33" t="n">
        <f aca="false">'Apr 2027'!N42</f>
        <v>0</v>
      </c>
      <c r="L42" s="33" t="n">
        <f aca="false">IF(B42="",0,N(Students!G31))</f>
        <v>0</v>
      </c>
      <c r="M42" s="23"/>
      <c r="N42" s="24" t="n">
        <f aca="false">N(K42)+N(L42)-N(M42)</f>
        <v>0</v>
      </c>
      <c r="O42" s="33" t="n">
        <f aca="false">'Apr 2027'!R42</f>
        <v>0</v>
      </c>
      <c r="P42" s="33" t="n">
        <f aca="false">IF(B42="",0,N(Students!H31))</f>
        <v>0</v>
      </c>
      <c r="Q42" s="23"/>
      <c r="R42" s="24" t="n">
        <f aca="false">N(O42)+N(P42)-N(Q42)</f>
        <v>0</v>
      </c>
      <c r="S42" s="33" t="n">
        <f aca="false">'Apr 2027'!V42</f>
        <v>0</v>
      </c>
      <c r="T42" s="33" t="n">
        <f aca="false">IF(B42="",0,N(Students!I31))</f>
        <v>0</v>
      </c>
      <c r="U42" s="23"/>
      <c r="V42" s="24" t="n">
        <f aca="false">N(S42)+N(T42)-N(U42)</f>
        <v>0</v>
      </c>
      <c r="W42" s="33" t="n">
        <f aca="false">'Apr 2027'!Z42</f>
        <v>0</v>
      </c>
      <c r="X42" s="33" t="n">
        <f aca="false">IF(B42="",0,N(Students!J31))</f>
        <v>0</v>
      </c>
      <c r="Y42" s="23"/>
      <c r="Z42" s="24" t="n">
        <f aca="false">N(W42)+N(X42)-N(Y42)</f>
        <v>0</v>
      </c>
      <c r="AA42" s="33" t="n">
        <f aca="false">N(E42)+N(I42)+N(M42)+N(Q42)+N(U42)+N(Y42)</f>
        <v>0</v>
      </c>
      <c r="AB42" s="24" t="n">
        <f aca="false">F42+J42+N42+R42+V42+Z42</f>
        <v>0</v>
      </c>
      <c r="AC42" s="81" t="str">
        <f aca="false">IF(B42="","",IF(AB42&lt;=0,"Clear",IF(AA42&gt;0,"Partial","Due")))</f>
        <v/>
      </c>
    </row>
    <row r="43" customFormat="false" ht="15" hidden="false" customHeight="false" outlineLevel="0" collapsed="false">
      <c r="A43" s="25" t="n">
        <v>28</v>
      </c>
      <c r="B43" s="82" t="str">
        <f aca="false">IF(Students!B32="","",Students!B32)</f>
        <v/>
      </c>
      <c r="C43" s="37" t="n">
        <f aca="false">'Apr 2027'!F43</f>
        <v>0</v>
      </c>
      <c r="D43" s="37" t="n">
        <f aca="false">IF(B43="",0,N(Students!E32))</f>
        <v>0</v>
      </c>
      <c r="E43" s="23"/>
      <c r="F43" s="26" t="n">
        <f aca="false">N(C43)+N(D43)-N(E43)</f>
        <v>0</v>
      </c>
      <c r="G43" s="37" t="n">
        <f aca="false">'Apr 2027'!J43</f>
        <v>0</v>
      </c>
      <c r="H43" s="37" t="n">
        <f aca="false">IF(B43="",0,N(Students!F32))</f>
        <v>0</v>
      </c>
      <c r="I43" s="23"/>
      <c r="J43" s="26" t="n">
        <f aca="false">N(G43)+N(H43)-N(I43)</f>
        <v>0</v>
      </c>
      <c r="K43" s="37" t="n">
        <f aca="false">'Apr 2027'!N43</f>
        <v>0</v>
      </c>
      <c r="L43" s="37" t="n">
        <f aca="false">IF(B43="",0,N(Students!G32))</f>
        <v>0</v>
      </c>
      <c r="M43" s="23"/>
      <c r="N43" s="26" t="n">
        <f aca="false">N(K43)+N(L43)-N(M43)</f>
        <v>0</v>
      </c>
      <c r="O43" s="37" t="n">
        <f aca="false">'Apr 2027'!R43</f>
        <v>0</v>
      </c>
      <c r="P43" s="37" t="n">
        <f aca="false">IF(B43="",0,N(Students!H32))</f>
        <v>0</v>
      </c>
      <c r="Q43" s="23"/>
      <c r="R43" s="26" t="n">
        <f aca="false">N(O43)+N(P43)-N(Q43)</f>
        <v>0</v>
      </c>
      <c r="S43" s="37" t="n">
        <f aca="false">'Apr 2027'!V43</f>
        <v>0</v>
      </c>
      <c r="T43" s="37" t="n">
        <f aca="false">IF(B43="",0,N(Students!I32))</f>
        <v>0</v>
      </c>
      <c r="U43" s="23"/>
      <c r="V43" s="26" t="n">
        <f aca="false">N(S43)+N(T43)-N(U43)</f>
        <v>0</v>
      </c>
      <c r="W43" s="37" t="n">
        <f aca="false">'Apr 2027'!Z43</f>
        <v>0</v>
      </c>
      <c r="X43" s="37" t="n">
        <f aca="false">IF(B43="",0,N(Students!J32))</f>
        <v>0</v>
      </c>
      <c r="Y43" s="23"/>
      <c r="Z43" s="26" t="n">
        <f aca="false">N(W43)+N(X43)-N(Y43)</f>
        <v>0</v>
      </c>
      <c r="AA43" s="37" t="n">
        <f aca="false">N(E43)+N(I43)+N(M43)+N(Q43)+N(U43)+N(Y43)</f>
        <v>0</v>
      </c>
      <c r="AB43" s="26" t="n">
        <f aca="false">F43+J43+N43+R43+V43+Z43</f>
        <v>0</v>
      </c>
      <c r="AC43" s="83" t="str">
        <f aca="false">IF(B43="","",IF(AB43&lt;=0,"Clear",IF(AA43&gt;0,"Partial","Due")))</f>
        <v/>
      </c>
    </row>
    <row r="44" customFormat="false" ht="15" hidden="false" customHeight="false" outlineLevel="0" collapsed="false">
      <c r="A44" s="21" t="n">
        <v>29</v>
      </c>
      <c r="B44" s="46" t="str">
        <f aca="false">IF(Students!B33="","",Students!B33)</f>
        <v/>
      </c>
      <c r="C44" s="33" t="n">
        <f aca="false">'Apr 2027'!F44</f>
        <v>0</v>
      </c>
      <c r="D44" s="33" t="n">
        <f aca="false">IF(B44="",0,N(Students!E33))</f>
        <v>0</v>
      </c>
      <c r="E44" s="23"/>
      <c r="F44" s="24" t="n">
        <f aca="false">N(C44)+N(D44)-N(E44)</f>
        <v>0</v>
      </c>
      <c r="G44" s="33" t="n">
        <f aca="false">'Apr 2027'!J44</f>
        <v>0</v>
      </c>
      <c r="H44" s="33" t="n">
        <f aca="false">IF(B44="",0,N(Students!F33))</f>
        <v>0</v>
      </c>
      <c r="I44" s="23"/>
      <c r="J44" s="24" t="n">
        <f aca="false">N(G44)+N(H44)-N(I44)</f>
        <v>0</v>
      </c>
      <c r="K44" s="33" t="n">
        <f aca="false">'Apr 2027'!N44</f>
        <v>0</v>
      </c>
      <c r="L44" s="33" t="n">
        <f aca="false">IF(B44="",0,N(Students!G33))</f>
        <v>0</v>
      </c>
      <c r="M44" s="23"/>
      <c r="N44" s="24" t="n">
        <f aca="false">N(K44)+N(L44)-N(M44)</f>
        <v>0</v>
      </c>
      <c r="O44" s="33" t="n">
        <f aca="false">'Apr 2027'!R44</f>
        <v>0</v>
      </c>
      <c r="P44" s="33" t="n">
        <f aca="false">IF(B44="",0,N(Students!H33))</f>
        <v>0</v>
      </c>
      <c r="Q44" s="23"/>
      <c r="R44" s="24" t="n">
        <f aca="false">N(O44)+N(P44)-N(Q44)</f>
        <v>0</v>
      </c>
      <c r="S44" s="33" t="n">
        <f aca="false">'Apr 2027'!V44</f>
        <v>0</v>
      </c>
      <c r="T44" s="33" t="n">
        <f aca="false">IF(B44="",0,N(Students!I33))</f>
        <v>0</v>
      </c>
      <c r="U44" s="23"/>
      <c r="V44" s="24" t="n">
        <f aca="false">N(S44)+N(T44)-N(U44)</f>
        <v>0</v>
      </c>
      <c r="W44" s="33" t="n">
        <f aca="false">'Apr 2027'!Z44</f>
        <v>0</v>
      </c>
      <c r="X44" s="33" t="n">
        <f aca="false">IF(B44="",0,N(Students!J33))</f>
        <v>0</v>
      </c>
      <c r="Y44" s="23"/>
      <c r="Z44" s="24" t="n">
        <f aca="false">N(W44)+N(X44)-N(Y44)</f>
        <v>0</v>
      </c>
      <c r="AA44" s="33" t="n">
        <f aca="false">N(E44)+N(I44)+N(M44)+N(Q44)+N(U44)+N(Y44)</f>
        <v>0</v>
      </c>
      <c r="AB44" s="24" t="n">
        <f aca="false">F44+J44+N44+R44+V44+Z44</f>
        <v>0</v>
      </c>
      <c r="AC44" s="81" t="str">
        <f aca="false">IF(B44="","",IF(AB44&lt;=0,"Clear",IF(AA44&gt;0,"Partial","Due")))</f>
        <v/>
      </c>
    </row>
    <row r="45" customFormat="false" ht="15" hidden="false" customHeight="false" outlineLevel="0" collapsed="false">
      <c r="A45" s="25" t="n">
        <v>30</v>
      </c>
      <c r="B45" s="82" t="str">
        <f aca="false">IF(Students!B34="","",Students!B34)</f>
        <v/>
      </c>
      <c r="C45" s="37" t="n">
        <f aca="false">'Apr 2027'!F45</f>
        <v>0</v>
      </c>
      <c r="D45" s="37" t="n">
        <f aca="false">IF(B45="",0,N(Students!E34))</f>
        <v>0</v>
      </c>
      <c r="E45" s="23"/>
      <c r="F45" s="26" t="n">
        <f aca="false">N(C45)+N(D45)-N(E45)</f>
        <v>0</v>
      </c>
      <c r="G45" s="37" t="n">
        <f aca="false">'Apr 2027'!J45</f>
        <v>0</v>
      </c>
      <c r="H45" s="37" t="n">
        <f aca="false">IF(B45="",0,N(Students!F34))</f>
        <v>0</v>
      </c>
      <c r="I45" s="23"/>
      <c r="J45" s="26" t="n">
        <f aca="false">N(G45)+N(H45)-N(I45)</f>
        <v>0</v>
      </c>
      <c r="K45" s="37" t="n">
        <f aca="false">'Apr 2027'!N45</f>
        <v>0</v>
      </c>
      <c r="L45" s="37" t="n">
        <f aca="false">IF(B45="",0,N(Students!G34))</f>
        <v>0</v>
      </c>
      <c r="M45" s="23"/>
      <c r="N45" s="26" t="n">
        <f aca="false">N(K45)+N(L45)-N(M45)</f>
        <v>0</v>
      </c>
      <c r="O45" s="37" t="n">
        <f aca="false">'Apr 2027'!R45</f>
        <v>0</v>
      </c>
      <c r="P45" s="37" t="n">
        <f aca="false">IF(B45="",0,N(Students!H34))</f>
        <v>0</v>
      </c>
      <c r="Q45" s="23"/>
      <c r="R45" s="26" t="n">
        <f aca="false">N(O45)+N(P45)-N(Q45)</f>
        <v>0</v>
      </c>
      <c r="S45" s="37" t="n">
        <f aca="false">'Apr 2027'!V45</f>
        <v>0</v>
      </c>
      <c r="T45" s="37" t="n">
        <f aca="false">IF(B45="",0,N(Students!I34))</f>
        <v>0</v>
      </c>
      <c r="U45" s="23"/>
      <c r="V45" s="26" t="n">
        <f aca="false">N(S45)+N(T45)-N(U45)</f>
        <v>0</v>
      </c>
      <c r="W45" s="37" t="n">
        <f aca="false">'Apr 2027'!Z45</f>
        <v>0</v>
      </c>
      <c r="X45" s="37" t="n">
        <f aca="false">IF(B45="",0,N(Students!J34))</f>
        <v>0</v>
      </c>
      <c r="Y45" s="23"/>
      <c r="Z45" s="26" t="n">
        <f aca="false">N(W45)+N(X45)-N(Y45)</f>
        <v>0</v>
      </c>
      <c r="AA45" s="37" t="n">
        <f aca="false">N(E45)+N(I45)+N(M45)+N(Q45)+N(U45)+N(Y45)</f>
        <v>0</v>
      </c>
      <c r="AB45" s="26" t="n">
        <f aca="false">F45+J45+N45+R45+V45+Z45</f>
        <v>0</v>
      </c>
      <c r="AC45" s="83" t="str">
        <f aca="false">IF(B45="","",IF(AB45&lt;=0,"Clear",IF(AA45&gt;0,"Partial","Due")))</f>
        <v/>
      </c>
    </row>
    <row r="46" customFormat="false" ht="15" hidden="false" customHeight="false" outlineLevel="0" collapsed="false">
      <c r="A46" s="21" t="n">
        <v>31</v>
      </c>
      <c r="B46" s="46" t="str">
        <f aca="false">IF(Students!B35="","",Students!B35)</f>
        <v/>
      </c>
      <c r="C46" s="33" t="n">
        <f aca="false">'Apr 2027'!F46</f>
        <v>0</v>
      </c>
      <c r="D46" s="33" t="n">
        <f aca="false">IF(B46="",0,N(Students!E35))</f>
        <v>0</v>
      </c>
      <c r="E46" s="23"/>
      <c r="F46" s="24" t="n">
        <f aca="false">N(C46)+N(D46)-N(E46)</f>
        <v>0</v>
      </c>
      <c r="G46" s="33" t="n">
        <f aca="false">'Apr 2027'!J46</f>
        <v>0</v>
      </c>
      <c r="H46" s="33" t="n">
        <f aca="false">IF(B46="",0,N(Students!F35))</f>
        <v>0</v>
      </c>
      <c r="I46" s="23"/>
      <c r="J46" s="24" t="n">
        <f aca="false">N(G46)+N(H46)-N(I46)</f>
        <v>0</v>
      </c>
      <c r="K46" s="33" t="n">
        <f aca="false">'Apr 2027'!N46</f>
        <v>0</v>
      </c>
      <c r="L46" s="33" t="n">
        <f aca="false">IF(B46="",0,N(Students!G35))</f>
        <v>0</v>
      </c>
      <c r="M46" s="23"/>
      <c r="N46" s="24" t="n">
        <f aca="false">N(K46)+N(L46)-N(M46)</f>
        <v>0</v>
      </c>
      <c r="O46" s="33" t="n">
        <f aca="false">'Apr 2027'!R46</f>
        <v>0</v>
      </c>
      <c r="P46" s="33" t="n">
        <f aca="false">IF(B46="",0,N(Students!H35))</f>
        <v>0</v>
      </c>
      <c r="Q46" s="23"/>
      <c r="R46" s="24" t="n">
        <f aca="false">N(O46)+N(P46)-N(Q46)</f>
        <v>0</v>
      </c>
      <c r="S46" s="33" t="n">
        <f aca="false">'Apr 2027'!V46</f>
        <v>0</v>
      </c>
      <c r="T46" s="33" t="n">
        <f aca="false">IF(B46="",0,N(Students!I35))</f>
        <v>0</v>
      </c>
      <c r="U46" s="23"/>
      <c r="V46" s="24" t="n">
        <f aca="false">N(S46)+N(T46)-N(U46)</f>
        <v>0</v>
      </c>
      <c r="W46" s="33" t="n">
        <f aca="false">'Apr 2027'!Z46</f>
        <v>0</v>
      </c>
      <c r="X46" s="33" t="n">
        <f aca="false">IF(B46="",0,N(Students!J35))</f>
        <v>0</v>
      </c>
      <c r="Y46" s="23"/>
      <c r="Z46" s="24" t="n">
        <f aca="false">N(W46)+N(X46)-N(Y46)</f>
        <v>0</v>
      </c>
      <c r="AA46" s="33" t="n">
        <f aca="false">N(E46)+N(I46)+N(M46)+N(Q46)+N(U46)+N(Y46)</f>
        <v>0</v>
      </c>
      <c r="AB46" s="24" t="n">
        <f aca="false">F46+J46+N46+R46+V46+Z46</f>
        <v>0</v>
      </c>
      <c r="AC46" s="81" t="str">
        <f aca="false">IF(B46="","",IF(AB46&lt;=0,"Clear",IF(AA46&gt;0,"Partial","Due")))</f>
        <v/>
      </c>
    </row>
    <row r="47" customFormat="false" ht="15" hidden="false" customHeight="false" outlineLevel="0" collapsed="false">
      <c r="A47" s="25" t="n">
        <v>32</v>
      </c>
      <c r="B47" s="82" t="str">
        <f aca="false">IF(Students!B36="","",Students!B36)</f>
        <v/>
      </c>
      <c r="C47" s="37" t="n">
        <f aca="false">'Apr 2027'!F47</f>
        <v>0</v>
      </c>
      <c r="D47" s="37" t="n">
        <f aca="false">IF(B47="",0,N(Students!E36))</f>
        <v>0</v>
      </c>
      <c r="E47" s="23"/>
      <c r="F47" s="26" t="n">
        <f aca="false">N(C47)+N(D47)-N(E47)</f>
        <v>0</v>
      </c>
      <c r="G47" s="37" t="n">
        <f aca="false">'Apr 2027'!J47</f>
        <v>0</v>
      </c>
      <c r="H47" s="37" t="n">
        <f aca="false">IF(B47="",0,N(Students!F36))</f>
        <v>0</v>
      </c>
      <c r="I47" s="23"/>
      <c r="J47" s="26" t="n">
        <f aca="false">N(G47)+N(H47)-N(I47)</f>
        <v>0</v>
      </c>
      <c r="K47" s="37" t="n">
        <f aca="false">'Apr 2027'!N47</f>
        <v>0</v>
      </c>
      <c r="L47" s="37" t="n">
        <f aca="false">IF(B47="",0,N(Students!G36))</f>
        <v>0</v>
      </c>
      <c r="M47" s="23"/>
      <c r="N47" s="26" t="n">
        <f aca="false">N(K47)+N(L47)-N(M47)</f>
        <v>0</v>
      </c>
      <c r="O47" s="37" t="n">
        <f aca="false">'Apr 2027'!R47</f>
        <v>0</v>
      </c>
      <c r="P47" s="37" t="n">
        <f aca="false">IF(B47="",0,N(Students!H36))</f>
        <v>0</v>
      </c>
      <c r="Q47" s="23"/>
      <c r="R47" s="26" t="n">
        <f aca="false">N(O47)+N(P47)-N(Q47)</f>
        <v>0</v>
      </c>
      <c r="S47" s="37" t="n">
        <f aca="false">'Apr 2027'!V47</f>
        <v>0</v>
      </c>
      <c r="T47" s="37" t="n">
        <f aca="false">IF(B47="",0,N(Students!I36))</f>
        <v>0</v>
      </c>
      <c r="U47" s="23"/>
      <c r="V47" s="26" t="n">
        <f aca="false">N(S47)+N(T47)-N(U47)</f>
        <v>0</v>
      </c>
      <c r="W47" s="37" t="n">
        <f aca="false">'Apr 2027'!Z47</f>
        <v>0</v>
      </c>
      <c r="X47" s="37" t="n">
        <f aca="false">IF(B47="",0,N(Students!J36))</f>
        <v>0</v>
      </c>
      <c r="Y47" s="23"/>
      <c r="Z47" s="26" t="n">
        <f aca="false">N(W47)+N(X47)-N(Y47)</f>
        <v>0</v>
      </c>
      <c r="AA47" s="37" t="n">
        <f aca="false">N(E47)+N(I47)+N(M47)+N(Q47)+N(U47)+N(Y47)</f>
        <v>0</v>
      </c>
      <c r="AB47" s="26" t="n">
        <f aca="false">F47+J47+N47+R47+V47+Z47</f>
        <v>0</v>
      </c>
      <c r="AC47" s="83" t="str">
        <f aca="false">IF(B47="","",IF(AB47&lt;=0,"Clear",IF(AA47&gt;0,"Partial","Due")))</f>
        <v/>
      </c>
    </row>
    <row r="48" customFormat="false" ht="15" hidden="false" customHeight="false" outlineLevel="0" collapsed="false">
      <c r="A48" s="21" t="n">
        <v>33</v>
      </c>
      <c r="B48" s="46" t="str">
        <f aca="false">IF(Students!B37="","",Students!B37)</f>
        <v/>
      </c>
      <c r="C48" s="33" t="n">
        <f aca="false">'Apr 2027'!F48</f>
        <v>0</v>
      </c>
      <c r="D48" s="33" t="n">
        <f aca="false">IF(B48="",0,N(Students!E37))</f>
        <v>0</v>
      </c>
      <c r="E48" s="23"/>
      <c r="F48" s="24" t="n">
        <f aca="false">N(C48)+N(D48)-N(E48)</f>
        <v>0</v>
      </c>
      <c r="G48" s="33" t="n">
        <f aca="false">'Apr 2027'!J48</f>
        <v>0</v>
      </c>
      <c r="H48" s="33" t="n">
        <f aca="false">IF(B48="",0,N(Students!F37))</f>
        <v>0</v>
      </c>
      <c r="I48" s="23"/>
      <c r="J48" s="24" t="n">
        <f aca="false">N(G48)+N(H48)-N(I48)</f>
        <v>0</v>
      </c>
      <c r="K48" s="33" t="n">
        <f aca="false">'Apr 2027'!N48</f>
        <v>0</v>
      </c>
      <c r="L48" s="33" t="n">
        <f aca="false">IF(B48="",0,N(Students!G37))</f>
        <v>0</v>
      </c>
      <c r="M48" s="23"/>
      <c r="N48" s="24" t="n">
        <f aca="false">N(K48)+N(L48)-N(M48)</f>
        <v>0</v>
      </c>
      <c r="O48" s="33" t="n">
        <f aca="false">'Apr 2027'!R48</f>
        <v>0</v>
      </c>
      <c r="P48" s="33" t="n">
        <f aca="false">IF(B48="",0,N(Students!H37))</f>
        <v>0</v>
      </c>
      <c r="Q48" s="23"/>
      <c r="R48" s="24" t="n">
        <f aca="false">N(O48)+N(P48)-N(Q48)</f>
        <v>0</v>
      </c>
      <c r="S48" s="33" t="n">
        <f aca="false">'Apr 2027'!V48</f>
        <v>0</v>
      </c>
      <c r="T48" s="33" t="n">
        <f aca="false">IF(B48="",0,N(Students!I37))</f>
        <v>0</v>
      </c>
      <c r="U48" s="23"/>
      <c r="V48" s="24" t="n">
        <f aca="false">N(S48)+N(T48)-N(U48)</f>
        <v>0</v>
      </c>
      <c r="W48" s="33" t="n">
        <f aca="false">'Apr 2027'!Z48</f>
        <v>0</v>
      </c>
      <c r="X48" s="33" t="n">
        <f aca="false">IF(B48="",0,N(Students!J37))</f>
        <v>0</v>
      </c>
      <c r="Y48" s="23"/>
      <c r="Z48" s="24" t="n">
        <f aca="false">N(W48)+N(X48)-N(Y48)</f>
        <v>0</v>
      </c>
      <c r="AA48" s="33" t="n">
        <f aca="false">N(E48)+N(I48)+N(M48)+N(Q48)+N(U48)+N(Y48)</f>
        <v>0</v>
      </c>
      <c r="AB48" s="24" t="n">
        <f aca="false">F48+J48+N48+R48+V48+Z48</f>
        <v>0</v>
      </c>
      <c r="AC48" s="81" t="str">
        <f aca="false">IF(B48="","",IF(AB48&lt;=0,"Clear",IF(AA48&gt;0,"Partial","Due")))</f>
        <v/>
      </c>
    </row>
    <row r="49" customFormat="false" ht="15" hidden="false" customHeight="false" outlineLevel="0" collapsed="false">
      <c r="A49" s="25" t="n">
        <v>34</v>
      </c>
      <c r="B49" s="82" t="str">
        <f aca="false">IF(Students!B38="","",Students!B38)</f>
        <v/>
      </c>
      <c r="C49" s="37" t="n">
        <f aca="false">'Apr 2027'!F49</f>
        <v>0</v>
      </c>
      <c r="D49" s="37" t="n">
        <f aca="false">IF(B49="",0,N(Students!E38))</f>
        <v>0</v>
      </c>
      <c r="E49" s="23"/>
      <c r="F49" s="26" t="n">
        <f aca="false">N(C49)+N(D49)-N(E49)</f>
        <v>0</v>
      </c>
      <c r="G49" s="37" t="n">
        <f aca="false">'Apr 2027'!J49</f>
        <v>0</v>
      </c>
      <c r="H49" s="37" t="n">
        <f aca="false">IF(B49="",0,N(Students!F38))</f>
        <v>0</v>
      </c>
      <c r="I49" s="23"/>
      <c r="J49" s="26" t="n">
        <f aca="false">N(G49)+N(H49)-N(I49)</f>
        <v>0</v>
      </c>
      <c r="K49" s="37" t="n">
        <f aca="false">'Apr 2027'!N49</f>
        <v>0</v>
      </c>
      <c r="L49" s="37" t="n">
        <f aca="false">IF(B49="",0,N(Students!G38))</f>
        <v>0</v>
      </c>
      <c r="M49" s="23"/>
      <c r="N49" s="26" t="n">
        <f aca="false">N(K49)+N(L49)-N(M49)</f>
        <v>0</v>
      </c>
      <c r="O49" s="37" t="n">
        <f aca="false">'Apr 2027'!R49</f>
        <v>0</v>
      </c>
      <c r="P49" s="37" t="n">
        <f aca="false">IF(B49="",0,N(Students!H38))</f>
        <v>0</v>
      </c>
      <c r="Q49" s="23"/>
      <c r="R49" s="26" t="n">
        <f aca="false">N(O49)+N(P49)-N(Q49)</f>
        <v>0</v>
      </c>
      <c r="S49" s="37" t="n">
        <f aca="false">'Apr 2027'!V49</f>
        <v>0</v>
      </c>
      <c r="T49" s="37" t="n">
        <f aca="false">IF(B49="",0,N(Students!I38))</f>
        <v>0</v>
      </c>
      <c r="U49" s="23"/>
      <c r="V49" s="26" t="n">
        <f aca="false">N(S49)+N(T49)-N(U49)</f>
        <v>0</v>
      </c>
      <c r="W49" s="37" t="n">
        <f aca="false">'Apr 2027'!Z49</f>
        <v>0</v>
      </c>
      <c r="X49" s="37" t="n">
        <f aca="false">IF(B49="",0,N(Students!J38))</f>
        <v>0</v>
      </c>
      <c r="Y49" s="23"/>
      <c r="Z49" s="26" t="n">
        <f aca="false">N(W49)+N(X49)-N(Y49)</f>
        <v>0</v>
      </c>
      <c r="AA49" s="37" t="n">
        <f aca="false">N(E49)+N(I49)+N(M49)+N(Q49)+N(U49)+N(Y49)</f>
        <v>0</v>
      </c>
      <c r="AB49" s="26" t="n">
        <f aca="false">F49+J49+N49+R49+V49+Z49</f>
        <v>0</v>
      </c>
      <c r="AC49" s="83" t="str">
        <f aca="false">IF(B49="","",IF(AB49&lt;=0,"Clear",IF(AA49&gt;0,"Partial","Due")))</f>
        <v/>
      </c>
    </row>
    <row r="50" customFormat="false" ht="15" hidden="false" customHeight="false" outlineLevel="0" collapsed="false">
      <c r="A50" s="21" t="n">
        <v>35</v>
      </c>
      <c r="B50" s="46" t="str">
        <f aca="false">IF(Students!B39="","",Students!B39)</f>
        <v/>
      </c>
      <c r="C50" s="33" t="n">
        <f aca="false">'Apr 2027'!F50</f>
        <v>0</v>
      </c>
      <c r="D50" s="33" t="n">
        <f aca="false">IF(B50="",0,N(Students!E39))</f>
        <v>0</v>
      </c>
      <c r="E50" s="23"/>
      <c r="F50" s="24" t="n">
        <f aca="false">N(C50)+N(D50)-N(E50)</f>
        <v>0</v>
      </c>
      <c r="G50" s="33" t="n">
        <f aca="false">'Apr 2027'!J50</f>
        <v>0</v>
      </c>
      <c r="H50" s="33" t="n">
        <f aca="false">IF(B50="",0,N(Students!F39))</f>
        <v>0</v>
      </c>
      <c r="I50" s="23"/>
      <c r="J50" s="24" t="n">
        <f aca="false">N(G50)+N(H50)-N(I50)</f>
        <v>0</v>
      </c>
      <c r="K50" s="33" t="n">
        <f aca="false">'Apr 2027'!N50</f>
        <v>0</v>
      </c>
      <c r="L50" s="33" t="n">
        <f aca="false">IF(B50="",0,N(Students!G39))</f>
        <v>0</v>
      </c>
      <c r="M50" s="23"/>
      <c r="N50" s="24" t="n">
        <f aca="false">N(K50)+N(L50)-N(M50)</f>
        <v>0</v>
      </c>
      <c r="O50" s="33" t="n">
        <f aca="false">'Apr 2027'!R50</f>
        <v>0</v>
      </c>
      <c r="P50" s="33" t="n">
        <f aca="false">IF(B50="",0,N(Students!H39))</f>
        <v>0</v>
      </c>
      <c r="Q50" s="23"/>
      <c r="R50" s="24" t="n">
        <f aca="false">N(O50)+N(P50)-N(Q50)</f>
        <v>0</v>
      </c>
      <c r="S50" s="33" t="n">
        <f aca="false">'Apr 2027'!V50</f>
        <v>0</v>
      </c>
      <c r="T50" s="33" t="n">
        <f aca="false">IF(B50="",0,N(Students!I39))</f>
        <v>0</v>
      </c>
      <c r="U50" s="23"/>
      <c r="V50" s="24" t="n">
        <f aca="false">N(S50)+N(T50)-N(U50)</f>
        <v>0</v>
      </c>
      <c r="W50" s="33" t="n">
        <f aca="false">'Apr 2027'!Z50</f>
        <v>0</v>
      </c>
      <c r="X50" s="33" t="n">
        <f aca="false">IF(B50="",0,N(Students!J39))</f>
        <v>0</v>
      </c>
      <c r="Y50" s="23"/>
      <c r="Z50" s="24" t="n">
        <f aca="false">N(W50)+N(X50)-N(Y50)</f>
        <v>0</v>
      </c>
      <c r="AA50" s="33" t="n">
        <f aca="false">N(E50)+N(I50)+N(M50)+N(Q50)+N(U50)+N(Y50)</f>
        <v>0</v>
      </c>
      <c r="AB50" s="24" t="n">
        <f aca="false">F50+J50+N50+R50+V50+Z50</f>
        <v>0</v>
      </c>
      <c r="AC50" s="81" t="str">
        <f aca="false">IF(B50="","",IF(AB50&lt;=0,"Clear",IF(AA50&gt;0,"Partial","Due")))</f>
        <v/>
      </c>
    </row>
    <row r="51" customFormat="false" ht="15" hidden="false" customHeight="false" outlineLevel="0" collapsed="false">
      <c r="A51" s="25" t="n">
        <v>36</v>
      </c>
      <c r="B51" s="82" t="str">
        <f aca="false">IF(Students!B40="","",Students!B40)</f>
        <v/>
      </c>
      <c r="C51" s="37" t="n">
        <f aca="false">'Apr 2027'!F51</f>
        <v>0</v>
      </c>
      <c r="D51" s="37" t="n">
        <f aca="false">IF(B51="",0,N(Students!E40))</f>
        <v>0</v>
      </c>
      <c r="E51" s="23"/>
      <c r="F51" s="26" t="n">
        <f aca="false">N(C51)+N(D51)-N(E51)</f>
        <v>0</v>
      </c>
      <c r="G51" s="37" t="n">
        <f aca="false">'Apr 2027'!J51</f>
        <v>0</v>
      </c>
      <c r="H51" s="37" t="n">
        <f aca="false">IF(B51="",0,N(Students!F40))</f>
        <v>0</v>
      </c>
      <c r="I51" s="23"/>
      <c r="J51" s="26" t="n">
        <f aca="false">N(G51)+N(H51)-N(I51)</f>
        <v>0</v>
      </c>
      <c r="K51" s="37" t="n">
        <f aca="false">'Apr 2027'!N51</f>
        <v>0</v>
      </c>
      <c r="L51" s="37" t="n">
        <f aca="false">IF(B51="",0,N(Students!G40))</f>
        <v>0</v>
      </c>
      <c r="M51" s="23"/>
      <c r="N51" s="26" t="n">
        <f aca="false">N(K51)+N(L51)-N(M51)</f>
        <v>0</v>
      </c>
      <c r="O51" s="37" t="n">
        <f aca="false">'Apr 2027'!R51</f>
        <v>0</v>
      </c>
      <c r="P51" s="37" t="n">
        <f aca="false">IF(B51="",0,N(Students!H40))</f>
        <v>0</v>
      </c>
      <c r="Q51" s="23"/>
      <c r="R51" s="26" t="n">
        <f aca="false">N(O51)+N(P51)-N(Q51)</f>
        <v>0</v>
      </c>
      <c r="S51" s="37" t="n">
        <f aca="false">'Apr 2027'!V51</f>
        <v>0</v>
      </c>
      <c r="T51" s="37" t="n">
        <f aca="false">IF(B51="",0,N(Students!I40))</f>
        <v>0</v>
      </c>
      <c r="U51" s="23"/>
      <c r="V51" s="26" t="n">
        <f aca="false">N(S51)+N(T51)-N(U51)</f>
        <v>0</v>
      </c>
      <c r="W51" s="37" t="n">
        <f aca="false">'Apr 2027'!Z51</f>
        <v>0</v>
      </c>
      <c r="X51" s="37" t="n">
        <f aca="false">IF(B51="",0,N(Students!J40))</f>
        <v>0</v>
      </c>
      <c r="Y51" s="23"/>
      <c r="Z51" s="26" t="n">
        <f aca="false">N(W51)+N(X51)-N(Y51)</f>
        <v>0</v>
      </c>
      <c r="AA51" s="37" t="n">
        <f aca="false">N(E51)+N(I51)+N(M51)+N(Q51)+N(U51)+N(Y51)</f>
        <v>0</v>
      </c>
      <c r="AB51" s="26" t="n">
        <f aca="false">F51+J51+N51+R51+V51+Z51</f>
        <v>0</v>
      </c>
      <c r="AC51" s="83" t="str">
        <f aca="false">IF(B51="","",IF(AB51&lt;=0,"Clear",IF(AA51&gt;0,"Partial","Due")))</f>
        <v/>
      </c>
    </row>
    <row r="52" customFormat="false" ht="15" hidden="false" customHeight="false" outlineLevel="0" collapsed="false">
      <c r="A52" s="21" t="n">
        <v>37</v>
      </c>
      <c r="B52" s="46" t="str">
        <f aca="false">IF(Students!B41="","",Students!B41)</f>
        <v/>
      </c>
      <c r="C52" s="33" t="n">
        <f aca="false">'Apr 2027'!F52</f>
        <v>0</v>
      </c>
      <c r="D52" s="33" t="n">
        <f aca="false">IF(B52="",0,N(Students!E41))</f>
        <v>0</v>
      </c>
      <c r="E52" s="23"/>
      <c r="F52" s="24" t="n">
        <f aca="false">N(C52)+N(D52)-N(E52)</f>
        <v>0</v>
      </c>
      <c r="G52" s="33" t="n">
        <f aca="false">'Apr 2027'!J52</f>
        <v>0</v>
      </c>
      <c r="H52" s="33" t="n">
        <f aca="false">IF(B52="",0,N(Students!F41))</f>
        <v>0</v>
      </c>
      <c r="I52" s="23"/>
      <c r="J52" s="24" t="n">
        <f aca="false">N(G52)+N(H52)-N(I52)</f>
        <v>0</v>
      </c>
      <c r="K52" s="33" t="n">
        <f aca="false">'Apr 2027'!N52</f>
        <v>0</v>
      </c>
      <c r="L52" s="33" t="n">
        <f aca="false">IF(B52="",0,N(Students!G41))</f>
        <v>0</v>
      </c>
      <c r="M52" s="23"/>
      <c r="N52" s="24" t="n">
        <f aca="false">N(K52)+N(L52)-N(M52)</f>
        <v>0</v>
      </c>
      <c r="O52" s="33" t="n">
        <f aca="false">'Apr 2027'!R52</f>
        <v>0</v>
      </c>
      <c r="P52" s="33" t="n">
        <f aca="false">IF(B52="",0,N(Students!H41))</f>
        <v>0</v>
      </c>
      <c r="Q52" s="23"/>
      <c r="R52" s="24" t="n">
        <f aca="false">N(O52)+N(P52)-N(Q52)</f>
        <v>0</v>
      </c>
      <c r="S52" s="33" t="n">
        <f aca="false">'Apr 2027'!V52</f>
        <v>0</v>
      </c>
      <c r="T52" s="33" t="n">
        <f aca="false">IF(B52="",0,N(Students!I41))</f>
        <v>0</v>
      </c>
      <c r="U52" s="23"/>
      <c r="V52" s="24" t="n">
        <f aca="false">N(S52)+N(T52)-N(U52)</f>
        <v>0</v>
      </c>
      <c r="W52" s="33" t="n">
        <f aca="false">'Apr 2027'!Z52</f>
        <v>0</v>
      </c>
      <c r="X52" s="33" t="n">
        <f aca="false">IF(B52="",0,N(Students!J41))</f>
        <v>0</v>
      </c>
      <c r="Y52" s="23"/>
      <c r="Z52" s="24" t="n">
        <f aca="false">N(W52)+N(X52)-N(Y52)</f>
        <v>0</v>
      </c>
      <c r="AA52" s="33" t="n">
        <f aca="false">N(E52)+N(I52)+N(M52)+N(Q52)+N(U52)+N(Y52)</f>
        <v>0</v>
      </c>
      <c r="AB52" s="24" t="n">
        <f aca="false">F52+J52+N52+R52+V52+Z52</f>
        <v>0</v>
      </c>
      <c r="AC52" s="81" t="str">
        <f aca="false">IF(B52="","",IF(AB52&lt;=0,"Clear",IF(AA52&gt;0,"Partial","Due")))</f>
        <v/>
      </c>
    </row>
    <row r="53" customFormat="false" ht="15" hidden="false" customHeight="false" outlineLevel="0" collapsed="false">
      <c r="A53" s="25" t="n">
        <v>38</v>
      </c>
      <c r="B53" s="82" t="str">
        <f aca="false">IF(Students!B42="","",Students!B42)</f>
        <v/>
      </c>
      <c r="C53" s="37" t="n">
        <f aca="false">'Apr 2027'!F53</f>
        <v>0</v>
      </c>
      <c r="D53" s="37" t="n">
        <f aca="false">IF(B53="",0,N(Students!E42))</f>
        <v>0</v>
      </c>
      <c r="E53" s="23"/>
      <c r="F53" s="26" t="n">
        <f aca="false">N(C53)+N(D53)-N(E53)</f>
        <v>0</v>
      </c>
      <c r="G53" s="37" t="n">
        <f aca="false">'Apr 2027'!J53</f>
        <v>0</v>
      </c>
      <c r="H53" s="37" t="n">
        <f aca="false">IF(B53="",0,N(Students!F42))</f>
        <v>0</v>
      </c>
      <c r="I53" s="23"/>
      <c r="J53" s="26" t="n">
        <f aca="false">N(G53)+N(H53)-N(I53)</f>
        <v>0</v>
      </c>
      <c r="K53" s="37" t="n">
        <f aca="false">'Apr 2027'!N53</f>
        <v>0</v>
      </c>
      <c r="L53" s="37" t="n">
        <f aca="false">IF(B53="",0,N(Students!G42))</f>
        <v>0</v>
      </c>
      <c r="M53" s="23"/>
      <c r="N53" s="26" t="n">
        <f aca="false">N(K53)+N(L53)-N(M53)</f>
        <v>0</v>
      </c>
      <c r="O53" s="37" t="n">
        <f aca="false">'Apr 2027'!R53</f>
        <v>0</v>
      </c>
      <c r="P53" s="37" t="n">
        <f aca="false">IF(B53="",0,N(Students!H42))</f>
        <v>0</v>
      </c>
      <c r="Q53" s="23"/>
      <c r="R53" s="26" t="n">
        <f aca="false">N(O53)+N(P53)-N(Q53)</f>
        <v>0</v>
      </c>
      <c r="S53" s="37" t="n">
        <f aca="false">'Apr 2027'!V53</f>
        <v>0</v>
      </c>
      <c r="T53" s="37" t="n">
        <f aca="false">IF(B53="",0,N(Students!I42))</f>
        <v>0</v>
      </c>
      <c r="U53" s="23"/>
      <c r="V53" s="26" t="n">
        <f aca="false">N(S53)+N(T53)-N(U53)</f>
        <v>0</v>
      </c>
      <c r="W53" s="37" t="n">
        <f aca="false">'Apr 2027'!Z53</f>
        <v>0</v>
      </c>
      <c r="X53" s="37" t="n">
        <f aca="false">IF(B53="",0,N(Students!J42))</f>
        <v>0</v>
      </c>
      <c r="Y53" s="23"/>
      <c r="Z53" s="26" t="n">
        <f aca="false">N(W53)+N(X53)-N(Y53)</f>
        <v>0</v>
      </c>
      <c r="AA53" s="37" t="n">
        <f aca="false">N(E53)+N(I53)+N(M53)+N(Q53)+N(U53)+N(Y53)</f>
        <v>0</v>
      </c>
      <c r="AB53" s="26" t="n">
        <f aca="false">F53+J53+N53+R53+V53+Z53</f>
        <v>0</v>
      </c>
      <c r="AC53" s="83" t="str">
        <f aca="false">IF(B53="","",IF(AB53&lt;=0,"Clear",IF(AA53&gt;0,"Partial","Due")))</f>
        <v/>
      </c>
    </row>
    <row r="54" customFormat="false" ht="15" hidden="false" customHeight="false" outlineLevel="0" collapsed="false">
      <c r="A54" s="21" t="n">
        <v>39</v>
      </c>
      <c r="B54" s="46" t="str">
        <f aca="false">IF(Students!B43="","",Students!B43)</f>
        <v/>
      </c>
      <c r="C54" s="33" t="n">
        <f aca="false">'Apr 2027'!F54</f>
        <v>0</v>
      </c>
      <c r="D54" s="33" t="n">
        <f aca="false">IF(B54="",0,N(Students!E43))</f>
        <v>0</v>
      </c>
      <c r="E54" s="23"/>
      <c r="F54" s="24" t="n">
        <f aca="false">N(C54)+N(D54)-N(E54)</f>
        <v>0</v>
      </c>
      <c r="G54" s="33" t="n">
        <f aca="false">'Apr 2027'!J54</f>
        <v>0</v>
      </c>
      <c r="H54" s="33" t="n">
        <f aca="false">IF(B54="",0,N(Students!F43))</f>
        <v>0</v>
      </c>
      <c r="I54" s="23"/>
      <c r="J54" s="24" t="n">
        <f aca="false">N(G54)+N(H54)-N(I54)</f>
        <v>0</v>
      </c>
      <c r="K54" s="33" t="n">
        <f aca="false">'Apr 2027'!N54</f>
        <v>0</v>
      </c>
      <c r="L54" s="33" t="n">
        <f aca="false">IF(B54="",0,N(Students!G43))</f>
        <v>0</v>
      </c>
      <c r="M54" s="23"/>
      <c r="N54" s="24" t="n">
        <f aca="false">N(K54)+N(L54)-N(M54)</f>
        <v>0</v>
      </c>
      <c r="O54" s="33" t="n">
        <f aca="false">'Apr 2027'!R54</f>
        <v>0</v>
      </c>
      <c r="P54" s="33" t="n">
        <f aca="false">IF(B54="",0,N(Students!H43))</f>
        <v>0</v>
      </c>
      <c r="Q54" s="23"/>
      <c r="R54" s="24" t="n">
        <f aca="false">N(O54)+N(P54)-N(Q54)</f>
        <v>0</v>
      </c>
      <c r="S54" s="33" t="n">
        <f aca="false">'Apr 2027'!V54</f>
        <v>0</v>
      </c>
      <c r="T54" s="33" t="n">
        <f aca="false">IF(B54="",0,N(Students!I43))</f>
        <v>0</v>
      </c>
      <c r="U54" s="23"/>
      <c r="V54" s="24" t="n">
        <f aca="false">N(S54)+N(T54)-N(U54)</f>
        <v>0</v>
      </c>
      <c r="W54" s="33" t="n">
        <f aca="false">'Apr 2027'!Z54</f>
        <v>0</v>
      </c>
      <c r="X54" s="33" t="n">
        <f aca="false">IF(B54="",0,N(Students!J43))</f>
        <v>0</v>
      </c>
      <c r="Y54" s="23"/>
      <c r="Z54" s="24" t="n">
        <f aca="false">N(W54)+N(X54)-N(Y54)</f>
        <v>0</v>
      </c>
      <c r="AA54" s="33" t="n">
        <f aca="false">N(E54)+N(I54)+N(M54)+N(Q54)+N(U54)+N(Y54)</f>
        <v>0</v>
      </c>
      <c r="AB54" s="24" t="n">
        <f aca="false">F54+J54+N54+R54+V54+Z54</f>
        <v>0</v>
      </c>
      <c r="AC54" s="81" t="str">
        <f aca="false">IF(B54="","",IF(AB54&lt;=0,"Clear",IF(AA54&gt;0,"Partial","Due")))</f>
        <v/>
      </c>
    </row>
    <row r="55" customFormat="false" ht="15" hidden="false" customHeight="false" outlineLevel="0" collapsed="false">
      <c r="A55" s="25" t="n">
        <v>40</v>
      </c>
      <c r="B55" s="82" t="str">
        <f aca="false">IF(Students!B44="","",Students!B44)</f>
        <v/>
      </c>
      <c r="C55" s="37" t="n">
        <f aca="false">'Apr 2027'!F55</f>
        <v>0</v>
      </c>
      <c r="D55" s="37" t="n">
        <f aca="false">IF(B55="",0,N(Students!E44))</f>
        <v>0</v>
      </c>
      <c r="E55" s="23"/>
      <c r="F55" s="26" t="n">
        <f aca="false">N(C55)+N(D55)-N(E55)</f>
        <v>0</v>
      </c>
      <c r="G55" s="37" t="n">
        <f aca="false">'Apr 2027'!J55</f>
        <v>0</v>
      </c>
      <c r="H55" s="37" t="n">
        <f aca="false">IF(B55="",0,N(Students!F44))</f>
        <v>0</v>
      </c>
      <c r="I55" s="23"/>
      <c r="J55" s="26" t="n">
        <f aca="false">N(G55)+N(H55)-N(I55)</f>
        <v>0</v>
      </c>
      <c r="K55" s="37" t="n">
        <f aca="false">'Apr 2027'!N55</f>
        <v>0</v>
      </c>
      <c r="L55" s="37" t="n">
        <f aca="false">IF(B55="",0,N(Students!G44))</f>
        <v>0</v>
      </c>
      <c r="M55" s="23"/>
      <c r="N55" s="26" t="n">
        <f aca="false">N(K55)+N(L55)-N(M55)</f>
        <v>0</v>
      </c>
      <c r="O55" s="37" t="n">
        <f aca="false">'Apr 2027'!R55</f>
        <v>0</v>
      </c>
      <c r="P55" s="37" t="n">
        <f aca="false">IF(B55="",0,N(Students!H44))</f>
        <v>0</v>
      </c>
      <c r="Q55" s="23"/>
      <c r="R55" s="26" t="n">
        <f aca="false">N(O55)+N(P55)-N(Q55)</f>
        <v>0</v>
      </c>
      <c r="S55" s="37" t="n">
        <f aca="false">'Apr 2027'!V55</f>
        <v>0</v>
      </c>
      <c r="T55" s="37" t="n">
        <f aca="false">IF(B55="",0,N(Students!I44))</f>
        <v>0</v>
      </c>
      <c r="U55" s="23"/>
      <c r="V55" s="26" t="n">
        <f aca="false">N(S55)+N(T55)-N(U55)</f>
        <v>0</v>
      </c>
      <c r="W55" s="37" t="n">
        <f aca="false">'Apr 2027'!Z55</f>
        <v>0</v>
      </c>
      <c r="X55" s="37" t="n">
        <f aca="false">IF(B55="",0,N(Students!J44))</f>
        <v>0</v>
      </c>
      <c r="Y55" s="23"/>
      <c r="Z55" s="26" t="n">
        <f aca="false">N(W55)+N(X55)-N(Y55)</f>
        <v>0</v>
      </c>
      <c r="AA55" s="37" t="n">
        <f aca="false">N(E55)+N(I55)+N(M55)+N(Q55)+N(U55)+N(Y55)</f>
        <v>0</v>
      </c>
      <c r="AB55" s="26" t="n">
        <f aca="false">F55+J55+N55+R55+V55+Z55</f>
        <v>0</v>
      </c>
      <c r="AC55" s="83" t="str">
        <f aca="false">IF(B55="","",IF(AB55&lt;=0,"Clear",IF(AA55&gt;0,"Partial","Due")))</f>
        <v/>
      </c>
    </row>
    <row r="56" customFormat="false" ht="15" hidden="false" customHeight="false" outlineLevel="0" collapsed="false">
      <c r="A56" s="21" t="n">
        <v>41</v>
      </c>
      <c r="B56" s="46" t="str">
        <f aca="false">IF(Students!B45="","",Students!B45)</f>
        <v/>
      </c>
      <c r="C56" s="33" t="n">
        <f aca="false">'Apr 2027'!F56</f>
        <v>0</v>
      </c>
      <c r="D56" s="33" t="n">
        <f aca="false">IF(B56="",0,N(Students!E45))</f>
        <v>0</v>
      </c>
      <c r="E56" s="23"/>
      <c r="F56" s="24" t="n">
        <f aca="false">N(C56)+N(D56)-N(E56)</f>
        <v>0</v>
      </c>
      <c r="G56" s="33" t="n">
        <f aca="false">'Apr 2027'!J56</f>
        <v>0</v>
      </c>
      <c r="H56" s="33" t="n">
        <f aca="false">IF(B56="",0,N(Students!F45))</f>
        <v>0</v>
      </c>
      <c r="I56" s="23"/>
      <c r="J56" s="24" t="n">
        <f aca="false">N(G56)+N(H56)-N(I56)</f>
        <v>0</v>
      </c>
      <c r="K56" s="33" t="n">
        <f aca="false">'Apr 2027'!N56</f>
        <v>0</v>
      </c>
      <c r="L56" s="33" t="n">
        <f aca="false">IF(B56="",0,N(Students!G45))</f>
        <v>0</v>
      </c>
      <c r="M56" s="23"/>
      <c r="N56" s="24" t="n">
        <f aca="false">N(K56)+N(L56)-N(M56)</f>
        <v>0</v>
      </c>
      <c r="O56" s="33" t="n">
        <f aca="false">'Apr 2027'!R56</f>
        <v>0</v>
      </c>
      <c r="P56" s="33" t="n">
        <f aca="false">IF(B56="",0,N(Students!H45))</f>
        <v>0</v>
      </c>
      <c r="Q56" s="23"/>
      <c r="R56" s="24" t="n">
        <f aca="false">N(O56)+N(P56)-N(Q56)</f>
        <v>0</v>
      </c>
      <c r="S56" s="33" t="n">
        <f aca="false">'Apr 2027'!V56</f>
        <v>0</v>
      </c>
      <c r="T56" s="33" t="n">
        <f aca="false">IF(B56="",0,N(Students!I45))</f>
        <v>0</v>
      </c>
      <c r="U56" s="23"/>
      <c r="V56" s="24" t="n">
        <f aca="false">N(S56)+N(T56)-N(U56)</f>
        <v>0</v>
      </c>
      <c r="W56" s="33" t="n">
        <f aca="false">'Apr 2027'!Z56</f>
        <v>0</v>
      </c>
      <c r="X56" s="33" t="n">
        <f aca="false">IF(B56="",0,N(Students!J45))</f>
        <v>0</v>
      </c>
      <c r="Y56" s="23"/>
      <c r="Z56" s="24" t="n">
        <f aca="false">N(W56)+N(X56)-N(Y56)</f>
        <v>0</v>
      </c>
      <c r="AA56" s="33" t="n">
        <f aca="false">N(E56)+N(I56)+N(M56)+N(Q56)+N(U56)+N(Y56)</f>
        <v>0</v>
      </c>
      <c r="AB56" s="24" t="n">
        <f aca="false">F56+J56+N56+R56+V56+Z56</f>
        <v>0</v>
      </c>
      <c r="AC56" s="81" t="str">
        <f aca="false">IF(B56="","",IF(AB56&lt;=0,"Clear",IF(AA56&gt;0,"Partial","Due")))</f>
        <v/>
      </c>
    </row>
    <row r="57" customFormat="false" ht="15" hidden="false" customHeight="false" outlineLevel="0" collapsed="false">
      <c r="A57" s="25" t="n">
        <v>42</v>
      </c>
      <c r="B57" s="82" t="str">
        <f aca="false">IF(Students!B46="","",Students!B46)</f>
        <v/>
      </c>
      <c r="C57" s="37" t="n">
        <f aca="false">'Apr 2027'!F57</f>
        <v>0</v>
      </c>
      <c r="D57" s="37" t="n">
        <f aca="false">IF(B57="",0,N(Students!E46))</f>
        <v>0</v>
      </c>
      <c r="E57" s="23"/>
      <c r="F57" s="26" t="n">
        <f aca="false">N(C57)+N(D57)-N(E57)</f>
        <v>0</v>
      </c>
      <c r="G57" s="37" t="n">
        <f aca="false">'Apr 2027'!J57</f>
        <v>0</v>
      </c>
      <c r="H57" s="37" t="n">
        <f aca="false">IF(B57="",0,N(Students!F46))</f>
        <v>0</v>
      </c>
      <c r="I57" s="23"/>
      <c r="J57" s="26" t="n">
        <f aca="false">N(G57)+N(H57)-N(I57)</f>
        <v>0</v>
      </c>
      <c r="K57" s="37" t="n">
        <f aca="false">'Apr 2027'!N57</f>
        <v>0</v>
      </c>
      <c r="L57" s="37" t="n">
        <f aca="false">IF(B57="",0,N(Students!G46))</f>
        <v>0</v>
      </c>
      <c r="M57" s="23"/>
      <c r="N57" s="26" t="n">
        <f aca="false">N(K57)+N(L57)-N(M57)</f>
        <v>0</v>
      </c>
      <c r="O57" s="37" t="n">
        <f aca="false">'Apr 2027'!R57</f>
        <v>0</v>
      </c>
      <c r="P57" s="37" t="n">
        <f aca="false">IF(B57="",0,N(Students!H46))</f>
        <v>0</v>
      </c>
      <c r="Q57" s="23"/>
      <c r="R57" s="26" t="n">
        <f aca="false">N(O57)+N(P57)-N(Q57)</f>
        <v>0</v>
      </c>
      <c r="S57" s="37" t="n">
        <f aca="false">'Apr 2027'!V57</f>
        <v>0</v>
      </c>
      <c r="T57" s="37" t="n">
        <f aca="false">IF(B57="",0,N(Students!I46))</f>
        <v>0</v>
      </c>
      <c r="U57" s="23"/>
      <c r="V57" s="26" t="n">
        <f aca="false">N(S57)+N(T57)-N(U57)</f>
        <v>0</v>
      </c>
      <c r="W57" s="37" t="n">
        <f aca="false">'Apr 2027'!Z57</f>
        <v>0</v>
      </c>
      <c r="X57" s="37" t="n">
        <f aca="false">IF(B57="",0,N(Students!J46))</f>
        <v>0</v>
      </c>
      <c r="Y57" s="23"/>
      <c r="Z57" s="26" t="n">
        <f aca="false">N(W57)+N(X57)-N(Y57)</f>
        <v>0</v>
      </c>
      <c r="AA57" s="37" t="n">
        <f aca="false">N(E57)+N(I57)+N(M57)+N(Q57)+N(U57)+N(Y57)</f>
        <v>0</v>
      </c>
      <c r="AB57" s="26" t="n">
        <f aca="false">F57+J57+N57+R57+V57+Z57</f>
        <v>0</v>
      </c>
      <c r="AC57" s="83" t="str">
        <f aca="false">IF(B57="","",IF(AB57&lt;=0,"Clear",IF(AA57&gt;0,"Partial","Due")))</f>
        <v/>
      </c>
    </row>
    <row r="58" customFormat="false" ht="15" hidden="false" customHeight="false" outlineLevel="0" collapsed="false">
      <c r="A58" s="21" t="n">
        <v>43</v>
      </c>
      <c r="B58" s="46" t="str">
        <f aca="false">IF(Students!B47="","",Students!B47)</f>
        <v/>
      </c>
      <c r="C58" s="33" t="n">
        <f aca="false">'Apr 2027'!F58</f>
        <v>0</v>
      </c>
      <c r="D58" s="33" t="n">
        <f aca="false">IF(B58="",0,N(Students!E47))</f>
        <v>0</v>
      </c>
      <c r="E58" s="23"/>
      <c r="F58" s="24" t="n">
        <f aca="false">N(C58)+N(D58)-N(E58)</f>
        <v>0</v>
      </c>
      <c r="G58" s="33" t="n">
        <f aca="false">'Apr 2027'!J58</f>
        <v>0</v>
      </c>
      <c r="H58" s="33" t="n">
        <f aca="false">IF(B58="",0,N(Students!F47))</f>
        <v>0</v>
      </c>
      <c r="I58" s="23"/>
      <c r="J58" s="24" t="n">
        <f aca="false">N(G58)+N(H58)-N(I58)</f>
        <v>0</v>
      </c>
      <c r="K58" s="33" t="n">
        <f aca="false">'Apr 2027'!N58</f>
        <v>0</v>
      </c>
      <c r="L58" s="33" t="n">
        <f aca="false">IF(B58="",0,N(Students!G47))</f>
        <v>0</v>
      </c>
      <c r="M58" s="23"/>
      <c r="N58" s="24" t="n">
        <f aca="false">N(K58)+N(L58)-N(M58)</f>
        <v>0</v>
      </c>
      <c r="O58" s="33" t="n">
        <f aca="false">'Apr 2027'!R58</f>
        <v>0</v>
      </c>
      <c r="P58" s="33" t="n">
        <f aca="false">IF(B58="",0,N(Students!H47))</f>
        <v>0</v>
      </c>
      <c r="Q58" s="23"/>
      <c r="R58" s="24" t="n">
        <f aca="false">N(O58)+N(P58)-N(Q58)</f>
        <v>0</v>
      </c>
      <c r="S58" s="33" t="n">
        <f aca="false">'Apr 2027'!V58</f>
        <v>0</v>
      </c>
      <c r="T58" s="33" t="n">
        <f aca="false">IF(B58="",0,N(Students!I47))</f>
        <v>0</v>
      </c>
      <c r="U58" s="23"/>
      <c r="V58" s="24" t="n">
        <f aca="false">N(S58)+N(T58)-N(U58)</f>
        <v>0</v>
      </c>
      <c r="W58" s="33" t="n">
        <f aca="false">'Apr 2027'!Z58</f>
        <v>0</v>
      </c>
      <c r="X58" s="33" t="n">
        <f aca="false">IF(B58="",0,N(Students!J47))</f>
        <v>0</v>
      </c>
      <c r="Y58" s="23"/>
      <c r="Z58" s="24" t="n">
        <f aca="false">N(W58)+N(X58)-N(Y58)</f>
        <v>0</v>
      </c>
      <c r="AA58" s="33" t="n">
        <f aca="false">N(E58)+N(I58)+N(M58)+N(Q58)+N(U58)+N(Y58)</f>
        <v>0</v>
      </c>
      <c r="AB58" s="24" t="n">
        <f aca="false">F58+J58+N58+R58+V58+Z58</f>
        <v>0</v>
      </c>
      <c r="AC58" s="81" t="str">
        <f aca="false">IF(B58="","",IF(AB58&lt;=0,"Clear",IF(AA58&gt;0,"Partial","Due")))</f>
        <v/>
      </c>
    </row>
    <row r="59" customFormat="false" ht="15" hidden="false" customHeight="false" outlineLevel="0" collapsed="false">
      <c r="A59" s="25" t="n">
        <v>44</v>
      </c>
      <c r="B59" s="82" t="str">
        <f aca="false">IF(Students!B48="","",Students!B48)</f>
        <v/>
      </c>
      <c r="C59" s="37" t="n">
        <f aca="false">'Apr 2027'!F59</f>
        <v>0</v>
      </c>
      <c r="D59" s="37" t="n">
        <f aca="false">IF(B59="",0,N(Students!E48))</f>
        <v>0</v>
      </c>
      <c r="E59" s="23"/>
      <c r="F59" s="26" t="n">
        <f aca="false">N(C59)+N(D59)-N(E59)</f>
        <v>0</v>
      </c>
      <c r="G59" s="37" t="n">
        <f aca="false">'Apr 2027'!J59</f>
        <v>0</v>
      </c>
      <c r="H59" s="37" t="n">
        <f aca="false">IF(B59="",0,N(Students!F48))</f>
        <v>0</v>
      </c>
      <c r="I59" s="23"/>
      <c r="J59" s="26" t="n">
        <f aca="false">N(G59)+N(H59)-N(I59)</f>
        <v>0</v>
      </c>
      <c r="K59" s="37" t="n">
        <f aca="false">'Apr 2027'!N59</f>
        <v>0</v>
      </c>
      <c r="L59" s="37" t="n">
        <f aca="false">IF(B59="",0,N(Students!G48))</f>
        <v>0</v>
      </c>
      <c r="M59" s="23"/>
      <c r="N59" s="26" t="n">
        <f aca="false">N(K59)+N(L59)-N(M59)</f>
        <v>0</v>
      </c>
      <c r="O59" s="37" t="n">
        <f aca="false">'Apr 2027'!R59</f>
        <v>0</v>
      </c>
      <c r="P59" s="37" t="n">
        <f aca="false">IF(B59="",0,N(Students!H48))</f>
        <v>0</v>
      </c>
      <c r="Q59" s="23"/>
      <c r="R59" s="26" t="n">
        <f aca="false">N(O59)+N(P59)-N(Q59)</f>
        <v>0</v>
      </c>
      <c r="S59" s="37" t="n">
        <f aca="false">'Apr 2027'!V59</f>
        <v>0</v>
      </c>
      <c r="T59" s="37" t="n">
        <f aca="false">IF(B59="",0,N(Students!I48))</f>
        <v>0</v>
      </c>
      <c r="U59" s="23"/>
      <c r="V59" s="26" t="n">
        <f aca="false">N(S59)+N(T59)-N(U59)</f>
        <v>0</v>
      </c>
      <c r="W59" s="37" t="n">
        <f aca="false">'Apr 2027'!Z59</f>
        <v>0</v>
      </c>
      <c r="X59" s="37" t="n">
        <f aca="false">IF(B59="",0,N(Students!J48))</f>
        <v>0</v>
      </c>
      <c r="Y59" s="23"/>
      <c r="Z59" s="26" t="n">
        <f aca="false">N(W59)+N(X59)-N(Y59)</f>
        <v>0</v>
      </c>
      <c r="AA59" s="37" t="n">
        <f aca="false">N(E59)+N(I59)+N(M59)+N(Q59)+N(U59)+N(Y59)</f>
        <v>0</v>
      </c>
      <c r="AB59" s="26" t="n">
        <f aca="false">F59+J59+N59+R59+V59+Z59</f>
        <v>0</v>
      </c>
      <c r="AC59" s="83" t="str">
        <f aca="false">IF(B59="","",IF(AB59&lt;=0,"Clear",IF(AA59&gt;0,"Partial","Due")))</f>
        <v/>
      </c>
    </row>
    <row r="60" customFormat="false" ht="15" hidden="false" customHeight="false" outlineLevel="0" collapsed="false">
      <c r="A60" s="21" t="n">
        <v>45</v>
      </c>
      <c r="B60" s="46" t="str">
        <f aca="false">IF(Students!B49="","",Students!B49)</f>
        <v/>
      </c>
      <c r="C60" s="33" t="n">
        <f aca="false">'Apr 2027'!F60</f>
        <v>0</v>
      </c>
      <c r="D60" s="33" t="n">
        <f aca="false">IF(B60="",0,N(Students!E49))</f>
        <v>0</v>
      </c>
      <c r="E60" s="23"/>
      <c r="F60" s="24" t="n">
        <f aca="false">N(C60)+N(D60)-N(E60)</f>
        <v>0</v>
      </c>
      <c r="G60" s="33" t="n">
        <f aca="false">'Apr 2027'!J60</f>
        <v>0</v>
      </c>
      <c r="H60" s="33" t="n">
        <f aca="false">IF(B60="",0,N(Students!F49))</f>
        <v>0</v>
      </c>
      <c r="I60" s="23"/>
      <c r="J60" s="24" t="n">
        <f aca="false">N(G60)+N(H60)-N(I60)</f>
        <v>0</v>
      </c>
      <c r="K60" s="33" t="n">
        <f aca="false">'Apr 2027'!N60</f>
        <v>0</v>
      </c>
      <c r="L60" s="33" t="n">
        <f aca="false">IF(B60="",0,N(Students!G49))</f>
        <v>0</v>
      </c>
      <c r="M60" s="23"/>
      <c r="N60" s="24" t="n">
        <f aca="false">N(K60)+N(L60)-N(M60)</f>
        <v>0</v>
      </c>
      <c r="O60" s="33" t="n">
        <f aca="false">'Apr 2027'!R60</f>
        <v>0</v>
      </c>
      <c r="P60" s="33" t="n">
        <f aca="false">IF(B60="",0,N(Students!H49))</f>
        <v>0</v>
      </c>
      <c r="Q60" s="23"/>
      <c r="R60" s="24" t="n">
        <f aca="false">N(O60)+N(P60)-N(Q60)</f>
        <v>0</v>
      </c>
      <c r="S60" s="33" t="n">
        <f aca="false">'Apr 2027'!V60</f>
        <v>0</v>
      </c>
      <c r="T60" s="33" t="n">
        <f aca="false">IF(B60="",0,N(Students!I49))</f>
        <v>0</v>
      </c>
      <c r="U60" s="23"/>
      <c r="V60" s="24" t="n">
        <f aca="false">N(S60)+N(T60)-N(U60)</f>
        <v>0</v>
      </c>
      <c r="W60" s="33" t="n">
        <f aca="false">'Apr 2027'!Z60</f>
        <v>0</v>
      </c>
      <c r="X60" s="33" t="n">
        <f aca="false">IF(B60="",0,N(Students!J49))</f>
        <v>0</v>
      </c>
      <c r="Y60" s="23"/>
      <c r="Z60" s="24" t="n">
        <f aca="false">N(W60)+N(X60)-N(Y60)</f>
        <v>0</v>
      </c>
      <c r="AA60" s="33" t="n">
        <f aca="false">N(E60)+N(I60)+N(M60)+N(Q60)+N(U60)+N(Y60)</f>
        <v>0</v>
      </c>
      <c r="AB60" s="24" t="n">
        <f aca="false">F60+J60+N60+R60+V60+Z60</f>
        <v>0</v>
      </c>
      <c r="AC60" s="81" t="str">
        <f aca="false">IF(B60="","",IF(AB60&lt;=0,"Clear",IF(AA60&gt;0,"Partial","Due")))</f>
        <v/>
      </c>
    </row>
    <row r="61" customFormat="false" ht="15" hidden="false" customHeight="false" outlineLevel="0" collapsed="false">
      <c r="A61" s="25" t="n">
        <v>46</v>
      </c>
      <c r="B61" s="82" t="str">
        <f aca="false">IF(Students!B50="","",Students!B50)</f>
        <v/>
      </c>
      <c r="C61" s="37" t="n">
        <f aca="false">'Apr 2027'!F61</f>
        <v>0</v>
      </c>
      <c r="D61" s="37" t="n">
        <f aca="false">IF(B61="",0,N(Students!E50))</f>
        <v>0</v>
      </c>
      <c r="E61" s="23"/>
      <c r="F61" s="26" t="n">
        <f aca="false">N(C61)+N(D61)-N(E61)</f>
        <v>0</v>
      </c>
      <c r="G61" s="37" t="n">
        <f aca="false">'Apr 2027'!J61</f>
        <v>0</v>
      </c>
      <c r="H61" s="37" t="n">
        <f aca="false">IF(B61="",0,N(Students!F50))</f>
        <v>0</v>
      </c>
      <c r="I61" s="23"/>
      <c r="J61" s="26" t="n">
        <f aca="false">N(G61)+N(H61)-N(I61)</f>
        <v>0</v>
      </c>
      <c r="K61" s="37" t="n">
        <f aca="false">'Apr 2027'!N61</f>
        <v>0</v>
      </c>
      <c r="L61" s="37" t="n">
        <f aca="false">IF(B61="",0,N(Students!G50))</f>
        <v>0</v>
      </c>
      <c r="M61" s="23"/>
      <c r="N61" s="26" t="n">
        <f aca="false">N(K61)+N(L61)-N(M61)</f>
        <v>0</v>
      </c>
      <c r="O61" s="37" t="n">
        <f aca="false">'Apr 2027'!R61</f>
        <v>0</v>
      </c>
      <c r="P61" s="37" t="n">
        <f aca="false">IF(B61="",0,N(Students!H50))</f>
        <v>0</v>
      </c>
      <c r="Q61" s="23"/>
      <c r="R61" s="26" t="n">
        <f aca="false">N(O61)+N(P61)-N(Q61)</f>
        <v>0</v>
      </c>
      <c r="S61" s="37" t="n">
        <f aca="false">'Apr 2027'!V61</f>
        <v>0</v>
      </c>
      <c r="T61" s="37" t="n">
        <f aca="false">IF(B61="",0,N(Students!I50))</f>
        <v>0</v>
      </c>
      <c r="U61" s="23"/>
      <c r="V61" s="26" t="n">
        <f aca="false">N(S61)+N(T61)-N(U61)</f>
        <v>0</v>
      </c>
      <c r="W61" s="37" t="n">
        <f aca="false">'Apr 2027'!Z61</f>
        <v>0</v>
      </c>
      <c r="X61" s="37" t="n">
        <f aca="false">IF(B61="",0,N(Students!J50))</f>
        <v>0</v>
      </c>
      <c r="Y61" s="23"/>
      <c r="Z61" s="26" t="n">
        <f aca="false">N(W61)+N(X61)-N(Y61)</f>
        <v>0</v>
      </c>
      <c r="AA61" s="37" t="n">
        <f aca="false">N(E61)+N(I61)+N(M61)+N(Q61)+N(U61)+N(Y61)</f>
        <v>0</v>
      </c>
      <c r="AB61" s="26" t="n">
        <f aca="false">F61+J61+N61+R61+V61+Z61</f>
        <v>0</v>
      </c>
      <c r="AC61" s="83" t="str">
        <f aca="false">IF(B61="","",IF(AB61&lt;=0,"Clear",IF(AA61&gt;0,"Partial","Due")))</f>
        <v/>
      </c>
    </row>
    <row r="62" customFormat="false" ht="15" hidden="false" customHeight="false" outlineLevel="0" collapsed="false">
      <c r="A62" s="21" t="n">
        <v>47</v>
      </c>
      <c r="B62" s="46" t="str">
        <f aca="false">IF(Students!B51="","",Students!B51)</f>
        <v/>
      </c>
      <c r="C62" s="33" t="n">
        <f aca="false">'Apr 2027'!F62</f>
        <v>0</v>
      </c>
      <c r="D62" s="33" t="n">
        <f aca="false">IF(B62="",0,N(Students!E51))</f>
        <v>0</v>
      </c>
      <c r="E62" s="23"/>
      <c r="F62" s="24" t="n">
        <f aca="false">N(C62)+N(D62)-N(E62)</f>
        <v>0</v>
      </c>
      <c r="G62" s="33" t="n">
        <f aca="false">'Apr 2027'!J62</f>
        <v>0</v>
      </c>
      <c r="H62" s="33" t="n">
        <f aca="false">IF(B62="",0,N(Students!F51))</f>
        <v>0</v>
      </c>
      <c r="I62" s="23"/>
      <c r="J62" s="24" t="n">
        <f aca="false">N(G62)+N(H62)-N(I62)</f>
        <v>0</v>
      </c>
      <c r="K62" s="33" t="n">
        <f aca="false">'Apr 2027'!N62</f>
        <v>0</v>
      </c>
      <c r="L62" s="33" t="n">
        <f aca="false">IF(B62="",0,N(Students!G51))</f>
        <v>0</v>
      </c>
      <c r="M62" s="23"/>
      <c r="N62" s="24" t="n">
        <f aca="false">N(K62)+N(L62)-N(M62)</f>
        <v>0</v>
      </c>
      <c r="O62" s="33" t="n">
        <f aca="false">'Apr 2027'!R62</f>
        <v>0</v>
      </c>
      <c r="P62" s="33" t="n">
        <f aca="false">IF(B62="",0,N(Students!H51))</f>
        <v>0</v>
      </c>
      <c r="Q62" s="23"/>
      <c r="R62" s="24" t="n">
        <f aca="false">N(O62)+N(P62)-N(Q62)</f>
        <v>0</v>
      </c>
      <c r="S62" s="33" t="n">
        <f aca="false">'Apr 2027'!V62</f>
        <v>0</v>
      </c>
      <c r="T62" s="33" t="n">
        <f aca="false">IF(B62="",0,N(Students!I51))</f>
        <v>0</v>
      </c>
      <c r="U62" s="23"/>
      <c r="V62" s="24" t="n">
        <f aca="false">N(S62)+N(T62)-N(U62)</f>
        <v>0</v>
      </c>
      <c r="W62" s="33" t="n">
        <f aca="false">'Apr 2027'!Z62</f>
        <v>0</v>
      </c>
      <c r="X62" s="33" t="n">
        <f aca="false">IF(B62="",0,N(Students!J51))</f>
        <v>0</v>
      </c>
      <c r="Y62" s="23"/>
      <c r="Z62" s="24" t="n">
        <f aca="false">N(W62)+N(X62)-N(Y62)</f>
        <v>0</v>
      </c>
      <c r="AA62" s="33" t="n">
        <f aca="false">N(E62)+N(I62)+N(M62)+N(Q62)+N(U62)+N(Y62)</f>
        <v>0</v>
      </c>
      <c r="AB62" s="24" t="n">
        <f aca="false">F62+J62+N62+R62+V62+Z62</f>
        <v>0</v>
      </c>
      <c r="AC62" s="81" t="str">
        <f aca="false">IF(B62="","",IF(AB62&lt;=0,"Clear",IF(AA62&gt;0,"Partial","Due")))</f>
        <v/>
      </c>
    </row>
    <row r="63" customFormat="false" ht="15" hidden="false" customHeight="false" outlineLevel="0" collapsed="false">
      <c r="A63" s="25" t="n">
        <v>48</v>
      </c>
      <c r="B63" s="82" t="str">
        <f aca="false">IF(Students!B52="","",Students!B52)</f>
        <v/>
      </c>
      <c r="C63" s="37" t="n">
        <f aca="false">'Apr 2027'!F63</f>
        <v>0</v>
      </c>
      <c r="D63" s="37" t="n">
        <f aca="false">IF(B63="",0,N(Students!E52))</f>
        <v>0</v>
      </c>
      <c r="E63" s="23"/>
      <c r="F63" s="26" t="n">
        <f aca="false">N(C63)+N(D63)-N(E63)</f>
        <v>0</v>
      </c>
      <c r="G63" s="37" t="n">
        <f aca="false">'Apr 2027'!J63</f>
        <v>0</v>
      </c>
      <c r="H63" s="37" t="n">
        <f aca="false">IF(B63="",0,N(Students!F52))</f>
        <v>0</v>
      </c>
      <c r="I63" s="23"/>
      <c r="J63" s="26" t="n">
        <f aca="false">N(G63)+N(H63)-N(I63)</f>
        <v>0</v>
      </c>
      <c r="K63" s="37" t="n">
        <f aca="false">'Apr 2027'!N63</f>
        <v>0</v>
      </c>
      <c r="L63" s="37" t="n">
        <f aca="false">IF(B63="",0,N(Students!G52))</f>
        <v>0</v>
      </c>
      <c r="M63" s="23"/>
      <c r="N63" s="26" t="n">
        <f aca="false">N(K63)+N(L63)-N(M63)</f>
        <v>0</v>
      </c>
      <c r="O63" s="37" t="n">
        <f aca="false">'Apr 2027'!R63</f>
        <v>0</v>
      </c>
      <c r="P63" s="37" t="n">
        <f aca="false">IF(B63="",0,N(Students!H52))</f>
        <v>0</v>
      </c>
      <c r="Q63" s="23"/>
      <c r="R63" s="26" t="n">
        <f aca="false">N(O63)+N(P63)-N(Q63)</f>
        <v>0</v>
      </c>
      <c r="S63" s="37" t="n">
        <f aca="false">'Apr 2027'!V63</f>
        <v>0</v>
      </c>
      <c r="T63" s="37" t="n">
        <f aca="false">IF(B63="",0,N(Students!I52))</f>
        <v>0</v>
      </c>
      <c r="U63" s="23"/>
      <c r="V63" s="26" t="n">
        <f aca="false">N(S63)+N(T63)-N(U63)</f>
        <v>0</v>
      </c>
      <c r="W63" s="37" t="n">
        <f aca="false">'Apr 2027'!Z63</f>
        <v>0</v>
      </c>
      <c r="X63" s="37" t="n">
        <f aca="false">IF(B63="",0,N(Students!J52))</f>
        <v>0</v>
      </c>
      <c r="Y63" s="23"/>
      <c r="Z63" s="26" t="n">
        <f aca="false">N(W63)+N(X63)-N(Y63)</f>
        <v>0</v>
      </c>
      <c r="AA63" s="37" t="n">
        <f aca="false">N(E63)+N(I63)+N(M63)+N(Q63)+N(U63)+N(Y63)</f>
        <v>0</v>
      </c>
      <c r="AB63" s="26" t="n">
        <f aca="false">F63+J63+N63+R63+V63+Z63</f>
        <v>0</v>
      </c>
      <c r="AC63" s="83" t="str">
        <f aca="false">IF(B63="","",IF(AB63&lt;=0,"Clear",IF(AA63&gt;0,"Partial","Due")))</f>
        <v/>
      </c>
    </row>
    <row r="64" customFormat="false" ht="15" hidden="false" customHeight="false" outlineLevel="0" collapsed="false">
      <c r="A64" s="21" t="n">
        <v>49</v>
      </c>
      <c r="B64" s="46" t="str">
        <f aca="false">IF(Students!B53="","",Students!B53)</f>
        <v/>
      </c>
      <c r="C64" s="33" t="n">
        <f aca="false">'Apr 2027'!F64</f>
        <v>0</v>
      </c>
      <c r="D64" s="33" t="n">
        <f aca="false">IF(B64="",0,N(Students!E53))</f>
        <v>0</v>
      </c>
      <c r="E64" s="23"/>
      <c r="F64" s="24" t="n">
        <f aca="false">N(C64)+N(D64)-N(E64)</f>
        <v>0</v>
      </c>
      <c r="G64" s="33" t="n">
        <f aca="false">'Apr 2027'!J64</f>
        <v>0</v>
      </c>
      <c r="H64" s="33" t="n">
        <f aca="false">IF(B64="",0,N(Students!F53))</f>
        <v>0</v>
      </c>
      <c r="I64" s="23"/>
      <c r="J64" s="24" t="n">
        <f aca="false">N(G64)+N(H64)-N(I64)</f>
        <v>0</v>
      </c>
      <c r="K64" s="33" t="n">
        <f aca="false">'Apr 2027'!N64</f>
        <v>0</v>
      </c>
      <c r="L64" s="33" t="n">
        <f aca="false">IF(B64="",0,N(Students!G53))</f>
        <v>0</v>
      </c>
      <c r="M64" s="23"/>
      <c r="N64" s="24" t="n">
        <f aca="false">N(K64)+N(L64)-N(M64)</f>
        <v>0</v>
      </c>
      <c r="O64" s="33" t="n">
        <f aca="false">'Apr 2027'!R64</f>
        <v>0</v>
      </c>
      <c r="P64" s="33" t="n">
        <f aca="false">IF(B64="",0,N(Students!H53))</f>
        <v>0</v>
      </c>
      <c r="Q64" s="23"/>
      <c r="R64" s="24" t="n">
        <f aca="false">N(O64)+N(P64)-N(Q64)</f>
        <v>0</v>
      </c>
      <c r="S64" s="33" t="n">
        <f aca="false">'Apr 2027'!V64</f>
        <v>0</v>
      </c>
      <c r="T64" s="33" t="n">
        <f aca="false">IF(B64="",0,N(Students!I53))</f>
        <v>0</v>
      </c>
      <c r="U64" s="23"/>
      <c r="V64" s="24" t="n">
        <f aca="false">N(S64)+N(T64)-N(U64)</f>
        <v>0</v>
      </c>
      <c r="W64" s="33" t="n">
        <f aca="false">'Apr 2027'!Z64</f>
        <v>0</v>
      </c>
      <c r="X64" s="33" t="n">
        <f aca="false">IF(B64="",0,N(Students!J53))</f>
        <v>0</v>
      </c>
      <c r="Y64" s="23"/>
      <c r="Z64" s="24" t="n">
        <f aca="false">N(W64)+N(X64)-N(Y64)</f>
        <v>0</v>
      </c>
      <c r="AA64" s="33" t="n">
        <f aca="false">N(E64)+N(I64)+N(M64)+N(Q64)+N(U64)+N(Y64)</f>
        <v>0</v>
      </c>
      <c r="AB64" s="24" t="n">
        <f aca="false">F64+J64+N64+R64+V64+Z64</f>
        <v>0</v>
      </c>
      <c r="AC64" s="81" t="str">
        <f aca="false">IF(B64="","",IF(AB64&lt;=0,"Clear",IF(AA64&gt;0,"Partial","Due")))</f>
        <v/>
      </c>
    </row>
    <row r="65" customFormat="false" ht="15" hidden="false" customHeight="false" outlineLevel="0" collapsed="false">
      <c r="A65" s="25" t="n">
        <v>50</v>
      </c>
      <c r="B65" s="82" t="str">
        <f aca="false">IF(Students!B54="","",Students!B54)</f>
        <v/>
      </c>
      <c r="C65" s="37" t="n">
        <f aca="false">'Apr 2027'!F65</f>
        <v>0</v>
      </c>
      <c r="D65" s="37" t="n">
        <f aca="false">IF(B65="",0,N(Students!E54))</f>
        <v>0</v>
      </c>
      <c r="E65" s="23"/>
      <c r="F65" s="26" t="n">
        <f aca="false">N(C65)+N(D65)-N(E65)</f>
        <v>0</v>
      </c>
      <c r="G65" s="37" t="n">
        <f aca="false">'Apr 2027'!J65</f>
        <v>0</v>
      </c>
      <c r="H65" s="37" t="n">
        <f aca="false">IF(B65="",0,N(Students!F54))</f>
        <v>0</v>
      </c>
      <c r="I65" s="23"/>
      <c r="J65" s="26" t="n">
        <f aca="false">N(G65)+N(H65)-N(I65)</f>
        <v>0</v>
      </c>
      <c r="K65" s="37" t="n">
        <f aca="false">'Apr 2027'!N65</f>
        <v>0</v>
      </c>
      <c r="L65" s="37" t="n">
        <f aca="false">IF(B65="",0,N(Students!G54))</f>
        <v>0</v>
      </c>
      <c r="M65" s="23"/>
      <c r="N65" s="26" t="n">
        <f aca="false">N(K65)+N(L65)-N(M65)</f>
        <v>0</v>
      </c>
      <c r="O65" s="37" t="n">
        <f aca="false">'Apr 2027'!R65</f>
        <v>0</v>
      </c>
      <c r="P65" s="37" t="n">
        <f aca="false">IF(B65="",0,N(Students!H54))</f>
        <v>0</v>
      </c>
      <c r="Q65" s="23"/>
      <c r="R65" s="26" t="n">
        <f aca="false">N(O65)+N(P65)-N(Q65)</f>
        <v>0</v>
      </c>
      <c r="S65" s="37" t="n">
        <f aca="false">'Apr 2027'!V65</f>
        <v>0</v>
      </c>
      <c r="T65" s="37" t="n">
        <f aca="false">IF(B65="",0,N(Students!I54))</f>
        <v>0</v>
      </c>
      <c r="U65" s="23"/>
      <c r="V65" s="26" t="n">
        <f aca="false">N(S65)+N(T65)-N(U65)</f>
        <v>0</v>
      </c>
      <c r="W65" s="37" t="n">
        <f aca="false">'Apr 2027'!Z65</f>
        <v>0</v>
      </c>
      <c r="X65" s="37" t="n">
        <f aca="false">IF(B65="",0,N(Students!J54))</f>
        <v>0</v>
      </c>
      <c r="Y65" s="23"/>
      <c r="Z65" s="26" t="n">
        <f aca="false">N(W65)+N(X65)-N(Y65)</f>
        <v>0</v>
      </c>
      <c r="AA65" s="37" t="n">
        <f aca="false">N(E65)+N(I65)+N(M65)+N(Q65)+N(U65)+N(Y65)</f>
        <v>0</v>
      </c>
      <c r="AB65" s="26" t="n">
        <f aca="false">F65+J65+N65+R65+V65+Z65</f>
        <v>0</v>
      </c>
      <c r="AC65" s="83" t="str">
        <f aca="false">IF(B65="","",IF(AB65&lt;=0,"Clear",IF(AA65&gt;0,"Partial","Due")))</f>
        <v/>
      </c>
    </row>
    <row r="66" customFormat="false" ht="15" hidden="false" customHeight="false" outlineLevel="0" collapsed="false">
      <c r="A66" s="21" t="n">
        <v>51</v>
      </c>
      <c r="B66" s="46" t="str">
        <f aca="false">IF(Students!B55="","",Students!B55)</f>
        <v/>
      </c>
      <c r="C66" s="33" t="n">
        <f aca="false">'Apr 2027'!F66</f>
        <v>0</v>
      </c>
      <c r="D66" s="33" t="n">
        <f aca="false">IF(B66="",0,N(Students!E55))</f>
        <v>0</v>
      </c>
      <c r="E66" s="23"/>
      <c r="F66" s="24" t="n">
        <f aca="false">N(C66)+N(D66)-N(E66)</f>
        <v>0</v>
      </c>
      <c r="G66" s="33" t="n">
        <f aca="false">'Apr 2027'!J66</f>
        <v>0</v>
      </c>
      <c r="H66" s="33" t="n">
        <f aca="false">IF(B66="",0,N(Students!F55))</f>
        <v>0</v>
      </c>
      <c r="I66" s="23"/>
      <c r="J66" s="24" t="n">
        <f aca="false">N(G66)+N(H66)-N(I66)</f>
        <v>0</v>
      </c>
      <c r="K66" s="33" t="n">
        <f aca="false">'Apr 2027'!N66</f>
        <v>0</v>
      </c>
      <c r="L66" s="33" t="n">
        <f aca="false">IF(B66="",0,N(Students!G55))</f>
        <v>0</v>
      </c>
      <c r="M66" s="23"/>
      <c r="N66" s="24" t="n">
        <f aca="false">N(K66)+N(L66)-N(M66)</f>
        <v>0</v>
      </c>
      <c r="O66" s="33" t="n">
        <f aca="false">'Apr 2027'!R66</f>
        <v>0</v>
      </c>
      <c r="P66" s="33" t="n">
        <f aca="false">IF(B66="",0,N(Students!H55))</f>
        <v>0</v>
      </c>
      <c r="Q66" s="23"/>
      <c r="R66" s="24" t="n">
        <f aca="false">N(O66)+N(P66)-N(Q66)</f>
        <v>0</v>
      </c>
      <c r="S66" s="33" t="n">
        <f aca="false">'Apr 2027'!V66</f>
        <v>0</v>
      </c>
      <c r="T66" s="33" t="n">
        <f aca="false">IF(B66="",0,N(Students!I55))</f>
        <v>0</v>
      </c>
      <c r="U66" s="23"/>
      <c r="V66" s="24" t="n">
        <f aca="false">N(S66)+N(T66)-N(U66)</f>
        <v>0</v>
      </c>
      <c r="W66" s="33" t="n">
        <f aca="false">'Apr 2027'!Z66</f>
        <v>0</v>
      </c>
      <c r="X66" s="33" t="n">
        <f aca="false">IF(B66="",0,N(Students!J55))</f>
        <v>0</v>
      </c>
      <c r="Y66" s="23"/>
      <c r="Z66" s="24" t="n">
        <f aca="false">N(W66)+N(X66)-N(Y66)</f>
        <v>0</v>
      </c>
      <c r="AA66" s="33" t="n">
        <f aca="false">N(E66)+N(I66)+N(M66)+N(Q66)+N(U66)+N(Y66)</f>
        <v>0</v>
      </c>
      <c r="AB66" s="24" t="n">
        <f aca="false">F66+J66+N66+R66+V66+Z66</f>
        <v>0</v>
      </c>
      <c r="AC66" s="81" t="str">
        <f aca="false">IF(B66="","",IF(AB66&lt;=0,"Clear",IF(AA66&gt;0,"Partial","Due")))</f>
        <v/>
      </c>
    </row>
    <row r="67" customFormat="false" ht="15" hidden="false" customHeight="false" outlineLevel="0" collapsed="false">
      <c r="A67" s="25" t="n">
        <v>52</v>
      </c>
      <c r="B67" s="82" t="str">
        <f aca="false">IF(Students!B56="","",Students!B56)</f>
        <v/>
      </c>
      <c r="C67" s="37" t="n">
        <f aca="false">'Apr 2027'!F67</f>
        <v>0</v>
      </c>
      <c r="D67" s="37" t="n">
        <f aca="false">IF(B67="",0,N(Students!E56))</f>
        <v>0</v>
      </c>
      <c r="E67" s="23"/>
      <c r="F67" s="26" t="n">
        <f aca="false">N(C67)+N(D67)-N(E67)</f>
        <v>0</v>
      </c>
      <c r="G67" s="37" t="n">
        <f aca="false">'Apr 2027'!J67</f>
        <v>0</v>
      </c>
      <c r="H67" s="37" t="n">
        <f aca="false">IF(B67="",0,N(Students!F56))</f>
        <v>0</v>
      </c>
      <c r="I67" s="23"/>
      <c r="J67" s="26" t="n">
        <f aca="false">N(G67)+N(H67)-N(I67)</f>
        <v>0</v>
      </c>
      <c r="K67" s="37" t="n">
        <f aca="false">'Apr 2027'!N67</f>
        <v>0</v>
      </c>
      <c r="L67" s="37" t="n">
        <f aca="false">IF(B67="",0,N(Students!G56))</f>
        <v>0</v>
      </c>
      <c r="M67" s="23"/>
      <c r="N67" s="26" t="n">
        <f aca="false">N(K67)+N(L67)-N(M67)</f>
        <v>0</v>
      </c>
      <c r="O67" s="37" t="n">
        <f aca="false">'Apr 2027'!R67</f>
        <v>0</v>
      </c>
      <c r="P67" s="37" t="n">
        <f aca="false">IF(B67="",0,N(Students!H56))</f>
        <v>0</v>
      </c>
      <c r="Q67" s="23"/>
      <c r="R67" s="26" t="n">
        <f aca="false">N(O67)+N(P67)-N(Q67)</f>
        <v>0</v>
      </c>
      <c r="S67" s="37" t="n">
        <f aca="false">'Apr 2027'!V67</f>
        <v>0</v>
      </c>
      <c r="T67" s="37" t="n">
        <f aca="false">IF(B67="",0,N(Students!I56))</f>
        <v>0</v>
      </c>
      <c r="U67" s="23"/>
      <c r="V67" s="26" t="n">
        <f aca="false">N(S67)+N(T67)-N(U67)</f>
        <v>0</v>
      </c>
      <c r="W67" s="37" t="n">
        <f aca="false">'Apr 2027'!Z67</f>
        <v>0</v>
      </c>
      <c r="X67" s="37" t="n">
        <f aca="false">IF(B67="",0,N(Students!J56))</f>
        <v>0</v>
      </c>
      <c r="Y67" s="23"/>
      <c r="Z67" s="26" t="n">
        <f aca="false">N(W67)+N(X67)-N(Y67)</f>
        <v>0</v>
      </c>
      <c r="AA67" s="37" t="n">
        <f aca="false">N(E67)+N(I67)+N(M67)+N(Q67)+N(U67)+N(Y67)</f>
        <v>0</v>
      </c>
      <c r="AB67" s="26" t="n">
        <f aca="false">F67+J67+N67+R67+V67+Z67</f>
        <v>0</v>
      </c>
      <c r="AC67" s="83" t="str">
        <f aca="false">IF(B67="","",IF(AB67&lt;=0,"Clear",IF(AA67&gt;0,"Partial","Due")))</f>
        <v/>
      </c>
    </row>
    <row r="68" customFormat="false" ht="15" hidden="false" customHeight="false" outlineLevel="0" collapsed="false">
      <c r="A68" s="21" t="n">
        <v>53</v>
      </c>
      <c r="B68" s="46" t="str">
        <f aca="false">IF(Students!B57="","",Students!B57)</f>
        <v/>
      </c>
      <c r="C68" s="33" t="n">
        <f aca="false">'Apr 2027'!F68</f>
        <v>0</v>
      </c>
      <c r="D68" s="33" t="n">
        <f aca="false">IF(B68="",0,N(Students!E57))</f>
        <v>0</v>
      </c>
      <c r="E68" s="23"/>
      <c r="F68" s="24" t="n">
        <f aca="false">N(C68)+N(D68)-N(E68)</f>
        <v>0</v>
      </c>
      <c r="G68" s="33" t="n">
        <f aca="false">'Apr 2027'!J68</f>
        <v>0</v>
      </c>
      <c r="H68" s="33" t="n">
        <f aca="false">IF(B68="",0,N(Students!F57))</f>
        <v>0</v>
      </c>
      <c r="I68" s="23"/>
      <c r="J68" s="24" t="n">
        <f aca="false">N(G68)+N(H68)-N(I68)</f>
        <v>0</v>
      </c>
      <c r="K68" s="33" t="n">
        <f aca="false">'Apr 2027'!N68</f>
        <v>0</v>
      </c>
      <c r="L68" s="33" t="n">
        <f aca="false">IF(B68="",0,N(Students!G57))</f>
        <v>0</v>
      </c>
      <c r="M68" s="23"/>
      <c r="N68" s="24" t="n">
        <f aca="false">N(K68)+N(L68)-N(M68)</f>
        <v>0</v>
      </c>
      <c r="O68" s="33" t="n">
        <f aca="false">'Apr 2027'!R68</f>
        <v>0</v>
      </c>
      <c r="P68" s="33" t="n">
        <f aca="false">IF(B68="",0,N(Students!H57))</f>
        <v>0</v>
      </c>
      <c r="Q68" s="23"/>
      <c r="R68" s="24" t="n">
        <f aca="false">N(O68)+N(P68)-N(Q68)</f>
        <v>0</v>
      </c>
      <c r="S68" s="33" t="n">
        <f aca="false">'Apr 2027'!V68</f>
        <v>0</v>
      </c>
      <c r="T68" s="33" t="n">
        <f aca="false">IF(B68="",0,N(Students!I57))</f>
        <v>0</v>
      </c>
      <c r="U68" s="23"/>
      <c r="V68" s="24" t="n">
        <f aca="false">N(S68)+N(T68)-N(U68)</f>
        <v>0</v>
      </c>
      <c r="W68" s="33" t="n">
        <f aca="false">'Apr 2027'!Z68</f>
        <v>0</v>
      </c>
      <c r="X68" s="33" t="n">
        <f aca="false">IF(B68="",0,N(Students!J57))</f>
        <v>0</v>
      </c>
      <c r="Y68" s="23"/>
      <c r="Z68" s="24" t="n">
        <f aca="false">N(W68)+N(X68)-N(Y68)</f>
        <v>0</v>
      </c>
      <c r="AA68" s="33" t="n">
        <f aca="false">N(E68)+N(I68)+N(M68)+N(Q68)+N(U68)+N(Y68)</f>
        <v>0</v>
      </c>
      <c r="AB68" s="24" t="n">
        <f aca="false">F68+J68+N68+R68+V68+Z68</f>
        <v>0</v>
      </c>
      <c r="AC68" s="81" t="str">
        <f aca="false">IF(B68="","",IF(AB68&lt;=0,"Clear",IF(AA68&gt;0,"Partial","Due")))</f>
        <v/>
      </c>
    </row>
    <row r="69" customFormat="false" ht="15" hidden="false" customHeight="false" outlineLevel="0" collapsed="false">
      <c r="A69" s="25" t="n">
        <v>54</v>
      </c>
      <c r="B69" s="82" t="str">
        <f aca="false">IF(Students!B58="","",Students!B58)</f>
        <v/>
      </c>
      <c r="C69" s="37" t="n">
        <f aca="false">'Apr 2027'!F69</f>
        <v>0</v>
      </c>
      <c r="D69" s="37" t="n">
        <f aca="false">IF(B69="",0,N(Students!E58))</f>
        <v>0</v>
      </c>
      <c r="E69" s="23"/>
      <c r="F69" s="26" t="n">
        <f aca="false">N(C69)+N(D69)-N(E69)</f>
        <v>0</v>
      </c>
      <c r="G69" s="37" t="n">
        <f aca="false">'Apr 2027'!J69</f>
        <v>0</v>
      </c>
      <c r="H69" s="37" t="n">
        <f aca="false">IF(B69="",0,N(Students!F58))</f>
        <v>0</v>
      </c>
      <c r="I69" s="23"/>
      <c r="J69" s="26" t="n">
        <f aca="false">N(G69)+N(H69)-N(I69)</f>
        <v>0</v>
      </c>
      <c r="K69" s="37" t="n">
        <f aca="false">'Apr 2027'!N69</f>
        <v>0</v>
      </c>
      <c r="L69" s="37" t="n">
        <f aca="false">IF(B69="",0,N(Students!G58))</f>
        <v>0</v>
      </c>
      <c r="M69" s="23"/>
      <c r="N69" s="26" t="n">
        <f aca="false">N(K69)+N(L69)-N(M69)</f>
        <v>0</v>
      </c>
      <c r="O69" s="37" t="n">
        <f aca="false">'Apr 2027'!R69</f>
        <v>0</v>
      </c>
      <c r="P69" s="37" t="n">
        <f aca="false">IF(B69="",0,N(Students!H58))</f>
        <v>0</v>
      </c>
      <c r="Q69" s="23"/>
      <c r="R69" s="26" t="n">
        <f aca="false">N(O69)+N(P69)-N(Q69)</f>
        <v>0</v>
      </c>
      <c r="S69" s="37" t="n">
        <f aca="false">'Apr 2027'!V69</f>
        <v>0</v>
      </c>
      <c r="T69" s="37" t="n">
        <f aca="false">IF(B69="",0,N(Students!I58))</f>
        <v>0</v>
      </c>
      <c r="U69" s="23"/>
      <c r="V69" s="26" t="n">
        <f aca="false">N(S69)+N(T69)-N(U69)</f>
        <v>0</v>
      </c>
      <c r="W69" s="37" t="n">
        <f aca="false">'Apr 2027'!Z69</f>
        <v>0</v>
      </c>
      <c r="X69" s="37" t="n">
        <f aca="false">IF(B69="",0,N(Students!J58))</f>
        <v>0</v>
      </c>
      <c r="Y69" s="23"/>
      <c r="Z69" s="26" t="n">
        <f aca="false">N(W69)+N(X69)-N(Y69)</f>
        <v>0</v>
      </c>
      <c r="AA69" s="37" t="n">
        <f aca="false">N(E69)+N(I69)+N(M69)+N(Q69)+N(U69)+N(Y69)</f>
        <v>0</v>
      </c>
      <c r="AB69" s="26" t="n">
        <f aca="false">F69+J69+N69+R69+V69+Z69</f>
        <v>0</v>
      </c>
      <c r="AC69" s="83" t="str">
        <f aca="false">IF(B69="","",IF(AB69&lt;=0,"Clear",IF(AA69&gt;0,"Partial","Due")))</f>
        <v/>
      </c>
    </row>
    <row r="70" customFormat="false" ht="15" hidden="false" customHeight="false" outlineLevel="0" collapsed="false">
      <c r="A70" s="21" t="n">
        <v>55</v>
      </c>
      <c r="B70" s="46" t="str">
        <f aca="false">IF(Students!B59="","",Students!B59)</f>
        <v/>
      </c>
      <c r="C70" s="33" t="n">
        <f aca="false">'Apr 2027'!F70</f>
        <v>0</v>
      </c>
      <c r="D70" s="33" t="n">
        <f aca="false">IF(B70="",0,N(Students!E59))</f>
        <v>0</v>
      </c>
      <c r="E70" s="23"/>
      <c r="F70" s="24" t="n">
        <f aca="false">N(C70)+N(D70)-N(E70)</f>
        <v>0</v>
      </c>
      <c r="G70" s="33" t="n">
        <f aca="false">'Apr 2027'!J70</f>
        <v>0</v>
      </c>
      <c r="H70" s="33" t="n">
        <f aca="false">IF(B70="",0,N(Students!F59))</f>
        <v>0</v>
      </c>
      <c r="I70" s="23"/>
      <c r="J70" s="24" t="n">
        <f aca="false">N(G70)+N(H70)-N(I70)</f>
        <v>0</v>
      </c>
      <c r="K70" s="33" t="n">
        <f aca="false">'Apr 2027'!N70</f>
        <v>0</v>
      </c>
      <c r="L70" s="33" t="n">
        <f aca="false">IF(B70="",0,N(Students!G59))</f>
        <v>0</v>
      </c>
      <c r="M70" s="23"/>
      <c r="N70" s="24" t="n">
        <f aca="false">N(K70)+N(L70)-N(M70)</f>
        <v>0</v>
      </c>
      <c r="O70" s="33" t="n">
        <f aca="false">'Apr 2027'!R70</f>
        <v>0</v>
      </c>
      <c r="P70" s="33" t="n">
        <f aca="false">IF(B70="",0,N(Students!H59))</f>
        <v>0</v>
      </c>
      <c r="Q70" s="23"/>
      <c r="R70" s="24" t="n">
        <f aca="false">N(O70)+N(P70)-N(Q70)</f>
        <v>0</v>
      </c>
      <c r="S70" s="33" t="n">
        <f aca="false">'Apr 2027'!V70</f>
        <v>0</v>
      </c>
      <c r="T70" s="33" t="n">
        <f aca="false">IF(B70="",0,N(Students!I59))</f>
        <v>0</v>
      </c>
      <c r="U70" s="23"/>
      <c r="V70" s="24" t="n">
        <f aca="false">N(S70)+N(T70)-N(U70)</f>
        <v>0</v>
      </c>
      <c r="W70" s="33" t="n">
        <f aca="false">'Apr 2027'!Z70</f>
        <v>0</v>
      </c>
      <c r="X70" s="33" t="n">
        <f aca="false">IF(B70="",0,N(Students!J59))</f>
        <v>0</v>
      </c>
      <c r="Y70" s="23"/>
      <c r="Z70" s="24" t="n">
        <f aca="false">N(W70)+N(X70)-N(Y70)</f>
        <v>0</v>
      </c>
      <c r="AA70" s="33" t="n">
        <f aca="false">N(E70)+N(I70)+N(M70)+N(Q70)+N(U70)+N(Y70)</f>
        <v>0</v>
      </c>
      <c r="AB70" s="24" t="n">
        <f aca="false">F70+J70+N70+R70+V70+Z70</f>
        <v>0</v>
      </c>
      <c r="AC70" s="81" t="str">
        <f aca="false">IF(B70="","",IF(AB70&lt;=0,"Clear",IF(AA70&gt;0,"Partial","Due")))</f>
        <v/>
      </c>
    </row>
    <row r="71" customFormat="false" ht="15" hidden="false" customHeight="false" outlineLevel="0" collapsed="false">
      <c r="A71" s="25" t="n">
        <v>56</v>
      </c>
      <c r="B71" s="82" t="str">
        <f aca="false">IF(Students!B60="","",Students!B60)</f>
        <v/>
      </c>
      <c r="C71" s="37" t="n">
        <f aca="false">'Apr 2027'!F71</f>
        <v>0</v>
      </c>
      <c r="D71" s="37" t="n">
        <f aca="false">IF(B71="",0,N(Students!E60))</f>
        <v>0</v>
      </c>
      <c r="E71" s="23"/>
      <c r="F71" s="26" t="n">
        <f aca="false">N(C71)+N(D71)-N(E71)</f>
        <v>0</v>
      </c>
      <c r="G71" s="37" t="n">
        <f aca="false">'Apr 2027'!J71</f>
        <v>0</v>
      </c>
      <c r="H71" s="37" t="n">
        <f aca="false">IF(B71="",0,N(Students!F60))</f>
        <v>0</v>
      </c>
      <c r="I71" s="23"/>
      <c r="J71" s="26" t="n">
        <f aca="false">N(G71)+N(H71)-N(I71)</f>
        <v>0</v>
      </c>
      <c r="K71" s="37" t="n">
        <f aca="false">'Apr 2027'!N71</f>
        <v>0</v>
      </c>
      <c r="L71" s="37" t="n">
        <f aca="false">IF(B71="",0,N(Students!G60))</f>
        <v>0</v>
      </c>
      <c r="M71" s="23"/>
      <c r="N71" s="26" t="n">
        <f aca="false">N(K71)+N(L71)-N(M71)</f>
        <v>0</v>
      </c>
      <c r="O71" s="37" t="n">
        <f aca="false">'Apr 2027'!R71</f>
        <v>0</v>
      </c>
      <c r="P71" s="37" t="n">
        <f aca="false">IF(B71="",0,N(Students!H60))</f>
        <v>0</v>
      </c>
      <c r="Q71" s="23"/>
      <c r="R71" s="26" t="n">
        <f aca="false">N(O71)+N(P71)-N(Q71)</f>
        <v>0</v>
      </c>
      <c r="S71" s="37" t="n">
        <f aca="false">'Apr 2027'!V71</f>
        <v>0</v>
      </c>
      <c r="T71" s="37" t="n">
        <f aca="false">IF(B71="",0,N(Students!I60))</f>
        <v>0</v>
      </c>
      <c r="U71" s="23"/>
      <c r="V71" s="26" t="n">
        <f aca="false">N(S71)+N(T71)-N(U71)</f>
        <v>0</v>
      </c>
      <c r="W71" s="37" t="n">
        <f aca="false">'Apr 2027'!Z71</f>
        <v>0</v>
      </c>
      <c r="X71" s="37" t="n">
        <f aca="false">IF(B71="",0,N(Students!J60))</f>
        <v>0</v>
      </c>
      <c r="Y71" s="23"/>
      <c r="Z71" s="26" t="n">
        <f aca="false">N(W71)+N(X71)-N(Y71)</f>
        <v>0</v>
      </c>
      <c r="AA71" s="37" t="n">
        <f aca="false">N(E71)+N(I71)+N(M71)+N(Q71)+N(U71)+N(Y71)</f>
        <v>0</v>
      </c>
      <c r="AB71" s="26" t="n">
        <f aca="false">F71+J71+N71+R71+V71+Z71</f>
        <v>0</v>
      </c>
      <c r="AC71" s="83" t="str">
        <f aca="false">IF(B71="","",IF(AB71&lt;=0,"Clear",IF(AA71&gt;0,"Partial","Due")))</f>
        <v/>
      </c>
    </row>
    <row r="72" customFormat="false" ht="15" hidden="false" customHeight="false" outlineLevel="0" collapsed="false">
      <c r="A72" s="21" t="n">
        <v>57</v>
      </c>
      <c r="B72" s="46" t="str">
        <f aca="false">IF(Students!B61="","",Students!B61)</f>
        <v/>
      </c>
      <c r="C72" s="33" t="n">
        <f aca="false">'Apr 2027'!F72</f>
        <v>0</v>
      </c>
      <c r="D72" s="33" t="n">
        <f aca="false">IF(B72="",0,N(Students!E61))</f>
        <v>0</v>
      </c>
      <c r="E72" s="23"/>
      <c r="F72" s="24" t="n">
        <f aca="false">N(C72)+N(D72)-N(E72)</f>
        <v>0</v>
      </c>
      <c r="G72" s="33" t="n">
        <f aca="false">'Apr 2027'!J72</f>
        <v>0</v>
      </c>
      <c r="H72" s="33" t="n">
        <f aca="false">IF(B72="",0,N(Students!F61))</f>
        <v>0</v>
      </c>
      <c r="I72" s="23"/>
      <c r="J72" s="24" t="n">
        <f aca="false">N(G72)+N(H72)-N(I72)</f>
        <v>0</v>
      </c>
      <c r="K72" s="33" t="n">
        <f aca="false">'Apr 2027'!N72</f>
        <v>0</v>
      </c>
      <c r="L72" s="33" t="n">
        <f aca="false">IF(B72="",0,N(Students!G61))</f>
        <v>0</v>
      </c>
      <c r="M72" s="23"/>
      <c r="N72" s="24" t="n">
        <f aca="false">N(K72)+N(L72)-N(M72)</f>
        <v>0</v>
      </c>
      <c r="O72" s="33" t="n">
        <f aca="false">'Apr 2027'!R72</f>
        <v>0</v>
      </c>
      <c r="P72" s="33" t="n">
        <f aca="false">IF(B72="",0,N(Students!H61))</f>
        <v>0</v>
      </c>
      <c r="Q72" s="23"/>
      <c r="R72" s="24" t="n">
        <f aca="false">N(O72)+N(P72)-N(Q72)</f>
        <v>0</v>
      </c>
      <c r="S72" s="33" t="n">
        <f aca="false">'Apr 2027'!V72</f>
        <v>0</v>
      </c>
      <c r="T72" s="33" t="n">
        <f aca="false">IF(B72="",0,N(Students!I61))</f>
        <v>0</v>
      </c>
      <c r="U72" s="23"/>
      <c r="V72" s="24" t="n">
        <f aca="false">N(S72)+N(T72)-N(U72)</f>
        <v>0</v>
      </c>
      <c r="W72" s="33" t="n">
        <f aca="false">'Apr 2027'!Z72</f>
        <v>0</v>
      </c>
      <c r="X72" s="33" t="n">
        <f aca="false">IF(B72="",0,N(Students!J61))</f>
        <v>0</v>
      </c>
      <c r="Y72" s="23"/>
      <c r="Z72" s="24" t="n">
        <f aca="false">N(W72)+N(X72)-N(Y72)</f>
        <v>0</v>
      </c>
      <c r="AA72" s="33" t="n">
        <f aca="false">N(E72)+N(I72)+N(M72)+N(Q72)+N(U72)+N(Y72)</f>
        <v>0</v>
      </c>
      <c r="AB72" s="24" t="n">
        <f aca="false">F72+J72+N72+R72+V72+Z72</f>
        <v>0</v>
      </c>
      <c r="AC72" s="81" t="str">
        <f aca="false">IF(B72="","",IF(AB72&lt;=0,"Clear",IF(AA72&gt;0,"Partial","Due")))</f>
        <v/>
      </c>
    </row>
    <row r="73" customFormat="false" ht="15" hidden="false" customHeight="false" outlineLevel="0" collapsed="false">
      <c r="A73" s="25" t="n">
        <v>58</v>
      </c>
      <c r="B73" s="82" t="str">
        <f aca="false">IF(Students!B62="","",Students!B62)</f>
        <v/>
      </c>
      <c r="C73" s="37" t="n">
        <f aca="false">'Apr 2027'!F73</f>
        <v>0</v>
      </c>
      <c r="D73" s="37" t="n">
        <f aca="false">IF(B73="",0,N(Students!E62))</f>
        <v>0</v>
      </c>
      <c r="E73" s="23"/>
      <c r="F73" s="26" t="n">
        <f aca="false">N(C73)+N(D73)-N(E73)</f>
        <v>0</v>
      </c>
      <c r="G73" s="37" t="n">
        <f aca="false">'Apr 2027'!J73</f>
        <v>0</v>
      </c>
      <c r="H73" s="37" t="n">
        <f aca="false">IF(B73="",0,N(Students!F62))</f>
        <v>0</v>
      </c>
      <c r="I73" s="23"/>
      <c r="J73" s="26" t="n">
        <f aca="false">N(G73)+N(H73)-N(I73)</f>
        <v>0</v>
      </c>
      <c r="K73" s="37" t="n">
        <f aca="false">'Apr 2027'!N73</f>
        <v>0</v>
      </c>
      <c r="L73" s="37" t="n">
        <f aca="false">IF(B73="",0,N(Students!G62))</f>
        <v>0</v>
      </c>
      <c r="M73" s="23"/>
      <c r="N73" s="26" t="n">
        <f aca="false">N(K73)+N(L73)-N(M73)</f>
        <v>0</v>
      </c>
      <c r="O73" s="37" t="n">
        <f aca="false">'Apr 2027'!R73</f>
        <v>0</v>
      </c>
      <c r="P73" s="37" t="n">
        <f aca="false">IF(B73="",0,N(Students!H62))</f>
        <v>0</v>
      </c>
      <c r="Q73" s="23"/>
      <c r="R73" s="26" t="n">
        <f aca="false">N(O73)+N(P73)-N(Q73)</f>
        <v>0</v>
      </c>
      <c r="S73" s="37" t="n">
        <f aca="false">'Apr 2027'!V73</f>
        <v>0</v>
      </c>
      <c r="T73" s="37" t="n">
        <f aca="false">IF(B73="",0,N(Students!I62))</f>
        <v>0</v>
      </c>
      <c r="U73" s="23"/>
      <c r="V73" s="26" t="n">
        <f aca="false">N(S73)+N(T73)-N(U73)</f>
        <v>0</v>
      </c>
      <c r="W73" s="37" t="n">
        <f aca="false">'Apr 2027'!Z73</f>
        <v>0</v>
      </c>
      <c r="X73" s="37" t="n">
        <f aca="false">IF(B73="",0,N(Students!J62))</f>
        <v>0</v>
      </c>
      <c r="Y73" s="23"/>
      <c r="Z73" s="26" t="n">
        <f aca="false">N(W73)+N(X73)-N(Y73)</f>
        <v>0</v>
      </c>
      <c r="AA73" s="37" t="n">
        <f aca="false">N(E73)+N(I73)+N(M73)+N(Q73)+N(U73)+N(Y73)</f>
        <v>0</v>
      </c>
      <c r="AB73" s="26" t="n">
        <f aca="false">F73+J73+N73+R73+V73+Z73</f>
        <v>0</v>
      </c>
      <c r="AC73" s="83" t="str">
        <f aca="false">IF(B73="","",IF(AB73&lt;=0,"Clear",IF(AA73&gt;0,"Partial","Due")))</f>
        <v/>
      </c>
    </row>
    <row r="74" customFormat="false" ht="15" hidden="false" customHeight="false" outlineLevel="0" collapsed="false">
      <c r="A74" s="21" t="n">
        <v>59</v>
      </c>
      <c r="B74" s="46" t="str">
        <f aca="false">IF(Students!B63="","",Students!B63)</f>
        <v/>
      </c>
      <c r="C74" s="33" t="n">
        <f aca="false">'Apr 2027'!F74</f>
        <v>0</v>
      </c>
      <c r="D74" s="33" t="n">
        <f aca="false">IF(B74="",0,N(Students!E63))</f>
        <v>0</v>
      </c>
      <c r="E74" s="23"/>
      <c r="F74" s="24" t="n">
        <f aca="false">N(C74)+N(D74)-N(E74)</f>
        <v>0</v>
      </c>
      <c r="G74" s="33" t="n">
        <f aca="false">'Apr 2027'!J74</f>
        <v>0</v>
      </c>
      <c r="H74" s="33" t="n">
        <f aca="false">IF(B74="",0,N(Students!F63))</f>
        <v>0</v>
      </c>
      <c r="I74" s="23"/>
      <c r="J74" s="24" t="n">
        <f aca="false">N(G74)+N(H74)-N(I74)</f>
        <v>0</v>
      </c>
      <c r="K74" s="33" t="n">
        <f aca="false">'Apr 2027'!N74</f>
        <v>0</v>
      </c>
      <c r="L74" s="33" t="n">
        <f aca="false">IF(B74="",0,N(Students!G63))</f>
        <v>0</v>
      </c>
      <c r="M74" s="23"/>
      <c r="N74" s="24" t="n">
        <f aca="false">N(K74)+N(L74)-N(M74)</f>
        <v>0</v>
      </c>
      <c r="O74" s="33" t="n">
        <f aca="false">'Apr 2027'!R74</f>
        <v>0</v>
      </c>
      <c r="P74" s="33" t="n">
        <f aca="false">IF(B74="",0,N(Students!H63))</f>
        <v>0</v>
      </c>
      <c r="Q74" s="23"/>
      <c r="R74" s="24" t="n">
        <f aca="false">N(O74)+N(P74)-N(Q74)</f>
        <v>0</v>
      </c>
      <c r="S74" s="33" t="n">
        <f aca="false">'Apr 2027'!V74</f>
        <v>0</v>
      </c>
      <c r="T74" s="33" t="n">
        <f aca="false">IF(B74="",0,N(Students!I63))</f>
        <v>0</v>
      </c>
      <c r="U74" s="23"/>
      <c r="V74" s="24" t="n">
        <f aca="false">N(S74)+N(T74)-N(U74)</f>
        <v>0</v>
      </c>
      <c r="W74" s="33" t="n">
        <f aca="false">'Apr 2027'!Z74</f>
        <v>0</v>
      </c>
      <c r="X74" s="33" t="n">
        <f aca="false">IF(B74="",0,N(Students!J63))</f>
        <v>0</v>
      </c>
      <c r="Y74" s="23"/>
      <c r="Z74" s="24" t="n">
        <f aca="false">N(W74)+N(X74)-N(Y74)</f>
        <v>0</v>
      </c>
      <c r="AA74" s="33" t="n">
        <f aca="false">N(E74)+N(I74)+N(M74)+N(Q74)+N(U74)+N(Y74)</f>
        <v>0</v>
      </c>
      <c r="AB74" s="24" t="n">
        <f aca="false">F74+J74+N74+R74+V74+Z74</f>
        <v>0</v>
      </c>
      <c r="AC74" s="81" t="str">
        <f aca="false">IF(B74="","",IF(AB74&lt;=0,"Clear",IF(AA74&gt;0,"Partial","Due")))</f>
        <v/>
      </c>
    </row>
    <row r="75" customFormat="false" ht="15" hidden="false" customHeight="false" outlineLevel="0" collapsed="false">
      <c r="A75" s="25" t="n">
        <v>60</v>
      </c>
      <c r="B75" s="82" t="str">
        <f aca="false">IF(Students!B64="","",Students!B64)</f>
        <v/>
      </c>
      <c r="C75" s="37" t="n">
        <f aca="false">'Apr 2027'!F75</f>
        <v>0</v>
      </c>
      <c r="D75" s="37" t="n">
        <f aca="false">IF(B75="",0,N(Students!E64))</f>
        <v>0</v>
      </c>
      <c r="E75" s="23"/>
      <c r="F75" s="26" t="n">
        <f aca="false">N(C75)+N(D75)-N(E75)</f>
        <v>0</v>
      </c>
      <c r="G75" s="37" t="n">
        <f aca="false">'Apr 2027'!J75</f>
        <v>0</v>
      </c>
      <c r="H75" s="37" t="n">
        <f aca="false">IF(B75="",0,N(Students!F64))</f>
        <v>0</v>
      </c>
      <c r="I75" s="23"/>
      <c r="J75" s="26" t="n">
        <f aca="false">N(G75)+N(H75)-N(I75)</f>
        <v>0</v>
      </c>
      <c r="K75" s="37" t="n">
        <f aca="false">'Apr 2027'!N75</f>
        <v>0</v>
      </c>
      <c r="L75" s="37" t="n">
        <f aca="false">IF(B75="",0,N(Students!G64))</f>
        <v>0</v>
      </c>
      <c r="M75" s="23"/>
      <c r="N75" s="26" t="n">
        <f aca="false">N(K75)+N(L75)-N(M75)</f>
        <v>0</v>
      </c>
      <c r="O75" s="37" t="n">
        <f aca="false">'Apr 2027'!R75</f>
        <v>0</v>
      </c>
      <c r="P75" s="37" t="n">
        <f aca="false">IF(B75="",0,N(Students!H64))</f>
        <v>0</v>
      </c>
      <c r="Q75" s="23"/>
      <c r="R75" s="26" t="n">
        <f aca="false">N(O75)+N(P75)-N(Q75)</f>
        <v>0</v>
      </c>
      <c r="S75" s="37" t="n">
        <f aca="false">'Apr 2027'!V75</f>
        <v>0</v>
      </c>
      <c r="T75" s="37" t="n">
        <f aca="false">IF(B75="",0,N(Students!I64))</f>
        <v>0</v>
      </c>
      <c r="U75" s="23"/>
      <c r="V75" s="26" t="n">
        <f aca="false">N(S75)+N(T75)-N(U75)</f>
        <v>0</v>
      </c>
      <c r="W75" s="37" t="n">
        <f aca="false">'Apr 2027'!Z75</f>
        <v>0</v>
      </c>
      <c r="X75" s="37" t="n">
        <f aca="false">IF(B75="",0,N(Students!J64))</f>
        <v>0</v>
      </c>
      <c r="Y75" s="23"/>
      <c r="Z75" s="26" t="n">
        <f aca="false">N(W75)+N(X75)-N(Y75)</f>
        <v>0</v>
      </c>
      <c r="AA75" s="37" t="n">
        <f aca="false">N(E75)+N(I75)+N(M75)+N(Q75)+N(U75)+N(Y75)</f>
        <v>0</v>
      </c>
      <c r="AB75" s="26" t="n">
        <f aca="false">F75+J75+N75+R75+V75+Z75</f>
        <v>0</v>
      </c>
      <c r="AC75" s="83" t="str">
        <f aca="false">IF(B75="","",IF(AB75&lt;=0,"Clear",IF(AA75&gt;0,"Partial","Due")))</f>
        <v/>
      </c>
    </row>
    <row r="76" customFormat="false" ht="15" hidden="false" customHeight="false" outlineLevel="0" collapsed="false">
      <c r="A76" s="21" t="n">
        <v>61</v>
      </c>
      <c r="B76" s="46" t="str">
        <f aca="false">IF(Students!B65="","",Students!B65)</f>
        <v/>
      </c>
      <c r="C76" s="33" t="n">
        <f aca="false">'Apr 2027'!F76</f>
        <v>0</v>
      </c>
      <c r="D76" s="33" t="n">
        <f aca="false">IF(B76="",0,N(Students!E65))</f>
        <v>0</v>
      </c>
      <c r="E76" s="23"/>
      <c r="F76" s="24" t="n">
        <f aca="false">N(C76)+N(D76)-N(E76)</f>
        <v>0</v>
      </c>
      <c r="G76" s="33" t="n">
        <f aca="false">'Apr 2027'!J76</f>
        <v>0</v>
      </c>
      <c r="H76" s="33" t="n">
        <f aca="false">IF(B76="",0,N(Students!F65))</f>
        <v>0</v>
      </c>
      <c r="I76" s="23"/>
      <c r="J76" s="24" t="n">
        <f aca="false">N(G76)+N(H76)-N(I76)</f>
        <v>0</v>
      </c>
      <c r="K76" s="33" t="n">
        <f aca="false">'Apr 2027'!N76</f>
        <v>0</v>
      </c>
      <c r="L76" s="33" t="n">
        <f aca="false">IF(B76="",0,N(Students!G65))</f>
        <v>0</v>
      </c>
      <c r="M76" s="23"/>
      <c r="N76" s="24" t="n">
        <f aca="false">N(K76)+N(L76)-N(M76)</f>
        <v>0</v>
      </c>
      <c r="O76" s="33" t="n">
        <f aca="false">'Apr 2027'!R76</f>
        <v>0</v>
      </c>
      <c r="P76" s="33" t="n">
        <f aca="false">IF(B76="",0,N(Students!H65))</f>
        <v>0</v>
      </c>
      <c r="Q76" s="23"/>
      <c r="R76" s="24" t="n">
        <f aca="false">N(O76)+N(P76)-N(Q76)</f>
        <v>0</v>
      </c>
      <c r="S76" s="33" t="n">
        <f aca="false">'Apr 2027'!V76</f>
        <v>0</v>
      </c>
      <c r="T76" s="33" t="n">
        <f aca="false">IF(B76="",0,N(Students!I65))</f>
        <v>0</v>
      </c>
      <c r="U76" s="23"/>
      <c r="V76" s="24" t="n">
        <f aca="false">N(S76)+N(T76)-N(U76)</f>
        <v>0</v>
      </c>
      <c r="W76" s="33" t="n">
        <f aca="false">'Apr 2027'!Z76</f>
        <v>0</v>
      </c>
      <c r="X76" s="33" t="n">
        <f aca="false">IF(B76="",0,N(Students!J65))</f>
        <v>0</v>
      </c>
      <c r="Y76" s="23"/>
      <c r="Z76" s="24" t="n">
        <f aca="false">N(W76)+N(X76)-N(Y76)</f>
        <v>0</v>
      </c>
      <c r="AA76" s="33" t="n">
        <f aca="false">N(E76)+N(I76)+N(M76)+N(Q76)+N(U76)+N(Y76)</f>
        <v>0</v>
      </c>
      <c r="AB76" s="24" t="n">
        <f aca="false">F76+J76+N76+R76+V76+Z76</f>
        <v>0</v>
      </c>
      <c r="AC76" s="81" t="str">
        <f aca="false">IF(B76="","",IF(AB76&lt;=0,"Clear",IF(AA76&gt;0,"Partial","Due")))</f>
        <v/>
      </c>
    </row>
    <row r="77" customFormat="false" ht="15" hidden="false" customHeight="false" outlineLevel="0" collapsed="false">
      <c r="A77" s="25" t="n">
        <v>62</v>
      </c>
      <c r="B77" s="82" t="str">
        <f aca="false">IF(Students!B66="","",Students!B66)</f>
        <v/>
      </c>
      <c r="C77" s="37" t="n">
        <f aca="false">'Apr 2027'!F77</f>
        <v>0</v>
      </c>
      <c r="D77" s="37" t="n">
        <f aca="false">IF(B77="",0,N(Students!E66))</f>
        <v>0</v>
      </c>
      <c r="E77" s="23"/>
      <c r="F77" s="26" t="n">
        <f aca="false">N(C77)+N(D77)-N(E77)</f>
        <v>0</v>
      </c>
      <c r="G77" s="37" t="n">
        <f aca="false">'Apr 2027'!J77</f>
        <v>0</v>
      </c>
      <c r="H77" s="37" t="n">
        <f aca="false">IF(B77="",0,N(Students!F66))</f>
        <v>0</v>
      </c>
      <c r="I77" s="23"/>
      <c r="J77" s="26" t="n">
        <f aca="false">N(G77)+N(H77)-N(I77)</f>
        <v>0</v>
      </c>
      <c r="K77" s="37" t="n">
        <f aca="false">'Apr 2027'!N77</f>
        <v>0</v>
      </c>
      <c r="L77" s="37" t="n">
        <f aca="false">IF(B77="",0,N(Students!G66))</f>
        <v>0</v>
      </c>
      <c r="M77" s="23"/>
      <c r="N77" s="26" t="n">
        <f aca="false">N(K77)+N(L77)-N(M77)</f>
        <v>0</v>
      </c>
      <c r="O77" s="37" t="n">
        <f aca="false">'Apr 2027'!R77</f>
        <v>0</v>
      </c>
      <c r="P77" s="37" t="n">
        <f aca="false">IF(B77="",0,N(Students!H66))</f>
        <v>0</v>
      </c>
      <c r="Q77" s="23"/>
      <c r="R77" s="26" t="n">
        <f aca="false">N(O77)+N(P77)-N(Q77)</f>
        <v>0</v>
      </c>
      <c r="S77" s="37" t="n">
        <f aca="false">'Apr 2027'!V77</f>
        <v>0</v>
      </c>
      <c r="T77" s="37" t="n">
        <f aca="false">IF(B77="",0,N(Students!I66))</f>
        <v>0</v>
      </c>
      <c r="U77" s="23"/>
      <c r="V77" s="26" t="n">
        <f aca="false">N(S77)+N(T77)-N(U77)</f>
        <v>0</v>
      </c>
      <c r="W77" s="37" t="n">
        <f aca="false">'Apr 2027'!Z77</f>
        <v>0</v>
      </c>
      <c r="X77" s="37" t="n">
        <f aca="false">IF(B77="",0,N(Students!J66))</f>
        <v>0</v>
      </c>
      <c r="Y77" s="23"/>
      <c r="Z77" s="26" t="n">
        <f aca="false">N(W77)+N(X77)-N(Y77)</f>
        <v>0</v>
      </c>
      <c r="AA77" s="37" t="n">
        <f aca="false">N(E77)+N(I77)+N(M77)+N(Q77)+N(U77)+N(Y77)</f>
        <v>0</v>
      </c>
      <c r="AB77" s="26" t="n">
        <f aca="false">F77+J77+N77+R77+V77+Z77</f>
        <v>0</v>
      </c>
      <c r="AC77" s="83" t="str">
        <f aca="false">IF(B77="","",IF(AB77&lt;=0,"Clear",IF(AA77&gt;0,"Partial","Due")))</f>
        <v/>
      </c>
    </row>
    <row r="78" customFormat="false" ht="15" hidden="false" customHeight="false" outlineLevel="0" collapsed="false">
      <c r="A78" s="21" t="n">
        <v>63</v>
      </c>
      <c r="B78" s="46" t="str">
        <f aca="false">IF(Students!B67="","",Students!B67)</f>
        <v/>
      </c>
      <c r="C78" s="33" t="n">
        <f aca="false">'Apr 2027'!F78</f>
        <v>0</v>
      </c>
      <c r="D78" s="33" t="n">
        <f aca="false">IF(B78="",0,N(Students!E67))</f>
        <v>0</v>
      </c>
      <c r="E78" s="23"/>
      <c r="F78" s="24" t="n">
        <f aca="false">N(C78)+N(D78)-N(E78)</f>
        <v>0</v>
      </c>
      <c r="G78" s="33" t="n">
        <f aca="false">'Apr 2027'!J78</f>
        <v>0</v>
      </c>
      <c r="H78" s="33" t="n">
        <f aca="false">IF(B78="",0,N(Students!F67))</f>
        <v>0</v>
      </c>
      <c r="I78" s="23"/>
      <c r="J78" s="24" t="n">
        <f aca="false">N(G78)+N(H78)-N(I78)</f>
        <v>0</v>
      </c>
      <c r="K78" s="33" t="n">
        <f aca="false">'Apr 2027'!N78</f>
        <v>0</v>
      </c>
      <c r="L78" s="33" t="n">
        <f aca="false">IF(B78="",0,N(Students!G67))</f>
        <v>0</v>
      </c>
      <c r="M78" s="23"/>
      <c r="N78" s="24" t="n">
        <f aca="false">N(K78)+N(L78)-N(M78)</f>
        <v>0</v>
      </c>
      <c r="O78" s="33" t="n">
        <f aca="false">'Apr 2027'!R78</f>
        <v>0</v>
      </c>
      <c r="P78" s="33" t="n">
        <f aca="false">IF(B78="",0,N(Students!H67))</f>
        <v>0</v>
      </c>
      <c r="Q78" s="23"/>
      <c r="R78" s="24" t="n">
        <f aca="false">N(O78)+N(P78)-N(Q78)</f>
        <v>0</v>
      </c>
      <c r="S78" s="33" t="n">
        <f aca="false">'Apr 2027'!V78</f>
        <v>0</v>
      </c>
      <c r="T78" s="33" t="n">
        <f aca="false">IF(B78="",0,N(Students!I67))</f>
        <v>0</v>
      </c>
      <c r="U78" s="23"/>
      <c r="V78" s="24" t="n">
        <f aca="false">N(S78)+N(T78)-N(U78)</f>
        <v>0</v>
      </c>
      <c r="W78" s="33" t="n">
        <f aca="false">'Apr 2027'!Z78</f>
        <v>0</v>
      </c>
      <c r="X78" s="33" t="n">
        <f aca="false">IF(B78="",0,N(Students!J67))</f>
        <v>0</v>
      </c>
      <c r="Y78" s="23"/>
      <c r="Z78" s="24" t="n">
        <f aca="false">N(W78)+N(X78)-N(Y78)</f>
        <v>0</v>
      </c>
      <c r="AA78" s="33" t="n">
        <f aca="false">N(E78)+N(I78)+N(M78)+N(Q78)+N(U78)+N(Y78)</f>
        <v>0</v>
      </c>
      <c r="AB78" s="24" t="n">
        <f aca="false">F78+J78+N78+R78+V78+Z78</f>
        <v>0</v>
      </c>
      <c r="AC78" s="81" t="str">
        <f aca="false">IF(B78="","",IF(AB78&lt;=0,"Clear",IF(AA78&gt;0,"Partial","Due")))</f>
        <v/>
      </c>
    </row>
    <row r="79" customFormat="false" ht="15" hidden="false" customHeight="false" outlineLevel="0" collapsed="false">
      <c r="A79" s="25" t="n">
        <v>64</v>
      </c>
      <c r="B79" s="82" t="str">
        <f aca="false">IF(Students!B68="","",Students!B68)</f>
        <v/>
      </c>
      <c r="C79" s="37" t="n">
        <f aca="false">'Apr 2027'!F79</f>
        <v>0</v>
      </c>
      <c r="D79" s="37" t="n">
        <f aca="false">IF(B79="",0,N(Students!E68))</f>
        <v>0</v>
      </c>
      <c r="E79" s="23"/>
      <c r="F79" s="26" t="n">
        <f aca="false">N(C79)+N(D79)-N(E79)</f>
        <v>0</v>
      </c>
      <c r="G79" s="37" t="n">
        <f aca="false">'Apr 2027'!J79</f>
        <v>0</v>
      </c>
      <c r="H79" s="37" t="n">
        <f aca="false">IF(B79="",0,N(Students!F68))</f>
        <v>0</v>
      </c>
      <c r="I79" s="23"/>
      <c r="J79" s="26" t="n">
        <f aca="false">N(G79)+N(H79)-N(I79)</f>
        <v>0</v>
      </c>
      <c r="K79" s="37" t="n">
        <f aca="false">'Apr 2027'!N79</f>
        <v>0</v>
      </c>
      <c r="L79" s="37" t="n">
        <f aca="false">IF(B79="",0,N(Students!G68))</f>
        <v>0</v>
      </c>
      <c r="M79" s="23"/>
      <c r="N79" s="26" t="n">
        <f aca="false">N(K79)+N(L79)-N(M79)</f>
        <v>0</v>
      </c>
      <c r="O79" s="37" t="n">
        <f aca="false">'Apr 2027'!R79</f>
        <v>0</v>
      </c>
      <c r="P79" s="37" t="n">
        <f aca="false">IF(B79="",0,N(Students!H68))</f>
        <v>0</v>
      </c>
      <c r="Q79" s="23"/>
      <c r="R79" s="26" t="n">
        <f aca="false">N(O79)+N(P79)-N(Q79)</f>
        <v>0</v>
      </c>
      <c r="S79" s="37" t="n">
        <f aca="false">'Apr 2027'!V79</f>
        <v>0</v>
      </c>
      <c r="T79" s="37" t="n">
        <f aca="false">IF(B79="",0,N(Students!I68))</f>
        <v>0</v>
      </c>
      <c r="U79" s="23"/>
      <c r="V79" s="26" t="n">
        <f aca="false">N(S79)+N(T79)-N(U79)</f>
        <v>0</v>
      </c>
      <c r="W79" s="37" t="n">
        <f aca="false">'Apr 2027'!Z79</f>
        <v>0</v>
      </c>
      <c r="X79" s="37" t="n">
        <f aca="false">IF(B79="",0,N(Students!J68))</f>
        <v>0</v>
      </c>
      <c r="Y79" s="23"/>
      <c r="Z79" s="26" t="n">
        <f aca="false">N(W79)+N(X79)-N(Y79)</f>
        <v>0</v>
      </c>
      <c r="AA79" s="37" t="n">
        <f aca="false">N(E79)+N(I79)+N(M79)+N(Q79)+N(U79)+N(Y79)</f>
        <v>0</v>
      </c>
      <c r="AB79" s="26" t="n">
        <f aca="false">F79+J79+N79+R79+V79+Z79</f>
        <v>0</v>
      </c>
      <c r="AC79" s="83" t="str">
        <f aca="false">IF(B79="","",IF(AB79&lt;=0,"Clear",IF(AA79&gt;0,"Partial","Due")))</f>
        <v/>
      </c>
    </row>
    <row r="80" customFormat="false" ht="15" hidden="false" customHeight="false" outlineLevel="0" collapsed="false">
      <c r="A80" s="21" t="n">
        <v>65</v>
      </c>
      <c r="B80" s="46" t="str">
        <f aca="false">IF(Students!B69="","",Students!B69)</f>
        <v/>
      </c>
      <c r="C80" s="33" t="n">
        <f aca="false">'Apr 2027'!F80</f>
        <v>0</v>
      </c>
      <c r="D80" s="33" t="n">
        <f aca="false">IF(B80="",0,N(Students!E69))</f>
        <v>0</v>
      </c>
      <c r="E80" s="23"/>
      <c r="F80" s="24" t="n">
        <f aca="false">N(C80)+N(D80)-N(E80)</f>
        <v>0</v>
      </c>
      <c r="G80" s="33" t="n">
        <f aca="false">'Apr 2027'!J80</f>
        <v>0</v>
      </c>
      <c r="H80" s="33" t="n">
        <f aca="false">IF(B80="",0,N(Students!F69))</f>
        <v>0</v>
      </c>
      <c r="I80" s="23"/>
      <c r="J80" s="24" t="n">
        <f aca="false">N(G80)+N(H80)-N(I80)</f>
        <v>0</v>
      </c>
      <c r="K80" s="33" t="n">
        <f aca="false">'Apr 2027'!N80</f>
        <v>0</v>
      </c>
      <c r="L80" s="33" t="n">
        <f aca="false">IF(B80="",0,N(Students!G69))</f>
        <v>0</v>
      </c>
      <c r="M80" s="23"/>
      <c r="N80" s="24" t="n">
        <f aca="false">N(K80)+N(L80)-N(M80)</f>
        <v>0</v>
      </c>
      <c r="O80" s="33" t="n">
        <f aca="false">'Apr 2027'!R80</f>
        <v>0</v>
      </c>
      <c r="P80" s="33" t="n">
        <f aca="false">IF(B80="",0,N(Students!H69))</f>
        <v>0</v>
      </c>
      <c r="Q80" s="23"/>
      <c r="R80" s="24" t="n">
        <f aca="false">N(O80)+N(P80)-N(Q80)</f>
        <v>0</v>
      </c>
      <c r="S80" s="33" t="n">
        <f aca="false">'Apr 2027'!V80</f>
        <v>0</v>
      </c>
      <c r="T80" s="33" t="n">
        <f aca="false">IF(B80="",0,N(Students!I69))</f>
        <v>0</v>
      </c>
      <c r="U80" s="23"/>
      <c r="V80" s="24" t="n">
        <f aca="false">N(S80)+N(T80)-N(U80)</f>
        <v>0</v>
      </c>
      <c r="W80" s="33" t="n">
        <f aca="false">'Apr 2027'!Z80</f>
        <v>0</v>
      </c>
      <c r="X80" s="33" t="n">
        <f aca="false">IF(B80="",0,N(Students!J69))</f>
        <v>0</v>
      </c>
      <c r="Y80" s="23"/>
      <c r="Z80" s="24" t="n">
        <f aca="false">N(W80)+N(X80)-N(Y80)</f>
        <v>0</v>
      </c>
      <c r="AA80" s="33" t="n">
        <f aca="false">N(E80)+N(I80)+N(M80)+N(Q80)+N(U80)+N(Y80)</f>
        <v>0</v>
      </c>
      <c r="AB80" s="24" t="n">
        <f aca="false">F80+J80+N80+R80+V80+Z80</f>
        <v>0</v>
      </c>
      <c r="AC80" s="81" t="str">
        <f aca="false">IF(B80="","",IF(AB80&lt;=0,"Clear",IF(AA80&gt;0,"Partial","Due")))</f>
        <v/>
      </c>
    </row>
    <row r="81" customFormat="false" ht="15" hidden="false" customHeight="false" outlineLevel="0" collapsed="false">
      <c r="A81" s="25" t="n">
        <v>66</v>
      </c>
      <c r="B81" s="82" t="str">
        <f aca="false">IF(Students!B70="","",Students!B70)</f>
        <v/>
      </c>
      <c r="C81" s="37" t="n">
        <f aca="false">'Apr 2027'!F81</f>
        <v>0</v>
      </c>
      <c r="D81" s="37" t="n">
        <f aca="false">IF(B81="",0,N(Students!E70))</f>
        <v>0</v>
      </c>
      <c r="E81" s="23"/>
      <c r="F81" s="26" t="n">
        <f aca="false">N(C81)+N(D81)-N(E81)</f>
        <v>0</v>
      </c>
      <c r="G81" s="37" t="n">
        <f aca="false">'Apr 2027'!J81</f>
        <v>0</v>
      </c>
      <c r="H81" s="37" t="n">
        <f aca="false">IF(B81="",0,N(Students!F70))</f>
        <v>0</v>
      </c>
      <c r="I81" s="23"/>
      <c r="J81" s="26" t="n">
        <f aca="false">N(G81)+N(H81)-N(I81)</f>
        <v>0</v>
      </c>
      <c r="K81" s="37" t="n">
        <f aca="false">'Apr 2027'!N81</f>
        <v>0</v>
      </c>
      <c r="L81" s="37" t="n">
        <f aca="false">IF(B81="",0,N(Students!G70))</f>
        <v>0</v>
      </c>
      <c r="M81" s="23"/>
      <c r="N81" s="26" t="n">
        <f aca="false">N(K81)+N(L81)-N(M81)</f>
        <v>0</v>
      </c>
      <c r="O81" s="37" t="n">
        <f aca="false">'Apr 2027'!R81</f>
        <v>0</v>
      </c>
      <c r="P81" s="37" t="n">
        <f aca="false">IF(B81="",0,N(Students!H70))</f>
        <v>0</v>
      </c>
      <c r="Q81" s="23"/>
      <c r="R81" s="26" t="n">
        <f aca="false">N(O81)+N(P81)-N(Q81)</f>
        <v>0</v>
      </c>
      <c r="S81" s="37" t="n">
        <f aca="false">'Apr 2027'!V81</f>
        <v>0</v>
      </c>
      <c r="T81" s="37" t="n">
        <f aca="false">IF(B81="",0,N(Students!I70))</f>
        <v>0</v>
      </c>
      <c r="U81" s="23"/>
      <c r="V81" s="26" t="n">
        <f aca="false">N(S81)+N(T81)-N(U81)</f>
        <v>0</v>
      </c>
      <c r="W81" s="37" t="n">
        <f aca="false">'Apr 2027'!Z81</f>
        <v>0</v>
      </c>
      <c r="X81" s="37" t="n">
        <f aca="false">IF(B81="",0,N(Students!J70))</f>
        <v>0</v>
      </c>
      <c r="Y81" s="23"/>
      <c r="Z81" s="26" t="n">
        <f aca="false">N(W81)+N(X81)-N(Y81)</f>
        <v>0</v>
      </c>
      <c r="AA81" s="37" t="n">
        <f aca="false">N(E81)+N(I81)+N(M81)+N(Q81)+N(U81)+N(Y81)</f>
        <v>0</v>
      </c>
      <c r="AB81" s="26" t="n">
        <f aca="false">F81+J81+N81+R81+V81+Z81</f>
        <v>0</v>
      </c>
      <c r="AC81" s="83" t="str">
        <f aca="false">IF(B81="","",IF(AB81&lt;=0,"Clear",IF(AA81&gt;0,"Partial","Due")))</f>
        <v/>
      </c>
    </row>
    <row r="82" customFormat="false" ht="15" hidden="false" customHeight="false" outlineLevel="0" collapsed="false">
      <c r="A82" s="21" t="n">
        <v>67</v>
      </c>
      <c r="B82" s="46" t="str">
        <f aca="false">IF(Students!B71="","",Students!B71)</f>
        <v/>
      </c>
      <c r="C82" s="33" t="n">
        <f aca="false">'Apr 2027'!F82</f>
        <v>0</v>
      </c>
      <c r="D82" s="33" t="n">
        <f aca="false">IF(B82="",0,N(Students!E71))</f>
        <v>0</v>
      </c>
      <c r="E82" s="23"/>
      <c r="F82" s="24" t="n">
        <f aca="false">N(C82)+N(D82)-N(E82)</f>
        <v>0</v>
      </c>
      <c r="G82" s="33" t="n">
        <f aca="false">'Apr 2027'!J82</f>
        <v>0</v>
      </c>
      <c r="H82" s="33" t="n">
        <f aca="false">IF(B82="",0,N(Students!F71))</f>
        <v>0</v>
      </c>
      <c r="I82" s="23"/>
      <c r="J82" s="24" t="n">
        <f aca="false">N(G82)+N(H82)-N(I82)</f>
        <v>0</v>
      </c>
      <c r="K82" s="33" t="n">
        <f aca="false">'Apr 2027'!N82</f>
        <v>0</v>
      </c>
      <c r="L82" s="33" t="n">
        <f aca="false">IF(B82="",0,N(Students!G71))</f>
        <v>0</v>
      </c>
      <c r="M82" s="23"/>
      <c r="N82" s="24" t="n">
        <f aca="false">N(K82)+N(L82)-N(M82)</f>
        <v>0</v>
      </c>
      <c r="O82" s="33" t="n">
        <f aca="false">'Apr 2027'!R82</f>
        <v>0</v>
      </c>
      <c r="P82" s="33" t="n">
        <f aca="false">IF(B82="",0,N(Students!H71))</f>
        <v>0</v>
      </c>
      <c r="Q82" s="23"/>
      <c r="R82" s="24" t="n">
        <f aca="false">N(O82)+N(P82)-N(Q82)</f>
        <v>0</v>
      </c>
      <c r="S82" s="33" t="n">
        <f aca="false">'Apr 2027'!V82</f>
        <v>0</v>
      </c>
      <c r="T82" s="33" t="n">
        <f aca="false">IF(B82="",0,N(Students!I71))</f>
        <v>0</v>
      </c>
      <c r="U82" s="23"/>
      <c r="V82" s="24" t="n">
        <f aca="false">N(S82)+N(T82)-N(U82)</f>
        <v>0</v>
      </c>
      <c r="W82" s="33" t="n">
        <f aca="false">'Apr 2027'!Z82</f>
        <v>0</v>
      </c>
      <c r="X82" s="33" t="n">
        <f aca="false">IF(B82="",0,N(Students!J71))</f>
        <v>0</v>
      </c>
      <c r="Y82" s="23"/>
      <c r="Z82" s="24" t="n">
        <f aca="false">N(W82)+N(X82)-N(Y82)</f>
        <v>0</v>
      </c>
      <c r="AA82" s="33" t="n">
        <f aca="false">N(E82)+N(I82)+N(M82)+N(Q82)+N(U82)+N(Y82)</f>
        <v>0</v>
      </c>
      <c r="AB82" s="24" t="n">
        <f aca="false">F82+J82+N82+R82+V82+Z82</f>
        <v>0</v>
      </c>
      <c r="AC82" s="81" t="str">
        <f aca="false">IF(B82="","",IF(AB82&lt;=0,"Clear",IF(AA82&gt;0,"Partial","Due")))</f>
        <v/>
      </c>
    </row>
    <row r="83" customFormat="false" ht="15" hidden="false" customHeight="false" outlineLevel="0" collapsed="false">
      <c r="A83" s="25" t="n">
        <v>68</v>
      </c>
      <c r="B83" s="82" t="str">
        <f aca="false">IF(Students!B72="","",Students!B72)</f>
        <v/>
      </c>
      <c r="C83" s="37" t="n">
        <f aca="false">'Apr 2027'!F83</f>
        <v>0</v>
      </c>
      <c r="D83" s="37" t="n">
        <f aca="false">IF(B83="",0,N(Students!E72))</f>
        <v>0</v>
      </c>
      <c r="E83" s="23"/>
      <c r="F83" s="26" t="n">
        <f aca="false">N(C83)+N(D83)-N(E83)</f>
        <v>0</v>
      </c>
      <c r="G83" s="37" t="n">
        <f aca="false">'Apr 2027'!J83</f>
        <v>0</v>
      </c>
      <c r="H83" s="37" t="n">
        <f aca="false">IF(B83="",0,N(Students!F72))</f>
        <v>0</v>
      </c>
      <c r="I83" s="23"/>
      <c r="J83" s="26" t="n">
        <f aca="false">N(G83)+N(H83)-N(I83)</f>
        <v>0</v>
      </c>
      <c r="K83" s="37" t="n">
        <f aca="false">'Apr 2027'!N83</f>
        <v>0</v>
      </c>
      <c r="L83" s="37" t="n">
        <f aca="false">IF(B83="",0,N(Students!G72))</f>
        <v>0</v>
      </c>
      <c r="M83" s="23"/>
      <c r="N83" s="26" t="n">
        <f aca="false">N(K83)+N(L83)-N(M83)</f>
        <v>0</v>
      </c>
      <c r="O83" s="37" t="n">
        <f aca="false">'Apr 2027'!R83</f>
        <v>0</v>
      </c>
      <c r="P83" s="37" t="n">
        <f aca="false">IF(B83="",0,N(Students!H72))</f>
        <v>0</v>
      </c>
      <c r="Q83" s="23"/>
      <c r="R83" s="26" t="n">
        <f aca="false">N(O83)+N(P83)-N(Q83)</f>
        <v>0</v>
      </c>
      <c r="S83" s="37" t="n">
        <f aca="false">'Apr 2027'!V83</f>
        <v>0</v>
      </c>
      <c r="T83" s="37" t="n">
        <f aca="false">IF(B83="",0,N(Students!I72))</f>
        <v>0</v>
      </c>
      <c r="U83" s="23"/>
      <c r="V83" s="26" t="n">
        <f aca="false">N(S83)+N(T83)-N(U83)</f>
        <v>0</v>
      </c>
      <c r="W83" s="37" t="n">
        <f aca="false">'Apr 2027'!Z83</f>
        <v>0</v>
      </c>
      <c r="X83" s="37" t="n">
        <f aca="false">IF(B83="",0,N(Students!J72))</f>
        <v>0</v>
      </c>
      <c r="Y83" s="23"/>
      <c r="Z83" s="26" t="n">
        <f aca="false">N(W83)+N(X83)-N(Y83)</f>
        <v>0</v>
      </c>
      <c r="AA83" s="37" t="n">
        <f aca="false">N(E83)+N(I83)+N(M83)+N(Q83)+N(U83)+N(Y83)</f>
        <v>0</v>
      </c>
      <c r="AB83" s="26" t="n">
        <f aca="false">F83+J83+N83+R83+V83+Z83</f>
        <v>0</v>
      </c>
      <c r="AC83" s="83" t="str">
        <f aca="false">IF(B83="","",IF(AB83&lt;=0,"Clear",IF(AA83&gt;0,"Partial","Due")))</f>
        <v/>
      </c>
    </row>
    <row r="84" customFormat="false" ht="15" hidden="false" customHeight="false" outlineLevel="0" collapsed="false">
      <c r="A84" s="21" t="n">
        <v>69</v>
      </c>
      <c r="B84" s="46" t="str">
        <f aca="false">IF(Students!B73="","",Students!B73)</f>
        <v/>
      </c>
      <c r="C84" s="33" t="n">
        <f aca="false">'Apr 2027'!F84</f>
        <v>0</v>
      </c>
      <c r="D84" s="33" t="n">
        <f aca="false">IF(B84="",0,N(Students!E73))</f>
        <v>0</v>
      </c>
      <c r="E84" s="23"/>
      <c r="F84" s="24" t="n">
        <f aca="false">N(C84)+N(D84)-N(E84)</f>
        <v>0</v>
      </c>
      <c r="G84" s="33" t="n">
        <f aca="false">'Apr 2027'!J84</f>
        <v>0</v>
      </c>
      <c r="H84" s="33" t="n">
        <f aca="false">IF(B84="",0,N(Students!F73))</f>
        <v>0</v>
      </c>
      <c r="I84" s="23"/>
      <c r="J84" s="24" t="n">
        <f aca="false">N(G84)+N(H84)-N(I84)</f>
        <v>0</v>
      </c>
      <c r="K84" s="33" t="n">
        <f aca="false">'Apr 2027'!N84</f>
        <v>0</v>
      </c>
      <c r="L84" s="33" t="n">
        <f aca="false">IF(B84="",0,N(Students!G73))</f>
        <v>0</v>
      </c>
      <c r="M84" s="23"/>
      <c r="N84" s="24" t="n">
        <f aca="false">N(K84)+N(L84)-N(M84)</f>
        <v>0</v>
      </c>
      <c r="O84" s="33" t="n">
        <f aca="false">'Apr 2027'!R84</f>
        <v>0</v>
      </c>
      <c r="P84" s="33" t="n">
        <f aca="false">IF(B84="",0,N(Students!H73))</f>
        <v>0</v>
      </c>
      <c r="Q84" s="23"/>
      <c r="R84" s="24" t="n">
        <f aca="false">N(O84)+N(P84)-N(Q84)</f>
        <v>0</v>
      </c>
      <c r="S84" s="33" t="n">
        <f aca="false">'Apr 2027'!V84</f>
        <v>0</v>
      </c>
      <c r="T84" s="33" t="n">
        <f aca="false">IF(B84="",0,N(Students!I73))</f>
        <v>0</v>
      </c>
      <c r="U84" s="23"/>
      <c r="V84" s="24" t="n">
        <f aca="false">N(S84)+N(T84)-N(U84)</f>
        <v>0</v>
      </c>
      <c r="W84" s="33" t="n">
        <f aca="false">'Apr 2027'!Z84</f>
        <v>0</v>
      </c>
      <c r="X84" s="33" t="n">
        <f aca="false">IF(B84="",0,N(Students!J73))</f>
        <v>0</v>
      </c>
      <c r="Y84" s="23"/>
      <c r="Z84" s="24" t="n">
        <f aca="false">N(W84)+N(X84)-N(Y84)</f>
        <v>0</v>
      </c>
      <c r="AA84" s="33" t="n">
        <f aca="false">N(E84)+N(I84)+N(M84)+N(Q84)+N(U84)+N(Y84)</f>
        <v>0</v>
      </c>
      <c r="AB84" s="24" t="n">
        <f aca="false">F84+J84+N84+R84+V84+Z84</f>
        <v>0</v>
      </c>
      <c r="AC84" s="81" t="str">
        <f aca="false">IF(B84="","",IF(AB84&lt;=0,"Clear",IF(AA84&gt;0,"Partial","Due")))</f>
        <v/>
      </c>
    </row>
    <row r="85" customFormat="false" ht="15" hidden="false" customHeight="false" outlineLevel="0" collapsed="false">
      <c r="A85" s="25" t="n">
        <v>70</v>
      </c>
      <c r="B85" s="82" t="str">
        <f aca="false">IF(Students!B74="","",Students!B74)</f>
        <v/>
      </c>
      <c r="C85" s="37" t="n">
        <f aca="false">'Apr 2027'!F85</f>
        <v>0</v>
      </c>
      <c r="D85" s="37" t="n">
        <f aca="false">IF(B85="",0,N(Students!E74))</f>
        <v>0</v>
      </c>
      <c r="E85" s="23"/>
      <c r="F85" s="26" t="n">
        <f aca="false">N(C85)+N(D85)-N(E85)</f>
        <v>0</v>
      </c>
      <c r="G85" s="37" t="n">
        <f aca="false">'Apr 2027'!J85</f>
        <v>0</v>
      </c>
      <c r="H85" s="37" t="n">
        <f aca="false">IF(B85="",0,N(Students!F74))</f>
        <v>0</v>
      </c>
      <c r="I85" s="23"/>
      <c r="J85" s="26" t="n">
        <f aca="false">N(G85)+N(H85)-N(I85)</f>
        <v>0</v>
      </c>
      <c r="K85" s="37" t="n">
        <f aca="false">'Apr 2027'!N85</f>
        <v>0</v>
      </c>
      <c r="L85" s="37" t="n">
        <f aca="false">IF(B85="",0,N(Students!G74))</f>
        <v>0</v>
      </c>
      <c r="M85" s="23"/>
      <c r="N85" s="26" t="n">
        <f aca="false">N(K85)+N(L85)-N(M85)</f>
        <v>0</v>
      </c>
      <c r="O85" s="37" t="n">
        <f aca="false">'Apr 2027'!R85</f>
        <v>0</v>
      </c>
      <c r="P85" s="37" t="n">
        <f aca="false">IF(B85="",0,N(Students!H74))</f>
        <v>0</v>
      </c>
      <c r="Q85" s="23"/>
      <c r="R85" s="26" t="n">
        <f aca="false">N(O85)+N(P85)-N(Q85)</f>
        <v>0</v>
      </c>
      <c r="S85" s="37" t="n">
        <f aca="false">'Apr 2027'!V85</f>
        <v>0</v>
      </c>
      <c r="T85" s="37" t="n">
        <f aca="false">IF(B85="",0,N(Students!I74))</f>
        <v>0</v>
      </c>
      <c r="U85" s="23"/>
      <c r="V85" s="26" t="n">
        <f aca="false">N(S85)+N(T85)-N(U85)</f>
        <v>0</v>
      </c>
      <c r="W85" s="37" t="n">
        <f aca="false">'Apr 2027'!Z85</f>
        <v>0</v>
      </c>
      <c r="X85" s="37" t="n">
        <f aca="false">IF(B85="",0,N(Students!J74))</f>
        <v>0</v>
      </c>
      <c r="Y85" s="23"/>
      <c r="Z85" s="26" t="n">
        <f aca="false">N(W85)+N(X85)-N(Y85)</f>
        <v>0</v>
      </c>
      <c r="AA85" s="37" t="n">
        <f aca="false">N(E85)+N(I85)+N(M85)+N(Q85)+N(U85)+N(Y85)</f>
        <v>0</v>
      </c>
      <c r="AB85" s="26" t="n">
        <f aca="false">F85+J85+N85+R85+V85+Z85</f>
        <v>0</v>
      </c>
      <c r="AC85" s="83" t="str">
        <f aca="false">IF(B85="","",IF(AB85&lt;=0,"Clear",IF(AA85&gt;0,"Partial","Due")))</f>
        <v/>
      </c>
    </row>
    <row r="86" customFormat="false" ht="15" hidden="false" customHeight="false" outlineLevel="0" collapsed="false">
      <c r="A86" s="21" t="n">
        <v>71</v>
      </c>
      <c r="B86" s="46" t="str">
        <f aca="false">IF(Students!B75="","",Students!B75)</f>
        <v/>
      </c>
      <c r="C86" s="33" t="n">
        <f aca="false">'Apr 2027'!F86</f>
        <v>0</v>
      </c>
      <c r="D86" s="33" t="n">
        <f aca="false">IF(B86="",0,N(Students!E75))</f>
        <v>0</v>
      </c>
      <c r="E86" s="23"/>
      <c r="F86" s="24" t="n">
        <f aca="false">N(C86)+N(D86)-N(E86)</f>
        <v>0</v>
      </c>
      <c r="G86" s="33" t="n">
        <f aca="false">'Apr 2027'!J86</f>
        <v>0</v>
      </c>
      <c r="H86" s="33" t="n">
        <f aca="false">IF(B86="",0,N(Students!F75))</f>
        <v>0</v>
      </c>
      <c r="I86" s="23"/>
      <c r="J86" s="24" t="n">
        <f aca="false">N(G86)+N(H86)-N(I86)</f>
        <v>0</v>
      </c>
      <c r="K86" s="33" t="n">
        <f aca="false">'Apr 2027'!N86</f>
        <v>0</v>
      </c>
      <c r="L86" s="33" t="n">
        <f aca="false">IF(B86="",0,N(Students!G75))</f>
        <v>0</v>
      </c>
      <c r="M86" s="23"/>
      <c r="N86" s="24" t="n">
        <f aca="false">N(K86)+N(L86)-N(M86)</f>
        <v>0</v>
      </c>
      <c r="O86" s="33" t="n">
        <f aca="false">'Apr 2027'!R86</f>
        <v>0</v>
      </c>
      <c r="P86" s="33" t="n">
        <f aca="false">IF(B86="",0,N(Students!H75))</f>
        <v>0</v>
      </c>
      <c r="Q86" s="23"/>
      <c r="R86" s="24" t="n">
        <f aca="false">N(O86)+N(P86)-N(Q86)</f>
        <v>0</v>
      </c>
      <c r="S86" s="33" t="n">
        <f aca="false">'Apr 2027'!V86</f>
        <v>0</v>
      </c>
      <c r="T86" s="33" t="n">
        <f aca="false">IF(B86="",0,N(Students!I75))</f>
        <v>0</v>
      </c>
      <c r="U86" s="23"/>
      <c r="V86" s="24" t="n">
        <f aca="false">N(S86)+N(T86)-N(U86)</f>
        <v>0</v>
      </c>
      <c r="W86" s="33" t="n">
        <f aca="false">'Apr 2027'!Z86</f>
        <v>0</v>
      </c>
      <c r="X86" s="33" t="n">
        <f aca="false">IF(B86="",0,N(Students!J75))</f>
        <v>0</v>
      </c>
      <c r="Y86" s="23"/>
      <c r="Z86" s="24" t="n">
        <f aca="false">N(W86)+N(X86)-N(Y86)</f>
        <v>0</v>
      </c>
      <c r="AA86" s="33" t="n">
        <f aca="false">N(E86)+N(I86)+N(M86)+N(Q86)+N(U86)+N(Y86)</f>
        <v>0</v>
      </c>
      <c r="AB86" s="24" t="n">
        <f aca="false">F86+J86+N86+R86+V86+Z86</f>
        <v>0</v>
      </c>
      <c r="AC86" s="81" t="str">
        <f aca="false">IF(B86="","",IF(AB86&lt;=0,"Clear",IF(AA86&gt;0,"Partial","Due")))</f>
        <v/>
      </c>
    </row>
    <row r="87" customFormat="false" ht="15" hidden="false" customHeight="false" outlineLevel="0" collapsed="false">
      <c r="A87" s="25" t="n">
        <v>72</v>
      </c>
      <c r="B87" s="82" t="str">
        <f aca="false">IF(Students!B76="","",Students!B76)</f>
        <v/>
      </c>
      <c r="C87" s="37" t="n">
        <f aca="false">'Apr 2027'!F87</f>
        <v>0</v>
      </c>
      <c r="D87" s="37" t="n">
        <f aca="false">IF(B87="",0,N(Students!E76))</f>
        <v>0</v>
      </c>
      <c r="E87" s="23"/>
      <c r="F87" s="26" t="n">
        <f aca="false">N(C87)+N(D87)-N(E87)</f>
        <v>0</v>
      </c>
      <c r="G87" s="37" t="n">
        <f aca="false">'Apr 2027'!J87</f>
        <v>0</v>
      </c>
      <c r="H87" s="37" t="n">
        <f aca="false">IF(B87="",0,N(Students!F76))</f>
        <v>0</v>
      </c>
      <c r="I87" s="23"/>
      <c r="J87" s="26" t="n">
        <f aca="false">N(G87)+N(H87)-N(I87)</f>
        <v>0</v>
      </c>
      <c r="K87" s="37" t="n">
        <f aca="false">'Apr 2027'!N87</f>
        <v>0</v>
      </c>
      <c r="L87" s="37" t="n">
        <f aca="false">IF(B87="",0,N(Students!G76))</f>
        <v>0</v>
      </c>
      <c r="M87" s="23"/>
      <c r="N87" s="26" t="n">
        <f aca="false">N(K87)+N(L87)-N(M87)</f>
        <v>0</v>
      </c>
      <c r="O87" s="37" t="n">
        <f aca="false">'Apr 2027'!R87</f>
        <v>0</v>
      </c>
      <c r="P87" s="37" t="n">
        <f aca="false">IF(B87="",0,N(Students!H76))</f>
        <v>0</v>
      </c>
      <c r="Q87" s="23"/>
      <c r="R87" s="26" t="n">
        <f aca="false">N(O87)+N(P87)-N(Q87)</f>
        <v>0</v>
      </c>
      <c r="S87" s="37" t="n">
        <f aca="false">'Apr 2027'!V87</f>
        <v>0</v>
      </c>
      <c r="T87" s="37" t="n">
        <f aca="false">IF(B87="",0,N(Students!I76))</f>
        <v>0</v>
      </c>
      <c r="U87" s="23"/>
      <c r="V87" s="26" t="n">
        <f aca="false">N(S87)+N(T87)-N(U87)</f>
        <v>0</v>
      </c>
      <c r="W87" s="37" t="n">
        <f aca="false">'Apr 2027'!Z87</f>
        <v>0</v>
      </c>
      <c r="X87" s="37" t="n">
        <f aca="false">IF(B87="",0,N(Students!J76))</f>
        <v>0</v>
      </c>
      <c r="Y87" s="23"/>
      <c r="Z87" s="26" t="n">
        <f aca="false">N(W87)+N(X87)-N(Y87)</f>
        <v>0</v>
      </c>
      <c r="AA87" s="37" t="n">
        <f aca="false">N(E87)+N(I87)+N(M87)+N(Q87)+N(U87)+N(Y87)</f>
        <v>0</v>
      </c>
      <c r="AB87" s="26" t="n">
        <f aca="false">F87+J87+N87+R87+V87+Z87</f>
        <v>0</v>
      </c>
      <c r="AC87" s="83" t="str">
        <f aca="false">IF(B87="","",IF(AB87&lt;=0,"Clear",IF(AA87&gt;0,"Partial","Due")))</f>
        <v/>
      </c>
    </row>
    <row r="88" customFormat="false" ht="15" hidden="false" customHeight="false" outlineLevel="0" collapsed="false">
      <c r="A88" s="21" t="n">
        <v>73</v>
      </c>
      <c r="B88" s="46" t="str">
        <f aca="false">IF(Students!B77="","",Students!B77)</f>
        <v/>
      </c>
      <c r="C88" s="33" t="n">
        <f aca="false">'Apr 2027'!F88</f>
        <v>0</v>
      </c>
      <c r="D88" s="33" t="n">
        <f aca="false">IF(B88="",0,N(Students!E77))</f>
        <v>0</v>
      </c>
      <c r="E88" s="23"/>
      <c r="F88" s="24" t="n">
        <f aca="false">N(C88)+N(D88)-N(E88)</f>
        <v>0</v>
      </c>
      <c r="G88" s="33" t="n">
        <f aca="false">'Apr 2027'!J88</f>
        <v>0</v>
      </c>
      <c r="H88" s="33" t="n">
        <f aca="false">IF(B88="",0,N(Students!F77))</f>
        <v>0</v>
      </c>
      <c r="I88" s="23"/>
      <c r="J88" s="24" t="n">
        <f aca="false">N(G88)+N(H88)-N(I88)</f>
        <v>0</v>
      </c>
      <c r="K88" s="33" t="n">
        <f aca="false">'Apr 2027'!N88</f>
        <v>0</v>
      </c>
      <c r="L88" s="33" t="n">
        <f aca="false">IF(B88="",0,N(Students!G77))</f>
        <v>0</v>
      </c>
      <c r="M88" s="23"/>
      <c r="N88" s="24" t="n">
        <f aca="false">N(K88)+N(L88)-N(M88)</f>
        <v>0</v>
      </c>
      <c r="O88" s="33" t="n">
        <f aca="false">'Apr 2027'!R88</f>
        <v>0</v>
      </c>
      <c r="P88" s="33" t="n">
        <f aca="false">IF(B88="",0,N(Students!H77))</f>
        <v>0</v>
      </c>
      <c r="Q88" s="23"/>
      <c r="R88" s="24" t="n">
        <f aca="false">N(O88)+N(P88)-N(Q88)</f>
        <v>0</v>
      </c>
      <c r="S88" s="33" t="n">
        <f aca="false">'Apr 2027'!V88</f>
        <v>0</v>
      </c>
      <c r="T88" s="33" t="n">
        <f aca="false">IF(B88="",0,N(Students!I77))</f>
        <v>0</v>
      </c>
      <c r="U88" s="23"/>
      <c r="V88" s="24" t="n">
        <f aca="false">N(S88)+N(T88)-N(U88)</f>
        <v>0</v>
      </c>
      <c r="W88" s="33" t="n">
        <f aca="false">'Apr 2027'!Z88</f>
        <v>0</v>
      </c>
      <c r="X88" s="33" t="n">
        <f aca="false">IF(B88="",0,N(Students!J77))</f>
        <v>0</v>
      </c>
      <c r="Y88" s="23"/>
      <c r="Z88" s="24" t="n">
        <f aca="false">N(W88)+N(X88)-N(Y88)</f>
        <v>0</v>
      </c>
      <c r="AA88" s="33" t="n">
        <f aca="false">N(E88)+N(I88)+N(M88)+N(Q88)+N(U88)+N(Y88)</f>
        <v>0</v>
      </c>
      <c r="AB88" s="24" t="n">
        <f aca="false">F88+J88+N88+R88+V88+Z88</f>
        <v>0</v>
      </c>
      <c r="AC88" s="81" t="str">
        <f aca="false">IF(B88="","",IF(AB88&lt;=0,"Clear",IF(AA88&gt;0,"Partial","Due")))</f>
        <v/>
      </c>
    </row>
    <row r="89" customFormat="false" ht="15" hidden="false" customHeight="false" outlineLevel="0" collapsed="false">
      <c r="A89" s="25" t="n">
        <v>74</v>
      </c>
      <c r="B89" s="82" t="str">
        <f aca="false">IF(Students!B78="","",Students!B78)</f>
        <v/>
      </c>
      <c r="C89" s="37" t="n">
        <f aca="false">'Apr 2027'!F89</f>
        <v>0</v>
      </c>
      <c r="D89" s="37" t="n">
        <f aca="false">IF(B89="",0,N(Students!E78))</f>
        <v>0</v>
      </c>
      <c r="E89" s="23"/>
      <c r="F89" s="26" t="n">
        <f aca="false">N(C89)+N(D89)-N(E89)</f>
        <v>0</v>
      </c>
      <c r="G89" s="37" t="n">
        <f aca="false">'Apr 2027'!J89</f>
        <v>0</v>
      </c>
      <c r="H89" s="37" t="n">
        <f aca="false">IF(B89="",0,N(Students!F78))</f>
        <v>0</v>
      </c>
      <c r="I89" s="23"/>
      <c r="J89" s="26" t="n">
        <f aca="false">N(G89)+N(H89)-N(I89)</f>
        <v>0</v>
      </c>
      <c r="K89" s="37" t="n">
        <f aca="false">'Apr 2027'!N89</f>
        <v>0</v>
      </c>
      <c r="L89" s="37" t="n">
        <f aca="false">IF(B89="",0,N(Students!G78))</f>
        <v>0</v>
      </c>
      <c r="M89" s="23"/>
      <c r="N89" s="26" t="n">
        <f aca="false">N(K89)+N(L89)-N(M89)</f>
        <v>0</v>
      </c>
      <c r="O89" s="37" t="n">
        <f aca="false">'Apr 2027'!R89</f>
        <v>0</v>
      </c>
      <c r="P89" s="37" t="n">
        <f aca="false">IF(B89="",0,N(Students!H78))</f>
        <v>0</v>
      </c>
      <c r="Q89" s="23"/>
      <c r="R89" s="26" t="n">
        <f aca="false">N(O89)+N(P89)-N(Q89)</f>
        <v>0</v>
      </c>
      <c r="S89" s="37" t="n">
        <f aca="false">'Apr 2027'!V89</f>
        <v>0</v>
      </c>
      <c r="T89" s="37" t="n">
        <f aca="false">IF(B89="",0,N(Students!I78))</f>
        <v>0</v>
      </c>
      <c r="U89" s="23"/>
      <c r="V89" s="26" t="n">
        <f aca="false">N(S89)+N(T89)-N(U89)</f>
        <v>0</v>
      </c>
      <c r="W89" s="37" t="n">
        <f aca="false">'Apr 2027'!Z89</f>
        <v>0</v>
      </c>
      <c r="X89" s="37" t="n">
        <f aca="false">IF(B89="",0,N(Students!J78))</f>
        <v>0</v>
      </c>
      <c r="Y89" s="23"/>
      <c r="Z89" s="26" t="n">
        <f aca="false">N(W89)+N(X89)-N(Y89)</f>
        <v>0</v>
      </c>
      <c r="AA89" s="37" t="n">
        <f aca="false">N(E89)+N(I89)+N(M89)+N(Q89)+N(U89)+N(Y89)</f>
        <v>0</v>
      </c>
      <c r="AB89" s="26" t="n">
        <f aca="false">F89+J89+N89+R89+V89+Z89</f>
        <v>0</v>
      </c>
      <c r="AC89" s="83" t="str">
        <f aca="false">IF(B89="","",IF(AB89&lt;=0,"Clear",IF(AA89&gt;0,"Partial","Due")))</f>
        <v/>
      </c>
    </row>
    <row r="90" customFormat="false" ht="15" hidden="false" customHeight="false" outlineLevel="0" collapsed="false">
      <c r="A90" s="21" t="n">
        <v>75</v>
      </c>
      <c r="B90" s="46" t="str">
        <f aca="false">IF(Students!B79="","",Students!B79)</f>
        <v/>
      </c>
      <c r="C90" s="33" t="n">
        <f aca="false">'Apr 2027'!F90</f>
        <v>0</v>
      </c>
      <c r="D90" s="33" t="n">
        <f aca="false">IF(B90="",0,N(Students!E79))</f>
        <v>0</v>
      </c>
      <c r="E90" s="23"/>
      <c r="F90" s="24" t="n">
        <f aca="false">N(C90)+N(D90)-N(E90)</f>
        <v>0</v>
      </c>
      <c r="G90" s="33" t="n">
        <f aca="false">'Apr 2027'!J90</f>
        <v>0</v>
      </c>
      <c r="H90" s="33" t="n">
        <f aca="false">IF(B90="",0,N(Students!F79))</f>
        <v>0</v>
      </c>
      <c r="I90" s="23"/>
      <c r="J90" s="24" t="n">
        <f aca="false">N(G90)+N(H90)-N(I90)</f>
        <v>0</v>
      </c>
      <c r="K90" s="33" t="n">
        <f aca="false">'Apr 2027'!N90</f>
        <v>0</v>
      </c>
      <c r="L90" s="33" t="n">
        <f aca="false">IF(B90="",0,N(Students!G79))</f>
        <v>0</v>
      </c>
      <c r="M90" s="23"/>
      <c r="N90" s="24" t="n">
        <f aca="false">N(K90)+N(L90)-N(M90)</f>
        <v>0</v>
      </c>
      <c r="O90" s="33" t="n">
        <f aca="false">'Apr 2027'!R90</f>
        <v>0</v>
      </c>
      <c r="P90" s="33" t="n">
        <f aca="false">IF(B90="",0,N(Students!H79))</f>
        <v>0</v>
      </c>
      <c r="Q90" s="23"/>
      <c r="R90" s="24" t="n">
        <f aca="false">N(O90)+N(P90)-N(Q90)</f>
        <v>0</v>
      </c>
      <c r="S90" s="33" t="n">
        <f aca="false">'Apr 2027'!V90</f>
        <v>0</v>
      </c>
      <c r="T90" s="33" t="n">
        <f aca="false">IF(B90="",0,N(Students!I79))</f>
        <v>0</v>
      </c>
      <c r="U90" s="23"/>
      <c r="V90" s="24" t="n">
        <f aca="false">N(S90)+N(T90)-N(U90)</f>
        <v>0</v>
      </c>
      <c r="W90" s="33" t="n">
        <f aca="false">'Apr 2027'!Z90</f>
        <v>0</v>
      </c>
      <c r="X90" s="33" t="n">
        <f aca="false">IF(B90="",0,N(Students!J79))</f>
        <v>0</v>
      </c>
      <c r="Y90" s="23"/>
      <c r="Z90" s="24" t="n">
        <f aca="false">N(W90)+N(X90)-N(Y90)</f>
        <v>0</v>
      </c>
      <c r="AA90" s="33" t="n">
        <f aca="false">N(E90)+N(I90)+N(M90)+N(Q90)+N(U90)+N(Y90)</f>
        <v>0</v>
      </c>
      <c r="AB90" s="24" t="n">
        <f aca="false">F90+J90+N90+R90+V90+Z90</f>
        <v>0</v>
      </c>
      <c r="AC90" s="81" t="str">
        <f aca="false">IF(B90="","",IF(AB90&lt;=0,"Clear",IF(AA90&gt;0,"Partial","Due")))</f>
        <v/>
      </c>
    </row>
    <row r="91" customFormat="false" ht="15" hidden="false" customHeight="false" outlineLevel="0" collapsed="false">
      <c r="A91" s="25" t="n">
        <v>76</v>
      </c>
      <c r="B91" s="82" t="str">
        <f aca="false">IF(Students!B80="","",Students!B80)</f>
        <v/>
      </c>
      <c r="C91" s="37" t="n">
        <f aca="false">'Apr 2027'!F91</f>
        <v>0</v>
      </c>
      <c r="D91" s="37" t="n">
        <f aca="false">IF(B91="",0,N(Students!E80))</f>
        <v>0</v>
      </c>
      <c r="E91" s="23"/>
      <c r="F91" s="26" t="n">
        <f aca="false">N(C91)+N(D91)-N(E91)</f>
        <v>0</v>
      </c>
      <c r="G91" s="37" t="n">
        <f aca="false">'Apr 2027'!J91</f>
        <v>0</v>
      </c>
      <c r="H91" s="37" t="n">
        <f aca="false">IF(B91="",0,N(Students!F80))</f>
        <v>0</v>
      </c>
      <c r="I91" s="23"/>
      <c r="J91" s="26" t="n">
        <f aca="false">N(G91)+N(H91)-N(I91)</f>
        <v>0</v>
      </c>
      <c r="K91" s="37" t="n">
        <f aca="false">'Apr 2027'!N91</f>
        <v>0</v>
      </c>
      <c r="L91" s="37" t="n">
        <f aca="false">IF(B91="",0,N(Students!G80))</f>
        <v>0</v>
      </c>
      <c r="M91" s="23"/>
      <c r="N91" s="26" t="n">
        <f aca="false">N(K91)+N(L91)-N(M91)</f>
        <v>0</v>
      </c>
      <c r="O91" s="37" t="n">
        <f aca="false">'Apr 2027'!R91</f>
        <v>0</v>
      </c>
      <c r="P91" s="37" t="n">
        <f aca="false">IF(B91="",0,N(Students!H80))</f>
        <v>0</v>
      </c>
      <c r="Q91" s="23"/>
      <c r="R91" s="26" t="n">
        <f aca="false">N(O91)+N(P91)-N(Q91)</f>
        <v>0</v>
      </c>
      <c r="S91" s="37" t="n">
        <f aca="false">'Apr 2027'!V91</f>
        <v>0</v>
      </c>
      <c r="T91" s="37" t="n">
        <f aca="false">IF(B91="",0,N(Students!I80))</f>
        <v>0</v>
      </c>
      <c r="U91" s="23"/>
      <c r="V91" s="26" t="n">
        <f aca="false">N(S91)+N(T91)-N(U91)</f>
        <v>0</v>
      </c>
      <c r="W91" s="37" t="n">
        <f aca="false">'Apr 2027'!Z91</f>
        <v>0</v>
      </c>
      <c r="X91" s="37" t="n">
        <f aca="false">IF(B91="",0,N(Students!J80))</f>
        <v>0</v>
      </c>
      <c r="Y91" s="23"/>
      <c r="Z91" s="26" t="n">
        <f aca="false">N(W91)+N(X91)-N(Y91)</f>
        <v>0</v>
      </c>
      <c r="AA91" s="37" t="n">
        <f aca="false">N(E91)+N(I91)+N(M91)+N(Q91)+N(U91)+N(Y91)</f>
        <v>0</v>
      </c>
      <c r="AB91" s="26" t="n">
        <f aca="false">F91+J91+N91+R91+V91+Z91</f>
        <v>0</v>
      </c>
      <c r="AC91" s="83" t="str">
        <f aca="false">IF(B91="","",IF(AB91&lt;=0,"Clear",IF(AA91&gt;0,"Partial","Due")))</f>
        <v/>
      </c>
    </row>
    <row r="92" customFormat="false" ht="15" hidden="false" customHeight="false" outlineLevel="0" collapsed="false">
      <c r="A92" s="21" t="n">
        <v>77</v>
      </c>
      <c r="B92" s="46" t="str">
        <f aca="false">IF(Students!B81="","",Students!B81)</f>
        <v/>
      </c>
      <c r="C92" s="33" t="n">
        <f aca="false">'Apr 2027'!F92</f>
        <v>0</v>
      </c>
      <c r="D92" s="33" t="n">
        <f aca="false">IF(B92="",0,N(Students!E81))</f>
        <v>0</v>
      </c>
      <c r="E92" s="23"/>
      <c r="F92" s="24" t="n">
        <f aca="false">N(C92)+N(D92)-N(E92)</f>
        <v>0</v>
      </c>
      <c r="G92" s="33" t="n">
        <f aca="false">'Apr 2027'!J92</f>
        <v>0</v>
      </c>
      <c r="H92" s="33" t="n">
        <f aca="false">IF(B92="",0,N(Students!F81))</f>
        <v>0</v>
      </c>
      <c r="I92" s="23"/>
      <c r="J92" s="24" t="n">
        <f aca="false">N(G92)+N(H92)-N(I92)</f>
        <v>0</v>
      </c>
      <c r="K92" s="33" t="n">
        <f aca="false">'Apr 2027'!N92</f>
        <v>0</v>
      </c>
      <c r="L92" s="33" t="n">
        <f aca="false">IF(B92="",0,N(Students!G81))</f>
        <v>0</v>
      </c>
      <c r="M92" s="23"/>
      <c r="N92" s="24" t="n">
        <f aca="false">N(K92)+N(L92)-N(M92)</f>
        <v>0</v>
      </c>
      <c r="O92" s="33" t="n">
        <f aca="false">'Apr 2027'!R92</f>
        <v>0</v>
      </c>
      <c r="P92" s="33" t="n">
        <f aca="false">IF(B92="",0,N(Students!H81))</f>
        <v>0</v>
      </c>
      <c r="Q92" s="23"/>
      <c r="R92" s="24" t="n">
        <f aca="false">N(O92)+N(P92)-N(Q92)</f>
        <v>0</v>
      </c>
      <c r="S92" s="33" t="n">
        <f aca="false">'Apr 2027'!V92</f>
        <v>0</v>
      </c>
      <c r="T92" s="33" t="n">
        <f aca="false">IF(B92="",0,N(Students!I81))</f>
        <v>0</v>
      </c>
      <c r="U92" s="23"/>
      <c r="V92" s="24" t="n">
        <f aca="false">N(S92)+N(T92)-N(U92)</f>
        <v>0</v>
      </c>
      <c r="W92" s="33" t="n">
        <f aca="false">'Apr 2027'!Z92</f>
        <v>0</v>
      </c>
      <c r="X92" s="33" t="n">
        <f aca="false">IF(B92="",0,N(Students!J81))</f>
        <v>0</v>
      </c>
      <c r="Y92" s="23"/>
      <c r="Z92" s="24" t="n">
        <f aca="false">N(W92)+N(X92)-N(Y92)</f>
        <v>0</v>
      </c>
      <c r="AA92" s="33" t="n">
        <f aca="false">N(E92)+N(I92)+N(M92)+N(Q92)+N(U92)+N(Y92)</f>
        <v>0</v>
      </c>
      <c r="AB92" s="24" t="n">
        <f aca="false">F92+J92+N92+R92+V92+Z92</f>
        <v>0</v>
      </c>
      <c r="AC92" s="81" t="str">
        <f aca="false">IF(B92="","",IF(AB92&lt;=0,"Clear",IF(AA92&gt;0,"Partial","Due")))</f>
        <v/>
      </c>
    </row>
    <row r="93" customFormat="false" ht="15" hidden="false" customHeight="false" outlineLevel="0" collapsed="false">
      <c r="A93" s="25" t="n">
        <v>78</v>
      </c>
      <c r="B93" s="82" t="str">
        <f aca="false">IF(Students!B82="","",Students!B82)</f>
        <v/>
      </c>
      <c r="C93" s="37" t="n">
        <f aca="false">'Apr 2027'!F93</f>
        <v>0</v>
      </c>
      <c r="D93" s="37" t="n">
        <f aca="false">IF(B93="",0,N(Students!E82))</f>
        <v>0</v>
      </c>
      <c r="E93" s="23"/>
      <c r="F93" s="26" t="n">
        <f aca="false">N(C93)+N(D93)-N(E93)</f>
        <v>0</v>
      </c>
      <c r="G93" s="37" t="n">
        <f aca="false">'Apr 2027'!J93</f>
        <v>0</v>
      </c>
      <c r="H93" s="37" t="n">
        <f aca="false">IF(B93="",0,N(Students!F82))</f>
        <v>0</v>
      </c>
      <c r="I93" s="23"/>
      <c r="J93" s="26" t="n">
        <f aca="false">N(G93)+N(H93)-N(I93)</f>
        <v>0</v>
      </c>
      <c r="K93" s="37" t="n">
        <f aca="false">'Apr 2027'!N93</f>
        <v>0</v>
      </c>
      <c r="L93" s="37" t="n">
        <f aca="false">IF(B93="",0,N(Students!G82))</f>
        <v>0</v>
      </c>
      <c r="M93" s="23"/>
      <c r="N93" s="26" t="n">
        <f aca="false">N(K93)+N(L93)-N(M93)</f>
        <v>0</v>
      </c>
      <c r="O93" s="37" t="n">
        <f aca="false">'Apr 2027'!R93</f>
        <v>0</v>
      </c>
      <c r="P93" s="37" t="n">
        <f aca="false">IF(B93="",0,N(Students!H82))</f>
        <v>0</v>
      </c>
      <c r="Q93" s="23"/>
      <c r="R93" s="26" t="n">
        <f aca="false">N(O93)+N(P93)-N(Q93)</f>
        <v>0</v>
      </c>
      <c r="S93" s="37" t="n">
        <f aca="false">'Apr 2027'!V93</f>
        <v>0</v>
      </c>
      <c r="T93" s="37" t="n">
        <f aca="false">IF(B93="",0,N(Students!I82))</f>
        <v>0</v>
      </c>
      <c r="U93" s="23"/>
      <c r="V93" s="26" t="n">
        <f aca="false">N(S93)+N(T93)-N(U93)</f>
        <v>0</v>
      </c>
      <c r="W93" s="37" t="n">
        <f aca="false">'Apr 2027'!Z93</f>
        <v>0</v>
      </c>
      <c r="X93" s="37" t="n">
        <f aca="false">IF(B93="",0,N(Students!J82))</f>
        <v>0</v>
      </c>
      <c r="Y93" s="23"/>
      <c r="Z93" s="26" t="n">
        <f aca="false">N(W93)+N(X93)-N(Y93)</f>
        <v>0</v>
      </c>
      <c r="AA93" s="37" t="n">
        <f aca="false">N(E93)+N(I93)+N(M93)+N(Q93)+N(U93)+N(Y93)</f>
        <v>0</v>
      </c>
      <c r="AB93" s="26" t="n">
        <f aca="false">F93+J93+N93+R93+V93+Z93</f>
        <v>0</v>
      </c>
      <c r="AC93" s="83" t="str">
        <f aca="false">IF(B93="","",IF(AB93&lt;=0,"Clear",IF(AA93&gt;0,"Partial","Due")))</f>
        <v/>
      </c>
    </row>
    <row r="94" customFormat="false" ht="15" hidden="false" customHeight="false" outlineLevel="0" collapsed="false">
      <c r="A94" s="21" t="n">
        <v>79</v>
      </c>
      <c r="B94" s="46" t="str">
        <f aca="false">IF(Students!B83="","",Students!B83)</f>
        <v/>
      </c>
      <c r="C94" s="33" t="n">
        <f aca="false">'Apr 2027'!F94</f>
        <v>0</v>
      </c>
      <c r="D94" s="33" t="n">
        <f aca="false">IF(B94="",0,N(Students!E83))</f>
        <v>0</v>
      </c>
      <c r="E94" s="23"/>
      <c r="F94" s="24" t="n">
        <f aca="false">N(C94)+N(D94)-N(E94)</f>
        <v>0</v>
      </c>
      <c r="G94" s="33" t="n">
        <f aca="false">'Apr 2027'!J94</f>
        <v>0</v>
      </c>
      <c r="H94" s="33" t="n">
        <f aca="false">IF(B94="",0,N(Students!F83))</f>
        <v>0</v>
      </c>
      <c r="I94" s="23"/>
      <c r="J94" s="24" t="n">
        <f aca="false">N(G94)+N(H94)-N(I94)</f>
        <v>0</v>
      </c>
      <c r="K94" s="33" t="n">
        <f aca="false">'Apr 2027'!N94</f>
        <v>0</v>
      </c>
      <c r="L94" s="33" t="n">
        <f aca="false">IF(B94="",0,N(Students!G83))</f>
        <v>0</v>
      </c>
      <c r="M94" s="23"/>
      <c r="N94" s="24" t="n">
        <f aca="false">N(K94)+N(L94)-N(M94)</f>
        <v>0</v>
      </c>
      <c r="O94" s="33" t="n">
        <f aca="false">'Apr 2027'!R94</f>
        <v>0</v>
      </c>
      <c r="P94" s="33" t="n">
        <f aca="false">IF(B94="",0,N(Students!H83))</f>
        <v>0</v>
      </c>
      <c r="Q94" s="23"/>
      <c r="R94" s="24" t="n">
        <f aca="false">N(O94)+N(P94)-N(Q94)</f>
        <v>0</v>
      </c>
      <c r="S94" s="33" t="n">
        <f aca="false">'Apr 2027'!V94</f>
        <v>0</v>
      </c>
      <c r="T94" s="33" t="n">
        <f aca="false">IF(B94="",0,N(Students!I83))</f>
        <v>0</v>
      </c>
      <c r="U94" s="23"/>
      <c r="V94" s="24" t="n">
        <f aca="false">N(S94)+N(T94)-N(U94)</f>
        <v>0</v>
      </c>
      <c r="W94" s="33" t="n">
        <f aca="false">'Apr 2027'!Z94</f>
        <v>0</v>
      </c>
      <c r="X94" s="33" t="n">
        <f aca="false">IF(B94="",0,N(Students!J83))</f>
        <v>0</v>
      </c>
      <c r="Y94" s="23"/>
      <c r="Z94" s="24" t="n">
        <f aca="false">N(W94)+N(X94)-N(Y94)</f>
        <v>0</v>
      </c>
      <c r="AA94" s="33" t="n">
        <f aca="false">N(E94)+N(I94)+N(M94)+N(Q94)+N(U94)+N(Y94)</f>
        <v>0</v>
      </c>
      <c r="AB94" s="24" t="n">
        <f aca="false">F94+J94+N94+R94+V94+Z94</f>
        <v>0</v>
      </c>
      <c r="AC94" s="81" t="str">
        <f aca="false">IF(B94="","",IF(AB94&lt;=0,"Clear",IF(AA94&gt;0,"Partial","Due")))</f>
        <v/>
      </c>
    </row>
    <row r="95" customFormat="false" ht="15" hidden="false" customHeight="false" outlineLevel="0" collapsed="false">
      <c r="A95" s="25" t="n">
        <v>80</v>
      </c>
      <c r="B95" s="82" t="str">
        <f aca="false">IF(Students!B84="","",Students!B84)</f>
        <v/>
      </c>
      <c r="C95" s="37" t="n">
        <f aca="false">'Apr 2027'!F95</f>
        <v>0</v>
      </c>
      <c r="D95" s="37" t="n">
        <f aca="false">IF(B95="",0,N(Students!E84))</f>
        <v>0</v>
      </c>
      <c r="E95" s="23"/>
      <c r="F95" s="26" t="n">
        <f aca="false">N(C95)+N(D95)-N(E95)</f>
        <v>0</v>
      </c>
      <c r="G95" s="37" t="n">
        <f aca="false">'Apr 2027'!J95</f>
        <v>0</v>
      </c>
      <c r="H95" s="37" t="n">
        <f aca="false">IF(B95="",0,N(Students!F84))</f>
        <v>0</v>
      </c>
      <c r="I95" s="23"/>
      <c r="J95" s="26" t="n">
        <f aca="false">N(G95)+N(H95)-N(I95)</f>
        <v>0</v>
      </c>
      <c r="K95" s="37" t="n">
        <f aca="false">'Apr 2027'!N95</f>
        <v>0</v>
      </c>
      <c r="L95" s="37" t="n">
        <f aca="false">IF(B95="",0,N(Students!G84))</f>
        <v>0</v>
      </c>
      <c r="M95" s="23"/>
      <c r="N95" s="26" t="n">
        <f aca="false">N(K95)+N(L95)-N(M95)</f>
        <v>0</v>
      </c>
      <c r="O95" s="37" t="n">
        <f aca="false">'Apr 2027'!R95</f>
        <v>0</v>
      </c>
      <c r="P95" s="37" t="n">
        <f aca="false">IF(B95="",0,N(Students!H84))</f>
        <v>0</v>
      </c>
      <c r="Q95" s="23"/>
      <c r="R95" s="26" t="n">
        <f aca="false">N(O95)+N(P95)-N(Q95)</f>
        <v>0</v>
      </c>
      <c r="S95" s="37" t="n">
        <f aca="false">'Apr 2027'!V95</f>
        <v>0</v>
      </c>
      <c r="T95" s="37" t="n">
        <f aca="false">IF(B95="",0,N(Students!I84))</f>
        <v>0</v>
      </c>
      <c r="U95" s="23"/>
      <c r="V95" s="26" t="n">
        <f aca="false">N(S95)+N(T95)-N(U95)</f>
        <v>0</v>
      </c>
      <c r="W95" s="37" t="n">
        <f aca="false">'Apr 2027'!Z95</f>
        <v>0</v>
      </c>
      <c r="X95" s="37" t="n">
        <f aca="false">IF(B95="",0,N(Students!J84))</f>
        <v>0</v>
      </c>
      <c r="Y95" s="23"/>
      <c r="Z95" s="26" t="n">
        <f aca="false">N(W95)+N(X95)-N(Y95)</f>
        <v>0</v>
      </c>
      <c r="AA95" s="37" t="n">
        <f aca="false">N(E95)+N(I95)+N(M95)+N(Q95)+N(U95)+N(Y95)</f>
        <v>0</v>
      </c>
      <c r="AB95" s="26" t="n">
        <f aca="false">F95+J95+N95+R95+V95+Z95</f>
        <v>0</v>
      </c>
      <c r="AC95" s="83" t="str">
        <f aca="false">IF(B95="","",IF(AB95&lt;=0,"Clear",IF(AA95&gt;0,"Partial","Due")))</f>
        <v/>
      </c>
    </row>
    <row r="96" customFormat="false" ht="15" hidden="false" customHeight="false" outlineLevel="0" collapsed="false">
      <c r="A96" s="21" t="n">
        <v>81</v>
      </c>
      <c r="B96" s="46" t="str">
        <f aca="false">IF(Students!B85="","",Students!B85)</f>
        <v/>
      </c>
      <c r="C96" s="33" t="n">
        <f aca="false">'Apr 2027'!F96</f>
        <v>0</v>
      </c>
      <c r="D96" s="33" t="n">
        <f aca="false">IF(B96="",0,N(Students!E85))</f>
        <v>0</v>
      </c>
      <c r="E96" s="23"/>
      <c r="F96" s="24" t="n">
        <f aca="false">N(C96)+N(D96)-N(E96)</f>
        <v>0</v>
      </c>
      <c r="G96" s="33" t="n">
        <f aca="false">'Apr 2027'!J96</f>
        <v>0</v>
      </c>
      <c r="H96" s="33" t="n">
        <f aca="false">IF(B96="",0,N(Students!F85))</f>
        <v>0</v>
      </c>
      <c r="I96" s="23"/>
      <c r="J96" s="24" t="n">
        <f aca="false">N(G96)+N(H96)-N(I96)</f>
        <v>0</v>
      </c>
      <c r="K96" s="33" t="n">
        <f aca="false">'Apr 2027'!N96</f>
        <v>0</v>
      </c>
      <c r="L96" s="33" t="n">
        <f aca="false">IF(B96="",0,N(Students!G85))</f>
        <v>0</v>
      </c>
      <c r="M96" s="23"/>
      <c r="N96" s="24" t="n">
        <f aca="false">N(K96)+N(L96)-N(M96)</f>
        <v>0</v>
      </c>
      <c r="O96" s="33" t="n">
        <f aca="false">'Apr 2027'!R96</f>
        <v>0</v>
      </c>
      <c r="P96" s="33" t="n">
        <f aca="false">IF(B96="",0,N(Students!H85))</f>
        <v>0</v>
      </c>
      <c r="Q96" s="23"/>
      <c r="R96" s="24" t="n">
        <f aca="false">N(O96)+N(P96)-N(Q96)</f>
        <v>0</v>
      </c>
      <c r="S96" s="33" t="n">
        <f aca="false">'Apr 2027'!V96</f>
        <v>0</v>
      </c>
      <c r="T96" s="33" t="n">
        <f aca="false">IF(B96="",0,N(Students!I85))</f>
        <v>0</v>
      </c>
      <c r="U96" s="23"/>
      <c r="V96" s="24" t="n">
        <f aca="false">N(S96)+N(T96)-N(U96)</f>
        <v>0</v>
      </c>
      <c r="W96" s="33" t="n">
        <f aca="false">'Apr 2027'!Z96</f>
        <v>0</v>
      </c>
      <c r="X96" s="33" t="n">
        <f aca="false">IF(B96="",0,N(Students!J85))</f>
        <v>0</v>
      </c>
      <c r="Y96" s="23"/>
      <c r="Z96" s="24" t="n">
        <f aca="false">N(W96)+N(X96)-N(Y96)</f>
        <v>0</v>
      </c>
      <c r="AA96" s="33" t="n">
        <f aca="false">N(E96)+N(I96)+N(M96)+N(Q96)+N(U96)+N(Y96)</f>
        <v>0</v>
      </c>
      <c r="AB96" s="24" t="n">
        <f aca="false">F96+J96+N96+R96+V96+Z96</f>
        <v>0</v>
      </c>
      <c r="AC96" s="81" t="str">
        <f aca="false">IF(B96="","",IF(AB96&lt;=0,"Clear",IF(AA96&gt;0,"Partial","Due")))</f>
        <v/>
      </c>
    </row>
    <row r="97" customFormat="false" ht="15" hidden="false" customHeight="false" outlineLevel="0" collapsed="false">
      <c r="A97" s="25" t="n">
        <v>82</v>
      </c>
      <c r="B97" s="82" t="str">
        <f aca="false">IF(Students!B86="","",Students!B86)</f>
        <v/>
      </c>
      <c r="C97" s="37" t="n">
        <f aca="false">'Apr 2027'!F97</f>
        <v>0</v>
      </c>
      <c r="D97" s="37" t="n">
        <f aca="false">IF(B97="",0,N(Students!E86))</f>
        <v>0</v>
      </c>
      <c r="E97" s="23"/>
      <c r="F97" s="26" t="n">
        <f aca="false">N(C97)+N(D97)-N(E97)</f>
        <v>0</v>
      </c>
      <c r="G97" s="37" t="n">
        <f aca="false">'Apr 2027'!J97</f>
        <v>0</v>
      </c>
      <c r="H97" s="37" t="n">
        <f aca="false">IF(B97="",0,N(Students!F86))</f>
        <v>0</v>
      </c>
      <c r="I97" s="23"/>
      <c r="J97" s="26" t="n">
        <f aca="false">N(G97)+N(H97)-N(I97)</f>
        <v>0</v>
      </c>
      <c r="K97" s="37" t="n">
        <f aca="false">'Apr 2027'!N97</f>
        <v>0</v>
      </c>
      <c r="L97" s="37" t="n">
        <f aca="false">IF(B97="",0,N(Students!G86))</f>
        <v>0</v>
      </c>
      <c r="M97" s="23"/>
      <c r="N97" s="26" t="n">
        <f aca="false">N(K97)+N(L97)-N(M97)</f>
        <v>0</v>
      </c>
      <c r="O97" s="37" t="n">
        <f aca="false">'Apr 2027'!R97</f>
        <v>0</v>
      </c>
      <c r="P97" s="37" t="n">
        <f aca="false">IF(B97="",0,N(Students!H86))</f>
        <v>0</v>
      </c>
      <c r="Q97" s="23"/>
      <c r="R97" s="26" t="n">
        <f aca="false">N(O97)+N(P97)-N(Q97)</f>
        <v>0</v>
      </c>
      <c r="S97" s="37" t="n">
        <f aca="false">'Apr 2027'!V97</f>
        <v>0</v>
      </c>
      <c r="T97" s="37" t="n">
        <f aca="false">IF(B97="",0,N(Students!I86))</f>
        <v>0</v>
      </c>
      <c r="U97" s="23"/>
      <c r="V97" s="26" t="n">
        <f aca="false">N(S97)+N(T97)-N(U97)</f>
        <v>0</v>
      </c>
      <c r="W97" s="37" t="n">
        <f aca="false">'Apr 2027'!Z97</f>
        <v>0</v>
      </c>
      <c r="X97" s="37" t="n">
        <f aca="false">IF(B97="",0,N(Students!J86))</f>
        <v>0</v>
      </c>
      <c r="Y97" s="23"/>
      <c r="Z97" s="26" t="n">
        <f aca="false">N(W97)+N(X97)-N(Y97)</f>
        <v>0</v>
      </c>
      <c r="AA97" s="37" t="n">
        <f aca="false">N(E97)+N(I97)+N(M97)+N(Q97)+N(U97)+N(Y97)</f>
        <v>0</v>
      </c>
      <c r="AB97" s="26" t="n">
        <f aca="false">F97+J97+N97+R97+V97+Z97</f>
        <v>0</v>
      </c>
      <c r="AC97" s="83" t="str">
        <f aca="false">IF(B97="","",IF(AB97&lt;=0,"Clear",IF(AA97&gt;0,"Partial","Due")))</f>
        <v/>
      </c>
    </row>
    <row r="98" customFormat="false" ht="15" hidden="false" customHeight="false" outlineLevel="0" collapsed="false">
      <c r="A98" s="21" t="n">
        <v>83</v>
      </c>
      <c r="B98" s="46" t="str">
        <f aca="false">IF(Students!B87="","",Students!B87)</f>
        <v/>
      </c>
      <c r="C98" s="33" t="n">
        <f aca="false">'Apr 2027'!F98</f>
        <v>0</v>
      </c>
      <c r="D98" s="33" t="n">
        <f aca="false">IF(B98="",0,N(Students!E87))</f>
        <v>0</v>
      </c>
      <c r="E98" s="23"/>
      <c r="F98" s="24" t="n">
        <f aca="false">N(C98)+N(D98)-N(E98)</f>
        <v>0</v>
      </c>
      <c r="G98" s="33" t="n">
        <f aca="false">'Apr 2027'!J98</f>
        <v>0</v>
      </c>
      <c r="H98" s="33" t="n">
        <f aca="false">IF(B98="",0,N(Students!F87))</f>
        <v>0</v>
      </c>
      <c r="I98" s="23"/>
      <c r="J98" s="24" t="n">
        <f aca="false">N(G98)+N(H98)-N(I98)</f>
        <v>0</v>
      </c>
      <c r="K98" s="33" t="n">
        <f aca="false">'Apr 2027'!N98</f>
        <v>0</v>
      </c>
      <c r="L98" s="33" t="n">
        <f aca="false">IF(B98="",0,N(Students!G87))</f>
        <v>0</v>
      </c>
      <c r="M98" s="23"/>
      <c r="N98" s="24" t="n">
        <f aca="false">N(K98)+N(L98)-N(M98)</f>
        <v>0</v>
      </c>
      <c r="O98" s="33" t="n">
        <f aca="false">'Apr 2027'!R98</f>
        <v>0</v>
      </c>
      <c r="P98" s="33" t="n">
        <f aca="false">IF(B98="",0,N(Students!H87))</f>
        <v>0</v>
      </c>
      <c r="Q98" s="23"/>
      <c r="R98" s="24" t="n">
        <f aca="false">N(O98)+N(P98)-N(Q98)</f>
        <v>0</v>
      </c>
      <c r="S98" s="33" t="n">
        <f aca="false">'Apr 2027'!V98</f>
        <v>0</v>
      </c>
      <c r="T98" s="33" t="n">
        <f aca="false">IF(B98="",0,N(Students!I87))</f>
        <v>0</v>
      </c>
      <c r="U98" s="23"/>
      <c r="V98" s="24" t="n">
        <f aca="false">N(S98)+N(T98)-N(U98)</f>
        <v>0</v>
      </c>
      <c r="W98" s="33" t="n">
        <f aca="false">'Apr 2027'!Z98</f>
        <v>0</v>
      </c>
      <c r="X98" s="33" t="n">
        <f aca="false">IF(B98="",0,N(Students!J87))</f>
        <v>0</v>
      </c>
      <c r="Y98" s="23"/>
      <c r="Z98" s="24" t="n">
        <f aca="false">N(W98)+N(X98)-N(Y98)</f>
        <v>0</v>
      </c>
      <c r="AA98" s="33" t="n">
        <f aca="false">N(E98)+N(I98)+N(M98)+N(Q98)+N(U98)+N(Y98)</f>
        <v>0</v>
      </c>
      <c r="AB98" s="24" t="n">
        <f aca="false">F98+J98+N98+R98+V98+Z98</f>
        <v>0</v>
      </c>
      <c r="AC98" s="81" t="str">
        <f aca="false">IF(B98="","",IF(AB98&lt;=0,"Clear",IF(AA98&gt;0,"Partial","Due")))</f>
        <v/>
      </c>
    </row>
    <row r="99" customFormat="false" ht="15" hidden="false" customHeight="false" outlineLevel="0" collapsed="false">
      <c r="A99" s="25" t="n">
        <v>84</v>
      </c>
      <c r="B99" s="82" t="str">
        <f aca="false">IF(Students!B88="","",Students!B88)</f>
        <v/>
      </c>
      <c r="C99" s="37" t="n">
        <f aca="false">'Apr 2027'!F99</f>
        <v>0</v>
      </c>
      <c r="D99" s="37" t="n">
        <f aca="false">IF(B99="",0,N(Students!E88))</f>
        <v>0</v>
      </c>
      <c r="E99" s="23"/>
      <c r="F99" s="26" t="n">
        <f aca="false">N(C99)+N(D99)-N(E99)</f>
        <v>0</v>
      </c>
      <c r="G99" s="37" t="n">
        <f aca="false">'Apr 2027'!J99</f>
        <v>0</v>
      </c>
      <c r="H99" s="37" t="n">
        <f aca="false">IF(B99="",0,N(Students!F88))</f>
        <v>0</v>
      </c>
      <c r="I99" s="23"/>
      <c r="J99" s="26" t="n">
        <f aca="false">N(G99)+N(H99)-N(I99)</f>
        <v>0</v>
      </c>
      <c r="K99" s="37" t="n">
        <f aca="false">'Apr 2027'!N99</f>
        <v>0</v>
      </c>
      <c r="L99" s="37" t="n">
        <f aca="false">IF(B99="",0,N(Students!G88))</f>
        <v>0</v>
      </c>
      <c r="M99" s="23"/>
      <c r="N99" s="26" t="n">
        <f aca="false">N(K99)+N(L99)-N(M99)</f>
        <v>0</v>
      </c>
      <c r="O99" s="37" t="n">
        <f aca="false">'Apr 2027'!R99</f>
        <v>0</v>
      </c>
      <c r="P99" s="37" t="n">
        <f aca="false">IF(B99="",0,N(Students!H88))</f>
        <v>0</v>
      </c>
      <c r="Q99" s="23"/>
      <c r="R99" s="26" t="n">
        <f aca="false">N(O99)+N(P99)-N(Q99)</f>
        <v>0</v>
      </c>
      <c r="S99" s="37" t="n">
        <f aca="false">'Apr 2027'!V99</f>
        <v>0</v>
      </c>
      <c r="T99" s="37" t="n">
        <f aca="false">IF(B99="",0,N(Students!I88))</f>
        <v>0</v>
      </c>
      <c r="U99" s="23"/>
      <c r="V99" s="26" t="n">
        <f aca="false">N(S99)+N(T99)-N(U99)</f>
        <v>0</v>
      </c>
      <c r="W99" s="37" t="n">
        <f aca="false">'Apr 2027'!Z99</f>
        <v>0</v>
      </c>
      <c r="X99" s="37" t="n">
        <f aca="false">IF(B99="",0,N(Students!J88))</f>
        <v>0</v>
      </c>
      <c r="Y99" s="23"/>
      <c r="Z99" s="26" t="n">
        <f aca="false">N(W99)+N(X99)-N(Y99)</f>
        <v>0</v>
      </c>
      <c r="AA99" s="37" t="n">
        <f aca="false">N(E99)+N(I99)+N(M99)+N(Q99)+N(U99)+N(Y99)</f>
        <v>0</v>
      </c>
      <c r="AB99" s="26" t="n">
        <f aca="false">F99+J99+N99+R99+V99+Z99</f>
        <v>0</v>
      </c>
      <c r="AC99" s="83" t="str">
        <f aca="false">IF(B99="","",IF(AB99&lt;=0,"Clear",IF(AA99&gt;0,"Partial","Due")))</f>
        <v/>
      </c>
    </row>
    <row r="100" customFormat="false" ht="15" hidden="false" customHeight="false" outlineLevel="0" collapsed="false">
      <c r="A100" s="21" t="n">
        <v>85</v>
      </c>
      <c r="B100" s="46" t="str">
        <f aca="false">IF(Students!B89="","",Students!B89)</f>
        <v/>
      </c>
      <c r="C100" s="33" t="n">
        <f aca="false">'Apr 2027'!F100</f>
        <v>0</v>
      </c>
      <c r="D100" s="33" t="n">
        <f aca="false">IF(B100="",0,N(Students!E89))</f>
        <v>0</v>
      </c>
      <c r="E100" s="23"/>
      <c r="F100" s="24" t="n">
        <f aca="false">N(C100)+N(D100)-N(E100)</f>
        <v>0</v>
      </c>
      <c r="G100" s="33" t="n">
        <f aca="false">'Apr 2027'!J100</f>
        <v>0</v>
      </c>
      <c r="H100" s="33" t="n">
        <f aca="false">IF(B100="",0,N(Students!F89))</f>
        <v>0</v>
      </c>
      <c r="I100" s="23"/>
      <c r="J100" s="24" t="n">
        <f aca="false">N(G100)+N(H100)-N(I100)</f>
        <v>0</v>
      </c>
      <c r="K100" s="33" t="n">
        <f aca="false">'Apr 2027'!N100</f>
        <v>0</v>
      </c>
      <c r="L100" s="33" t="n">
        <f aca="false">IF(B100="",0,N(Students!G89))</f>
        <v>0</v>
      </c>
      <c r="M100" s="23"/>
      <c r="N100" s="24" t="n">
        <f aca="false">N(K100)+N(L100)-N(M100)</f>
        <v>0</v>
      </c>
      <c r="O100" s="33" t="n">
        <f aca="false">'Apr 2027'!R100</f>
        <v>0</v>
      </c>
      <c r="P100" s="33" t="n">
        <f aca="false">IF(B100="",0,N(Students!H89))</f>
        <v>0</v>
      </c>
      <c r="Q100" s="23"/>
      <c r="R100" s="24" t="n">
        <f aca="false">N(O100)+N(P100)-N(Q100)</f>
        <v>0</v>
      </c>
      <c r="S100" s="33" t="n">
        <f aca="false">'Apr 2027'!V100</f>
        <v>0</v>
      </c>
      <c r="T100" s="33" t="n">
        <f aca="false">IF(B100="",0,N(Students!I89))</f>
        <v>0</v>
      </c>
      <c r="U100" s="23"/>
      <c r="V100" s="24" t="n">
        <f aca="false">N(S100)+N(T100)-N(U100)</f>
        <v>0</v>
      </c>
      <c r="W100" s="33" t="n">
        <f aca="false">'Apr 2027'!Z100</f>
        <v>0</v>
      </c>
      <c r="X100" s="33" t="n">
        <f aca="false">IF(B100="",0,N(Students!J89))</f>
        <v>0</v>
      </c>
      <c r="Y100" s="23"/>
      <c r="Z100" s="24" t="n">
        <f aca="false">N(W100)+N(X100)-N(Y100)</f>
        <v>0</v>
      </c>
      <c r="AA100" s="33" t="n">
        <f aca="false">N(E100)+N(I100)+N(M100)+N(Q100)+N(U100)+N(Y100)</f>
        <v>0</v>
      </c>
      <c r="AB100" s="24" t="n">
        <f aca="false">F100+J100+N100+R100+V100+Z100</f>
        <v>0</v>
      </c>
      <c r="AC100" s="81" t="str">
        <f aca="false">IF(B100="","",IF(AB100&lt;=0,"Clear",IF(AA100&gt;0,"Partial","Due")))</f>
        <v/>
      </c>
    </row>
    <row r="101" customFormat="false" ht="15" hidden="false" customHeight="false" outlineLevel="0" collapsed="false">
      <c r="A101" s="25" t="n">
        <v>86</v>
      </c>
      <c r="B101" s="82" t="str">
        <f aca="false">IF(Students!B90="","",Students!B90)</f>
        <v/>
      </c>
      <c r="C101" s="37" t="n">
        <f aca="false">'Apr 2027'!F101</f>
        <v>0</v>
      </c>
      <c r="D101" s="37" t="n">
        <f aca="false">IF(B101="",0,N(Students!E90))</f>
        <v>0</v>
      </c>
      <c r="E101" s="23"/>
      <c r="F101" s="26" t="n">
        <f aca="false">N(C101)+N(D101)-N(E101)</f>
        <v>0</v>
      </c>
      <c r="G101" s="37" t="n">
        <f aca="false">'Apr 2027'!J101</f>
        <v>0</v>
      </c>
      <c r="H101" s="37" t="n">
        <f aca="false">IF(B101="",0,N(Students!F90))</f>
        <v>0</v>
      </c>
      <c r="I101" s="23"/>
      <c r="J101" s="26" t="n">
        <f aca="false">N(G101)+N(H101)-N(I101)</f>
        <v>0</v>
      </c>
      <c r="K101" s="37" t="n">
        <f aca="false">'Apr 2027'!N101</f>
        <v>0</v>
      </c>
      <c r="L101" s="37" t="n">
        <f aca="false">IF(B101="",0,N(Students!G90))</f>
        <v>0</v>
      </c>
      <c r="M101" s="23"/>
      <c r="N101" s="26" t="n">
        <f aca="false">N(K101)+N(L101)-N(M101)</f>
        <v>0</v>
      </c>
      <c r="O101" s="37" t="n">
        <f aca="false">'Apr 2027'!R101</f>
        <v>0</v>
      </c>
      <c r="P101" s="37" t="n">
        <f aca="false">IF(B101="",0,N(Students!H90))</f>
        <v>0</v>
      </c>
      <c r="Q101" s="23"/>
      <c r="R101" s="26" t="n">
        <f aca="false">N(O101)+N(P101)-N(Q101)</f>
        <v>0</v>
      </c>
      <c r="S101" s="37" t="n">
        <f aca="false">'Apr 2027'!V101</f>
        <v>0</v>
      </c>
      <c r="T101" s="37" t="n">
        <f aca="false">IF(B101="",0,N(Students!I90))</f>
        <v>0</v>
      </c>
      <c r="U101" s="23"/>
      <c r="V101" s="26" t="n">
        <f aca="false">N(S101)+N(T101)-N(U101)</f>
        <v>0</v>
      </c>
      <c r="W101" s="37" t="n">
        <f aca="false">'Apr 2027'!Z101</f>
        <v>0</v>
      </c>
      <c r="X101" s="37" t="n">
        <f aca="false">IF(B101="",0,N(Students!J90))</f>
        <v>0</v>
      </c>
      <c r="Y101" s="23"/>
      <c r="Z101" s="26" t="n">
        <f aca="false">N(W101)+N(X101)-N(Y101)</f>
        <v>0</v>
      </c>
      <c r="AA101" s="37" t="n">
        <f aca="false">N(E101)+N(I101)+N(M101)+N(Q101)+N(U101)+N(Y101)</f>
        <v>0</v>
      </c>
      <c r="AB101" s="26" t="n">
        <f aca="false">F101+J101+N101+R101+V101+Z101</f>
        <v>0</v>
      </c>
      <c r="AC101" s="83" t="str">
        <f aca="false">IF(B101="","",IF(AB101&lt;=0,"Clear",IF(AA101&gt;0,"Partial","Due")))</f>
        <v/>
      </c>
    </row>
    <row r="102" customFormat="false" ht="15" hidden="false" customHeight="false" outlineLevel="0" collapsed="false">
      <c r="A102" s="21" t="n">
        <v>87</v>
      </c>
      <c r="B102" s="46" t="str">
        <f aca="false">IF(Students!B91="","",Students!B91)</f>
        <v/>
      </c>
      <c r="C102" s="33" t="n">
        <f aca="false">'Apr 2027'!F102</f>
        <v>0</v>
      </c>
      <c r="D102" s="33" t="n">
        <f aca="false">IF(B102="",0,N(Students!E91))</f>
        <v>0</v>
      </c>
      <c r="E102" s="23"/>
      <c r="F102" s="24" t="n">
        <f aca="false">N(C102)+N(D102)-N(E102)</f>
        <v>0</v>
      </c>
      <c r="G102" s="33" t="n">
        <f aca="false">'Apr 2027'!J102</f>
        <v>0</v>
      </c>
      <c r="H102" s="33" t="n">
        <f aca="false">IF(B102="",0,N(Students!F91))</f>
        <v>0</v>
      </c>
      <c r="I102" s="23"/>
      <c r="J102" s="24" t="n">
        <f aca="false">N(G102)+N(H102)-N(I102)</f>
        <v>0</v>
      </c>
      <c r="K102" s="33" t="n">
        <f aca="false">'Apr 2027'!N102</f>
        <v>0</v>
      </c>
      <c r="L102" s="33" t="n">
        <f aca="false">IF(B102="",0,N(Students!G91))</f>
        <v>0</v>
      </c>
      <c r="M102" s="23"/>
      <c r="N102" s="24" t="n">
        <f aca="false">N(K102)+N(L102)-N(M102)</f>
        <v>0</v>
      </c>
      <c r="O102" s="33" t="n">
        <f aca="false">'Apr 2027'!R102</f>
        <v>0</v>
      </c>
      <c r="P102" s="33" t="n">
        <f aca="false">IF(B102="",0,N(Students!H91))</f>
        <v>0</v>
      </c>
      <c r="Q102" s="23"/>
      <c r="R102" s="24" t="n">
        <f aca="false">N(O102)+N(P102)-N(Q102)</f>
        <v>0</v>
      </c>
      <c r="S102" s="33" t="n">
        <f aca="false">'Apr 2027'!V102</f>
        <v>0</v>
      </c>
      <c r="T102" s="33" t="n">
        <f aca="false">IF(B102="",0,N(Students!I91))</f>
        <v>0</v>
      </c>
      <c r="U102" s="23"/>
      <c r="V102" s="24" t="n">
        <f aca="false">N(S102)+N(T102)-N(U102)</f>
        <v>0</v>
      </c>
      <c r="W102" s="33" t="n">
        <f aca="false">'Apr 2027'!Z102</f>
        <v>0</v>
      </c>
      <c r="X102" s="33" t="n">
        <f aca="false">IF(B102="",0,N(Students!J91))</f>
        <v>0</v>
      </c>
      <c r="Y102" s="23"/>
      <c r="Z102" s="24" t="n">
        <f aca="false">N(W102)+N(X102)-N(Y102)</f>
        <v>0</v>
      </c>
      <c r="AA102" s="33" t="n">
        <f aca="false">N(E102)+N(I102)+N(M102)+N(Q102)+N(U102)+N(Y102)</f>
        <v>0</v>
      </c>
      <c r="AB102" s="24" t="n">
        <f aca="false">F102+J102+N102+R102+V102+Z102</f>
        <v>0</v>
      </c>
      <c r="AC102" s="81" t="str">
        <f aca="false">IF(B102="","",IF(AB102&lt;=0,"Clear",IF(AA102&gt;0,"Partial","Due")))</f>
        <v/>
      </c>
    </row>
    <row r="103" customFormat="false" ht="15" hidden="false" customHeight="false" outlineLevel="0" collapsed="false">
      <c r="A103" s="25" t="n">
        <v>88</v>
      </c>
      <c r="B103" s="82" t="str">
        <f aca="false">IF(Students!B92="","",Students!B92)</f>
        <v/>
      </c>
      <c r="C103" s="37" t="n">
        <f aca="false">'Apr 2027'!F103</f>
        <v>0</v>
      </c>
      <c r="D103" s="37" t="n">
        <f aca="false">IF(B103="",0,N(Students!E92))</f>
        <v>0</v>
      </c>
      <c r="E103" s="23"/>
      <c r="F103" s="26" t="n">
        <f aca="false">N(C103)+N(D103)-N(E103)</f>
        <v>0</v>
      </c>
      <c r="G103" s="37" t="n">
        <f aca="false">'Apr 2027'!J103</f>
        <v>0</v>
      </c>
      <c r="H103" s="37" t="n">
        <f aca="false">IF(B103="",0,N(Students!F92))</f>
        <v>0</v>
      </c>
      <c r="I103" s="23"/>
      <c r="J103" s="26" t="n">
        <f aca="false">N(G103)+N(H103)-N(I103)</f>
        <v>0</v>
      </c>
      <c r="K103" s="37" t="n">
        <f aca="false">'Apr 2027'!N103</f>
        <v>0</v>
      </c>
      <c r="L103" s="37" t="n">
        <f aca="false">IF(B103="",0,N(Students!G92))</f>
        <v>0</v>
      </c>
      <c r="M103" s="23"/>
      <c r="N103" s="26" t="n">
        <f aca="false">N(K103)+N(L103)-N(M103)</f>
        <v>0</v>
      </c>
      <c r="O103" s="37" t="n">
        <f aca="false">'Apr 2027'!R103</f>
        <v>0</v>
      </c>
      <c r="P103" s="37" t="n">
        <f aca="false">IF(B103="",0,N(Students!H92))</f>
        <v>0</v>
      </c>
      <c r="Q103" s="23"/>
      <c r="R103" s="26" t="n">
        <f aca="false">N(O103)+N(P103)-N(Q103)</f>
        <v>0</v>
      </c>
      <c r="S103" s="37" t="n">
        <f aca="false">'Apr 2027'!V103</f>
        <v>0</v>
      </c>
      <c r="T103" s="37" t="n">
        <f aca="false">IF(B103="",0,N(Students!I92))</f>
        <v>0</v>
      </c>
      <c r="U103" s="23"/>
      <c r="V103" s="26" t="n">
        <f aca="false">N(S103)+N(T103)-N(U103)</f>
        <v>0</v>
      </c>
      <c r="W103" s="37" t="n">
        <f aca="false">'Apr 2027'!Z103</f>
        <v>0</v>
      </c>
      <c r="X103" s="37" t="n">
        <f aca="false">IF(B103="",0,N(Students!J92))</f>
        <v>0</v>
      </c>
      <c r="Y103" s="23"/>
      <c r="Z103" s="26" t="n">
        <f aca="false">N(W103)+N(X103)-N(Y103)</f>
        <v>0</v>
      </c>
      <c r="AA103" s="37" t="n">
        <f aca="false">N(E103)+N(I103)+N(M103)+N(Q103)+N(U103)+N(Y103)</f>
        <v>0</v>
      </c>
      <c r="AB103" s="26" t="n">
        <f aca="false">F103+J103+N103+R103+V103+Z103</f>
        <v>0</v>
      </c>
      <c r="AC103" s="83" t="str">
        <f aca="false">IF(B103="","",IF(AB103&lt;=0,"Clear",IF(AA103&gt;0,"Partial","Due")))</f>
        <v/>
      </c>
    </row>
    <row r="104" customFormat="false" ht="15" hidden="false" customHeight="false" outlineLevel="0" collapsed="false">
      <c r="A104" s="21" t="n">
        <v>89</v>
      </c>
      <c r="B104" s="46" t="str">
        <f aca="false">IF(Students!B93="","",Students!B93)</f>
        <v/>
      </c>
      <c r="C104" s="33" t="n">
        <f aca="false">'Apr 2027'!F104</f>
        <v>0</v>
      </c>
      <c r="D104" s="33" t="n">
        <f aca="false">IF(B104="",0,N(Students!E93))</f>
        <v>0</v>
      </c>
      <c r="E104" s="23"/>
      <c r="F104" s="24" t="n">
        <f aca="false">N(C104)+N(D104)-N(E104)</f>
        <v>0</v>
      </c>
      <c r="G104" s="33" t="n">
        <f aca="false">'Apr 2027'!J104</f>
        <v>0</v>
      </c>
      <c r="H104" s="33" t="n">
        <f aca="false">IF(B104="",0,N(Students!F93))</f>
        <v>0</v>
      </c>
      <c r="I104" s="23"/>
      <c r="J104" s="24" t="n">
        <f aca="false">N(G104)+N(H104)-N(I104)</f>
        <v>0</v>
      </c>
      <c r="K104" s="33" t="n">
        <f aca="false">'Apr 2027'!N104</f>
        <v>0</v>
      </c>
      <c r="L104" s="33" t="n">
        <f aca="false">IF(B104="",0,N(Students!G93))</f>
        <v>0</v>
      </c>
      <c r="M104" s="23"/>
      <c r="N104" s="24" t="n">
        <f aca="false">N(K104)+N(L104)-N(M104)</f>
        <v>0</v>
      </c>
      <c r="O104" s="33" t="n">
        <f aca="false">'Apr 2027'!R104</f>
        <v>0</v>
      </c>
      <c r="P104" s="33" t="n">
        <f aca="false">IF(B104="",0,N(Students!H93))</f>
        <v>0</v>
      </c>
      <c r="Q104" s="23"/>
      <c r="R104" s="24" t="n">
        <f aca="false">N(O104)+N(P104)-N(Q104)</f>
        <v>0</v>
      </c>
      <c r="S104" s="33" t="n">
        <f aca="false">'Apr 2027'!V104</f>
        <v>0</v>
      </c>
      <c r="T104" s="33" t="n">
        <f aca="false">IF(B104="",0,N(Students!I93))</f>
        <v>0</v>
      </c>
      <c r="U104" s="23"/>
      <c r="V104" s="24" t="n">
        <f aca="false">N(S104)+N(T104)-N(U104)</f>
        <v>0</v>
      </c>
      <c r="W104" s="33" t="n">
        <f aca="false">'Apr 2027'!Z104</f>
        <v>0</v>
      </c>
      <c r="X104" s="33" t="n">
        <f aca="false">IF(B104="",0,N(Students!J93))</f>
        <v>0</v>
      </c>
      <c r="Y104" s="23"/>
      <c r="Z104" s="24" t="n">
        <f aca="false">N(W104)+N(X104)-N(Y104)</f>
        <v>0</v>
      </c>
      <c r="AA104" s="33" t="n">
        <f aca="false">N(E104)+N(I104)+N(M104)+N(Q104)+N(U104)+N(Y104)</f>
        <v>0</v>
      </c>
      <c r="AB104" s="24" t="n">
        <f aca="false">F104+J104+N104+R104+V104+Z104</f>
        <v>0</v>
      </c>
      <c r="AC104" s="81" t="str">
        <f aca="false">IF(B104="","",IF(AB104&lt;=0,"Clear",IF(AA104&gt;0,"Partial","Due")))</f>
        <v/>
      </c>
    </row>
    <row r="105" customFormat="false" ht="15" hidden="false" customHeight="false" outlineLevel="0" collapsed="false">
      <c r="A105" s="25" t="n">
        <v>90</v>
      </c>
      <c r="B105" s="82" t="str">
        <f aca="false">IF(Students!B94="","",Students!B94)</f>
        <v/>
      </c>
      <c r="C105" s="37" t="n">
        <f aca="false">'Apr 2027'!F105</f>
        <v>0</v>
      </c>
      <c r="D105" s="37" t="n">
        <f aca="false">IF(B105="",0,N(Students!E94))</f>
        <v>0</v>
      </c>
      <c r="E105" s="23"/>
      <c r="F105" s="26" t="n">
        <f aca="false">N(C105)+N(D105)-N(E105)</f>
        <v>0</v>
      </c>
      <c r="G105" s="37" t="n">
        <f aca="false">'Apr 2027'!J105</f>
        <v>0</v>
      </c>
      <c r="H105" s="37" t="n">
        <f aca="false">IF(B105="",0,N(Students!F94))</f>
        <v>0</v>
      </c>
      <c r="I105" s="23"/>
      <c r="J105" s="26" t="n">
        <f aca="false">N(G105)+N(H105)-N(I105)</f>
        <v>0</v>
      </c>
      <c r="K105" s="37" t="n">
        <f aca="false">'Apr 2027'!N105</f>
        <v>0</v>
      </c>
      <c r="L105" s="37" t="n">
        <f aca="false">IF(B105="",0,N(Students!G94))</f>
        <v>0</v>
      </c>
      <c r="M105" s="23"/>
      <c r="N105" s="26" t="n">
        <f aca="false">N(K105)+N(L105)-N(M105)</f>
        <v>0</v>
      </c>
      <c r="O105" s="37" t="n">
        <f aca="false">'Apr 2027'!R105</f>
        <v>0</v>
      </c>
      <c r="P105" s="37" t="n">
        <f aca="false">IF(B105="",0,N(Students!H94))</f>
        <v>0</v>
      </c>
      <c r="Q105" s="23"/>
      <c r="R105" s="26" t="n">
        <f aca="false">N(O105)+N(P105)-N(Q105)</f>
        <v>0</v>
      </c>
      <c r="S105" s="37" t="n">
        <f aca="false">'Apr 2027'!V105</f>
        <v>0</v>
      </c>
      <c r="T105" s="37" t="n">
        <f aca="false">IF(B105="",0,N(Students!I94))</f>
        <v>0</v>
      </c>
      <c r="U105" s="23"/>
      <c r="V105" s="26" t="n">
        <f aca="false">N(S105)+N(T105)-N(U105)</f>
        <v>0</v>
      </c>
      <c r="W105" s="37" t="n">
        <f aca="false">'Apr 2027'!Z105</f>
        <v>0</v>
      </c>
      <c r="X105" s="37" t="n">
        <f aca="false">IF(B105="",0,N(Students!J94))</f>
        <v>0</v>
      </c>
      <c r="Y105" s="23"/>
      <c r="Z105" s="26" t="n">
        <f aca="false">N(W105)+N(X105)-N(Y105)</f>
        <v>0</v>
      </c>
      <c r="AA105" s="37" t="n">
        <f aca="false">N(E105)+N(I105)+N(M105)+N(Q105)+N(U105)+N(Y105)</f>
        <v>0</v>
      </c>
      <c r="AB105" s="26" t="n">
        <f aca="false">F105+J105+N105+R105+V105+Z105</f>
        <v>0</v>
      </c>
      <c r="AC105" s="83" t="str">
        <f aca="false">IF(B105="","",IF(AB105&lt;=0,"Clear",IF(AA105&gt;0,"Partial","Due")))</f>
        <v/>
      </c>
    </row>
    <row r="106" customFormat="false" ht="15" hidden="false" customHeight="false" outlineLevel="0" collapsed="false">
      <c r="A106" s="21" t="n">
        <v>91</v>
      </c>
      <c r="B106" s="46" t="str">
        <f aca="false">IF(Students!B95="","",Students!B95)</f>
        <v/>
      </c>
      <c r="C106" s="33" t="n">
        <f aca="false">'Apr 2027'!F106</f>
        <v>0</v>
      </c>
      <c r="D106" s="33" t="n">
        <f aca="false">IF(B106="",0,N(Students!E95))</f>
        <v>0</v>
      </c>
      <c r="E106" s="23"/>
      <c r="F106" s="24" t="n">
        <f aca="false">N(C106)+N(D106)-N(E106)</f>
        <v>0</v>
      </c>
      <c r="G106" s="33" t="n">
        <f aca="false">'Apr 2027'!J106</f>
        <v>0</v>
      </c>
      <c r="H106" s="33" t="n">
        <f aca="false">IF(B106="",0,N(Students!F95))</f>
        <v>0</v>
      </c>
      <c r="I106" s="23"/>
      <c r="J106" s="24" t="n">
        <f aca="false">N(G106)+N(H106)-N(I106)</f>
        <v>0</v>
      </c>
      <c r="K106" s="33" t="n">
        <f aca="false">'Apr 2027'!N106</f>
        <v>0</v>
      </c>
      <c r="L106" s="33" t="n">
        <f aca="false">IF(B106="",0,N(Students!G95))</f>
        <v>0</v>
      </c>
      <c r="M106" s="23"/>
      <c r="N106" s="24" t="n">
        <f aca="false">N(K106)+N(L106)-N(M106)</f>
        <v>0</v>
      </c>
      <c r="O106" s="33" t="n">
        <f aca="false">'Apr 2027'!R106</f>
        <v>0</v>
      </c>
      <c r="P106" s="33" t="n">
        <f aca="false">IF(B106="",0,N(Students!H95))</f>
        <v>0</v>
      </c>
      <c r="Q106" s="23"/>
      <c r="R106" s="24" t="n">
        <f aca="false">N(O106)+N(P106)-N(Q106)</f>
        <v>0</v>
      </c>
      <c r="S106" s="33" t="n">
        <f aca="false">'Apr 2027'!V106</f>
        <v>0</v>
      </c>
      <c r="T106" s="33" t="n">
        <f aca="false">IF(B106="",0,N(Students!I95))</f>
        <v>0</v>
      </c>
      <c r="U106" s="23"/>
      <c r="V106" s="24" t="n">
        <f aca="false">N(S106)+N(T106)-N(U106)</f>
        <v>0</v>
      </c>
      <c r="W106" s="33" t="n">
        <f aca="false">'Apr 2027'!Z106</f>
        <v>0</v>
      </c>
      <c r="X106" s="33" t="n">
        <f aca="false">IF(B106="",0,N(Students!J95))</f>
        <v>0</v>
      </c>
      <c r="Y106" s="23"/>
      <c r="Z106" s="24" t="n">
        <f aca="false">N(W106)+N(X106)-N(Y106)</f>
        <v>0</v>
      </c>
      <c r="AA106" s="33" t="n">
        <f aca="false">N(E106)+N(I106)+N(M106)+N(Q106)+N(U106)+N(Y106)</f>
        <v>0</v>
      </c>
      <c r="AB106" s="24" t="n">
        <f aca="false">F106+J106+N106+R106+V106+Z106</f>
        <v>0</v>
      </c>
      <c r="AC106" s="81" t="str">
        <f aca="false">IF(B106="","",IF(AB106&lt;=0,"Clear",IF(AA106&gt;0,"Partial","Due")))</f>
        <v/>
      </c>
    </row>
    <row r="107" customFormat="false" ht="15" hidden="false" customHeight="false" outlineLevel="0" collapsed="false">
      <c r="A107" s="25" t="n">
        <v>92</v>
      </c>
      <c r="B107" s="82" t="str">
        <f aca="false">IF(Students!B96="","",Students!B96)</f>
        <v/>
      </c>
      <c r="C107" s="37" t="n">
        <f aca="false">'Apr 2027'!F107</f>
        <v>0</v>
      </c>
      <c r="D107" s="37" t="n">
        <f aca="false">IF(B107="",0,N(Students!E96))</f>
        <v>0</v>
      </c>
      <c r="E107" s="23"/>
      <c r="F107" s="26" t="n">
        <f aca="false">N(C107)+N(D107)-N(E107)</f>
        <v>0</v>
      </c>
      <c r="G107" s="37" t="n">
        <f aca="false">'Apr 2027'!J107</f>
        <v>0</v>
      </c>
      <c r="H107" s="37" t="n">
        <f aca="false">IF(B107="",0,N(Students!F96))</f>
        <v>0</v>
      </c>
      <c r="I107" s="23"/>
      <c r="J107" s="26" t="n">
        <f aca="false">N(G107)+N(H107)-N(I107)</f>
        <v>0</v>
      </c>
      <c r="K107" s="37" t="n">
        <f aca="false">'Apr 2027'!N107</f>
        <v>0</v>
      </c>
      <c r="L107" s="37" t="n">
        <f aca="false">IF(B107="",0,N(Students!G96))</f>
        <v>0</v>
      </c>
      <c r="M107" s="23"/>
      <c r="N107" s="26" t="n">
        <f aca="false">N(K107)+N(L107)-N(M107)</f>
        <v>0</v>
      </c>
      <c r="O107" s="37" t="n">
        <f aca="false">'Apr 2027'!R107</f>
        <v>0</v>
      </c>
      <c r="P107" s="37" t="n">
        <f aca="false">IF(B107="",0,N(Students!H96))</f>
        <v>0</v>
      </c>
      <c r="Q107" s="23"/>
      <c r="R107" s="26" t="n">
        <f aca="false">N(O107)+N(P107)-N(Q107)</f>
        <v>0</v>
      </c>
      <c r="S107" s="37" t="n">
        <f aca="false">'Apr 2027'!V107</f>
        <v>0</v>
      </c>
      <c r="T107" s="37" t="n">
        <f aca="false">IF(B107="",0,N(Students!I96))</f>
        <v>0</v>
      </c>
      <c r="U107" s="23"/>
      <c r="V107" s="26" t="n">
        <f aca="false">N(S107)+N(T107)-N(U107)</f>
        <v>0</v>
      </c>
      <c r="W107" s="37" t="n">
        <f aca="false">'Apr 2027'!Z107</f>
        <v>0</v>
      </c>
      <c r="X107" s="37" t="n">
        <f aca="false">IF(B107="",0,N(Students!J96))</f>
        <v>0</v>
      </c>
      <c r="Y107" s="23"/>
      <c r="Z107" s="26" t="n">
        <f aca="false">N(W107)+N(X107)-N(Y107)</f>
        <v>0</v>
      </c>
      <c r="AA107" s="37" t="n">
        <f aca="false">N(E107)+N(I107)+N(M107)+N(Q107)+N(U107)+N(Y107)</f>
        <v>0</v>
      </c>
      <c r="AB107" s="26" t="n">
        <f aca="false">F107+J107+N107+R107+V107+Z107</f>
        <v>0</v>
      </c>
      <c r="AC107" s="83" t="str">
        <f aca="false">IF(B107="","",IF(AB107&lt;=0,"Clear",IF(AA107&gt;0,"Partial","Due")))</f>
        <v/>
      </c>
    </row>
    <row r="108" customFormat="false" ht="15" hidden="false" customHeight="false" outlineLevel="0" collapsed="false">
      <c r="A108" s="21" t="n">
        <v>93</v>
      </c>
      <c r="B108" s="46" t="str">
        <f aca="false">IF(Students!B97="","",Students!B97)</f>
        <v/>
      </c>
      <c r="C108" s="33" t="n">
        <f aca="false">'Apr 2027'!F108</f>
        <v>0</v>
      </c>
      <c r="D108" s="33" t="n">
        <f aca="false">IF(B108="",0,N(Students!E97))</f>
        <v>0</v>
      </c>
      <c r="E108" s="23"/>
      <c r="F108" s="24" t="n">
        <f aca="false">N(C108)+N(D108)-N(E108)</f>
        <v>0</v>
      </c>
      <c r="G108" s="33" t="n">
        <f aca="false">'Apr 2027'!J108</f>
        <v>0</v>
      </c>
      <c r="H108" s="33" t="n">
        <f aca="false">IF(B108="",0,N(Students!F97))</f>
        <v>0</v>
      </c>
      <c r="I108" s="23"/>
      <c r="J108" s="24" t="n">
        <f aca="false">N(G108)+N(H108)-N(I108)</f>
        <v>0</v>
      </c>
      <c r="K108" s="33" t="n">
        <f aca="false">'Apr 2027'!N108</f>
        <v>0</v>
      </c>
      <c r="L108" s="33" t="n">
        <f aca="false">IF(B108="",0,N(Students!G97))</f>
        <v>0</v>
      </c>
      <c r="M108" s="23"/>
      <c r="N108" s="24" t="n">
        <f aca="false">N(K108)+N(L108)-N(M108)</f>
        <v>0</v>
      </c>
      <c r="O108" s="33" t="n">
        <f aca="false">'Apr 2027'!R108</f>
        <v>0</v>
      </c>
      <c r="P108" s="33" t="n">
        <f aca="false">IF(B108="",0,N(Students!H97))</f>
        <v>0</v>
      </c>
      <c r="Q108" s="23"/>
      <c r="R108" s="24" t="n">
        <f aca="false">N(O108)+N(P108)-N(Q108)</f>
        <v>0</v>
      </c>
      <c r="S108" s="33" t="n">
        <f aca="false">'Apr 2027'!V108</f>
        <v>0</v>
      </c>
      <c r="T108" s="33" t="n">
        <f aca="false">IF(B108="",0,N(Students!I97))</f>
        <v>0</v>
      </c>
      <c r="U108" s="23"/>
      <c r="V108" s="24" t="n">
        <f aca="false">N(S108)+N(T108)-N(U108)</f>
        <v>0</v>
      </c>
      <c r="W108" s="33" t="n">
        <f aca="false">'Apr 2027'!Z108</f>
        <v>0</v>
      </c>
      <c r="X108" s="33" t="n">
        <f aca="false">IF(B108="",0,N(Students!J97))</f>
        <v>0</v>
      </c>
      <c r="Y108" s="23"/>
      <c r="Z108" s="24" t="n">
        <f aca="false">N(W108)+N(X108)-N(Y108)</f>
        <v>0</v>
      </c>
      <c r="AA108" s="33" t="n">
        <f aca="false">N(E108)+N(I108)+N(M108)+N(Q108)+N(U108)+N(Y108)</f>
        <v>0</v>
      </c>
      <c r="AB108" s="24" t="n">
        <f aca="false">F108+J108+N108+R108+V108+Z108</f>
        <v>0</v>
      </c>
      <c r="AC108" s="81" t="str">
        <f aca="false">IF(B108="","",IF(AB108&lt;=0,"Clear",IF(AA108&gt;0,"Partial","Due")))</f>
        <v/>
      </c>
    </row>
    <row r="109" customFormat="false" ht="15" hidden="false" customHeight="false" outlineLevel="0" collapsed="false">
      <c r="A109" s="25" t="n">
        <v>94</v>
      </c>
      <c r="B109" s="82" t="str">
        <f aca="false">IF(Students!B98="","",Students!B98)</f>
        <v/>
      </c>
      <c r="C109" s="37" t="n">
        <f aca="false">'Apr 2027'!F109</f>
        <v>0</v>
      </c>
      <c r="D109" s="37" t="n">
        <f aca="false">IF(B109="",0,N(Students!E98))</f>
        <v>0</v>
      </c>
      <c r="E109" s="23"/>
      <c r="F109" s="26" t="n">
        <f aca="false">N(C109)+N(D109)-N(E109)</f>
        <v>0</v>
      </c>
      <c r="G109" s="37" t="n">
        <f aca="false">'Apr 2027'!J109</f>
        <v>0</v>
      </c>
      <c r="H109" s="37" t="n">
        <f aca="false">IF(B109="",0,N(Students!F98))</f>
        <v>0</v>
      </c>
      <c r="I109" s="23"/>
      <c r="J109" s="26" t="n">
        <f aca="false">N(G109)+N(H109)-N(I109)</f>
        <v>0</v>
      </c>
      <c r="K109" s="37" t="n">
        <f aca="false">'Apr 2027'!N109</f>
        <v>0</v>
      </c>
      <c r="L109" s="37" t="n">
        <f aca="false">IF(B109="",0,N(Students!G98))</f>
        <v>0</v>
      </c>
      <c r="M109" s="23"/>
      <c r="N109" s="26" t="n">
        <f aca="false">N(K109)+N(L109)-N(M109)</f>
        <v>0</v>
      </c>
      <c r="O109" s="37" t="n">
        <f aca="false">'Apr 2027'!R109</f>
        <v>0</v>
      </c>
      <c r="P109" s="37" t="n">
        <f aca="false">IF(B109="",0,N(Students!H98))</f>
        <v>0</v>
      </c>
      <c r="Q109" s="23"/>
      <c r="R109" s="26" t="n">
        <f aca="false">N(O109)+N(P109)-N(Q109)</f>
        <v>0</v>
      </c>
      <c r="S109" s="37" t="n">
        <f aca="false">'Apr 2027'!V109</f>
        <v>0</v>
      </c>
      <c r="T109" s="37" t="n">
        <f aca="false">IF(B109="",0,N(Students!I98))</f>
        <v>0</v>
      </c>
      <c r="U109" s="23"/>
      <c r="V109" s="26" t="n">
        <f aca="false">N(S109)+N(T109)-N(U109)</f>
        <v>0</v>
      </c>
      <c r="W109" s="37" t="n">
        <f aca="false">'Apr 2027'!Z109</f>
        <v>0</v>
      </c>
      <c r="X109" s="37" t="n">
        <f aca="false">IF(B109="",0,N(Students!J98))</f>
        <v>0</v>
      </c>
      <c r="Y109" s="23"/>
      <c r="Z109" s="26" t="n">
        <f aca="false">N(W109)+N(X109)-N(Y109)</f>
        <v>0</v>
      </c>
      <c r="AA109" s="37" t="n">
        <f aca="false">N(E109)+N(I109)+N(M109)+N(Q109)+N(U109)+N(Y109)</f>
        <v>0</v>
      </c>
      <c r="AB109" s="26" t="n">
        <f aca="false">F109+J109+N109+R109+V109+Z109</f>
        <v>0</v>
      </c>
      <c r="AC109" s="83" t="str">
        <f aca="false">IF(B109="","",IF(AB109&lt;=0,"Clear",IF(AA109&gt;0,"Partial","Due")))</f>
        <v/>
      </c>
    </row>
    <row r="110" customFormat="false" ht="15" hidden="false" customHeight="false" outlineLevel="0" collapsed="false">
      <c r="A110" s="21" t="n">
        <v>95</v>
      </c>
      <c r="B110" s="46" t="str">
        <f aca="false">IF(Students!B99="","",Students!B99)</f>
        <v/>
      </c>
      <c r="C110" s="33" t="n">
        <f aca="false">'Apr 2027'!F110</f>
        <v>0</v>
      </c>
      <c r="D110" s="33" t="n">
        <f aca="false">IF(B110="",0,N(Students!E99))</f>
        <v>0</v>
      </c>
      <c r="E110" s="23"/>
      <c r="F110" s="24" t="n">
        <f aca="false">N(C110)+N(D110)-N(E110)</f>
        <v>0</v>
      </c>
      <c r="G110" s="33" t="n">
        <f aca="false">'Apr 2027'!J110</f>
        <v>0</v>
      </c>
      <c r="H110" s="33" t="n">
        <f aca="false">IF(B110="",0,N(Students!F99))</f>
        <v>0</v>
      </c>
      <c r="I110" s="23"/>
      <c r="J110" s="24" t="n">
        <f aca="false">N(G110)+N(H110)-N(I110)</f>
        <v>0</v>
      </c>
      <c r="K110" s="33" t="n">
        <f aca="false">'Apr 2027'!N110</f>
        <v>0</v>
      </c>
      <c r="L110" s="33" t="n">
        <f aca="false">IF(B110="",0,N(Students!G99))</f>
        <v>0</v>
      </c>
      <c r="M110" s="23"/>
      <c r="N110" s="24" t="n">
        <f aca="false">N(K110)+N(L110)-N(M110)</f>
        <v>0</v>
      </c>
      <c r="O110" s="33" t="n">
        <f aca="false">'Apr 2027'!R110</f>
        <v>0</v>
      </c>
      <c r="P110" s="33" t="n">
        <f aca="false">IF(B110="",0,N(Students!H99))</f>
        <v>0</v>
      </c>
      <c r="Q110" s="23"/>
      <c r="R110" s="24" t="n">
        <f aca="false">N(O110)+N(P110)-N(Q110)</f>
        <v>0</v>
      </c>
      <c r="S110" s="33" t="n">
        <f aca="false">'Apr 2027'!V110</f>
        <v>0</v>
      </c>
      <c r="T110" s="33" t="n">
        <f aca="false">IF(B110="",0,N(Students!I99))</f>
        <v>0</v>
      </c>
      <c r="U110" s="23"/>
      <c r="V110" s="24" t="n">
        <f aca="false">N(S110)+N(T110)-N(U110)</f>
        <v>0</v>
      </c>
      <c r="W110" s="33" t="n">
        <f aca="false">'Apr 2027'!Z110</f>
        <v>0</v>
      </c>
      <c r="X110" s="33" t="n">
        <f aca="false">IF(B110="",0,N(Students!J99))</f>
        <v>0</v>
      </c>
      <c r="Y110" s="23"/>
      <c r="Z110" s="24" t="n">
        <f aca="false">N(W110)+N(X110)-N(Y110)</f>
        <v>0</v>
      </c>
      <c r="AA110" s="33" t="n">
        <f aca="false">N(E110)+N(I110)+N(M110)+N(Q110)+N(U110)+N(Y110)</f>
        <v>0</v>
      </c>
      <c r="AB110" s="24" t="n">
        <f aca="false">F110+J110+N110+R110+V110+Z110</f>
        <v>0</v>
      </c>
      <c r="AC110" s="81" t="str">
        <f aca="false">IF(B110="","",IF(AB110&lt;=0,"Clear",IF(AA110&gt;0,"Partial","Due")))</f>
        <v/>
      </c>
    </row>
    <row r="111" customFormat="false" ht="15" hidden="false" customHeight="false" outlineLevel="0" collapsed="false">
      <c r="A111" s="25" t="n">
        <v>96</v>
      </c>
      <c r="B111" s="82" t="str">
        <f aca="false">IF(Students!B100="","",Students!B100)</f>
        <v/>
      </c>
      <c r="C111" s="37" t="n">
        <f aca="false">'Apr 2027'!F111</f>
        <v>0</v>
      </c>
      <c r="D111" s="37" t="n">
        <f aca="false">IF(B111="",0,N(Students!E100))</f>
        <v>0</v>
      </c>
      <c r="E111" s="23"/>
      <c r="F111" s="26" t="n">
        <f aca="false">N(C111)+N(D111)-N(E111)</f>
        <v>0</v>
      </c>
      <c r="G111" s="37" t="n">
        <f aca="false">'Apr 2027'!J111</f>
        <v>0</v>
      </c>
      <c r="H111" s="37" t="n">
        <f aca="false">IF(B111="",0,N(Students!F100))</f>
        <v>0</v>
      </c>
      <c r="I111" s="23"/>
      <c r="J111" s="26" t="n">
        <f aca="false">N(G111)+N(H111)-N(I111)</f>
        <v>0</v>
      </c>
      <c r="K111" s="37" t="n">
        <f aca="false">'Apr 2027'!N111</f>
        <v>0</v>
      </c>
      <c r="L111" s="37" t="n">
        <f aca="false">IF(B111="",0,N(Students!G100))</f>
        <v>0</v>
      </c>
      <c r="M111" s="23"/>
      <c r="N111" s="26" t="n">
        <f aca="false">N(K111)+N(L111)-N(M111)</f>
        <v>0</v>
      </c>
      <c r="O111" s="37" t="n">
        <f aca="false">'Apr 2027'!R111</f>
        <v>0</v>
      </c>
      <c r="P111" s="37" t="n">
        <f aca="false">IF(B111="",0,N(Students!H100))</f>
        <v>0</v>
      </c>
      <c r="Q111" s="23"/>
      <c r="R111" s="26" t="n">
        <f aca="false">N(O111)+N(P111)-N(Q111)</f>
        <v>0</v>
      </c>
      <c r="S111" s="37" t="n">
        <f aca="false">'Apr 2027'!V111</f>
        <v>0</v>
      </c>
      <c r="T111" s="37" t="n">
        <f aca="false">IF(B111="",0,N(Students!I100))</f>
        <v>0</v>
      </c>
      <c r="U111" s="23"/>
      <c r="V111" s="26" t="n">
        <f aca="false">N(S111)+N(T111)-N(U111)</f>
        <v>0</v>
      </c>
      <c r="W111" s="37" t="n">
        <f aca="false">'Apr 2027'!Z111</f>
        <v>0</v>
      </c>
      <c r="X111" s="37" t="n">
        <f aca="false">IF(B111="",0,N(Students!J100))</f>
        <v>0</v>
      </c>
      <c r="Y111" s="23"/>
      <c r="Z111" s="26" t="n">
        <f aca="false">N(W111)+N(X111)-N(Y111)</f>
        <v>0</v>
      </c>
      <c r="AA111" s="37" t="n">
        <f aca="false">N(E111)+N(I111)+N(M111)+N(Q111)+N(U111)+N(Y111)</f>
        <v>0</v>
      </c>
      <c r="AB111" s="26" t="n">
        <f aca="false">F111+J111+N111+R111+V111+Z111</f>
        <v>0</v>
      </c>
      <c r="AC111" s="83" t="str">
        <f aca="false">IF(B111="","",IF(AB111&lt;=0,"Clear",IF(AA111&gt;0,"Partial","Due")))</f>
        <v/>
      </c>
    </row>
    <row r="112" customFormat="false" ht="15" hidden="false" customHeight="false" outlineLevel="0" collapsed="false">
      <c r="A112" s="21" t="n">
        <v>97</v>
      </c>
      <c r="B112" s="46" t="str">
        <f aca="false">IF(Students!B101="","",Students!B101)</f>
        <v/>
      </c>
      <c r="C112" s="33" t="n">
        <f aca="false">'Apr 2027'!F112</f>
        <v>0</v>
      </c>
      <c r="D112" s="33" t="n">
        <f aca="false">IF(B112="",0,N(Students!E101))</f>
        <v>0</v>
      </c>
      <c r="E112" s="23"/>
      <c r="F112" s="24" t="n">
        <f aca="false">N(C112)+N(D112)-N(E112)</f>
        <v>0</v>
      </c>
      <c r="G112" s="33" t="n">
        <f aca="false">'Apr 2027'!J112</f>
        <v>0</v>
      </c>
      <c r="H112" s="33" t="n">
        <f aca="false">IF(B112="",0,N(Students!F101))</f>
        <v>0</v>
      </c>
      <c r="I112" s="23"/>
      <c r="J112" s="24" t="n">
        <f aca="false">N(G112)+N(H112)-N(I112)</f>
        <v>0</v>
      </c>
      <c r="K112" s="33" t="n">
        <f aca="false">'Apr 2027'!N112</f>
        <v>0</v>
      </c>
      <c r="L112" s="33" t="n">
        <f aca="false">IF(B112="",0,N(Students!G101))</f>
        <v>0</v>
      </c>
      <c r="M112" s="23"/>
      <c r="N112" s="24" t="n">
        <f aca="false">N(K112)+N(L112)-N(M112)</f>
        <v>0</v>
      </c>
      <c r="O112" s="33" t="n">
        <f aca="false">'Apr 2027'!R112</f>
        <v>0</v>
      </c>
      <c r="P112" s="33" t="n">
        <f aca="false">IF(B112="",0,N(Students!H101))</f>
        <v>0</v>
      </c>
      <c r="Q112" s="23"/>
      <c r="R112" s="24" t="n">
        <f aca="false">N(O112)+N(P112)-N(Q112)</f>
        <v>0</v>
      </c>
      <c r="S112" s="33" t="n">
        <f aca="false">'Apr 2027'!V112</f>
        <v>0</v>
      </c>
      <c r="T112" s="33" t="n">
        <f aca="false">IF(B112="",0,N(Students!I101))</f>
        <v>0</v>
      </c>
      <c r="U112" s="23"/>
      <c r="V112" s="24" t="n">
        <f aca="false">N(S112)+N(T112)-N(U112)</f>
        <v>0</v>
      </c>
      <c r="W112" s="33" t="n">
        <f aca="false">'Apr 2027'!Z112</f>
        <v>0</v>
      </c>
      <c r="X112" s="33" t="n">
        <f aca="false">IF(B112="",0,N(Students!J101))</f>
        <v>0</v>
      </c>
      <c r="Y112" s="23"/>
      <c r="Z112" s="24" t="n">
        <f aca="false">N(W112)+N(X112)-N(Y112)</f>
        <v>0</v>
      </c>
      <c r="AA112" s="33" t="n">
        <f aca="false">N(E112)+N(I112)+N(M112)+N(Q112)+N(U112)+N(Y112)</f>
        <v>0</v>
      </c>
      <c r="AB112" s="24" t="n">
        <f aca="false">F112+J112+N112+R112+V112+Z112</f>
        <v>0</v>
      </c>
      <c r="AC112" s="81" t="str">
        <f aca="false">IF(B112="","",IF(AB112&lt;=0,"Clear",IF(AA112&gt;0,"Partial","Due")))</f>
        <v/>
      </c>
    </row>
    <row r="113" customFormat="false" ht="15" hidden="false" customHeight="false" outlineLevel="0" collapsed="false">
      <c r="A113" s="25" t="n">
        <v>98</v>
      </c>
      <c r="B113" s="82" t="str">
        <f aca="false">IF(Students!B102="","",Students!B102)</f>
        <v/>
      </c>
      <c r="C113" s="37" t="n">
        <f aca="false">'Apr 2027'!F113</f>
        <v>0</v>
      </c>
      <c r="D113" s="37" t="n">
        <f aca="false">IF(B113="",0,N(Students!E102))</f>
        <v>0</v>
      </c>
      <c r="E113" s="23"/>
      <c r="F113" s="26" t="n">
        <f aca="false">N(C113)+N(D113)-N(E113)</f>
        <v>0</v>
      </c>
      <c r="G113" s="37" t="n">
        <f aca="false">'Apr 2027'!J113</f>
        <v>0</v>
      </c>
      <c r="H113" s="37" t="n">
        <f aca="false">IF(B113="",0,N(Students!F102))</f>
        <v>0</v>
      </c>
      <c r="I113" s="23"/>
      <c r="J113" s="26" t="n">
        <f aca="false">N(G113)+N(H113)-N(I113)</f>
        <v>0</v>
      </c>
      <c r="K113" s="37" t="n">
        <f aca="false">'Apr 2027'!N113</f>
        <v>0</v>
      </c>
      <c r="L113" s="37" t="n">
        <f aca="false">IF(B113="",0,N(Students!G102))</f>
        <v>0</v>
      </c>
      <c r="M113" s="23"/>
      <c r="N113" s="26" t="n">
        <f aca="false">N(K113)+N(L113)-N(M113)</f>
        <v>0</v>
      </c>
      <c r="O113" s="37" t="n">
        <f aca="false">'Apr 2027'!R113</f>
        <v>0</v>
      </c>
      <c r="P113" s="37" t="n">
        <f aca="false">IF(B113="",0,N(Students!H102))</f>
        <v>0</v>
      </c>
      <c r="Q113" s="23"/>
      <c r="R113" s="26" t="n">
        <f aca="false">N(O113)+N(P113)-N(Q113)</f>
        <v>0</v>
      </c>
      <c r="S113" s="37" t="n">
        <f aca="false">'Apr 2027'!V113</f>
        <v>0</v>
      </c>
      <c r="T113" s="37" t="n">
        <f aca="false">IF(B113="",0,N(Students!I102))</f>
        <v>0</v>
      </c>
      <c r="U113" s="23"/>
      <c r="V113" s="26" t="n">
        <f aca="false">N(S113)+N(T113)-N(U113)</f>
        <v>0</v>
      </c>
      <c r="W113" s="37" t="n">
        <f aca="false">'Apr 2027'!Z113</f>
        <v>0</v>
      </c>
      <c r="X113" s="37" t="n">
        <f aca="false">IF(B113="",0,N(Students!J102))</f>
        <v>0</v>
      </c>
      <c r="Y113" s="23"/>
      <c r="Z113" s="26" t="n">
        <f aca="false">N(W113)+N(X113)-N(Y113)</f>
        <v>0</v>
      </c>
      <c r="AA113" s="37" t="n">
        <f aca="false">N(E113)+N(I113)+N(M113)+N(Q113)+N(U113)+N(Y113)</f>
        <v>0</v>
      </c>
      <c r="AB113" s="26" t="n">
        <f aca="false">F113+J113+N113+R113+V113+Z113</f>
        <v>0</v>
      </c>
      <c r="AC113" s="83" t="str">
        <f aca="false">IF(B113="","",IF(AB113&lt;=0,"Clear",IF(AA113&gt;0,"Partial","Due")))</f>
        <v/>
      </c>
    </row>
    <row r="114" customFormat="false" ht="15" hidden="false" customHeight="false" outlineLevel="0" collapsed="false">
      <c r="A114" s="21" t="n">
        <v>99</v>
      </c>
      <c r="B114" s="46" t="str">
        <f aca="false">IF(Students!B103="","",Students!B103)</f>
        <v/>
      </c>
      <c r="C114" s="33" t="n">
        <f aca="false">'Apr 2027'!F114</f>
        <v>0</v>
      </c>
      <c r="D114" s="33" t="n">
        <f aca="false">IF(B114="",0,N(Students!E103))</f>
        <v>0</v>
      </c>
      <c r="E114" s="23"/>
      <c r="F114" s="24" t="n">
        <f aca="false">N(C114)+N(D114)-N(E114)</f>
        <v>0</v>
      </c>
      <c r="G114" s="33" t="n">
        <f aca="false">'Apr 2027'!J114</f>
        <v>0</v>
      </c>
      <c r="H114" s="33" t="n">
        <f aca="false">IF(B114="",0,N(Students!F103))</f>
        <v>0</v>
      </c>
      <c r="I114" s="23"/>
      <c r="J114" s="24" t="n">
        <f aca="false">N(G114)+N(H114)-N(I114)</f>
        <v>0</v>
      </c>
      <c r="K114" s="33" t="n">
        <f aca="false">'Apr 2027'!N114</f>
        <v>0</v>
      </c>
      <c r="L114" s="33" t="n">
        <f aca="false">IF(B114="",0,N(Students!G103))</f>
        <v>0</v>
      </c>
      <c r="M114" s="23"/>
      <c r="N114" s="24" t="n">
        <f aca="false">N(K114)+N(L114)-N(M114)</f>
        <v>0</v>
      </c>
      <c r="O114" s="33" t="n">
        <f aca="false">'Apr 2027'!R114</f>
        <v>0</v>
      </c>
      <c r="P114" s="33" t="n">
        <f aca="false">IF(B114="",0,N(Students!H103))</f>
        <v>0</v>
      </c>
      <c r="Q114" s="23"/>
      <c r="R114" s="24" t="n">
        <f aca="false">N(O114)+N(P114)-N(Q114)</f>
        <v>0</v>
      </c>
      <c r="S114" s="33" t="n">
        <f aca="false">'Apr 2027'!V114</f>
        <v>0</v>
      </c>
      <c r="T114" s="33" t="n">
        <f aca="false">IF(B114="",0,N(Students!I103))</f>
        <v>0</v>
      </c>
      <c r="U114" s="23"/>
      <c r="V114" s="24" t="n">
        <f aca="false">N(S114)+N(T114)-N(U114)</f>
        <v>0</v>
      </c>
      <c r="W114" s="33" t="n">
        <f aca="false">'Apr 2027'!Z114</f>
        <v>0</v>
      </c>
      <c r="X114" s="33" t="n">
        <f aca="false">IF(B114="",0,N(Students!J103))</f>
        <v>0</v>
      </c>
      <c r="Y114" s="23"/>
      <c r="Z114" s="24" t="n">
        <f aca="false">N(W114)+N(X114)-N(Y114)</f>
        <v>0</v>
      </c>
      <c r="AA114" s="33" t="n">
        <f aca="false">N(E114)+N(I114)+N(M114)+N(Q114)+N(U114)+N(Y114)</f>
        <v>0</v>
      </c>
      <c r="AB114" s="24" t="n">
        <f aca="false">F114+J114+N114+R114+V114+Z114</f>
        <v>0</v>
      </c>
      <c r="AC114" s="81" t="str">
        <f aca="false">IF(B114="","",IF(AB114&lt;=0,"Clear",IF(AA114&gt;0,"Partial","Due")))</f>
        <v/>
      </c>
    </row>
    <row r="115" customFormat="false" ht="15" hidden="false" customHeight="false" outlineLevel="0" collapsed="false">
      <c r="A115" s="25" t="n">
        <v>100</v>
      </c>
      <c r="B115" s="82" t="str">
        <f aca="false">IF(Students!B104="","",Students!B104)</f>
        <v/>
      </c>
      <c r="C115" s="37" t="n">
        <f aca="false">'Apr 2027'!F115</f>
        <v>0</v>
      </c>
      <c r="D115" s="37" t="n">
        <f aca="false">IF(B115="",0,N(Students!E104))</f>
        <v>0</v>
      </c>
      <c r="E115" s="23"/>
      <c r="F115" s="26" t="n">
        <f aca="false">N(C115)+N(D115)-N(E115)</f>
        <v>0</v>
      </c>
      <c r="G115" s="37" t="n">
        <f aca="false">'Apr 2027'!J115</f>
        <v>0</v>
      </c>
      <c r="H115" s="37" t="n">
        <f aca="false">IF(B115="",0,N(Students!F104))</f>
        <v>0</v>
      </c>
      <c r="I115" s="23"/>
      <c r="J115" s="26" t="n">
        <f aca="false">N(G115)+N(H115)-N(I115)</f>
        <v>0</v>
      </c>
      <c r="K115" s="37" t="n">
        <f aca="false">'Apr 2027'!N115</f>
        <v>0</v>
      </c>
      <c r="L115" s="37" t="n">
        <f aca="false">IF(B115="",0,N(Students!G104))</f>
        <v>0</v>
      </c>
      <c r="M115" s="23"/>
      <c r="N115" s="26" t="n">
        <f aca="false">N(K115)+N(L115)-N(M115)</f>
        <v>0</v>
      </c>
      <c r="O115" s="37" t="n">
        <f aca="false">'Apr 2027'!R115</f>
        <v>0</v>
      </c>
      <c r="P115" s="37" t="n">
        <f aca="false">IF(B115="",0,N(Students!H104))</f>
        <v>0</v>
      </c>
      <c r="Q115" s="23"/>
      <c r="R115" s="26" t="n">
        <f aca="false">N(O115)+N(P115)-N(Q115)</f>
        <v>0</v>
      </c>
      <c r="S115" s="37" t="n">
        <f aca="false">'Apr 2027'!V115</f>
        <v>0</v>
      </c>
      <c r="T115" s="37" t="n">
        <f aca="false">IF(B115="",0,N(Students!I104))</f>
        <v>0</v>
      </c>
      <c r="U115" s="23"/>
      <c r="V115" s="26" t="n">
        <f aca="false">N(S115)+N(T115)-N(U115)</f>
        <v>0</v>
      </c>
      <c r="W115" s="37" t="n">
        <f aca="false">'Apr 2027'!Z115</f>
        <v>0</v>
      </c>
      <c r="X115" s="37" t="n">
        <f aca="false">IF(B115="",0,N(Students!J104))</f>
        <v>0</v>
      </c>
      <c r="Y115" s="23"/>
      <c r="Z115" s="26" t="n">
        <f aca="false">N(W115)+N(X115)-N(Y115)</f>
        <v>0</v>
      </c>
      <c r="AA115" s="37" t="n">
        <f aca="false">N(E115)+N(I115)+N(M115)+N(Q115)+N(U115)+N(Y115)</f>
        <v>0</v>
      </c>
      <c r="AB115" s="26" t="n">
        <f aca="false">F115+J115+N115+R115+V115+Z115</f>
        <v>0</v>
      </c>
      <c r="AC115" s="83" t="str">
        <f aca="false">IF(B115="","",IF(AB115&lt;=0,"Clear",IF(AA115&gt;0,"Partial","Due")))</f>
        <v/>
      </c>
    </row>
    <row r="116" customFormat="false" ht="15" hidden="false" customHeight="false" outlineLevel="0" collapsed="false">
      <c r="A116" s="21" t="n">
        <v>101</v>
      </c>
      <c r="B116" s="46" t="str">
        <f aca="false">IF(Students!B105="","",Students!B105)</f>
        <v/>
      </c>
      <c r="C116" s="33" t="n">
        <f aca="false">'Apr 2027'!F116</f>
        <v>0</v>
      </c>
      <c r="D116" s="33" t="n">
        <f aca="false">IF(B116="",0,N(Students!E105))</f>
        <v>0</v>
      </c>
      <c r="E116" s="23"/>
      <c r="F116" s="24" t="n">
        <f aca="false">N(C116)+N(D116)-N(E116)</f>
        <v>0</v>
      </c>
      <c r="G116" s="33" t="n">
        <f aca="false">'Apr 2027'!J116</f>
        <v>0</v>
      </c>
      <c r="H116" s="33" t="n">
        <f aca="false">IF(B116="",0,N(Students!F105))</f>
        <v>0</v>
      </c>
      <c r="I116" s="23"/>
      <c r="J116" s="24" t="n">
        <f aca="false">N(G116)+N(H116)-N(I116)</f>
        <v>0</v>
      </c>
      <c r="K116" s="33" t="n">
        <f aca="false">'Apr 2027'!N116</f>
        <v>0</v>
      </c>
      <c r="L116" s="33" t="n">
        <f aca="false">IF(B116="",0,N(Students!G105))</f>
        <v>0</v>
      </c>
      <c r="M116" s="23"/>
      <c r="N116" s="24" t="n">
        <f aca="false">N(K116)+N(L116)-N(M116)</f>
        <v>0</v>
      </c>
      <c r="O116" s="33" t="n">
        <f aca="false">'Apr 2027'!R116</f>
        <v>0</v>
      </c>
      <c r="P116" s="33" t="n">
        <f aca="false">IF(B116="",0,N(Students!H105))</f>
        <v>0</v>
      </c>
      <c r="Q116" s="23"/>
      <c r="R116" s="24" t="n">
        <f aca="false">N(O116)+N(P116)-N(Q116)</f>
        <v>0</v>
      </c>
      <c r="S116" s="33" t="n">
        <f aca="false">'Apr 2027'!V116</f>
        <v>0</v>
      </c>
      <c r="T116" s="33" t="n">
        <f aca="false">IF(B116="",0,N(Students!I105))</f>
        <v>0</v>
      </c>
      <c r="U116" s="23"/>
      <c r="V116" s="24" t="n">
        <f aca="false">N(S116)+N(T116)-N(U116)</f>
        <v>0</v>
      </c>
      <c r="W116" s="33" t="n">
        <f aca="false">'Apr 2027'!Z116</f>
        <v>0</v>
      </c>
      <c r="X116" s="33" t="n">
        <f aca="false">IF(B116="",0,N(Students!J105))</f>
        <v>0</v>
      </c>
      <c r="Y116" s="23"/>
      <c r="Z116" s="24" t="n">
        <f aca="false">N(W116)+N(X116)-N(Y116)</f>
        <v>0</v>
      </c>
      <c r="AA116" s="33" t="n">
        <f aca="false">N(E116)+N(I116)+N(M116)+N(Q116)+N(U116)+N(Y116)</f>
        <v>0</v>
      </c>
      <c r="AB116" s="24" t="n">
        <f aca="false">F116+J116+N116+R116+V116+Z116</f>
        <v>0</v>
      </c>
      <c r="AC116" s="81" t="str">
        <f aca="false">IF(B116="","",IF(AB116&lt;=0,"Clear",IF(AA116&gt;0,"Partial","Due")))</f>
        <v/>
      </c>
    </row>
    <row r="117" customFormat="false" ht="15" hidden="false" customHeight="false" outlineLevel="0" collapsed="false">
      <c r="A117" s="25" t="n">
        <v>102</v>
      </c>
      <c r="B117" s="82" t="str">
        <f aca="false">IF(Students!B106="","",Students!B106)</f>
        <v/>
      </c>
      <c r="C117" s="37" t="n">
        <f aca="false">'Apr 2027'!F117</f>
        <v>0</v>
      </c>
      <c r="D117" s="37" t="n">
        <f aca="false">IF(B117="",0,N(Students!E106))</f>
        <v>0</v>
      </c>
      <c r="E117" s="23"/>
      <c r="F117" s="26" t="n">
        <f aca="false">N(C117)+N(D117)-N(E117)</f>
        <v>0</v>
      </c>
      <c r="G117" s="37" t="n">
        <f aca="false">'Apr 2027'!J117</f>
        <v>0</v>
      </c>
      <c r="H117" s="37" t="n">
        <f aca="false">IF(B117="",0,N(Students!F106))</f>
        <v>0</v>
      </c>
      <c r="I117" s="23"/>
      <c r="J117" s="26" t="n">
        <f aca="false">N(G117)+N(H117)-N(I117)</f>
        <v>0</v>
      </c>
      <c r="K117" s="37" t="n">
        <f aca="false">'Apr 2027'!N117</f>
        <v>0</v>
      </c>
      <c r="L117" s="37" t="n">
        <f aca="false">IF(B117="",0,N(Students!G106))</f>
        <v>0</v>
      </c>
      <c r="M117" s="23"/>
      <c r="N117" s="26" t="n">
        <f aca="false">N(K117)+N(L117)-N(M117)</f>
        <v>0</v>
      </c>
      <c r="O117" s="37" t="n">
        <f aca="false">'Apr 2027'!R117</f>
        <v>0</v>
      </c>
      <c r="P117" s="37" t="n">
        <f aca="false">IF(B117="",0,N(Students!H106))</f>
        <v>0</v>
      </c>
      <c r="Q117" s="23"/>
      <c r="R117" s="26" t="n">
        <f aca="false">N(O117)+N(P117)-N(Q117)</f>
        <v>0</v>
      </c>
      <c r="S117" s="37" t="n">
        <f aca="false">'Apr 2027'!V117</f>
        <v>0</v>
      </c>
      <c r="T117" s="37" t="n">
        <f aca="false">IF(B117="",0,N(Students!I106))</f>
        <v>0</v>
      </c>
      <c r="U117" s="23"/>
      <c r="V117" s="26" t="n">
        <f aca="false">N(S117)+N(T117)-N(U117)</f>
        <v>0</v>
      </c>
      <c r="W117" s="37" t="n">
        <f aca="false">'Apr 2027'!Z117</f>
        <v>0</v>
      </c>
      <c r="X117" s="37" t="n">
        <f aca="false">IF(B117="",0,N(Students!J106))</f>
        <v>0</v>
      </c>
      <c r="Y117" s="23"/>
      <c r="Z117" s="26" t="n">
        <f aca="false">N(W117)+N(X117)-N(Y117)</f>
        <v>0</v>
      </c>
      <c r="AA117" s="37" t="n">
        <f aca="false">N(E117)+N(I117)+N(M117)+N(Q117)+N(U117)+N(Y117)</f>
        <v>0</v>
      </c>
      <c r="AB117" s="26" t="n">
        <f aca="false">F117+J117+N117+R117+V117+Z117</f>
        <v>0</v>
      </c>
      <c r="AC117" s="83" t="str">
        <f aca="false">IF(B117="","",IF(AB117&lt;=0,"Clear",IF(AA117&gt;0,"Partial","Due")))</f>
        <v/>
      </c>
    </row>
    <row r="118" customFormat="false" ht="15" hidden="false" customHeight="false" outlineLevel="0" collapsed="false">
      <c r="A118" s="21" t="n">
        <v>103</v>
      </c>
      <c r="B118" s="46" t="str">
        <f aca="false">IF(Students!B107="","",Students!B107)</f>
        <v/>
      </c>
      <c r="C118" s="33" t="n">
        <f aca="false">'Apr 2027'!F118</f>
        <v>0</v>
      </c>
      <c r="D118" s="33" t="n">
        <f aca="false">IF(B118="",0,N(Students!E107))</f>
        <v>0</v>
      </c>
      <c r="E118" s="23"/>
      <c r="F118" s="24" t="n">
        <f aca="false">N(C118)+N(D118)-N(E118)</f>
        <v>0</v>
      </c>
      <c r="G118" s="33" t="n">
        <f aca="false">'Apr 2027'!J118</f>
        <v>0</v>
      </c>
      <c r="H118" s="33" t="n">
        <f aca="false">IF(B118="",0,N(Students!F107))</f>
        <v>0</v>
      </c>
      <c r="I118" s="23"/>
      <c r="J118" s="24" t="n">
        <f aca="false">N(G118)+N(H118)-N(I118)</f>
        <v>0</v>
      </c>
      <c r="K118" s="33" t="n">
        <f aca="false">'Apr 2027'!N118</f>
        <v>0</v>
      </c>
      <c r="L118" s="33" t="n">
        <f aca="false">IF(B118="",0,N(Students!G107))</f>
        <v>0</v>
      </c>
      <c r="M118" s="23"/>
      <c r="N118" s="24" t="n">
        <f aca="false">N(K118)+N(L118)-N(M118)</f>
        <v>0</v>
      </c>
      <c r="O118" s="33" t="n">
        <f aca="false">'Apr 2027'!R118</f>
        <v>0</v>
      </c>
      <c r="P118" s="33" t="n">
        <f aca="false">IF(B118="",0,N(Students!H107))</f>
        <v>0</v>
      </c>
      <c r="Q118" s="23"/>
      <c r="R118" s="24" t="n">
        <f aca="false">N(O118)+N(P118)-N(Q118)</f>
        <v>0</v>
      </c>
      <c r="S118" s="33" t="n">
        <f aca="false">'Apr 2027'!V118</f>
        <v>0</v>
      </c>
      <c r="T118" s="33" t="n">
        <f aca="false">IF(B118="",0,N(Students!I107))</f>
        <v>0</v>
      </c>
      <c r="U118" s="23"/>
      <c r="V118" s="24" t="n">
        <f aca="false">N(S118)+N(T118)-N(U118)</f>
        <v>0</v>
      </c>
      <c r="W118" s="33" t="n">
        <f aca="false">'Apr 2027'!Z118</f>
        <v>0</v>
      </c>
      <c r="X118" s="33" t="n">
        <f aca="false">IF(B118="",0,N(Students!J107))</f>
        <v>0</v>
      </c>
      <c r="Y118" s="23"/>
      <c r="Z118" s="24" t="n">
        <f aca="false">N(W118)+N(X118)-N(Y118)</f>
        <v>0</v>
      </c>
      <c r="AA118" s="33" t="n">
        <f aca="false">N(E118)+N(I118)+N(M118)+N(Q118)+N(U118)+N(Y118)</f>
        <v>0</v>
      </c>
      <c r="AB118" s="24" t="n">
        <f aca="false">F118+J118+N118+R118+V118+Z118</f>
        <v>0</v>
      </c>
      <c r="AC118" s="81" t="str">
        <f aca="false">IF(B118="","",IF(AB118&lt;=0,"Clear",IF(AA118&gt;0,"Partial","Due")))</f>
        <v/>
      </c>
    </row>
    <row r="119" customFormat="false" ht="15" hidden="false" customHeight="false" outlineLevel="0" collapsed="false">
      <c r="A119" s="25" t="n">
        <v>104</v>
      </c>
      <c r="B119" s="82" t="str">
        <f aca="false">IF(Students!B108="","",Students!B108)</f>
        <v/>
      </c>
      <c r="C119" s="37" t="n">
        <f aca="false">'Apr 2027'!F119</f>
        <v>0</v>
      </c>
      <c r="D119" s="37" t="n">
        <f aca="false">IF(B119="",0,N(Students!E108))</f>
        <v>0</v>
      </c>
      <c r="E119" s="23"/>
      <c r="F119" s="26" t="n">
        <f aca="false">N(C119)+N(D119)-N(E119)</f>
        <v>0</v>
      </c>
      <c r="G119" s="37" t="n">
        <f aca="false">'Apr 2027'!J119</f>
        <v>0</v>
      </c>
      <c r="H119" s="37" t="n">
        <f aca="false">IF(B119="",0,N(Students!F108))</f>
        <v>0</v>
      </c>
      <c r="I119" s="23"/>
      <c r="J119" s="26" t="n">
        <f aca="false">N(G119)+N(H119)-N(I119)</f>
        <v>0</v>
      </c>
      <c r="K119" s="37" t="n">
        <f aca="false">'Apr 2027'!N119</f>
        <v>0</v>
      </c>
      <c r="L119" s="37" t="n">
        <f aca="false">IF(B119="",0,N(Students!G108))</f>
        <v>0</v>
      </c>
      <c r="M119" s="23"/>
      <c r="N119" s="26" t="n">
        <f aca="false">N(K119)+N(L119)-N(M119)</f>
        <v>0</v>
      </c>
      <c r="O119" s="37" t="n">
        <f aca="false">'Apr 2027'!R119</f>
        <v>0</v>
      </c>
      <c r="P119" s="37" t="n">
        <f aca="false">IF(B119="",0,N(Students!H108))</f>
        <v>0</v>
      </c>
      <c r="Q119" s="23"/>
      <c r="R119" s="26" t="n">
        <f aca="false">N(O119)+N(P119)-N(Q119)</f>
        <v>0</v>
      </c>
      <c r="S119" s="37" t="n">
        <f aca="false">'Apr 2027'!V119</f>
        <v>0</v>
      </c>
      <c r="T119" s="37" t="n">
        <f aca="false">IF(B119="",0,N(Students!I108))</f>
        <v>0</v>
      </c>
      <c r="U119" s="23"/>
      <c r="V119" s="26" t="n">
        <f aca="false">N(S119)+N(T119)-N(U119)</f>
        <v>0</v>
      </c>
      <c r="W119" s="37" t="n">
        <f aca="false">'Apr 2027'!Z119</f>
        <v>0</v>
      </c>
      <c r="X119" s="37" t="n">
        <f aca="false">IF(B119="",0,N(Students!J108))</f>
        <v>0</v>
      </c>
      <c r="Y119" s="23"/>
      <c r="Z119" s="26" t="n">
        <f aca="false">N(W119)+N(X119)-N(Y119)</f>
        <v>0</v>
      </c>
      <c r="AA119" s="37" t="n">
        <f aca="false">N(E119)+N(I119)+N(M119)+N(Q119)+N(U119)+N(Y119)</f>
        <v>0</v>
      </c>
      <c r="AB119" s="26" t="n">
        <f aca="false">F119+J119+N119+R119+V119+Z119</f>
        <v>0</v>
      </c>
      <c r="AC119" s="83" t="str">
        <f aca="false">IF(B119="","",IF(AB119&lt;=0,"Clear",IF(AA119&gt;0,"Partial","Due")))</f>
        <v/>
      </c>
    </row>
    <row r="120" customFormat="false" ht="15" hidden="false" customHeight="false" outlineLevel="0" collapsed="false">
      <c r="A120" s="21" t="n">
        <v>105</v>
      </c>
      <c r="B120" s="46" t="str">
        <f aca="false">IF(Students!B109="","",Students!B109)</f>
        <v/>
      </c>
      <c r="C120" s="33" t="n">
        <f aca="false">'Apr 2027'!F120</f>
        <v>0</v>
      </c>
      <c r="D120" s="33" t="n">
        <f aca="false">IF(B120="",0,N(Students!E109))</f>
        <v>0</v>
      </c>
      <c r="E120" s="23"/>
      <c r="F120" s="24" t="n">
        <f aca="false">N(C120)+N(D120)-N(E120)</f>
        <v>0</v>
      </c>
      <c r="G120" s="33" t="n">
        <f aca="false">'Apr 2027'!J120</f>
        <v>0</v>
      </c>
      <c r="H120" s="33" t="n">
        <f aca="false">IF(B120="",0,N(Students!F109))</f>
        <v>0</v>
      </c>
      <c r="I120" s="23"/>
      <c r="J120" s="24" t="n">
        <f aca="false">N(G120)+N(H120)-N(I120)</f>
        <v>0</v>
      </c>
      <c r="K120" s="33" t="n">
        <f aca="false">'Apr 2027'!N120</f>
        <v>0</v>
      </c>
      <c r="L120" s="33" t="n">
        <f aca="false">IF(B120="",0,N(Students!G109))</f>
        <v>0</v>
      </c>
      <c r="M120" s="23"/>
      <c r="N120" s="24" t="n">
        <f aca="false">N(K120)+N(L120)-N(M120)</f>
        <v>0</v>
      </c>
      <c r="O120" s="33" t="n">
        <f aca="false">'Apr 2027'!R120</f>
        <v>0</v>
      </c>
      <c r="P120" s="33" t="n">
        <f aca="false">IF(B120="",0,N(Students!H109))</f>
        <v>0</v>
      </c>
      <c r="Q120" s="23"/>
      <c r="R120" s="24" t="n">
        <f aca="false">N(O120)+N(P120)-N(Q120)</f>
        <v>0</v>
      </c>
      <c r="S120" s="33" t="n">
        <f aca="false">'Apr 2027'!V120</f>
        <v>0</v>
      </c>
      <c r="T120" s="33" t="n">
        <f aca="false">IF(B120="",0,N(Students!I109))</f>
        <v>0</v>
      </c>
      <c r="U120" s="23"/>
      <c r="V120" s="24" t="n">
        <f aca="false">N(S120)+N(T120)-N(U120)</f>
        <v>0</v>
      </c>
      <c r="W120" s="33" t="n">
        <f aca="false">'Apr 2027'!Z120</f>
        <v>0</v>
      </c>
      <c r="X120" s="33" t="n">
        <f aca="false">IF(B120="",0,N(Students!J109))</f>
        <v>0</v>
      </c>
      <c r="Y120" s="23"/>
      <c r="Z120" s="24" t="n">
        <f aca="false">N(W120)+N(X120)-N(Y120)</f>
        <v>0</v>
      </c>
      <c r="AA120" s="33" t="n">
        <f aca="false">N(E120)+N(I120)+N(M120)+N(Q120)+N(U120)+N(Y120)</f>
        <v>0</v>
      </c>
      <c r="AB120" s="24" t="n">
        <f aca="false">F120+J120+N120+R120+V120+Z120</f>
        <v>0</v>
      </c>
      <c r="AC120" s="81" t="str">
        <f aca="false">IF(B120="","",IF(AB120&lt;=0,"Clear",IF(AA120&gt;0,"Partial","Due")))</f>
        <v/>
      </c>
    </row>
    <row r="121" customFormat="false" ht="15" hidden="false" customHeight="false" outlineLevel="0" collapsed="false">
      <c r="A121" s="25" t="n">
        <v>106</v>
      </c>
      <c r="B121" s="82" t="str">
        <f aca="false">IF(Students!B110="","",Students!B110)</f>
        <v/>
      </c>
      <c r="C121" s="37" t="n">
        <f aca="false">'Apr 2027'!F121</f>
        <v>0</v>
      </c>
      <c r="D121" s="37" t="n">
        <f aca="false">IF(B121="",0,N(Students!E110))</f>
        <v>0</v>
      </c>
      <c r="E121" s="23"/>
      <c r="F121" s="26" t="n">
        <f aca="false">N(C121)+N(D121)-N(E121)</f>
        <v>0</v>
      </c>
      <c r="G121" s="37" t="n">
        <f aca="false">'Apr 2027'!J121</f>
        <v>0</v>
      </c>
      <c r="H121" s="37" t="n">
        <f aca="false">IF(B121="",0,N(Students!F110))</f>
        <v>0</v>
      </c>
      <c r="I121" s="23"/>
      <c r="J121" s="26" t="n">
        <f aca="false">N(G121)+N(H121)-N(I121)</f>
        <v>0</v>
      </c>
      <c r="K121" s="37" t="n">
        <f aca="false">'Apr 2027'!N121</f>
        <v>0</v>
      </c>
      <c r="L121" s="37" t="n">
        <f aca="false">IF(B121="",0,N(Students!G110))</f>
        <v>0</v>
      </c>
      <c r="M121" s="23"/>
      <c r="N121" s="26" t="n">
        <f aca="false">N(K121)+N(L121)-N(M121)</f>
        <v>0</v>
      </c>
      <c r="O121" s="37" t="n">
        <f aca="false">'Apr 2027'!R121</f>
        <v>0</v>
      </c>
      <c r="P121" s="37" t="n">
        <f aca="false">IF(B121="",0,N(Students!H110))</f>
        <v>0</v>
      </c>
      <c r="Q121" s="23"/>
      <c r="R121" s="26" t="n">
        <f aca="false">N(O121)+N(P121)-N(Q121)</f>
        <v>0</v>
      </c>
      <c r="S121" s="37" t="n">
        <f aca="false">'Apr 2027'!V121</f>
        <v>0</v>
      </c>
      <c r="T121" s="37" t="n">
        <f aca="false">IF(B121="",0,N(Students!I110))</f>
        <v>0</v>
      </c>
      <c r="U121" s="23"/>
      <c r="V121" s="26" t="n">
        <f aca="false">N(S121)+N(T121)-N(U121)</f>
        <v>0</v>
      </c>
      <c r="W121" s="37" t="n">
        <f aca="false">'Apr 2027'!Z121</f>
        <v>0</v>
      </c>
      <c r="X121" s="37" t="n">
        <f aca="false">IF(B121="",0,N(Students!J110))</f>
        <v>0</v>
      </c>
      <c r="Y121" s="23"/>
      <c r="Z121" s="26" t="n">
        <f aca="false">N(W121)+N(X121)-N(Y121)</f>
        <v>0</v>
      </c>
      <c r="AA121" s="37" t="n">
        <f aca="false">N(E121)+N(I121)+N(M121)+N(Q121)+N(U121)+N(Y121)</f>
        <v>0</v>
      </c>
      <c r="AB121" s="26" t="n">
        <f aca="false">F121+J121+N121+R121+V121+Z121</f>
        <v>0</v>
      </c>
      <c r="AC121" s="83" t="str">
        <f aca="false">IF(B121="","",IF(AB121&lt;=0,"Clear",IF(AA121&gt;0,"Partial","Due")))</f>
        <v/>
      </c>
    </row>
    <row r="122" customFormat="false" ht="15" hidden="false" customHeight="false" outlineLevel="0" collapsed="false">
      <c r="A122" s="21" t="n">
        <v>107</v>
      </c>
      <c r="B122" s="46" t="str">
        <f aca="false">IF(Students!B111="","",Students!B111)</f>
        <v/>
      </c>
      <c r="C122" s="33" t="n">
        <f aca="false">'Apr 2027'!F122</f>
        <v>0</v>
      </c>
      <c r="D122" s="33" t="n">
        <f aca="false">IF(B122="",0,N(Students!E111))</f>
        <v>0</v>
      </c>
      <c r="E122" s="23"/>
      <c r="F122" s="24" t="n">
        <f aca="false">N(C122)+N(D122)-N(E122)</f>
        <v>0</v>
      </c>
      <c r="G122" s="33" t="n">
        <f aca="false">'Apr 2027'!J122</f>
        <v>0</v>
      </c>
      <c r="H122" s="33" t="n">
        <f aca="false">IF(B122="",0,N(Students!F111))</f>
        <v>0</v>
      </c>
      <c r="I122" s="23"/>
      <c r="J122" s="24" t="n">
        <f aca="false">N(G122)+N(H122)-N(I122)</f>
        <v>0</v>
      </c>
      <c r="K122" s="33" t="n">
        <f aca="false">'Apr 2027'!N122</f>
        <v>0</v>
      </c>
      <c r="L122" s="33" t="n">
        <f aca="false">IF(B122="",0,N(Students!G111))</f>
        <v>0</v>
      </c>
      <c r="M122" s="23"/>
      <c r="N122" s="24" t="n">
        <f aca="false">N(K122)+N(L122)-N(M122)</f>
        <v>0</v>
      </c>
      <c r="O122" s="33" t="n">
        <f aca="false">'Apr 2027'!R122</f>
        <v>0</v>
      </c>
      <c r="P122" s="33" t="n">
        <f aca="false">IF(B122="",0,N(Students!H111))</f>
        <v>0</v>
      </c>
      <c r="Q122" s="23"/>
      <c r="R122" s="24" t="n">
        <f aca="false">N(O122)+N(P122)-N(Q122)</f>
        <v>0</v>
      </c>
      <c r="S122" s="33" t="n">
        <f aca="false">'Apr 2027'!V122</f>
        <v>0</v>
      </c>
      <c r="T122" s="33" t="n">
        <f aca="false">IF(B122="",0,N(Students!I111))</f>
        <v>0</v>
      </c>
      <c r="U122" s="23"/>
      <c r="V122" s="24" t="n">
        <f aca="false">N(S122)+N(T122)-N(U122)</f>
        <v>0</v>
      </c>
      <c r="W122" s="33" t="n">
        <f aca="false">'Apr 2027'!Z122</f>
        <v>0</v>
      </c>
      <c r="X122" s="33" t="n">
        <f aca="false">IF(B122="",0,N(Students!J111))</f>
        <v>0</v>
      </c>
      <c r="Y122" s="23"/>
      <c r="Z122" s="24" t="n">
        <f aca="false">N(W122)+N(X122)-N(Y122)</f>
        <v>0</v>
      </c>
      <c r="AA122" s="33" t="n">
        <f aca="false">N(E122)+N(I122)+N(M122)+N(Q122)+N(U122)+N(Y122)</f>
        <v>0</v>
      </c>
      <c r="AB122" s="24" t="n">
        <f aca="false">F122+J122+N122+R122+V122+Z122</f>
        <v>0</v>
      </c>
      <c r="AC122" s="81" t="str">
        <f aca="false">IF(B122="","",IF(AB122&lt;=0,"Clear",IF(AA122&gt;0,"Partial","Due")))</f>
        <v/>
      </c>
    </row>
    <row r="123" customFormat="false" ht="15" hidden="false" customHeight="false" outlineLevel="0" collapsed="false">
      <c r="A123" s="25" t="n">
        <v>108</v>
      </c>
      <c r="B123" s="82" t="str">
        <f aca="false">IF(Students!B112="","",Students!B112)</f>
        <v/>
      </c>
      <c r="C123" s="37" t="n">
        <f aca="false">'Apr 2027'!F123</f>
        <v>0</v>
      </c>
      <c r="D123" s="37" t="n">
        <f aca="false">IF(B123="",0,N(Students!E112))</f>
        <v>0</v>
      </c>
      <c r="E123" s="23"/>
      <c r="F123" s="26" t="n">
        <f aca="false">N(C123)+N(D123)-N(E123)</f>
        <v>0</v>
      </c>
      <c r="G123" s="37" t="n">
        <f aca="false">'Apr 2027'!J123</f>
        <v>0</v>
      </c>
      <c r="H123" s="37" t="n">
        <f aca="false">IF(B123="",0,N(Students!F112))</f>
        <v>0</v>
      </c>
      <c r="I123" s="23"/>
      <c r="J123" s="26" t="n">
        <f aca="false">N(G123)+N(H123)-N(I123)</f>
        <v>0</v>
      </c>
      <c r="K123" s="37" t="n">
        <f aca="false">'Apr 2027'!N123</f>
        <v>0</v>
      </c>
      <c r="L123" s="37" t="n">
        <f aca="false">IF(B123="",0,N(Students!G112))</f>
        <v>0</v>
      </c>
      <c r="M123" s="23"/>
      <c r="N123" s="26" t="n">
        <f aca="false">N(K123)+N(L123)-N(M123)</f>
        <v>0</v>
      </c>
      <c r="O123" s="37" t="n">
        <f aca="false">'Apr 2027'!R123</f>
        <v>0</v>
      </c>
      <c r="P123" s="37" t="n">
        <f aca="false">IF(B123="",0,N(Students!H112))</f>
        <v>0</v>
      </c>
      <c r="Q123" s="23"/>
      <c r="R123" s="26" t="n">
        <f aca="false">N(O123)+N(P123)-N(Q123)</f>
        <v>0</v>
      </c>
      <c r="S123" s="37" t="n">
        <f aca="false">'Apr 2027'!V123</f>
        <v>0</v>
      </c>
      <c r="T123" s="37" t="n">
        <f aca="false">IF(B123="",0,N(Students!I112))</f>
        <v>0</v>
      </c>
      <c r="U123" s="23"/>
      <c r="V123" s="26" t="n">
        <f aca="false">N(S123)+N(T123)-N(U123)</f>
        <v>0</v>
      </c>
      <c r="W123" s="37" t="n">
        <f aca="false">'Apr 2027'!Z123</f>
        <v>0</v>
      </c>
      <c r="X123" s="37" t="n">
        <f aca="false">IF(B123="",0,N(Students!J112))</f>
        <v>0</v>
      </c>
      <c r="Y123" s="23"/>
      <c r="Z123" s="26" t="n">
        <f aca="false">N(W123)+N(X123)-N(Y123)</f>
        <v>0</v>
      </c>
      <c r="AA123" s="37" t="n">
        <f aca="false">N(E123)+N(I123)+N(M123)+N(Q123)+N(U123)+N(Y123)</f>
        <v>0</v>
      </c>
      <c r="AB123" s="26" t="n">
        <f aca="false">F123+J123+N123+R123+V123+Z123</f>
        <v>0</v>
      </c>
      <c r="AC123" s="83" t="str">
        <f aca="false">IF(B123="","",IF(AB123&lt;=0,"Clear",IF(AA123&gt;0,"Partial","Due")))</f>
        <v/>
      </c>
    </row>
    <row r="124" customFormat="false" ht="15" hidden="false" customHeight="false" outlineLevel="0" collapsed="false">
      <c r="A124" s="21" t="n">
        <v>109</v>
      </c>
      <c r="B124" s="46" t="str">
        <f aca="false">IF(Students!B113="","",Students!B113)</f>
        <v/>
      </c>
      <c r="C124" s="33" t="n">
        <f aca="false">'Apr 2027'!F124</f>
        <v>0</v>
      </c>
      <c r="D124" s="33" t="n">
        <f aca="false">IF(B124="",0,N(Students!E113))</f>
        <v>0</v>
      </c>
      <c r="E124" s="23"/>
      <c r="F124" s="24" t="n">
        <f aca="false">N(C124)+N(D124)-N(E124)</f>
        <v>0</v>
      </c>
      <c r="G124" s="33" t="n">
        <f aca="false">'Apr 2027'!J124</f>
        <v>0</v>
      </c>
      <c r="H124" s="33" t="n">
        <f aca="false">IF(B124="",0,N(Students!F113))</f>
        <v>0</v>
      </c>
      <c r="I124" s="23"/>
      <c r="J124" s="24" t="n">
        <f aca="false">N(G124)+N(H124)-N(I124)</f>
        <v>0</v>
      </c>
      <c r="K124" s="33" t="n">
        <f aca="false">'Apr 2027'!N124</f>
        <v>0</v>
      </c>
      <c r="L124" s="33" t="n">
        <f aca="false">IF(B124="",0,N(Students!G113))</f>
        <v>0</v>
      </c>
      <c r="M124" s="23"/>
      <c r="N124" s="24" t="n">
        <f aca="false">N(K124)+N(L124)-N(M124)</f>
        <v>0</v>
      </c>
      <c r="O124" s="33" t="n">
        <f aca="false">'Apr 2027'!R124</f>
        <v>0</v>
      </c>
      <c r="P124" s="33" t="n">
        <f aca="false">IF(B124="",0,N(Students!H113))</f>
        <v>0</v>
      </c>
      <c r="Q124" s="23"/>
      <c r="R124" s="24" t="n">
        <f aca="false">N(O124)+N(P124)-N(Q124)</f>
        <v>0</v>
      </c>
      <c r="S124" s="33" t="n">
        <f aca="false">'Apr 2027'!V124</f>
        <v>0</v>
      </c>
      <c r="T124" s="33" t="n">
        <f aca="false">IF(B124="",0,N(Students!I113))</f>
        <v>0</v>
      </c>
      <c r="U124" s="23"/>
      <c r="V124" s="24" t="n">
        <f aca="false">N(S124)+N(T124)-N(U124)</f>
        <v>0</v>
      </c>
      <c r="W124" s="33" t="n">
        <f aca="false">'Apr 2027'!Z124</f>
        <v>0</v>
      </c>
      <c r="X124" s="33" t="n">
        <f aca="false">IF(B124="",0,N(Students!J113))</f>
        <v>0</v>
      </c>
      <c r="Y124" s="23"/>
      <c r="Z124" s="24" t="n">
        <f aca="false">N(W124)+N(X124)-N(Y124)</f>
        <v>0</v>
      </c>
      <c r="AA124" s="33" t="n">
        <f aca="false">N(E124)+N(I124)+N(M124)+N(Q124)+N(U124)+N(Y124)</f>
        <v>0</v>
      </c>
      <c r="AB124" s="24" t="n">
        <f aca="false">F124+J124+N124+R124+V124+Z124</f>
        <v>0</v>
      </c>
      <c r="AC124" s="81" t="str">
        <f aca="false">IF(B124="","",IF(AB124&lt;=0,"Clear",IF(AA124&gt;0,"Partial","Due")))</f>
        <v/>
      </c>
    </row>
    <row r="125" customFormat="false" ht="15" hidden="false" customHeight="false" outlineLevel="0" collapsed="false">
      <c r="A125" s="25" t="n">
        <v>110</v>
      </c>
      <c r="B125" s="82" t="str">
        <f aca="false">IF(Students!B114="","",Students!B114)</f>
        <v/>
      </c>
      <c r="C125" s="37" t="n">
        <f aca="false">'Apr 2027'!F125</f>
        <v>0</v>
      </c>
      <c r="D125" s="37" t="n">
        <f aca="false">IF(B125="",0,N(Students!E114))</f>
        <v>0</v>
      </c>
      <c r="E125" s="23"/>
      <c r="F125" s="26" t="n">
        <f aca="false">N(C125)+N(D125)-N(E125)</f>
        <v>0</v>
      </c>
      <c r="G125" s="37" t="n">
        <f aca="false">'Apr 2027'!J125</f>
        <v>0</v>
      </c>
      <c r="H125" s="37" t="n">
        <f aca="false">IF(B125="",0,N(Students!F114))</f>
        <v>0</v>
      </c>
      <c r="I125" s="23"/>
      <c r="J125" s="26" t="n">
        <f aca="false">N(G125)+N(H125)-N(I125)</f>
        <v>0</v>
      </c>
      <c r="K125" s="37" t="n">
        <f aca="false">'Apr 2027'!N125</f>
        <v>0</v>
      </c>
      <c r="L125" s="37" t="n">
        <f aca="false">IF(B125="",0,N(Students!G114))</f>
        <v>0</v>
      </c>
      <c r="M125" s="23"/>
      <c r="N125" s="26" t="n">
        <f aca="false">N(K125)+N(L125)-N(M125)</f>
        <v>0</v>
      </c>
      <c r="O125" s="37" t="n">
        <f aca="false">'Apr 2027'!R125</f>
        <v>0</v>
      </c>
      <c r="P125" s="37" t="n">
        <f aca="false">IF(B125="",0,N(Students!H114))</f>
        <v>0</v>
      </c>
      <c r="Q125" s="23"/>
      <c r="R125" s="26" t="n">
        <f aca="false">N(O125)+N(P125)-N(Q125)</f>
        <v>0</v>
      </c>
      <c r="S125" s="37" t="n">
        <f aca="false">'Apr 2027'!V125</f>
        <v>0</v>
      </c>
      <c r="T125" s="37" t="n">
        <f aca="false">IF(B125="",0,N(Students!I114))</f>
        <v>0</v>
      </c>
      <c r="U125" s="23"/>
      <c r="V125" s="26" t="n">
        <f aca="false">N(S125)+N(T125)-N(U125)</f>
        <v>0</v>
      </c>
      <c r="W125" s="37" t="n">
        <f aca="false">'Apr 2027'!Z125</f>
        <v>0</v>
      </c>
      <c r="X125" s="37" t="n">
        <f aca="false">IF(B125="",0,N(Students!J114))</f>
        <v>0</v>
      </c>
      <c r="Y125" s="23"/>
      <c r="Z125" s="26" t="n">
        <f aca="false">N(W125)+N(X125)-N(Y125)</f>
        <v>0</v>
      </c>
      <c r="AA125" s="37" t="n">
        <f aca="false">N(E125)+N(I125)+N(M125)+N(Q125)+N(U125)+N(Y125)</f>
        <v>0</v>
      </c>
      <c r="AB125" s="26" t="n">
        <f aca="false">F125+J125+N125+R125+V125+Z125</f>
        <v>0</v>
      </c>
      <c r="AC125" s="83" t="str">
        <f aca="false">IF(B125="","",IF(AB125&lt;=0,"Clear",IF(AA125&gt;0,"Partial","Due")))</f>
        <v/>
      </c>
    </row>
    <row r="126" customFormat="false" ht="15" hidden="false" customHeight="false" outlineLevel="0" collapsed="false">
      <c r="A126" s="21" t="n">
        <v>111</v>
      </c>
      <c r="B126" s="46" t="str">
        <f aca="false">IF(Students!B115="","",Students!B115)</f>
        <v/>
      </c>
      <c r="C126" s="33" t="n">
        <f aca="false">'Apr 2027'!F126</f>
        <v>0</v>
      </c>
      <c r="D126" s="33" t="n">
        <f aca="false">IF(B126="",0,N(Students!E115))</f>
        <v>0</v>
      </c>
      <c r="E126" s="23"/>
      <c r="F126" s="24" t="n">
        <f aca="false">N(C126)+N(D126)-N(E126)</f>
        <v>0</v>
      </c>
      <c r="G126" s="33" t="n">
        <f aca="false">'Apr 2027'!J126</f>
        <v>0</v>
      </c>
      <c r="H126" s="33" t="n">
        <f aca="false">IF(B126="",0,N(Students!F115))</f>
        <v>0</v>
      </c>
      <c r="I126" s="23"/>
      <c r="J126" s="24" t="n">
        <f aca="false">N(G126)+N(H126)-N(I126)</f>
        <v>0</v>
      </c>
      <c r="K126" s="33" t="n">
        <f aca="false">'Apr 2027'!N126</f>
        <v>0</v>
      </c>
      <c r="L126" s="33" t="n">
        <f aca="false">IF(B126="",0,N(Students!G115))</f>
        <v>0</v>
      </c>
      <c r="M126" s="23"/>
      <c r="N126" s="24" t="n">
        <f aca="false">N(K126)+N(L126)-N(M126)</f>
        <v>0</v>
      </c>
      <c r="O126" s="33" t="n">
        <f aca="false">'Apr 2027'!R126</f>
        <v>0</v>
      </c>
      <c r="P126" s="33" t="n">
        <f aca="false">IF(B126="",0,N(Students!H115))</f>
        <v>0</v>
      </c>
      <c r="Q126" s="23"/>
      <c r="R126" s="24" t="n">
        <f aca="false">N(O126)+N(P126)-N(Q126)</f>
        <v>0</v>
      </c>
      <c r="S126" s="33" t="n">
        <f aca="false">'Apr 2027'!V126</f>
        <v>0</v>
      </c>
      <c r="T126" s="33" t="n">
        <f aca="false">IF(B126="",0,N(Students!I115))</f>
        <v>0</v>
      </c>
      <c r="U126" s="23"/>
      <c r="V126" s="24" t="n">
        <f aca="false">N(S126)+N(T126)-N(U126)</f>
        <v>0</v>
      </c>
      <c r="W126" s="33" t="n">
        <f aca="false">'Apr 2027'!Z126</f>
        <v>0</v>
      </c>
      <c r="X126" s="33" t="n">
        <f aca="false">IF(B126="",0,N(Students!J115))</f>
        <v>0</v>
      </c>
      <c r="Y126" s="23"/>
      <c r="Z126" s="24" t="n">
        <f aca="false">N(W126)+N(X126)-N(Y126)</f>
        <v>0</v>
      </c>
      <c r="AA126" s="33" t="n">
        <f aca="false">N(E126)+N(I126)+N(M126)+N(Q126)+N(U126)+N(Y126)</f>
        <v>0</v>
      </c>
      <c r="AB126" s="24" t="n">
        <f aca="false">F126+J126+N126+R126+V126+Z126</f>
        <v>0</v>
      </c>
      <c r="AC126" s="81" t="str">
        <f aca="false">IF(B126="","",IF(AB126&lt;=0,"Clear",IF(AA126&gt;0,"Partial","Due")))</f>
        <v/>
      </c>
    </row>
    <row r="127" customFormat="false" ht="15" hidden="false" customHeight="false" outlineLevel="0" collapsed="false">
      <c r="A127" s="25" t="n">
        <v>112</v>
      </c>
      <c r="B127" s="82" t="str">
        <f aca="false">IF(Students!B116="","",Students!B116)</f>
        <v/>
      </c>
      <c r="C127" s="37" t="n">
        <f aca="false">'Apr 2027'!F127</f>
        <v>0</v>
      </c>
      <c r="D127" s="37" t="n">
        <f aca="false">IF(B127="",0,N(Students!E116))</f>
        <v>0</v>
      </c>
      <c r="E127" s="23"/>
      <c r="F127" s="26" t="n">
        <f aca="false">N(C127)+N(D127)-N(E127)</f>
        <v>0</v>
      </c>
      <c r="G127" s="37" t="n">
        <f aca="false">'Apr 2027'!J127</f>
        <v>0</v>
      </c>
      <c r="H127" s="37" t="n">
        <f aca="false">IF(B127="",0,N(Students!F116))</f>
        <v>0</v>
      </c>
      <c r="I127" s="23"/>
      <c r="J127" s="26" t="n">
        <f aca="false">N(G127)+N(H127)-N(I127)</f>
        <v>0</v>
      </c>
      <c r="K127" s="37" t="n">
        <f aca="false">'Apr 2027'!N127</f>
        <v>0</v>
      </c>
      <c r="L127" s="37" t="n">
        <f aca="false">IF(B127="",0,N(Students!G116))</f>
        <v>0</v>
      </c>
      <c r="M127" s="23"/>
      <c r="N127" s="26" t="n">
        <f aca="false">N(K127)+N(L127)-N(M127)</f>
        <v>0</v>
      </c>
      <c r="O127" s="37" t="n">
        <f aca="false">'Apr 2027'!R127</f>
        <v>0</v>
      </c>
      <c r="P127" s="37" t="n">
        <f aca="false">IF(B127="",0,N(Students!H116))</f>
        <v>0</v>
      </c>
      <c r="Q127" s="23"/>
      <c r="R127" s="26" t="n">
        <f aca="false">N(O127)+N(P127)-N(Q127)</f>
        <v>0</v>
      </c>
      <c r="S127" s="37" t="n">
        <f aca="false">'Apr 2027'!V127</f>
        <v>0</v>
      </c>
      <c r="T127" s="37" t="n">
        <f aca="false">IF(B127="",0,N(Students!I116))</f>
        <v>0</v>
      </c>
      <c r="U127" s="23"/>
      <c r="V127" s="26" t="n">
        <f aca="false">N(S127)+N(T127)-N(U127)</f>
        <v>0</v>
      </c>
      <c r="W127" s="37" t="n">
        <f aca="false">'Apr 2027'!Z127</f>
        <v>0</v>
      </c>
      <c r="X127" s="37" t="n">
        <f aca="false">IF(B127="",0,N(Students!J116))</f>
        <v>0</v>
      </c>
      <c r="Y127" s="23"/>
      <c r="Z127" s="26" t="n">
        <f aca="false">N(W127)+N(X127)-N(Y127)</f>
        <v>0</v>
      </c>
      <c r="AA127" s="37" t="n">
        <f aca="false">N(E127)+N(I127)+N(M127)+N(Q127)+N(U127)+N(Y127)</f>
        <v>0</v>
      </c>
      <c r="AB127" s="26" t="n">
        <f aca="false">F127+J127+N127+R127+V127+Z127</f>
        <v>0</v>
      </c>
      <c r="AC127" s="83" t="str">
        <f aca="false">IF(B127="","",IF(AB127&lt;=0,"Clear",IF(AA127&gt;0,"Partial","Due")))</f>
        <v/>
      </c>
    </row>
    <row r="128" customFormat="false" ht="15" hidden="false" customHeight="false" outlineLevel="0" collapsed="false">
      <c r="A128" s="21" t="n">
        <v>113</v>
      </c>
      <c r="B128" s="46" t="str">
        <f aca="false">IF(Students!B117="","",Students!B117)</f>
        <v/>
      </c>
      <c r="C128" s="33" t="n">
        <f aca="false">'Apr 2027'!F128</f>
        <v>0</v>
      </c>
      <c r="D128" s="33" t="n">
        <f aca="false">IF(B128="",0,N(Students!E117))</f>
        <v>0</v>
      </c>
      <c r="E128" s="23"/>
      <c r="F128" s="24" t="n">
        <f aca="false">N(C128)+N(D128)-N(E128)</f>
        <v>0</v>
      </c>
      <c r="G128" s="33" t="n">
        <f aca="false">'Apr 2027'!J128</f>
        <v>0</v>
      </c>
      <c r="H128" s="33" t="n">
        <f aca="false">IF(B128="",0,N(Students!F117))</f>
        <v>0</v>
      </c>
      <c r="I128" s="23"/>
      <c r="J128" s="24" t="n">
        <f aca="false">N(G128)+N(H128)-N(I128)</f>
        <v>0</v>
      </c>
      <c r="K128" s="33" t="n">
        <f aca="false">'Apr 2027'!N128</f>
        <v>0</v>
      </c>
      <c r="L128" s="33" t="n">
        <f aca="false">IF(B128="",0,N(Students!G117))</f>
        <v>0</v>
      </c>
      <c r="M128" s="23"/>
      <c r="N128" s="24" t="n">
        <f aca="false">N(K128)+N(L128)-N(M128)</f>
        <v>0</v>
      </c>
      <c r="O128" s="33" t="n">
        <f aca="false">'Apr 2027'!R128</f>
        <v>0</v>
      </c>
      <c r="P128" s="33" t="n">
        <f aca="false">IF(B128="",0,N(Students!H117))</f>
        <v>0</v>
      </c>
      <c r="Q128" s="23"/>
      <c r="R128" s="24" t="n">
        <f aca="false">N(O128)+N(P128)-N(Q128)</f>
        <v>0</v>
      </c>
      <c r="S128" s="33" t="n">
        <f aca="false">'Apr 2027'!V128</f>
        <v>0</v>
      </c>
      <c r="T128" s="33" t="n">
        <f aca="false">IF(B128="",0,N(Students!I117))</f>
        <v>0</v>
      </c>
      <c r="U128" s="23"/>
      <c r="V128" s="24" t="n">
        <f aca="false">N(S128)+N(T128)-N(U128)</f>
        <v>0</v>
      </c>
      <c r="W128" s="33" t="n">
        <f aca="false">'Apr 2027'!Z128</f>
        <v>0</v>
      </c>
      <c r="X128" s="33" t="n">
        <f aca="false">IF(B128="",0,N(Students!J117))</f>
        <v>0</v>
      </c>
      <c r="Y128" s="23"/>
      <c r="Z128" s="24" t="n">
        <f aca="false">N(W128)+N(X128)-N(Y128)</f>
        <v>0</v>
      </c>
      <c r="AA128" s="33" t="n">
        <f aca="false">N(E128)+N(I128)+N(M128)+N(Q128)+N(U128)+N(Y128)</f>
        <v>0</v>
      </c>
      <c r="AB128" s="24" t="n">
        <f aca="false">F128+J128+N128+R128+V128+Z128</f>
        <v>0</v>
      </c>
      <c r="AC128" s="81" t="str">
        <f aca="false">IF(B128="","",IF(AB128&lt;=0,"Clear",IF(AA128&gt;0,"Partial","Due")))</f>
        <v/>
      </c>
    </row>
    <row r="129" customFormat="false" ht="15" hidden="false" customHeight="false" outlineLevel="0" collapsed="false">
      <c r="A129" s="25" t="n">
        <v>114</v>
      </c>
      <c r="B129" s="82" t="str">
        <f aca="false">IF(Students!B118="","",Students!B118)</f>
        <v/>
      </c>
      <c r="C129" s="37" t="n">
        <f aca="false">'Apr 2027'!F129</f>
        <v>0</v>
      </c>
      <c r="D129" s="37" t="n">
        <f aca="false">IF(B129="",0,N(Students!E118))</f>
        <v>0</v>
      </c>
      <c r="E129" s="23"/>
      <c r="F129" s="26" t="n">
        <f aca="false">N(C129)+N(D129)-N(E129)</f>
        <v>0</v>
      </c>
      <c r="G129" s="37" t="n">
        <f aca="false">'Apr 2027'!J129</f>
        <v>0</v>
      </c>
      <c r="H129" s="37" t="n">
        <f aca="false">IF(B129="",0,N(Students!F118))</f>
        <v>0</v>
      </c>
      <c r="I129" s="23"/>
      <c r="J129" s="26" t="n">
        <f aca="false">N(G129)+N(H129)-N(I129)</f>
        <v>0</v>
      </c>
      <c r="K129" s="37" t="n">
        <f aca="false">'Apr 2027'!N129</f>
        <v>0</v>
      </c>
      <c r="L129" s="37" t="n">
        <f aca="false">IF(B129="",0,N(Students!G118))</f>
        <v>0</v>
      </c>
      <c r="M129" s="23"/>
      <c r="N129" s="26" t="n">
        <f aca="false">N(K129)+N(L129)-N(M129)</f>
        <v>0</v>
      </c>
      <c r="O129" s="37" t="n">
        <f aca="false">'Apr 2027'!R129</f>
        <v>0</v>
      </c>
      <c r="P129" s="37" t="n">
        <f aca="false">IF(B129="",0,N(Students!H118))</f>
        <v>0</v>
      </c>
      <c r="Q129" s="23"/>
      <c r="R129" s="26" t="n">
        <f aca="false">N(O129)+N(P129)-N(Q129)</f>
        <v>0</v>
      </c>
      <c r="S129" s="37" t="n">
        <f aca="false">'Apr 2027'!V129</f>
        <v>0</v>
      </c>
      <c r="T129" s="37" t="n">
        <f aca="false">IF(B129="",0,N(Students!I118))</f>
        <v>0</v>
      </c>
      <c r="U129" s="23"/>
      <c r="V129" s="26" t="n">
        <f aca="false">N(S129)+N(T129)-N(U129)</f>
        <v>0</v>
      </c>
      <c r="W129" s="37" t="n">
        <f aca="false">'Apr 2027'!Z129</f>
        <v>0</v>
      </c>
      <c r="X129" s="37" t="n">
        <f aca="false">IF(B129="",0,N(Students!J118))</f>
        <v>0</v>
      </c>
      <c r="Y129" s="23"/>
      <c r="Z129" s="26" t="n">
        <f aca="false">N(W129)+N(X129)-N(Y129)</f>
        <v>0</v>
      </c>
      <c r="AA129" s="37" t="n">
        <f aca="false">N(E129)+N(I129)+N(M129)+N(Q129)+N(U129)+N(Y129)</f>
        <v>0</v>
      </c>
      <c r="AB129" s="26" t="n">
        <f aca="false">F129+J129+N129+R129+V129+Z129</f>
        <v>0</v>
      </c>
      <c r="AC129" s="83" t="str">
        <f aca="false">IF(B129="","",IF(AB129&lt;=0,"Clear",IF(AA129&gt;0,"Partial","Due")))</f>
        <v/>
      </c>
    </row>
    <row r="130" customFormat="false" ht="15" hidden="false" customHeight="false" outlineLevel="0" collapsed="false">
      <c r="A130" s="21" t="n">
        <v>115</v>
      </c>
      <c r="B130" s="46" t="str">
        <f aca="false">IF(Students!B119="","",Students!B119)</f>
        <v/>
      </c>
      <c r="C130" s="33" t="n">
        <f aca="false">'Apr 2027'!F130</f>
        <v>0</v>
      </c>
      <c r="D130" s="33" t="n">
        <f aca="false">IF(B130="",0,N(Students!E119))</f>
        <v>0</v>
      </c>
      <c r="E130" s="23"/>
      <c r="F130" s="24" t="n">
        <f aca="false">N(C130)+N(D130)-N(E130)</f>
        <v>0</v>
      </c>
      <c r="G130" s="33" t="n">
        <f aca="false">'Apr 2027'!J130</f>
        <v>0</v>
      </c>
      <c r="H130" s="33" t="n">
        <f aca="false">IF(B130="",0,N(Students!F119))</f>
        <v>0</v>
      </c>
      <c r="I130" s="23"/>
      <c r="J130" s="24" t="n">
        <f aca="false">N(G130)+N(H130)-N(I130)</f>
        <v>0</v>
      </c>
      <c r="K130" s="33" t="n">
        <f aca="false">'Apr 2027'!N130</f>
        <v>0</v>
      </c>
      <c r="L130" s="33" t="n">
        <f aca="false">IF(B130="",0,N(Students!G119))</f>
        <v>0</v>
      </c>
      <c r="M130" s="23"/>
      <c r="N130" s="24" t="n">
        <f aca="false">N(K130)+N(L130)-N(M130)</f>
        <v>0</v>
      </c>
      <c r="O130" s="33" t="n">
        <f aca="false">'Apr 2027'!R130</f>
        <v>0</v>
      </c>
      <c r="P130" s="33" t="n">
        <f aca="false">IF(B130="",0,N(Students!H119))</f>
        <v>0</v>
      </c>
      <c r="Q130" s="23"/>
      <c r="R130" s="24" t="n">
        <f aca="false">N(O130)+N(P130)-N(Q130)</f>
        <v>0</v>
      </c>
      <c r="S130" s="33" t="n">
        <f aca="false">'Apr 2027'!V130</f>
        <v>0</v>
      </c>
      <c r="T130" s="33" t="n">
        <f aca="false">IF(B130="",0,N(Students!I119))</f>
        <v>0</v>
      </c>
      <c r="U130" s="23"/>
      <c r="V130" s="24" t="n">
        <f aca="false">N(S130)+N(T130)-N(U130)</f>
        <v>0</v>
      </c>
      <c r="W130" s="33" t="n">
        <f aca="false">'Apr 2027'!Z130</f>
        <v>0</v>
      </c>
      <c r="X130" s="33" t="n">
        <f aca="false">IF(B130="",0,N(Students!J119))</f>
        <v>0</v>
      </c>
      <c r="Y130" s="23"/>
      <c r="Z130" s="24" t="n">
        <f aca="false">N(W130)+N(X130)-N(Y130)</f>
        <v>0</v>
      </c>
      <c r="AA130" s="33" t="n">
        <f aca="false">N(E130)+N(I130)+N(M130)+N(Q130)+N(U130)+N(Y130)</f>
        <v>0</v>
      </c>
      <c r="AB130" s="24" t="n">
        <f aca="false">F130+J130+N130+R130+V130+Z130</f>
        <v>0</v>
      </c>
      <c r="AC130" s="81" t="str">
        <f aca="false">IF(B130="","",IF(AB130&lt;=0,"Clear",IF(AA130&gt;0,"Partial","Due")))</f>
        <v/>
      </c>
    </row>
    <row r="131" customFormat="false" ht="15" hidden="false" customHeight="false" outlineLevel="0" collapsed="false">
      <c r="A131" s="25" t="n">
        <v>116</v>
      </c>
      <c r="B131" s="82" t="str">
        <f aca="false">IF(Students!B120="","",Students!B120)</f>
        <v/>
      </c>
      <c r="C131" s="37" t="n">
        <f aca="false">'Apr 2027'!F131</f>
        <v>0</v>
      </c>
      <c r="D131" s="37" t="n">
        <f aca="false">IF(B131="",0,N(Students!E120))</f>
        <v>0</v>
      </c>
      <c r="E131" s="23"/>
      <c r="F131" s="26" t="n">
        <f aca="false">N(C131)+N(D131)-N(E131)</f>
        <v>0</v>
      </c>
      <c r="G131" s="37" t="n">
        <f aca="false">'Apr 2027'!J131</f>
        <v>0</v>
      </c>
      <c r="H131" s="37" t="n">
        <f aca="false">IF(B131="",0,N(Students!F120))</f>
        <v>0</v>
      </c>
      <c r="I131" s="23"/>
      <c r="J131" s="26" t="n">
        <f aca="false">N(G131)+N(H131)-N(I131)</f>
        <v>0</v>
      </c>
      <c r="K131" s="37" t="n">
        <f aca="false">'Apr 2027'!N131</f>
        <v>0</v>
      </c>
      <c r="L131" s="37" t="n">
        <f aca="false">IF(B131="",0,N(Students!G120))</f>
        <v>0</v>
      </c>
      <c r="M131" s="23"/>
      <c r="N131" s="26" t="n">
        <f aca="false">N(K131)+N(L131)-N(M131)</f>
        <v>0</v>
      </c>
      <c r="O131" s="37" t="n">
        <f aca="false">'Apr 2027'!R131</f>
        <v>0</v>
      </c>
      <c r="P131" s="37" t="n">
        <f aca="false">IF(B131="",0,N(Students!H120))</f>
        <v>0</v>
      </c>
      <c r="Q131" s="23"/>
      <c r="R131" s="26" t="n">
        <f aca="false">N(O131)+N(P131)-N(Q131)</f>
        <v>0</v>
      </c>
      <c r="S131" s="37" t="n">
        <f aca="false">'Apr 2027'!V131</f>
        <v>0</v>
      </c>
      <c r="T131" s="37" t="n">
        <f aca="false">IF(B131="",0,N(Students!I120))</f>
        <v>0</v>
      </c>
      <c r="U131" s="23"/>
      <c r="V131" s="26" t="n">
        <f aca="false">N(S131)+N(T131)-N(U131)</f>
        <v>0</v>
      </c>
      <c r="W131" s="37" t="n">
        <f aca="false">'Apr 2027'!Z131</f>
        <v>0</v>
      </c>
      <c r="X131" s="37" t="n">
        <f aca="false">IF(B131="",0,N(Students!J120))</f>
        <v>0</v>
      </c>
      <c r="Y131" s="23"/>
      <c r="Z131" s="26" t="n">
        <f aca="false">N(W131)+N(X131)-N(Y131)</f>
        <v>0</v>
      </c>
      <c r="AA131" s="37" t="n">
        <f aca="false">N(E131)+N(I131)+N(M131)+N(Q131)+N(U131)+N(Y131)</f>
        <v>0</v>
      </c>
      <c r="AB131" s="26" t="n">
        <f aca="false">F131+J131+N131+R131+V131+Z131</f>
        <v>0</v>
      </c>
      <c r="AC131" s="83" t="str">
        <f aca="false">IF(B131="","",IF(AB131&lt;=0,"Clear",IF(AA131&gt;0,"Partial","Due")))</f>
        <v/>
      </c>
    </row>
    <row r="132" customFormat="false" ht="15" hidden="false" customHeight="false" outlineLevel="0" collapsed="false">
      <c r="A132" s="21" t="n">
        <v>117</v>
      </c>
      <c r="B132" s="46" t="str">
        <f aca="false">IF(Students!B121="","",Students!B121)</f>
        <v/>
      </c>
      <c r="C132" s="33" t="n">
        <f aca="false">'Apr 2027'!F132</f>
        <v>0</v>
      </c>
      <c r="D132" s="33" t="n">
        <f aca="false">IF(B132="",0,N(Students!E121))</f>
        <v>0</v>
      </c>
      <c r="E132" s="23"/>
      <c r="F132" s="24" t="n">
        <f aca="false">N(C132)+N(D132)-N(E132)</f>
        <v>0</v>
      </c>
      <c r="G132" s="33" t="n">
        <f aca="false">'Apr 2027'!J132</f>
        <v>0</v>
      </c>
      <c r="H132" s="33" t="n">
        <f aca="false">IF(B132="",0,N(Students!F121))</f>
        <v>0</v>
      </c>
      <c r="I132" s="23"/>
      <c r="J132" s="24" t="n">
        <f aca="false">N(G132)+N(H132)-N(I132)</f>
        <v>0</v>
      </c>
      <c r="K132" s="33" t="n">
        <f aca="false">'Apr 2027'!N132</f>
        <v>0</v>
      </c>
      <c r="L132" s="33" t="n">
        <f aca="false">IF(B132="",0,N(Students!G121))</f>
        <v>0</v>
      </c>
      <c r="M132" s="23"/>
      <c r="N132" s="24" t="n">
        <f aca="false">N(K132)+N(L132)-N(M132)</f>
        <v>0</v>
      </c>
      <c r="O132" s="33" t="n">
        <f aca="false">'Apr 2027'!R132</f>
        <v>0</v>
      </c>
      <c r="P132" s="33" t="n">
        <f aca="false">IF(B132="",0,N(Students!H121))</f>
        <v>0</v>
      </c>
      <c r="Q132" s="23"/>
      <c r="R132" s="24" t="n">
        <f aca="false">N(O132)+N(P132)-N(Q132)</f>
        <v>0</v>
      </c>
      <c r="S132" s="33" t="n">
        <f aca="false">'Apr 2027'!V132</f>
        <v>0</v>
      </c>
      <c r="T132" s="33" t="n">
        <f aca="false">IF(B132="",0,N(Students!I121))</f>
        <v>0</v>
      </c>
      <c r="U132" s="23"/>
      <c r="V132" s="24" t="n">
        <f aca="false">N(S132)+N(T132)-N(U132)</f>
        <v>0</v>
      </c>
      <c r="W132" s="33" t="n">
        <f aca="false">'Apr 2027'!Z132</f>
        <v>0</v>
      </c>
      <c r="X132" s="33" t="n">
        <f aca="false">IF(B132="",0,N(Students!J121))</f>
        <v>0</v>
      </c>
      <c r="Y132" s="23"/>
      <c r="Z132" s="24" t="n">
        <f aca="false">N(W132)+N(X132)-N(Y132)</f>
        <v>0</v>
      </c>
      <c r="AA132" s="33" t="n">
        <f aca="false">N(E132)+N(I132)+N(M132)+N(Q132)+N(U132)+N(Y132)</f>
        <v>0</v>
      </c>
      <c r="AB132" s="24" t="n">
        <f aca="false">F132+J132+N132+R132+V132+Z132</f>
        <v>0</v>
      </c>
      <c r="AC132" s="81" t="str">
        <f aca="false">IF(B132="","",IF(AB132&lt;=0,"Clear",IF(AA132&gt;0,"Partial","Due")))</f>
        <v/>
      </c>
    </row>
    <row r="133" customFormat="false" ht="15" hidden="false" customHeight="false" outlineLevel="0" collapsed="false">
      <c r="A133" s="25" t="n">
        <v>118</v>
      </c>
      <c r="B133" s="82" t="str">
        <f aca="false">IF(Students!B122="","",Students!B122)</f>
        <v/>
      </c>
      <c r="C133" s="37" t="n">
        <f aca="false">'Apr 2027'!F133</f>
        <v>0</v>
      </c>
      <c r="D133" s="37" t="n">
        <f aca="false">IF(B133="",0,N(Students!E122))</f>
        <v>0</v>
      </c>
      <c r="E133" s="23"/>
      <c r="F133" s="26" t="n">
        <f aca="false">N(C133)+N(D133)-N(E133)</f>
        <v>0</v>
      </c>
      <c r="G133" s="37" t="n">
        <f aca="false">'Apr 2027'!J133</f>
        <v>0</v>
      </c>
      <c r="H133" s="37" t="n">
        <f aca="false">IF(B133="",0,N(Students!F122))</f>
        <v>0</v>
      </c>
      <c r="I133" s="23"/>
      <c r="J133" s="26" t="n">
        <f aca="false">N(G133)+N(H133)-N(I133)</f>
        <v>0</v>
      </c>
      <c r="K133" s="37" t="n">
        <f aca="false">'Apr 2027'!N133</f>
        <v>0</v>
      </c>
      <c r="L133" s="37" t="n">
        <f aca="false">IF(B133="",0,N(Students!G122))</f>
        <v>0</v>
      </c>
      <c r="M133" s="23"/>
      <c r="N133" s="26" t="n">
        <f aca="false">N(K133)+N(L133)-N(M133)</f>
        <v>0</v>
      </c>
      <c r="O133" s="37" t="n">
        <f aca="false">'Apr 2027'!R133</f>
        <v>0</v>
      </c>
      <c r="P133" s="37" t="n">
        <f aca="false">IF(B133="",0,N(Students!H122))</f>
        <v>0</v>
      </c>
      <c r="Q133" s="23"/>
      <c r="R133" s="26" t="n">
        <f aca="false">N(O133)+N(P133)-N(Q133)</f>
        <v>0</v>
      </c>
      <c r="S133" s="37" t="n">
        <f aca="false">'Apr 2027'!V133</f>
        <v>0</v>
      </c>
      <c r="T133" s="37" t="n">
        <f aca="false">IF(B133="",0,N(Students!I122))</f>
        <v>0</v>
      </c>
      <c r="U133" s="23"/>
      <c r="V133" s="26" t="n">
        <f aca="false">N(S133)+N(T133)-N(U133)</f>
        <v>0</v>
      </c>
      <c r="W133" s="37" t="n">
        <f aca="false">'Apr 2027'!Z133</f>
        <v>0</v>
      </c>
      <c r="X133" s="37" t="n">
        <f aca="false">IF(B133="",0,N(Students!J122))</f>
        <v>0</v>
      </c>
      <c r="Y133" s="23"/>
      <c r="Z133" s="26" t="n">
        <f aca="false">N(W133)+N(X133)-N(Y133)</f>
        <v>0</v>
      </c>
      <c r="AA133" s="37" t="n">
        <f aca="false">N(E133)+N(I133)+N(M133)+N(Q133)+N(U133)+N(Y133)</f>
        <v>0</v>
      </c>
      <c r="AB133" s="26" t="n">
        <f aca="false">F133+J133+N133+R133+V133+Z133</f>
        <v>0</v>
      </c>
      <c r="AC133" s="83" t="str">
        <f aca="false">IF(B133="","",IF(AB133&lt;=0,"Clear",IF(AA133&gt;0,"Partial","Due")))</f>
        <v/>
      </c>
    </row>
    <row r="134" customFormat="false" ht="15" hidden="false" customHeight="false" outlineLevel="0" collapsed="false">
      <c r="A134" s="21" t="n">
        <v>119</v>
      </c>
      <c r="B134" s="46" t="str">
        <f aca="false">IF(Students!B123="","",Students!B123)</f>
        <v/>
      </c>
      <c r="C134" s="33" t="n">
        <f aca="false">'Apr 2027'!F134</f>
        <v>0</v>
      </c>
      <c r="D134" s="33" t="n">
        <f aca="false">IF(B134="",0,N(Students!E123))</f>
        <v>0</v>
      </c>
      <c r="E134" s="23"/>
      <c r="F134" s="24" t="n">
        <f aca="false">N(C134)+N(D134)-N(E134)</f>
        <v>0</v>
      </c>
      <c r="G134" s="33" t="n">
        <f aca="false">'Apr 2027'!J134</f>
        <v>0</v>
      </c>
      <c r="H134" s="33" t="n">
        <f aca="false">IF(B134="",0,N(Students!F123))</f>
        <v>0</v>
      </c>
      <c r="I134" s="23"/>
      <c r="J134" s="24" t="n">
        <f aca="false">N(G134)+N(H134)-N(I134)</f>
        <v>0</v>
      </c>
      <c r="K134" s="33" t="n">
        <f aca="false">'Apr 2027'!N134</f>
        <v>0</v>
      </c>
      <c r="L134" s="33" t="n">
        <f aca="false">IF(B134="",0,N(Students!G123))</f>
        <v>0</v>
      </c>
      <c r="M134" s="23"/>
      <c r="N134" s="24" t="n">
        <f aca="false">N(K134)+N(L134)-N(M134)</f>
        <v>0</v>
      </c>
      <c r="O134" s="33" t="n">
        <f aca="false">'Apr 2027'!R134</f>
        <v>0</v>
      </c>
      <c r="P134" s="33" t="n">
        <f aca="false">IF(B134="",0,N(Students!H123))</f>
        <v>0</v>
      </c>
      <c r="Q134" s="23"/>
      <c r="R134" s="24" t="n">
        <f aca="false">N(O134)+N(P134)-N(Q134)</f>
        <v>0</v>
      </c>
      <c r="S134" s="33" t="n">
        <f aca="false">'Apr 2027'!V134</f>
        <v>0</v>
      </c>
      <c r="T134" s="33" t="n">
        <f aca="false">IF(B134="",0,N(Students!I123))</f>
        <v>0</v>
      </c>
      <c r="U134" s="23"/>
      <c r="V134" s="24" t="n">
        <f aca="false">N(S134)+N(T134)-N(U134)</f>
        <v>0</v>
      </c>
      <c r="W134" s="33" t="n">
        <f aca="false">'Apr 2027'!Z134</f>
        <v>0</v>
      </c>
      <c r="X134" s="33" t="n">
        <f aca="false">IF(B134="",0,N(Students!J123))</f>
        <v>0</v>
      </c>
      <c r="Y134" s="23"/>
      <c r="Z134" s="24" t="n">
        <f aca="false">N(W134)+N(X134)-N(Y134)</f>
        <v>0</v>
      </c>
      <c r="AA134" s="33" t="n">
        <f aca="false">N(E134)+N(I134)+N(M134)+N(Q134)+N(U134)+N(Y134)</f>
        <v>0</v>
      </c>
      <c r="AB134" s="24" t="n">
        <f aca="false">F134+J134+N134+R134+V134+Z134</f>
        <v>0</v>
      </c>
      <c r="AC134" s="81" t="str">
        <f aca="false">IF(B134="","",IF(AB134&lt;=0,"Clear",IF(AA134&gt;0,"Partial","Due")))</f>
        <v/>
      </c>
    </row>
    <row r="135" customFormat="false" ht="15" hidden="false" customHeight="false" outlineLevel="0" collapsed="false">
      <c r="A135" s="25" t="n">
        <v>120</v>
      </c>
      <c r="B135" s="82" t="str">
        <f aca="false">IF(Students!B124="","",Students!B124)</f>
        <v/>
      </c>
      <c r="C135" s="37" t="n">
        <f aca="false">'Apr 2027'!F135</f>
        <v>0</v>
      </c>
      <c r="D135" s="37" t="n">
        <f aca="false">IF(B135="",0,N(Students!E124))</f>
        <v>0</v>
      </c>
      <c r="E135" s="23"/>
      <c r="F135" s="26" t="n">
        <f aca="false">N(C135)+N(D135)-N(E135)</f>
        <v>0</v>
      </c>
      <c r="G135" s="37" t="n">
        <f aca="false">'Apr 2027'!J135</f>
        <v>0</v>
      </c>
      <c r="H135" s="37" t="n">
        <f aca="false">IF(B135="",0,N(Students!F124))</f>
        <v>0</v>
      </c>
      <c r="I135" s="23"/>
      <c r="J135" s="26" t="n">
        <f aca="false">N(G135)+N(H135)-N(I135)</f>
        <v>0</v>
      </c>
      <c r="K135" s="37" t="n">
        <f aca="false">'Apr 2027'!N135</f>
        <v>0</v>
      </c>
      <c r="L135" s="37" t="n">
        <f aca="false">IF(B135="",0,N(Students!G124))</f>
        <v>0</v>
      </c>
      <c r="M135" s="23"/>
      <c r="N135" s="26" t="n">
        <f aca="false">N(K135)+N(L135)-N(M135)</f>
        <v>0</v>
      </c>
      <c r="O135" s="37" t="n">
        <f aca="false">'Apr 2027'!R135</f>
        <v>0</v>
      </c>
      <c r="P135" s="37" t="n">
        <f aca="false">IF(B135="",0,N(Students!H124))</f>
        <v>0</v>
      </c>
      <c r="Q135" s="23"/>
      <c r="R135" s="26" t="n">
        <f aca="false">N(O135)+N(P135)-N(Q135)</f>
        <v>0</v>
      </c>
      <c r="S135" s="37" t="n">
        <f aca="false">'Apr 2027'!V135</f>
        <v>0</v>
      </c>
      <c r="T135" s="37" t="n">
        <f aca="false">IF(B135="",0,N(Students!I124))</f>
        <v>0</v>
      </c>
      <c r="U135" s="23"/>
      <c r="V135" s="26" t="n">
        <f aca="false">N(S135)+N(T135)-N(U135)</f>
        <v>0</v>
      </c>
      <c r="W135" s="37" t="n">
        <f aca="false">'Apr 2027'!Z135</f>
        <v>0</v>
      </c>
      <c r="X135" s="37" t="n">
        <f aca="false">IF(B135="",0,N(Students!J124))</f>
        <v>0</v>
      </c>
      <c r="Y135" s="23"/>
      <c r="Z135" s="26" t="n">
        <f aca="false">N(W135)+N(X135)-N(Y135)</f>
        <v>0</v>
      </c>
      <c r="AA135" s="37" t="n">
        <f aca="false">N(E135)+N(I135)+N(M135)+N(Q135)+N(U135)+N(Y135)</f>
        <v>0</v>
      </c>
      <c r="AB135" s="26" t="n">
        <f aca="false">F135+J135+N135+R135+V135+Z135</f>
        <v>0</v>
      </c>
      <c r="AC135" s="83" t="str">
        <f aca="false">IF(B135="","",IF(AB135&lt;=0,"Clear",IF(AA135&gt;0,"Partial","Due")))</f>
        <v/>
      </c>
    </row>
    <row r="136" customFormat="false" ht="15" hidden="false" customHeight="false" outlineLevel="0" collapsed="false">
      <c r="A136" s="21" t="n">
        <v>121</v>
      </c>
      <c r="B136" s="46" t="str">
        <f aca="false">IF(Students!B125="","",Students!B125)</f>
        <v/>
      </c>
      <c r="C136" s="33" t="n">
        <f aca="false">'Apr 2027'!F136</f>
        <v>0</v>
      </c>
      <c r="D136" s="33" t="n">
        <f aca="false">IF(B136="",0,N(Students!E125))</f>
        <v>0</v>
      </c>
      <c r="E136" s="23"/>
      <c r="F136" s="24" t="n">
        <f aca="false">N(C136)+N(D136)-N(E136)</f>
        <v>0</v>
      </c>
      <c r="G136" s="33" t="n">
        <f aca="false">'Apr 2027'!J136</f>
        <v>0</v>
      </c>
      <c r="H136" s="33" t="n">
        <f aca="false">IF(B136="",0,N(Students!F125))</f>
        <v>0</v>
      </c>
      <c r="I136" s="23"/>
      <c r="J136" s="24" t="n">
        <f aca="false">N(G136)+N(H136)-N(I136)</f>
        <v>0</v>
      </c>
      <c r="K136" s="33" t="n">
        <f aca="false">'Apr 2027'!N136</f>
        <v>0</v>
      </c>
      <c r="L136" s="33" t="n">
        <f aca="false">IF(B136="",0,N(Students!G125))</f>
        <v>0</v>
      </c>
      <c r="M136" s="23"/>
      <c r="N136" s="24" t="n">
        <f aca="false">N(K136)+N(L136)-N(M136)</f>
        <v>0</v>
      </c>
      <c r="O136" s="33" t="n">
        <f aca="false">'Apr 2027'!R136</f>
        <v>0</v>
      </c>
      <c r="P136" s="33" t="n">
        <f aca="false">IF(B136="",0,N(Students!H125))</f>
        <v>0</v>
      </c>
      <c r="Q136" s="23"/>
      <c r="R136" s="24" t="n">
        <f aca="false">N(O136)+N(P136)-N(Q136)</f>
        <v>0</v>
      </c>
      <c r="S136" s="33" t="n">
        <f aca="false">'Apr 2027'!V136</f>
        <v>0</v>
      </c>
      <c r="T136" s="33" t="n">
        <f aca="false">IF(B136="",0,N(Students!I125))</f>
        <v>0</v>
      </c>
      <c r="U136" s="23"/>
      <c r="V136" s="24" t="n">
        <f aca="false">N(S136)+N(T136)-N(U136)</f>
        <v>0</v>
      </c>
      <c r="W136" s="33" t="n">
        <f aca="false">'Apr 2027'!Z136</f>
        <v>0</v>
      </c>
      <c r="X136" s="33" t="n">
        <f aca="false">IF(B136="",0,N(Students!J125))</f>
        <v>0</v>
      </c>
      <c r="Y136" s="23"/>
      <c r="Z136" s="24" t="n">
        <f aca="false">N(W136)+N(X136)-N(Y136)</f>
        <v>0</v>
      </c>
      <c r="AA136" s="33" t="n">
        <f aca="false">N(E136)+N(I136)+N(M136)+N(Q136)+N(U136)+N(Y136)</f>
        <v>0</v>
      </c>
      <c r="AB136" s="24" t="n">
        <f aca="false">F136+J136+N136+R136+V136+Z136</f>
        <v>0</v>
      </c>
      <c r="AC136" s="81" t="str">
        <f aca="false">IF(B136="","",IF(AB136&lt;=0,"Clear",IF(AA136&gt;0,"Partial","Due")))</f>
        <v/>
      </c>
    </row>
    <row r="137" customFormat="false" ht="15" hidden="false" customHeight="false" outlineLevel="0" collapsed="false">
      <c r="A137" s="25" t="n">
        <v>122</v>
      </c>
      <c r="B137" s="82" t="str">
        <f aca="false">IF(Students!B126="","",Students!B126)</f>
        <v/>
      </c>
      <c r="C137" s="37" t="n">
        <f aca="false">'Apr 2027'!F137</f>
        <v>0</v>
      </c>
      <c r="D137" s="37" t="n">
        <f aca="false">IF(B137="",0,N(Students!E126))</f>
        <v>0</v>
      </c>
      <c r="E137" s="23"/>
      <c r="F137" s="26" t="n">
        <f aca="false">N(C137)+N(D137)-N(E137)</f>
        <v>0</v>
      </c>
      <c r="G137" s="37" t="n">
        <f aca="false">'Apr 2027'!J137</f>
        <v>0</v>
      </c>
      <c r="H137" s="37" t="n">
        <f aca="false">IF(B137="",0,N(Students!F126))</f>
        <v>0</v>
      </c>
      <c r="I137" s="23"/>
      <c r="J137" s="26" t="n">
        <f aca="false">N(G137)+N(H137)-N(I137)</f>
        <v>0</v>
      </c>
      <c r="K137" s="37" t="n">
        <f aca="false">'Apr 2027'!N137</f>
        <v>0</v>
      </c>
      <c r="L137" s="37" t="n">
        <f aca="false">IF(B137="",0,N(Students!G126))</f>
        <v>0</v>
      </c>
      <c r="M137" s="23"/>
      <c r="N137" s="26" t="n">
        <f aca="false">N(K137)+N(L137)-N(M137)</f>
        <v>0</v>
      </c>
      <c r="O137" s="37" t="n">
        <f aca="false">'Apr 2027'!R137</f>
        <v>0</v>
      </c>
      <c r="P137" s="37" t="n">
        <f aca="false">IF(B137="",0,N(Students!H126))</f>
        <v>0</v>
      </c>
      <c r="Q137" s="23"/>
      <c r="R137" s="26" t="n">
        <f aca="false">N(O137)+N(P137)-N(Q137)</f>
        <v>0</v>
      </c>
      <c r="S137" s="37" t="n">
        <f aca="false">'Apr 2027'!V137</f>
        <v>0</v>
      </c>
      <c r="T137" s="37" t="n">
        <f aca="false">IF(B137="",0,N(Students!I126))</f>
        <v>0</v>
      </c>
      <c r="U137" s="23"/>
      <c r="V137" s="26" t="n">
        <f aca="false">N(S137)+N(T137)-N(U137)</f>
        <v>0</v>
      </c>
      <c r="W137" s="37" t="n">
        <f aca="false">'Apr 2027'!Z137</f>
        <v>0</v>
      </c>
      <c r="X137" s="37" t="n">
        <f aca="false">IF(B137="",0,N(Students!J126))</f>
        <v>0</v>
      </c>
      <c r="Y137" s="23"/>
      <c r="Z137" s="26" t="n">
        <f aca="false">N(W137)+N(X137)-N(Y137)</f>
        <v>0</v>
      </c>
      <c r="AA137" s="37" t="n">
        <f aca="false">N(E137)+N(I137)+N(M137)+N(Q137)+N(U137)+N(Y137)</f>
        <v>0</v>
      </c>
      <c r="AB137" s="26" t="n">
        <f aca="false">F137+J137+N137+R137+V137+Z137</f>
        <v>0</v>
      </c>
      <c r="AC137" s="83" t="str">
        <f aca="false">IF(B137="","",IF(AB137&lt;=0,"Clear",IF(AA137&gt;0,"Partial","Due")))</f>
        <v/>
      </c>
    </row>
    <row r="138" customFormat="false" ht="15" hidden="false" customHeight="false" outlineLevel="0" collapsed="false">
      <c r="A138" s="21" t="n">
        <v>123</v>
      </c>
      <c r="B138" s="46" t="str">
        <f aca="false">IF(Students!B127="","",Students!B127)</f>
        <v/>
      </c>
      <c r="C138" s="33" t="n">
        <f aca="false">'Apr 2027'!F138</f>
        <v>0</v>
      </c>
      <c r="D138" s="33" t="n">
        <f aca="false">IF(B138="",0,N(Students!E127))</f>
        <v>0</v>
      </c>
      <c r="E138" s="23"/>
      <c r="F138" s="24" t="n">
        <f aca="false">N(C138)+N(D138)-N(E138)</f>
        <v>0</v>
      </c>
      <c r="G138" s="33" t="n">
        <f aca="false">'Apr 2027'!J138</f>
        <v>0</v>
      </c>
      <c r="H138" s="33" t="n">
        <f aca="false">IF(B138="",0,N(Students!F127))</f>
        <v>0</v>
      </c>
      <c r="I138" s="23"/>
      <c r="J138" s="24" t="n">
        <f aca="false">N(G138)+N(H138)-N(I138)</f>
        <v>0</v>
      </c>
      <c r="K138" s="33" t="n">
        <f aca="false">'Apr 2027'!N138</f>
        <v>0</v>
      </c>
      <c r="L138" s="33" t="n">
        <f aca="false">IF(B138="",0,N(Students!G127))</f>
        <v>0</v>
      </c>
      <c r="M138" s="23"/>
      <c r="N138" s="24" t="n">
        <f aca="false">N(K138)+N(L138)-N(M138)</f>
        <v>0</v>
      </c>
      <c r="O138" s="33" t="n">
        <f aca="false">'Apr 2027'!R138</f>
        <v>0</v>
      </c>
      <c r="P138" s="33" t="n">
        <f aca="false">IF(B138="",0,N(Students!H127))</f>
        <v>0</v>
      </c>
      <c r="Q138" s="23"/>
      <c r="R138" s="24" t="n">
        <f aca="false">N(O138)+N(P138)-N(Q138)</f>
        <v>0</v>
      </c>
      <c r="S138" s="33" t="n">
        <f aca="false">'Apr 2027'!V138</f>
        <v>0</v>
      </c>
      <c r="T138" s="33" t="n">
        <f aca="false">IF(B138="",0,N(Students!I127))</f>
        <v>0</v>
      </c>
      <c r="U138" s="23"/>
      <c r="V138" s="24" t="n">
        <f aca="false">N(S138)+N(T138)-N(U138)</f>
        <v>0</v>
      </c>
      <c r="W138" s="33" t="n">
        <f aca="false">'Apr 2027'!Z138</f>
        <v>0</v>
      </c>
      <c r="X138" s="33" t="n">
        <f aca="false">IF(B138="",0,N(Students!J127))</f>
        <v>0</v>
      </c>
      <c r="Y138" s="23"/>
      <c r="Z138" s="24" t="n">
        <f aca="false">N(W138)+N(X138)-N(Y138)</f>
        <v>0</v>
      </c>
      <c r="AA138" s="33" t="n">
        <f aca="false">N(E138)+N(I138)+N(M138)+N(Q138)+N(U138)+N(Y138)</f>
        <v>0</v>
      </c>
      <c r="AB138" s="24" t="n">
        <f aca="false">F138+J138+N138+R138+V138+Z138</f>
        <v>0</v>
      </c>
      <c r="AC138" s="81" t="str">
        <f aca="false">IF(B138="","",IF(AB138&lt;=0,"Clear",IF(AA138&gt;0,"Partial","Due")))</f>
        <v/>
      </c>
    </row>
    <row r="139" customFormat="false" ht="15" hidden="false" customHeight="false" outlineLevel="0" collapsed="false">
      <c r="A139" s="25" t="n">
        <v>124</v>
      </c>
      <c r="B139" s="82" t="str">
        <f aca="false">IF(Students!B128="","",Students!B128)</f>
        <v/>
      </c>
      <c r="C139" s="37" t="n">
        <f aca="false">'Apr 2027'!F139</f>
        <v>0</v>
      </c>
      <c r="D139" s="37" t="n">
        <f aca="false">IF(B139="",0,N(Students!E128))</f>
        <v>0</v>
      </c>
      <c r="E139" s="23"/>
      <c r="F139" s="26" t="n">
        <f aca="false">N(C139)+N(D139)-N(E139)</f>
        <v>0</v>
      </c>
      <c r="G139" s="37" t="n">
        <f aca="false">'Apr 2027'!J139</f>
        <v>0</v>
      </c>
      <c r="H139" s="37" t="n">
        <f aca="false">IF(B139="",0,N(Students!F128))</f>
        <v>0</v>
      </c>
      <c r="I139" s="23"/>
      <c r="J139" s="26" t="n">
        <f aca="false">N(G139)+N(H139)-N(I139)</f>
        <v>0</v>
      </c>
      <c r="K139" s="37" t="n">
        <f aca="false">'Apr 2027'!N139</f>
        <v>0</v>
      </c>
      <c r="L139" s="37" t="n">
        <f aca="false">IF(B139="",0,N(Students!G128))</f>
        <v>0</v>
      </c>
      <c r="M139" s="23"/>
      <c r="N139" s="26" t="n">
        <f aca="false">N(K139)+N(L139)-N(M139)</f>
        <v>0</v>
      </c>
      <c r="O139" s="37" t="n">
        <f aca="false">'Apr 2027'!R139</f>
        <v>0</v>
      </c>
      <c r="P139" s="37" t="n">
        <f aca="false">IF(B139="",0,N(Students!H128))</f>
        <v>0</v>
      </c>
      <c r="Q139" s="23"/>
      <c r="R139" s="26" t="n">
        <f aca="false">N(O139)+N(P139)-N(Q139)</f>
        <v>0</v>
      </c>
      <c r="S139" s="37" t="n">
        <f aca="false">'Apr 2027'!V139</f>
        <v>0</v>
      </c>
      <c r="T139" s="37" t="n">
        <f aca="false">IF(B139="",0,N(Students!I128))</f>
        <v>0</v>
      </c>
      <c r="U139" s="23"/>
      <c r="V139" s="26" t="n">
        <f aca="false">N(S139)+N(T139)-N(U139)</f>
        <v>0</v>
      </c>
      <c r="W139" s="37" t="n">
        <f aca="false">'Apr 2027'!Z139</f>
        <v>0</v>
      </c>
      <c r="X139" s="37" t="n">
        <f aca="false">IF(B139="",0,N(Students!J128))</f>
        <v>0</v>
      </c>
      <c r="Y139" s="23"/>
      <c r="Z139" s="26" t="n">
        <f aca="false">N(W139)+N(X139)-N(Y139)</f>
        <v>0</v>
      </c>
      <c r="AA139" s="37" t="n">
        <f aca="false">N(E139)+N(I139)+N(M139)+N(Q139)+N(U139)+N(Y139)</f>
        <v>0</v>
      </c>
      <c r="AB139" s="26" t="n">
        <f aca="false">F139+J139+N139+R139+V139+Z139</f>
        <v>0</v>
      </c>
      <c r="AC139" s="83" t="str">
        <f aca="false">IF(B139="","",IF(AB139&lt;=0,"Clear",IF(AA139&gt;0,"Partial","Due")))</f>
        <v/>
      </c>
    </row>
    <row r="140" customFormat="false" ht="15" hidden="false" customHeight="false" outlineLevel="0" collapsed="false">
      <c r="A140" s="21" t="n">
        <v>125</v>
      </c>
      <c r="B140" s="46" t="str">
        <f aca="false">IF(Students!B129="","",Students!B129)</f>
        <v/>
      </c>
      <c r="C140" s="33" t="n">
        <f aca="false">'Apr 2027'!F140</f>
        <v>0</v>
      </c>
      <c r="D140" s="33" t="n">
        <f aca="false">IF(B140="",0,N(Students!E129))</f>
        <v>0</v>
      </c>
      <c r="E140" s="23"/>
      <c r="F140" s="24" t="n">
        <f aca="false">N(C140)+N(D140)-N(E140)</f>
        <v>0</v>
      </c>
      <c r="G140" s="33" t="n">
        <f aca="false">'Apr 2027'!J140</f>
        <v>0</v>
      </c>
      <c r="H140" s="33" t="n">
        <f aca="false">IF(B140="",0,N(Students!F129))</f>
        <v>0</v>
      </c>
      <c r="I140" s="23"/>
      <c r="J140" s="24" t="n">
        <f aca="false">N(G140)+N(H140)-N(I140)</f>
        <v>0</v>
      </c>
      <c r="K140" s="33" t="n">
        <f aca="false">'Apr 2027'!N140</f>
        <v>0</v>
      </c>
      <c r="L140" s="33" t="n">
        <f aca="false">IF(B140="",0,N(Students!G129))</f>
        <v>0</v>
      </c>
      <c r="M140" s="23"/>
      <c r="N140" s="24" t="n">
        <f aca="false">N(K140)+N(L140)-N(M140)</f>
        <v>0</v>
      </c>
      <c r="O140" s="33" t="n">
        <f aca="false">'Apr 2027'!R140</f>
        <v>0</v>
      </c>
      <c r="P140" s="33" t="n">
        <f aca="false">IF(B140="",0,N(Students!H129))</f>
        <v>0</v>
      </c>
      <c r="Q140" s="23"/>
      <c r="R140" s="24" t="n">
        <f aca="false">N(O140)+N(P140)-N(Q140)</f>
        <v>0</v>
      </c>
      <c r="S140" s="33" t="n">
        <f aca="false">'Apr 2027'!V140</f>
        <v>0</v>
      </c>
      <c r="T140" s="33" t="n">
        <f aca="false">IF(B140="",0,N(Students!I129))</f>
        <v>0</v>
      </c>
      <c r="U140" s="23"/>
      <c r="V140" s="24" t="n">
        <f aca="false">N(S140)+N(T140)-N(U140)</f>
        <v>0</v>
      </c>
      <c r="W140" s="33" t="n">
        <f aca="false">'Apr 2027'!Z140</f>
        <v>0</v>
      </c>
      <c r="X140" s="33" t="n">
        <f aca="false">IF(B140="",0,N(Students!J129))</f>
        <v>0</v>
      </c>
      <c r="Y140" s="23"/>
      <c r="Z140" s="24" t="n">
        <f aca="false">N(W140)+N(X140)-N(Y140)</f>
        <v>0</v>
      </c>
      <c r="AA140" s="33" t="n">
        <f aca="false">N(E140)+N(I140)+N(M140)+N(Q140)+N(U140)+N(Y140)</f>
        <v>0</v>
      </c>
      <c r="AB140" s="24" t="n">
        <f aca="false">F140+J140+N140+R140+V140+Z140</f>
        <v>0</v>
      </c>
      <c r="AC140" s="81" t="str">
        <f aca="false">IF(B140="","",IF(AB140&lt;=0,"Clear",IF(AA140&gt;0,"Partial","Due")))</f>
        <v/>
      </c>
    </row>
    <row r="141" customFormat="false" ht="15" hidden="false" customHeight="false" outlineLevel="0" collapsed="false">
      <c r="A141" s="25" t="n">
        <v>126</v>
      </c>
      <c r="B141" s="82" t="str">
        <f aca="false">IF(Students!B130="","",Students!B130)</f>
        <v/>
      </c>
      <c r="C141" s="37" t="n">
        <f aca="false">'Apr 2027'!F141</f>
        <v>0</v>
      </c>
      <c r="D141" s="37" t="n">
        <f aca="false">IF(B141="",0,N(Students!E130))</f>
        <v>0</v>
      </c>
      <c r="E141" s="23"/>
      <c r="F141" s="26" t="n">
        <f aca="false">N(C141)+N(D141)-N(E141)</f>
        <v>0</v>
      </c>
      <c r="G141" s="37" t="n">
        <f aca="false">'Apr 2027'!J141</f>
        <v>0</v>
      </c>
      <c r="H141" s="37" t="n">
        <f aca="false">IF(B141="",0,N(Students!F130))</f>
        <v>0</v>
      </c>
      <c r="I141" s="23"/>
      <c r="J141" s="26" t="n">
        <f aca="false">N(G141)+N(H141)-N(I141)</f>
        <v>0</v>
      </c>
      <c r="K141" s="37" t="n">
        <f aca="false">'Apr 2027'!N141</f>
        <v>0</v>
      </c>
      <c r="L141" s="37" t="n">
        <f aca="false">IF(B141="",0,N(Students!G130))</f>
        <v>0</v>
      </c>
      <c r="M141" s="23"/>
      <c r="N141" s="26" t="n">
        <f aca="false">N(K141)+N(L141)-N(M141)</f>
        <v>0</v>
      </c>
      <c r="O141" s="37" t="n">
        <f aca="false">'Apr 2027'!R141</f>
        <v>0</v>
      </c>
      <c r="P141" s="37" t="n">
        <f aca="false">IF(B141="",0,N(Students!H130))</f>
        <v>0</v>
      </c>
      <c r="Q141" s="23"/>
      <c r="R141" s="26" t="n">
        <f aca="false">N(O141)+N(P141)-N(Q141)</f>
        <v>0</v>
      </c>
      <c r="S141" s="37" t="n">
        <f aca="false">'Apr 2027'!V141</f>
        <v>0</v>
      </c>
      <c r="T141" s="37" t="n">
        <f aca="false">IF(B141="",0,N(Students!I130))</f>
        <v>0</v>
      </c>
      <c r="U141" s="23"/>
      <c r="V141" s="26" t="n">
        <f aca="false">N(S141)+N(T141)-N(U141)</f>
        <v>0</v>
      </c>
      <c r="W141" s="37" t="n">
        <f aca="false">'Apr 2027'!Z141</f>
        <v>0</v>
      </c>
      <c r="X141" s="37" t="n">
        <f aca="false">IF(B141="",0,N(Students!J130))</f>
        <v>0</v>
      </c>
      <c r="Y141" s="23"/>
      <c r="Z141" s="26" t="n">
        <f aca="false">N(W141)+N(X141)-N(Y141)</f>
        <v>0</v>
      </c>
      <c r="AA141" s="37" t="n">
        <f aca="false">N(E141)+N(I141)+N(M141)+N(Q141)+N(U141)+N(Y141)</f>
        <v>0</v>
      </c>
      <c r="AB141" s="26" t="n">
        <f aca="false">F141+J141+N141+R141+V141+Z141</f>
        <v>0</v>
      </c>
      <c r="AC141" s="83" t="str">
        <f aca="false">IF(B141="","",IF(AB141&lt;=0,"Clear",IF(AA141&gt;0,"Partial","Due")))</f>
        <v/>
      </c>
    </row>
    <row r="142" customFormat="false" ht="15" hidden="false" customHeight="false" outlineLevel="0" collapsed="false">
      <c r="A142" s="21" t="n">
        <v>127</v>
      </c>
      <c r="B142" s="46" t="str">
        <f aca="false">IF(Students!B131="","",Students!B131)</f>
        <v/>
      </c>
      <c r="C142" s="33" t="n">
        <f aca="false">'Apr 2027'!F142</f>
        <v>0</v>
      </c>
      <c r="D142" s="33" t="n">
        <f aca="false">IF(B142="",0,N(Students!E131))</f>
        <v>0</v>
      </c>
      <c r="E142" s="23"/>
      <c r="F142" s="24" t="n">
        <f aca="false">N(C142)+N(D142)-N(E142)</f>
        <v>0</v>
      </c>
      <c r="G142" s="33" t="n">
        <f aca="false">'Apr 2027'!J142</f>
        <v>0</v>
      </c>
      <c r="H142" s="33" t="n">
        <f aca="false">IF(B142="",0,N(Students!F131))</f>
        <v>0</v>
      </c>
      <c r="I142" s="23"/>
      <c r="J142" s="24" t="n">
        <f aca="false">N(G142)+N(H142)-N(I142)</f>
        <v>0</v>
      </c>
      <c r="K142" s="33" t="n">
        <f aca="false">'Apr 2027'!N142</f>
        <v>0</v>
      </c>
      <c r="L142" s="33" t="n">
        <f aca="false">IF(B142="",0,N(Students!G131))</f>
        <v>0</v>
      </c>
      <c r="M142" s="23"/>
      <c r="N142" s="24" t="n">
        <f aca="false">N(K142)+N(L142)-N(M142)</f>
        <v>0</v>
      </c>
      <c r="O142" s="33" t="n">
        <f aca="false">'Apr 2027'!R142</f>
        <v>0</v>
      </c>
      <c r="P142" s="33" t="n">
        <f aca="false">IF(B142="",0,N(Students!H131))</f>
        <v>0</v>
      </c>
      <c r="Q142" s="23"/>
      <c r="R142" s="24" t="n">
        <f aca="false">N(O142)+N(P142)-N(Q142)</f>
        <v>0</v>
      </c>
      <c r="S142" s="33" t="n">
        <f aca="false">'Apr 2027'!V142</f>
        <v>0</v>
      </c>
      <c r="T142" s="33" t="n">
        <f aca="false">IF(B142="",0,N(Students!I131))</f>
        <v>0</v>
      </c>
      <c r="U142" s="23"/>
      <c r="V142" s="24" t="n">
        <f aca="false">N(S142)+N(T142)-N(U142)</f>
        <v>0</v>
      </c>
      <c r="W142" s="33" t="n">
        <f aca="false">'Apr 2027'!Z142</f>
        <v>0</v>
      </c>
      <c r="X142" s="33" t="n">
        <f aca="false">IF(B142="",0,N(Students!J131))</f>
        <v>0</v>
      </c>
      <c r="Y142" s="23"/>
      <c r="Z142" s="24" t="n">
        <f aca="false">N(W142)+N(X142)-N(Y142)</f>
        <v>0</v>
      </c>
      <c r="AA142" s="33" t="n">
        <f aca="false">N(E142)+N(I142)+N(M142)+N(Q142)+N(U142)+N(Y142)</f>
        <v>0</v>
      </c>
      <c r="AB142" s="24" t="n">
        <f aca="false">F142+J142+N142+R142+V142+Z142</f>
        <v>0</v>
      </c>
      <c r="AC142" s="81" t="str">
        <f aca="false">IF(B142="","",IF(AB142&lt;=0,"Clear",IF(AA142&gt;0,"Partial","Due")))</f>
        <v/>
      </c>
    </row>
    <row r="143" customFormat="false" ht="15" hidden="false" customHeight="false" outlineLevel="0" collapsed="false">
      <c r="A143" s="25" t="n">
        <v>128</v>
      </c>
      <c r="B143" s="82" t="str">
        <f aca="false">IF(Students!B132="","",Students!B132)</f>
        <v/>
      </c>
      <c r="C143" s="37" t="n">
        <f aca="false">'Apr 2027'!F143</f>
        <v>0</v>
      </c>
      <c r="D143" s="37" t="n">
        <f aca="false">IF(B143="",0,N(Students!E132))</f>
        <v>0</v>
      </c>
      <c r="E143" s="23"/>
      <c r="F143" s="26" t="n">
        <f aca="false">N(C143)+N(D143)-N(E143)</f>
        <v>0</v>
      </c>
      <c r="G143" s="37" t="n">
        <f aca="false">'Apr 2027'!J143</f>
        <v>0</v>
      </c>
      <c r="H143" s="37" t="n">
        <f aca="false">IF(B143="",0,N(Students!F132))</f>
        <v>0</v>
      </c>
      <c r="I143" s="23"/>
      <c r="J143" s="26" t="n">
        <f aca="false">N(G143)+N(H143)-N(I143)</f>
        <v>0</v>
      </c>
      <c r="K143" s="37" t="n">
        <f aca="false">'Apr 2027'!N143</f>
        <v>0</v>
      </c>
      <c r="L143" s="37" t="n">
        <f aca="false">IF(B143="",0,N(Students!G132))</f>
        <v>0</v>
      </c>
      <c r="M143" s="23"/>
      <c r="N143" s="26" t="n">
        <f aca="false">N(K143)+N(L143)-N(M143)</f>
        <v>0</v>
      </c>
      <c r="O143" s="37" t="n">
        <f aca="false">'Apr 2027'!R143</f>
        <v>0</v>
      </c>
      <c r="P143" s="37" t="n">
        <f aca="false">IF(B143="",0,N(Students!H132))</f>
        <v>0</v>
      </c>
      <c r="Q143" s="23"/>
      <c r="R143" s="26" t="n">
        <f aca="false">N(O143)+N(P143)-N(Q143)</f>
        <v>0</v>
      </c>
      <c r="S143" s="37" t="n">
        <f aca="false">'Apr 2027'!V143</f>
        <v>0</v>
      </c>
      <c r="T143" s="37" t="n">
        <f aca="false">IF(B143="",0,N(Students!I132))</f>
        <v>0</v>
      </c>
      <c r="U143" s="23"/>
      <c r="V143" s="26" t="n">
        <f aca="false">N(S143)+N(T143)-N(U143)</f>
        <v>0</v>
      </c>
      <c r="W143" s="37" t="n">
        <f aca="false">'Apr 2027'!Z143</f>
        <v>0</v>
      </c>
      <c r="X143" s="37" t="n">
        <f aca="false">IF(B143="",0,N(Students!J132))</f>
        <v>0</v>
      </c>
      <c r="Y143" s="23"/>
      <c r="Z143" s="26" t="n">
        <f aca="false">N(W143)+N(X143)-N(Y143)</f>
        <v>0</v>
      </c>
      <c r="AA143" s="37" t="n">
        <f aca="false">N(E143)+N(I143)+N(M143)+N(Q143)+N(U143)+N(Y143)</f>
        <v>0</v>
      </c>
      <c r="AB143" s="26" t="n">
        <f aca="false">F143+J143+N143+R143+V143+Z143</f>
        <v>0</v>
      </c>
      <c r="AC143" s="83" t="str">
        <f aca="false">IF(B143="","",IF(AB143&lt;=0,"Clear",IF(AA143&gt;0,"Partial","Due")))</f>
        <v/>
      </c>
    </row>
    <row r="144" customFormat="false" ht="15" hidden="false" customHeight="false" outlineLevel="0" collapsed="false">
      <c r="A144" s="21" t="n">
        <v>129</v>
      </c>
      <c r="B144" s="46" t="str">
        <f aca="false">IF(Students!B133="","",Students!B133)</f>
        <v/>
      </c>
      <c r="C144" s="33" t="n">
        <f aca="false">'Apr 2027'!F144</f>
        <v>0</v>
      </c>
      <c r="D144" s="33" t="n">
        <f aca="false">IF(B144="",0,N(Students!E133))</f>
        <v>0</v>
      </c>
      <c r="E144" s="23"/>
      <c r="F144" s="24" t="n">
        <f aca="false">N(C144)+N(D144)-N(E144)</f>
        <v>0</v>
      </c>
      <c r="G144" s="33" t="n">
        <f aca="false">'Apr 2027'!J144</f>
        <v>0</v>
      </c>
      <c r="H144" s="33" t="n">
        <f aca="false">IF(B144="",0,N(Students!F133))</f>
        <v>0</v>
      </c>
      <c r="I144" s="23"/>
      <c r="J144" s="24" t="n">
        <f aca="false">N(G144)+N(H144)-N(I144)</f>
        <v>0</v>
      </c>
      <c r="K144" s="33" t="n">
        <f aca="false">'Apr 2027'!N144</f>
        <v>0</v>
      </c>
      <c r="L144" s="33" t="n">
        <f aca="false">IF(B144="",0,N(Students!G133))</f>
        <v>0</v>
      </c>
      <c r="M144" s="23"/>
      <c r="N144" s="24" t="n">
        <f aca="false">N(K144)+N(L144)-N(M144)</f>
        <v>0</v>
      </c>
      <c r="O144" s="33" t="n">
        <f aca="false">'Apr 2027'!R144</f>
        <v>0</v>
      </c>
      <c r="P144" s="33" t="n">
        <f aca="false">IF(B144="",0,N(Students!H133))</f>
        <v>0</v>
      </c>
      <c r="Q144" s="23"/>
      <c r="R144" s="24" t="n">
        <f aca="false">N(O144)+N(P144)-N(Q144)</f>
        <v>0</v>
      </c>
      <c r="S144" s="33" t="n">
        <f aca="false">'Apr 2027'!V144</f>
        <v>0</v>
      </c>
      <c r="T144" s="33" t="n">
        <f aca="false">IF(B144="",0,N(Students!I133))</f>
        <v>0</v>
      </c>
      <c r="U144" s="23"/>
      <c r="V144" s="24" t="n">
        <f aca="false">N(S144)+N(T144)-N(U144)</f>
        <v>0</v>
      </c>
      <c r="W144" s="33" t="n">
        <f aca="false">'Apr 2027'!Z144</f>
        <v>0</v>
      </c>
      <c r="X144" s="33" t="n">
        <f aca="false">IF(B144="",0,N(Students!J133))</f>
        <v>0</v>
      </c>
      <c r="Y144" s="23"/>
      <c r="Z144" s="24" t="n">
        <f aca="false">N(W144)+N(X144)-N(Y144)</f>
        <v>0</v>
      </c>
      <c r="AA144" s="33" t="n">
        <f aca="false">N(E144)+N(I144)+N(M144)+N(Q144)+N(U144)+N(Y144)</f>
        <v>0</v>
      </c>
      <c r="AB144" s="24" t="n">
        <f aca="false">F144+J144+N144+R144+V144+Z144</f>
        <v>0</v>
      </c>
      <c r="AC144" s="81" t="str">
        <f aca="false">IF(B144="","",IF(AB144&lt;=0,"Clear",IF(AA144&gt;0,"Partial","Due")))</f>
        <v/>
      </c>
    </row>
    <row r="145" customFormat="false" ht="15" hidden="false" customHeight="false" outlineLevel="0" collapsed="false">
      <c r="A145" s="25" t="n">
        <v>130</v>
      </c>
      <c r="B145" s="82" t="str">
        <f aca="false">IF(Students!B134="","",Students!B134)</f>
        <v/>
      </c>
      <c r="C145" s="37" t="n">
        <f aca="false">'Apr 2027'!F145</f>
        <v>0</v>
      </c>
      <c r="D145" s="37" t="n">
        <f aca="false">IF(B145="",0,N(Students!E134))</f>
        <v>0</v>
      </c>
      <c r="E145" s="23"/>
      <c r="F145" s="26" t="n">
        <f aca="false">N(C145)+N(D145)-N(E145)</f>
        <v>0</v>
      </c>
      <c r="G145" s="37" t="n">
        <f aca="false">'Apr 2027'!J145</f>
        <v>0</v>
      </c>
      <c r="H145" s="37" t="n">
        <f aca="false">IF(B145="",0,N(Students!F134))</f>
        <v>0</v>
      </c>
      <c r="I145" s="23"/>
      <c r="J145" s="26" t="n">
        <f aca="false">N(G145)+N(H145)-N(I145)</f>
        <v>0</v>
      </c>
      <c r="K145" s="37" t="n">
        <f aca="false">'Apr 2027'!N145</f>
        <v>0</v>
      </c>
      <c r="L145" s="37" t="n">
        <f aca="false">IF(B145="",0,N(Students!G134))</f>
        <v>0</v>
      </c>
      <c r="M145" s="23"/>
      <c r="N145" s="26" t="n">
        <f aca="false">N(K145)+N(L145)-N(M145)</f>
        <v>0</v>
      </c>
      <c r="O145" s="37" t="n">
        <f aca="false">'Apr 2027'!R145</f>
        <v>0</v>
      </c>
      <c r="P145" s="37" t="n">
        <f aca="false">IF(B145="",0,N(Students!H134))</f>
        <v>0</v>
      </c>
      <c r="Q145" s="23"/>
      <c r="R145" s="26" t="n">
        <f aca="false">N(O145)+N(P145)-N(Q145)</f>
        <v>0</v>
      </c>
      <c r="S145" s="37" t="n">
        <f aca="false">'Apr 2027'!V145</f>
        <v>0</v>
      </c>
      <c r="T145" s="37" t="n">
        <f aca="false">IF(B145="",0,N(Students!I134))</f>
        <v>0</v>
      </c>
      <c r="U145" s="23"/>
      <c r="V145" s="26" t="n">
        <f aca="false">N(S145)+N(T145)-N(U145)</f>
        <v>0</v>
      </c>
      <c r="W145" s="37" t="n">
        <f aca="false">'Apr 2027'!Z145</f>
        <v>0</v>
      </c>
      <c r="X145" s="37" t="n">
        <f aca="false">IF(B145="",0,N(Students!J134))</f>
        <v>0</v>
      </c>
      <c r="Y145" s="23"/>
      <c r="Z145" s="26" t="n">
        <f aca="false">N(W145)+N(X145)-N(Y145)</f>
        <v>0</v>
      </c>
      <c r="AA145" s="37" t="n">
        <f aca="false">N(E145)+N(I145)+N(M145)+N(Q145)+N(U145)+N(Y145)</f>
        <v>0</v>
      </c>
      <c r="AB145" s="26" t="n">
        <f aca="false">F145+J145+N145+R145+V145+Z145</f>
        <v>0</v>
      </c>
      <c r="AC145" s="83" t="str">
        <f aca="false">IF(B145="","",IF(AB145&lt;=0,"Clear",IF(AA145&gt;0,"Partial","Due")))</f>
        <v/>
      </c>
    </row>
    <row r="146" customFormat="false" ht="15" hidden="false" customHeight="false" outlineLevel="0" collapsed="false">
      <c r="A146" s="21" t="n">
        <v>131</v>
      </c>
      <c r="B146" s="46" t="str">
        <f aca="false">IF(Students!B135="","",Students!B135)</f>
        <v/>
      </c>
      <c r="C146" s="33" t="n">
        <f aca="false">'Apr 2027'!F146</f>
        <v>0</v>
      </c>
      <c r="D146" s="33" t="n">
        <f aca="false">IF(B146="",0,N(Students!E135))</f>
        <v>0</v>
      </c>
      <c r="E146" s="23"/>
      <c r="F146" s="24" t="n">
        <f aca="false">N(C146)+N(D146)-N(E146)</f>
        <v>0</v>
      </c>
      <c r="G146" s="33" t="n">
        <f aca="false">'Apr 2027'!J146</f>
        <v>0</v>
      </c>
      <c r="H146" s="33" t="n">
        <f aca="false">IF(B146="",0,N(Students!F135))</f>
        <v>0</v>
      </c>
      <c r="I146" s="23"/>
      <c r="J146" s="24" t="n">
        <f aca="false">N(G146)+N(H146)-N(I146)</f>
        <v>0</v>
      </c>
      <c r="K146" s="33" t="n">
        <f aca="false">'Apr 2027'!N146</f>
        <v>0</v>
      </c>
      <c r="L146" s="33" t="n">
        <f aca="false">IF(B146="",0,N(Students!G135))</f>
        <v>0</v>
      </c>
      <c r="M146" s="23"/>
      <c r="N146" s="24" t="n">
        <f aca="false">N(K146)+N(L146)-N(M146)</f>
        <v>0</v>
      </c>
      <c r="O146" s="33" t="n">
        <f aca="false">'Apr 2027'!R146</f>
        <v>0</v>
      </c>
      <c r="P146" s="33" t="n">
        <f aca="false">IF(B146="",0,N(Students!H135))</f>
        <v>0</v>
      </c>
      <c r="Q146" s="23"/>
      <c r="R146" s="24" t="n">
        <f aca="false">N(O146)+N(P146)-N(Q146)</f>
        <v>0</v>
      </c>
      <c r="S146" s="33" t="n">
        <f aca="false">'Apr 2027'!V146</f>
        <v>0</v>
      </c>
      <c r="T146" s="33" t="n">
        <f aca="false">IF(B146="",0,N(Students!I135))</f>
        <v>0</v>
      </c>
      <c r="U146" s="23"/>
      <c r="V146" s="24" t="n">
        <f aca="false">N(S146)+N(T146)-N(U146)</f>
        <v>0</v>
      </c>
      <c r="W146" s="33" t="n">
        <f aca="false">'Apr 2027'!Z146</f>
        <v>0</v>
      </c>
      <c r="X146" s="33" t="n">
        <f aca="false">IF(B146="",0,N(Students!J135))</f>
        <v>0</v>
      </c>
      <c r="Y146" s="23"/>
      <c r="Z146" s="24" t="n">
        <f aca="false">N(W146)+N(X146)-N(Y146)</f>
        <v>0</v>
      </c>
      <c r="AA146" s="33" t="n">
        <f aca="false">N(E146)+N(I146)+N(M146)+N(Q146)+N(U146)+N(Y146)</f>
        <v>0</v>
      </c>
      <c r="AB146" s="24" t="n">
        <f aca="false">F146+J146+N146+R146+V146+Z146</f>
        <v>0</v>
      </c>
      <c r="AC146" s="81" t="str">
        <f aca="false">IF(B146="","",IF(AB146&lt;=0,"Clear",IF(AA146&gt;0,"Partial","Due")))</f>
        <v/>
      </c>
    </row>
    <row r="147" customFormat="false" ht="15" hidden="false" customHeight="false" outlineLevel="0" collapsed="false">
      <c r="A147" s="25" t="n">
        <v>132</v>
      </c>
      <c r="B147" s="82" t="str">
        <f aca="false">IF(Students!B136="","",Students!B136)</f>
        <v/>
      </c>
      <c r="C147" s="37" t="n">
        <f aca="false">'Apr 2027'!F147</f>
        <v>0</v>
      </c>
      <c r="D147" s="37" t="n">
        <f aca="false">IF(B147="",0,N(Students!E136))</f>
        <v>0</v>
      </c>
      <c r="E147" s="23"/>
      <c r="F147" s="26" t="n">
        <f aca="false">N(C147)+N(D147)-N(E147)</f>
        <v>0</v>
      </c>
      <c r="G147" s="37" t="n">
        <f aca="false">'Apr 2027'!J147</f>
        <v>0</v>
      </c>
      <c r="H147" s="37" t="n">
        <f aca="false">IF(B147="",0,N(Students!F136))</f>
        <v>0</v>
      </c>
      <c r="I147" s="23"/>
      <c r="J147" s="26" t="n">
        <f aca="false">N(G147)+N(H147)-N(I147)</f>
        <v>0</v>
      </c>
      <c r="K147" s="37" t="n">
        <f aca="false">'Apr 2027'!N147</f>
        <v>0</v>
      </c>
      <c r="L147" s="37" t="n">
        <f aca="false">IF(B147="",0,N(Students!G136))</f>
        <v>0</v>
      </c>
      <c r="M147" s="23"/>
      <c r="N147" s="26" t="n">
        <f aca="false">N(K147)+N(L147)-N(M147)</f>
        <v>0</v>
      </c>
      <c r="O147" s="37" t="n">
        <f aca="false">'Apr 2027'!R147</f>
        <v>0</v>
      </c>
      <c r="P147" s="37" t="n">
        <f aca="false">IF(B147="",0,N(Students!H136))</f>
        <v>0</v>
      </c>
      <c r="Q147" s="23"/>
      <c r="R147" s="26" t="n">
        <f aca="false">N(O147)+N(P147)-N(Q147)</f>
        <v>0</v>
      </c>
      <c r="S147" s="37" t="n">
        <f aca="false">'Apr 2027'!V147</f>
        <v>0</v>
      </c>
      <c r="T147" s="37" t="n">
        <f aca="false">IF(B147="",0,N(Students!I136))</f>
        <v>0</v>
      </c>
      <c r="U147" s="23"/>
      <c r="V147" s="26" t="n">
        <f aca="false">N(S147)+N(T147)-N(U147)</f>
        <v>0</v>
      </c>
      <c r="W147" s="37" t="n">
        <f aca="false">'Apr 2027'!Z147</f>
        <v>0</v>
      </c>
      <c r="X147" s="37" t="n">
        <f aca="false">IF(B147="",0,N(Students!J136))</f>
        <v>0</v>
      </c>
      <c r="Y147" s="23"/>
      <c r="Z147" s="26" t="n">
        <f aca="false">N(W147)+N(X147)-N(Y147)</f>
        <v>0</v>
      </c>
      <c r="AA147" s="37" t="n">
        <f aca="false">N(E147)+N(I147)+N(M147)+N(Q147)+N(U147)+N(Y147)</f>
        <v>0</v>
      </c>
      <c r="AB147" s="26" t="n">
        <f aca="false">F147+J147+N147+R147+V147+Z147</f>
        <v>0</v>
      </c>
      <c r="AC147" s="83" t="str">
        <f aca="false">IF(B147="","",IF(AB147&lt;=0,"Clear",IF(AA147&gt;0,"Partial","Due")))</f>
        <v/>
      </c>
    </row>
    <row r="148" customFormat="false" ht="15" hidden="false" customHeight="false" outlineLevel="0" collapsed="false">
      <c r="A148" s="21" t="n">
        <v>133</v>
      </c>
      <c r="B148" s="46" t="str">
        <f aca="false">IF(Students!B137="","",Students!B137)</f>
        <v/>
      </c>
      <c r="C148" s="33" t="n">
        <f aca="false">'Apr 2027'!F148</f>
        <v>0</v>
      </c>
      <c r="D148" s="33" t="n">
        <f aca="false">IF(B148="",0,N(Students!E137))</f>
        <v>0</v>
      </c>
      <c r="E148" s="23"/>
      <c r="F148" s="24" t="n">
        <f aca="false">N(C148)+N(D148)-N(E148)</f>
        <v>0</v>
      </c>
      <c r="G148" s="33" t="n">
        <f aca="false">'Apr 2027'!J148</f>
        <v>0</v>
      </c>
      <c r="H148" s="33" t="n">
        <f aca="false">IF(B148="",0,N(Students!F137))</f>
        <v>0</v>
      </c>
      <c r="I148" s="23"/>
      <c r="J148" s="24" t="n">
        <f aca="false">N(G148)+N(H148)-N(I148)</f>
        <v>0</v>
      </c>
      <c r="K148" s="33" t="n">
        <f aca="false">'Apr 2027'!N148</f>
        <v>0</v>
      </c>
      <c r="L148" s="33" t="n">
        <f aca="false">IF(B148="",0,N(Students!G137))</f>
        <v>0</v>
      </c>
      <c r="M148" s="23"/>
      <c r="N148" s="24" t="n">
        <f aca="false">N(K148)+N(L148)-N(M148)</f>
        <v>0</v>
      </c>
      <c r="O148" s="33" t="n">
        <f aca="false">'Apr 2027'!R148</f>
        <v>0</v>
      </c>
      <c r="P148" s="33" t="n">
        <f aca="false">IF(B148="",0,N(Students!H137))</f>
        <v>0</v>
      </c>
      <c r="Q148" s="23"/>
      <c r="R148" s="24" t="n">
        <f aca="false">N(O148)+N(P148)-N(Q148)</f>
        <v>0</v>
      </c>
      <c r="S148" s="33" t="n">
        <f aca="false">'Apr 2027'!V148</f>
        <v>0</v>
      </c>
      <c r="T148" s="33" t="n">
        <f aca="false">IF(B148="",0,N(Students!I137))</f>
        <v>0</v>
      </c>
      <c r="U148" s="23"/>
      <c r="V148" s="24" t="n">
        <f aca="false">N(S148)+N(T148)-N(U148)</f>
        <v>0</v>
      </c>
      <c r="W148" s="33" t="n">
        <f aca="false">'Apr 2027'!Z148</f>
        <v>0</v>
      </c>
      <c r="X148" s="33" t="n">
        <f aca="false">IF(B148="",0,N(Students!J137))</f>
        <v>0</v>
      </c>
      <c r="Y148" s="23"/>
      <c r="Z148" s="24" t="n">
        <f aca="false">N(W148)+N(X148)-N(Y148)</f>
        <v>0</v>
      </c>
      <c r="AA148" s="33" t="n">
        <f aca="false">N(E148)+N(I148)+N(M148)+N(Q148)+N(U148)+N(Y148)</f>
        <v>0</v>
      </c>
      <c r="AB148" s="24" t="n">
        <f aca="false">F148+J148+N148+R148+V148+Z148</f>
        <v>0</v>
      </c>
      <c r="AC148" s="81" t="str">
        <f aca="false">IF(B148="","",IF(AB148&lt;=0,"Clear",IF(AA148&gt;0,"Partial","Due")))</f>
        <v/>
      </c>
    </row>
    <row r="149" customFormat="false" ht="15" hidden="false" customHeight="false" outlineLevel="0" collapsed="false">
      <c r="A149" s="25" t="n">
        <v>134</v>
      </c>
      <c r="B149" s="82" t="str">
        <f aca="false">IF(Students!B138="","",Students!B138)</f>
        <v/>
      </c>
      <c r="C149" s="37" t="n">
        <f aca="false">'Apr 2027'!F149</f>
        <v>0</v>
      </c>
      <c r="D149" s="37" t="n">
        <f aca="false">IF(B149="",0,N(Students!E138))</f>
        <v>0</v>
      </c>
      <c r="E149" s="23"/>
      <c r="F149" s="26" t="n">
        <f aca="false">N(C149)+N(D149)-N(E149)</f>
        <v>0</v>
      </c>
      <c r="G149" s="37" t="n">
        <f aca="false">'Apr 2027'!J149</f>
        <v>0</v>
      </c>
      <c r="H149" s="37" t="n">
        <f aca="false">IF(B149="",0,N(Students!F138))</f>
        <v>0</v>
      </c>
      <c r="I149" s="23"/>
      <c r="J149" s="26" t="n">
        <f aca="false">N(G149)+N(H149)-N(I149)</f>
        <v>0</v>
      </c>
      <c r="K149" s="37" t="n">
        <f aca="false">'Apr 2027'!N149</f>
        <v>0</v>
      </c>
      <c r="L149" s="37" t="n">
        <f aca="false">IF(B149="",0,N(Students!G138))</f>
        <v>0</v>
      </c>
      <c r="M149" s="23"/>
      <c r="N149" s="26" t="n">
        <f aca="false">N(K149)+N(L149)-N(M149)</f>
        <v>0</v>
      </c>
      <c r="O149" s="37" t="n">
        <f aca="false">'Apr 2027'!R149</f>
        <v>0</v>
      </c>
      <c r="P149" s="37" t="n">
        <f aca="false">IF(B149="",0,N(Students!H138))</f>
        <v>0</v>
      </c>
      <c r="Q149" s="23"/>
      <c r="R149" s="26" t="n">
        <f aca="false">N(O149)+N(P149)-N(Q149)</f>
        <v>0</v>
      </c>
      <c r="S149" s="37" t="n">
        <f aca="false">'Apr 2027'!V149</f>
        <v>0</v>
      </c>
      <c r="T149" s="37" t="n">
        <f aca="false">IF(B149="",0,N(Students!I138))</f>
        <v>0</v>
      </c>
      <c r="U149" s="23"/>
      <c r="V149" s="26" t="n">
        <f aca="false">N(S149)+N(T149)-N(U149)</f>
        <v>0</v>
      </c>
      <c r="W149" s="37" t="n">
        <f aca="false">'Apr 2027'!Z149</f>
        <v>0</v>
      </c>
      <c r="X149" s="37" t="n">
        <f aca="false">IF(B149="",0,N(Students!J138))</f>
        <v>0</v>
      </c>
      <c r="Y149" s="23"/>
      <c r="Z149" s="26" t="n">
        <f aca="false">N(W149)+N(X149)-N(Y149)</f>
        <v>0</v>
      </c>
      <c r="AA149" s="37" t="n">
        <f aca="false">N(E149)+N(I149)+N(M149)+N(Q149)+N(U149)+N(Y149)</f>
        <v>0</v>
      </c>
      <c r="AB149" s="26" t="n">
        <f aca="false">F149+J149+N149+R149+V149+Z149</f>
        <v>0</v>
      </c>
      <c r="AC149" s="83" t="str">
        <f aca="false">IF(B149="","",IF(AB149&lt;=0,"Clear",IF(AA149&gt;0,"Partial","Due")))</f>
        <v/>
      </c>
    </row>
    <row r="150" customFormat="false" ht="15" hidden="false" customHeight="false" outlineLevel="0" collapsed="false">
      <c r="A150" s="21" t="n">
        <v>135</v>
      </c>
      <c r="B150" s="46" t="str">
        <f aca="false">IF(Students!B139="","",Students!B139)</f>
        <v/>
      </c>
      <c r="C150" s="33" t="n">
        <f aca="false">'Apr 2027'!F150</f>
        <v>0</v>
      </c>
      <c r="D150" s="33" t="n">
        <f aca="false">IF(B150="",0,N(Students!E139))</f>
        <v>0</v>
      </c>
      <c r="E150" s="23"/>
      <c r="F150" s="24" t="n">
        <f aca="false">N(C150)+N(D150)-N(E150)</f>
        <v>0</v>
      </c>
      <c r="G150" s="33" t="n">
        <f aca="false">'Apr 2027'!J150</f>
        <v>0</v>
      </c>
      <c r="H150" s="33" t="n">
        <f aca="false">IF(B150="",0,N(Students!F139))</f>
        <v>0</v>
      </c>
      <c r="I150" s="23"/>
      <c r="J150" s="24" t="n">
        <f aca="false">N(G150)+N(H150)-N(I150)</f>
        <v>0</v>
      </c>
      <c r="K150" s="33" t="n">
        <f aca="false">'Apr 2027'!N150</f>
        <v>0</v>
      </c>
      <c r="L150" s="33" t="n">
        <f aca="false">IF(B150="",0,N(Students!G139))</f>
        <v>0</v>
      </c>
      <c r="M150" s="23"/>
      <c r="N150" s="24" t="n">
        <f aca="false">N(K150)+N(L150)-N(M150)</f>
        <v>0</v>
      </c>
      <c r="O150" s="33" t="n">
        <f aca="false">'Apr 2027'!R150</f>
        <v>0</v>
      </c>
      <c r="P150" s="33" t="n">
        <f aca="false">IF(B150="",0,N(Students!H139))</f>
        <v>0</v>
      </c>
      <c r="Q150" s="23"/>
      <c r="R150" s="24" t="n">
        <f aca="false">N(O150)+N(P150)-N(Q150)</f>
        <v>0</v>
      </c>
      <c r="S150" s="33" t="n">
        <f aca="false">'Apr 2027'!V150</f>
        <v>0</v>
      </c>
      <c r="T150" s="33" t="n">
        <f aca="false">IF(B150="",0,N(Students!I139))</f>
        <v>0</v>
      </c>
      <c r="U150" s="23"/>
      <c r="V150" s="24" t="n">
        <f aca="false">N(S150)+N(T150)-N(U150)</f>
        <v>0</v>
      </c>
      <c r="W150" s="33" t="n">
        <f aca="false">'Apr 2027'!Z150</f>
        <v>0</v>
      </c>
      <c r="X150" s="33" t="n">
        <f aca="false">IF(B150="",0,N(Students!J139))</f>
        <v>0</v>
      </c>
      <c r="Y150" s="23"/>
      <c r="Z150" s="24" t="n">
        <f aca="false">N(W150)+N(X150)-N(Y150)</f>
        <v>0</v>
      </c>
      <c r="AA150" s="33" t="n">
        <f aca="false">N(E150)+N(I150)+N(M150)+N(Q150)+N(U150)+N(Y150)</f>
        <v>0</v>
      </c>
      <c r="AB150" s="24" t="n">
        <f aca="false">F150+J150+N150+R150+V150+Z150</f>
        <v>0</v>
      </c>
      <c r="AC150" s="81" t="str">
        <f aca="false">IF(B150="","",IF(AB150&lt;=0,"Clear",IF(AA150&gt;0,"Partial","Due")))</f>
        <v/>
      </c>
    </row>
    <row r="151" customFormat="false" ht="15" hidden="false" customHeight="false" outlineLevel="0" collapsed="false">
      <c r="A151" s="25" t="n">
        <v>136</v>
      </c>
      <c r="B151" s="82" t="str">
        <f aca="false">IF(Students!B140="","",Students!B140)</f>
        <v/>
      </c>
      <c r="C151" s="37" t="n">
        <f aca="false">'Apr 2027'!F151</f>
        <v>0</v>
      </c>
      <c r="D151" s="37" t="n">
        <f aca="false">IF(B151="",0,N(Students!E140))</f>
        <v>0</v>
      </c>
      <c r="E151" s="23"/>
      <c r="F151" s="26" t="n">
        <f aca="false">N(C151)+N(D151)-N(E151)</f>
        <v>0</v>
      </c>
      <c r="G151" s="37" t="n">
        <f aca="false">'Apr 2027'!J151</f>
        <v>0</v>
      </c>
      <c r="H151" s="37" t="n">
        <f aca="false">IF(B151="",0,N(Students!F140))</f>
        <v>0</v>
      </c>
      <c r="I151" s="23"/>
      <c r="J151" s="26" t="n">
        <f aca="false">N(G151)+N(H151)-N(I151)</f>
        <v>0</v>
      </c>
      <c r="K151" s="37" t="n">
        <f aca="false">'Apr 2027'!N151</f>
        <v>0</v>
      </c>
      <c r="L151" s="37" t="n">
        <f aca="false">IF(B151="",0,N(Students!G140))</f>
        <v>0</v>
      </c>
      <c r="M151" s="23"/>
      <c r="N151" s="26" t="n">
        <f aca="false">N(K151)+N(L151)-N(M151)</f>
        <v>0</v>
      </c>
      <c r="O151" s="37" t="n">
        <f aca="false">'Apr 2027'!R151</f>
        <v>0</v>
      </c>
      <c r="P151" s="37" t="n">
        <f aca="false">IF(B151="",0,N(Students!H140))</f>
        <v>0</v>
      </c>
      <c r="Q151" s="23"/>
      <c r="R151" s="26" t="n">
        <f aca="false">N(O151)+N(P151)-N(Q151)</f>
        <v>0</v>
      </c>
      <c r="S151" s="37" t="n">
        <f aca="false">'Apr 2027'!V151</f>
        <v>0</v>
      </c>
      <c r="T151" s="37" t="n">
        <f aca="false">IF(B151="",0,N(Students!I140))</f>
        <v>0</v>
      </c>
      <c r="U151" s="23"/>
      <c r="V151" s="26" t="n">
        <f aca="false">N(S151)+N(T151)-N(U151)</f>
        <v>0</v>
      </c>
      <c r="W151" s="37" t="n">
        <f aca="false">'Apr 2027'!Z151</f>
        <v>0</v>
      </c>
      <c r="X151" s="37" t="n">
        <f aca="false">IF(B151="",0,N(Students!J140))</f>
        <v>0</v>
      </c>
      <c r="Y151" s="23"/>
      <c r="Z151" s="26" t="n">
        <f aca="false">N(W151)+N(X151)-N(Y151)</f>
        <v>0</v>
      </c>
      <c r="AA151" s="37" t="n">
        <f aca="false">N(E151)+N(I151)+N(M151)+N(Q151)+N(U151)+N(Y151)</f>
        <v>0</v>
      </c>
      <c r="AB151" s="26" t="n">
        <f aca="false">F151+J151+N151+R151+V151+Z151</f>
        <v>0</v>
      </c>
      <c r="AC151" s="83" t="str">
        <f aca="false">IF(B151="","",IF(AB151&lt;=0,"Clear",IF(AA151&gt;0,"Partial","Due")))</f>
        <v/>
      </c>
    </row>
    <row r="152" customFormat="false" ht="15" hidden="false" customHeight="false" outlineLevel="0" collapsed="false">
      <c r="A152" s="21" t="n">
        <v>137</v>
      </c>
      <c r="B152" s="46" t="str">
        <f aca="false">IF(Students!B141="","",Students!B141)</f>
        <v/>
      </c>
      <c r="C152" s="33" t="n">
        <f aca="false">'Apr 2027'!F152</f>
        <v>0</v>
      </c>
      <c r="D152" s="33" t="n">
        <f aca="false">IF(B152="",0,N(Students!E141))</f>
        <v>0</v>
      </c>
      <c r="E152" s="23"/>
      <c r="F152" s="24" t="n">
        <f aca="false">N(C152)+N(D152)-N(E152)</f>
        <v>0</v>
      </c>
      <c r="G152" s="33" t="n">
        <f aca="false">'Apr 2027'!J152</f>
        <v>0</v>
      </c>
      <c r="H152" s="33" t="n">
        <f aca="false">IF(B152="",0,N(Students!F141))</f>
        <v>0</v>
      </c>
      <c r="I152" s="23"/>
      <c r="J152" s="24" t="n">
        <f aca="false">N(G152)+N(H152)-N(I152)</f>
        <v>0</v>
      </c>
      <c r="K152" s="33" t="n">
        <f aca="false">'Apr 2027'!N152</f>
        <v>0</v>
      </c>
      <c r="L152" s="33" t="n">
        <f aca="false">IF(B152="",0,N(Students!G141))</f>
        <v>0</v>
      </c>
      <c r="M152" s="23"/>
      <c r="N152" s="24" t="n">
        <f aca="false">N(K152)+N(L152)-N(M152)</f>
        <v>0</v>
      </c>
      <c r="O152" s="33" t="n">
        <f aca="false">'Apr 2027'!R152</f>
        <v>0</v>
      </c>
      <c r="P152" s="33" t="n">
        <f aca="false">IF(B152="",0,N(Students!H141))</f>
        <v>0</v>
      </c>
      <c r="Q152" s="23"/>
      <c r="R152" s="24" t="n">
        <f aca="false">N(O152)+N(P152)-N(Q152)</f>
        <v>0</v>
      </c>
      <c r="S152" s="33" t="n">
        <f aca="false">'Apr 2027'!V152</f>
        <v>0</v>
      </c>
      <c r="T152" s="33" t="n">
        <f aca="false">IF(B152="",0,N(Students!I141))</f>
        <v>0</v>
      </c>
      <c r="U152" s="23"/>
      <c r="V152" s="24" t="n">
        <f aca="false">N(S152)+N(T152)-N(U152)</f>
        <v>0</v>
      </c>
      <c r="W152" s="33" t="n">
        <f aca="false">'Apr 2027'!Z152</f>
        <v>0</v>
      </c>
      <c r="X152" s="33" t="n">
        <f aca="false">IF(B152="",0,N(Students!J141))</f>
        <v>0</v>
      </c>
      <c r="Y152" s="23"/>
      <c r="Z152" s="24" t="n">
        <f aca="false">N(W152)+N(X152)-N(Y152)</f>
        <v>0</v>
      </c>
      <c r="AA152" s="33" t="n">
        <f aca="false">N(E152)+N(I152)+N(M152)+N(Q152)+N(U152)+N(Y152)</f>
        <v>0</v>
      </c>
      <c r="AB152" s="24" t="n">
        <f aca="false">F152+J152+N152+R152+V152+Z152</f>
        <v>0</v>
      </c>
      <c r="AC152" s="81" t="str">
        <f aca="false">IF(B152="","",IF(AB152&lt;=0,"Clear",IF(AA152&gt;0,"Partial","Due")))</f>
        <v/>
      </c>
    </row>
    <row r="153" customFormat="false" ht="15" hidden="false" customHeight="false" outlineLevel="0" collapsed="false">
      <c r="A153" s="25" t="n">
        <v>138</v>
      </c>
      <c r="B153" s="82" t="str">
        <f aca="false">IF(Students!B142="","",Students!B142)</f>
        <v/>
      </c>
      <c r="C153" s="37" t="n">
        <f aca="false">'Apr 2027'!F153</f>
        <v>0</v>
      </c>
      <c r="D153" s="37" t="n">
        <f aca="false">IF(B153="",0,N(Students!E142))</f>
        <v>0</v>
      </c>
      <c r="E153" s="23"/>
      <c r="F153" s="26" t="n">
        <f aca="false">N(C153)+N(D153)-N(E153)</f>
        <v>0</v>
      </c>
      <c r="G153" s="37" t="n">
        <f aca="false">'Apr 2027'!J153</f>
        <v>0</v>
      </c>
      <c r="H153" s="37" t="n">
        <f aca="false">IF(B153="",0,N(Students!F142))</f>
        <v>0</v>
      </c>
      <c r="I153" s="23"/>
      <c r="J153" s="26" t="n">
        <f aca="false">N(G153)+N(H153)-N(I153)</f>
        <v>0</v>
      </c>
      <c r="K153" s="37" t="n">
        <f aca="false">'Apr 2027'!N153</f>
        <v>0</v>
      </c>
      <c r="L153" s="37" t="n">
        <f aca="false">IF(B153="",0,N(Students!G142))</f>
        <v>0</v>
      </c>
      <c r="M153" s="23"/>
      <c r="N153" s="26" t="n">
        <f aca="false">N(K153)+N(L153)-N(M153)</f>
        <v>0</v>
      </c>
      <c r="O153" s="37" t="n">
        <f aca="false">'Apr 2027'!R153</f>
        <v>0</v>
      </c>
      <c r="P153" s="37" t="n">
        <f aca="false">IF(B153="",0,N(Students!H142))</f>
        <v>0</v>
      </c>
      <c r="Q153" s="23"/>
      <c r="R153" s="26" t="n">
        <f aca="false">N(O153)+N(P153)-N(Q153)</f>
        <v>0</v>
      </c>
      <c r="S153" s="37" t="n">
        <f aca="false">'Apr 2027'!V153</f>
        <v>0</v>
      </c>
      <c r="T153" s="37" t="n">
        <f aca="false">IF(B153="",0,N(Students!I142))</f>
        <v>0</v>
      </c>
      <c r="U153" s="23"/>
      <c r="V153" s="26" t="n">
        <f aca="false">N(S153)+N(T153)-N(U153)</f>
        <v>0</v>
      </c>
      <c r="W153" s="37" t="n">
        <f aca="false">'Apr 2027'!Z153</f>
        <v>0</v>
      </c>
      <c r="X153" s="37" t="n">
        <f aca="false">IF(B153="",0,N(Students!J142))</f>
        <v>0</v>
      </c>
      <c r="Y153" s="23"/>
      <c r="Z153" s="26" t="n">
        <f aca="false">N(W153)+N(X153)-N(Y153)</f>
        <v>0</v>
      </c>
      <c r="AA153" s="37" t="n">
        <f aca="false">N(E153)+N(I153)+N(M153)+N(Q153)+N(U153)+N(Y153)</f>
        <v>0</v>
      </c>
      <c r="AB153" s="26" t="n">
        <f aca="false">F153+J153+N153+R153+V153+Z153</f>
        <v>0</v>
      </c>
      <c r="AC153" s="83" t="str">
        <f aca="false">IF(B153="","",IF(AB153&lt;=0,"Clear",IF(AA153&gt;0,"Partial","Due")))</f>
        <v/>
      </c>
    </row>
    <row r="154" customFormat="false" ht="15" hidden="false" customHeight="false" outlineLevel="0" collapsed="false">
      <c r="A154" s="21" t="n">
        <v>139</v>
      </c>
      <c r="B154" s="46" t="str">
        <f aca="false">IF(Students!B143="","",Students!B143)</f>
        <v/>
      </c>
      <c r="C154" s="33" t="n">
        <f aca="false">'Apr 2027'!F154</f>
        <v>0</v>
      </c>
      <c r="D154" s="33" t="n">
        <f aca="false">IF(B154="",0,N(Students!E143))</f>
        <v>0</v>
      </c>
      <c r="E154" s="23"/>
      <c r="F154" s="24" t="n">
        <f aca="false">N(C154)+N(D154)-N(E154)</f>
        <v>0</v>
      </c>
      <c r="G154" s="33" t="n">
        <f aca="false">'Apr 2027'!J154</f>
        <v>0</v>
      </c>
      <c r="H154" s="33" t="n">
        <f aca="false">IF(B154="",0,N(Students!F143))</f>
        <v>0</v>
      </c>
      <c r="I154" s="23"/>
      <c r="J154" s="24" t="n">
        <f aca="false">N(G154)+N(H154)-N(I154)</f>
        <v>0</v>
      </c>
      <c r="K154" s="33" t="n">
        <f aca="false">'Apr 2027'!N154</f>
        <v>0</v>
      </c>
      <c r="L154" s="33" t="n">
        <f aca="false">IF(B154="",0,N(Students!G143))</f>
        <v>0</v>
      </c>
      <c r="M154" s="23"/>
      <c r="N154" s="24" t="n">
        <f aca="false">N(K154)+N(L154)-N(M154)</f>
        <v>0</v>
      </c>
      <c r="O154" s="33" t="n">
        <f aca="false">'Apr 2027'!R154</f>
        <v>0</v>
      </c>
      <c r="P154" s="33" t="n">
        <f aca="false">IF(B154="",0,N(Students!H143))</f>
        <v>0</v>
      </c>
      <c r="Q154" s="23"/>
      <c r="R154" s="24" t="n">
        <f aca="false">N(O154)+N(P154)-N(Q154)</f>
        <v>0</v>
      </c>
      <c r="S154" s="33" t="n">
        <f aca="false">'Apr 2027'!V154</f>
        <v>0</v>
      </c>
      <c r="T154" s="33" t="n">
        <f aca="false">IF(B154="",0,N(Students!I143))</f>
        <v>0</v>
      </c>
      <c r="U154" s="23"/>
      <c r="V154" s="24" t="n">
        <f aca="false">N(S154)+N(T154)-N(U154)</f>
        <v>0</v>
      </c>
      <c r="W154" s="33" t="n">
        <f aca="false">'Apr 2027'!Z154</f>
        <v>0</v>
      </c>
      <c r="X154" s="33" t="n">
        <f aca="false">IF(B154="",0,N(Students!J143))</f>
        <v>0</v>
      </c>
      <c r="Y154" s="23"/>
      <c r="Z154" s="24" t="n">
        <f aca="false">N(W154)+N(X154)-N(Y154)</f>
        <v>0</v>
      </c>
      <c r="AA154" s="33" t="n">
        <f aca="false">N(E154)+N(I154)+N(M154)+N(Q154)+N(U154)+N(Y154)</f>
        <v>0</v>
      </c>
      <c r="AB154" s="24" t="n">
        <f aca="false">F154+J154+N154+R154+V154+Z154</f>
        <v>0</v>
      </c>
      <c r="AC154" s="81" t="str">
        <f aca="false">IF(B154="","",IF(AB154&lt;=0,"Clear",IF(AA154&gt;0,"Partial","Due")))</f>
        <v/>
      </c>
    </row>
    <row r="155" customFormat="false" ht="15" hidden="false" customHeight="false" outlineLevel="0" collapsed="false">
      <c r="A155" s="25" t="n">
        <v>140</v>
      </c>
      <c r="B155" s="82" t="str">
        <f aca="false">IF(Students!B144="","",Students!B144)</f>
        <v/>
      </c>
      <c r="C155" s="37" t="n">
        <f aca="false">'Apr 2027'!F155</f>
        <v>0</v>
      </c>
      <c r="D155" s="37" t="n">
        <f aca="false">IF(B155="",0,N(Students!E144))</f>
        <v>0</v>
      </c>
      <c r="E155" s="23"/>
      <c r="F155" s="26" t="n">
        <f aca="false">N(C155)+N(D155)-N(E155)</f>
        <v>0</v>
      </c>
      <c r="G155" s="37" t="n">
        <f aca="false">'Apr 2027'!J155</f>
        <v>0</v>
      </c>
      <c r="H155" s="37" t="n">
        <f aca="false">IF(B155="",0,N(Students!F144))</f>
        <v>0</v>
      </c>
      <c r="I155" s="23"/>
      <c r="J155" s="26" t="n">
        <f aca="false">N(G155)+N(H155)-N(I155)</f>
        <v>0</v>
      </c>
      <c r="K155" s="37" t="n">
        <f aca="false">'Apr 2027'!N155</f>
        <v>0</v>
      </c>
      <c r="L155" s="37" t="n">
        <f aca="false">IF(B155="",0,N(Students!G144))</f>
        <v>0</v>
      </c>
      <c r="M155" s="23"/>
      <c r="N155" s="26" t="n">
        <f aca="false">N(K155)+N(L155)-N(M155)</f>
        <v>0</v>
      </c>
      <c r="O155" s="37" t="n">
        <f aca="false">'Apr 2027'!R155</f>
        <v>0</v>
      </c>
      <c r="P155" s="37" t="n">
        <f aca="false">IF(B155="",0,N(Students!H144))</f>
        <v>0</v>
      </c>
      <c r="Q155" s="23"/>
      <c r="R155" s="26" t="n">
        <f aca="false">N(O155)+N(P155)-N(Q155)</f>
        <v>0</v>
      </c>
      <c r="S155" s="37" t="n">
        <f aca="false">'Apr 2027'!V155</f>
        <v>0</v>
      </c>
      <c r="T155" s="37" t="n">
        <f aca="false">IF(B155="",0,N(Students!I144))</f>
        <v>0</v>
      </c>
      <c r="U155" s="23"/>
      <c r="V155" s="26" t="n">
        <f aca="false">N(S155)+N(T155)-N(U155)</f>
        <v>0</v>
      </c>
      <c r="W155" s="37" t="n">
        <f aca="false">'Apr 2027'!Z155</f>
        <v>0</v>
      </c>
      <c r="X155" s="37" t="n">
        <f aca="false">IF(B155="",0,N(Students!J144))</f>
        <v>0</v>
      </c>
      <c r="Y155" s="23"/>
      <c r="Z155" s="26" t="n">
        <f aca="false">N(W155)+N(X155)-N(Y155)</f>
        <v>0</v>
      </c>
      <c r="AA155" s="37" t="n">
        <f aca="false">N(E155)+N(I155)+N(M155)+N(Q155)+N(U155)+N(Y155)</f>
        <v>0</v>
      </c>
      <c r="AB155" s="26" t="n">
        <f aca="false">F155+J155+N155+R155+V155+Z155</f>
        <v>0</v>
      </c>
      <c r="AC155" s="83" t="str">
        <f aca="false">IF(B155="","",IF(AB155&lt;=0,"Clear",IF(AA155&gt;0,"Partial","Due")))</f>
        <v/>
      </c>
    </row>
    <row r="156" customFormat="false" ht="15" hidden="false" customHeight="false" outlineLevel="0" collapsed="false">
      <c r="A156" s="21" t="n">
        <v>141</v>
      </c>
      <c r="B156" s="46" t="str">
        <f aca="false">IF(Students!B145="","",Students!B145)</f>
        <v/>
      </c>
      <c r="C156" s="33" t="n">
        <f aca="false">'Apr 2027'!F156</f>
        <v>0</v>
      </c>
      <c r="D156" s="33" t="n">
        <f aca="false">IF(B156="",0,N(Students!E145))</f>
        <v>0</v>
      </c>
      <c r="E156" s="23"/>
      <c r="F156" s="24" t="n">
        <f aca="false">N(C156)+N(D156)-N(E156)</f>
        <v>0</v>
      </c>
      <c r="G156" s="33" t="n">
        <f aca="false">'Apr 2027'!J156</f>
        <v>0</v>
      </c>
      <c r="H156" s="33" t="n">
        <f aca="false">IF(B156="",0,N(Students!F145))</f>
        <v>0</v>
      </c>
      <c r="I156" s="23"/>
      <c r="J156" s="24" t="n">
        <f aca="false">N(G156)+N(H156)-N(I156)</f>
        <v>0</v>
      </c>
      <c r="K156" s="33" t="n">
        <f aca="false">'Apr 2027'!N156</f>
        <v>0</v>
      </c>
      <c r="L156" s="33" t="n">
        <f aca="false">IF(B156="",0,N(Students!G145))</f>
        <v>0</v>
      </c>
      <c r="M156" s="23"/>
      <c r="N156" s="24" t="n">
        <f aca="false">N(K156)+N(L156)-N(M156)</f>
        <v>0</v>
      </c>
      <c r="O156" s="33" t="n">
        <f aca="false">'Apr 2027'!R156</f>
        <v>0</v>
      </c>
      <c r="P156" s="33" t="n">
        <f aca="false">IF(B156="",0,N(Students!H145))</f>
        <v>0</v>
      </c>
      <c r="Q156" s="23"/>
      <c r="R156" s="24" t="n">
        <f aca="false">N(O156)+N(P156)-N(Q156)</f>
        <v>0</v>
      </c>
      <c r="S156" s="33" t="n">
        <f aca="false">'Apr 2027'!V156</f>
        <v>0</v>
      </c>
      <c r="T156" s="33" t="n">
        <f aca="false">IF(B156="",0,N(Students!I145))</f>
        <v>0</v>
      </c>
      <c r="U156" s="23"/>
      <c r="V156" s="24" t="n">
        <f aca="false">N(S156)+N(T156)-N(U156)</f>
        <v>0</v>
      </c>
      <c r="W156" s="33" t="n">
        <f aca="false">'Apr 2027'!Z156</f>
        <v>0</v>
      </c>
      <c r="X156" s="33" t="n">
        <f aca="false">IF(B156="",0,N(Students!J145))</f>
        <v>0</v>
      </c>
      <c r="Y156" s="23"/>
      <c r="Z156" s="24" t="n">
        <f aca="false">N(W156)+N(X156)-N(Y156)</f>
        <v>0</v>
      </c>
      <c r="AA156" s="33" t="n">
        <f aca="false">N(E156)+N(I156)+N(M156)+N(Q156)+N(U156)+N(Y156)</f>
        <v>0</v>
      </c>
      <c r="AB156" s="24" t="n">
        <f aca="false">F156+J156+N156+R156+V156+Z156</f>
        <v>0</v>
      </c>
      <c r="AC156" s="81" t="str">
        <f aca="false">IF(B156="","",IF(AB156&lt;=0,"Clear",IF(AA156&gt;0,"Partial","Due")))</f>
        <v/>
      </c>
    </row>
    <row r="157" customFormat="false" ht="15" hidden="false" customHeight="false" outlineLevel="0" collapsed="false">
      <c r="A157" s="25" t="n">
        <v>142</v>
      </c>
      <c r="B157" s="82" t="str">
        <f aca="false">IF(Students!B146="","",Students!B146)</f>
        <v/>
      </c>
      <c r="C157" s="37" t="n">
        <f aca="false">'Apr 2027'!F157</f>
        <v>0</v>
      </c>
      <c r="D157" s="37" t="n">
        <f aca="false">IF(B157="",0,N(Students!E146))</f>
        <v>0</v>
      </c>
      <c r="E157" s="23"/>
      <c r="F157" s="26" t="n">
        <f aca="false">N(C157)+N(D157)-N(E157)</f>
        <v>0</v>
      </c>
      <c r="G157" s="37" t="n">
        <f aca="false">'Apr 2027'!J157</f>
        <v>0</v>
      </c>
      <c r="H157" s="37" t="n">
        <f aca="false">IF(B157="",0,N(Students!F146))</f>
        <v>0</v>
      </c>
      <c r="I157" s="23"/>
      <c r="J157" s="26" t="n">
        <f aca="false">N(G157)+N(H157)-N(I157)</f>
        <v>0</v>
      </c>
      <c r="K157" s="37" t="n">
        <f aca="false">'Apr 2027'!N157</f>
        <v>0</v>
      </c>
      <c r="L157" s="37" t="n">
        <f aca="false">IF(B157="",0,N(Students!G146))</f>
        <v>0</v>
      </c>
      <c r="M157" s="23"/>
      <c r="N157" s="26" t="n">
        <f aca="false">N(K157)+N(L157)-N(M157)</f>
        <v>0</v>
      </c>
      <c r="O157" s="37" t="n">
        <f aca="false">'Apr 2027'!R157</f>
        <v>0</v>
      </c>
      <c r="P157" s="37" t="n">
        <f aca="false">IF(B157="",0,N(Students!H146))</f>
        <v>0</v>
      </c>
      <c r="Q157" s="23"/>
      <c r="R157" s="26" t="n">
        <f aca="false">N(O157)+N(P157)-N(Q157)</f>
        <v>0</v>
      </c>
      <c r="S157" s="37" t="n">
        <f aca="false">'Apr 2027'!V157</f>
        <v>0</v>
      </c>
      <c r="T157" s="37" t="n">
        <f aca="false">IF(B157="",0,N(Students!I146))</f>
        <v>0</v>
      </c>
      <c r="U157" s="23"/>
      <c r="V157" s="26" t="n">
        <f aca="false">N(S157)+N(T157)-N(U157)</f>
        <v>0</v>
      </c>
      <c r="W157" s="37" t="n">
        <f aca="false">'Apr 2027'!Z157</f>
        <v>0</v>
      </c>
      <c r="X157" s="37" t="n">
        <f aca="false">IF(B157="",0,N(Students!J146))</f>
        <v>0</v>
      </c>
      <c r="Y157" s="23"/>
      <c r="Z157" s="26" t="n">
        <f aca="false">N(W157)+N(X157)-N(Y157)</f>
        <v>0</v>
      </c>
      <c r="AA157" s="37" t="n">
        <f aca="false">N(E157)+N(I157)+N(M157)+N(Q157)+N(U157)+N(Y157)</f>
        <v>0</v>
      </c>
      <c r="AB157" s="26" t="n">
        <f aca="false">F157+J157+N157+R157+V157+Z157</f>
        <v>0</v>
      </c>
      <c r="AC157" s="83" t="str">
        <f aca="false">IF(B157="","",IF(AB157&lt;=0,"Clear",IF(AA157&gt;0,"Partial","Due")))</f>
        <v/>
      </c>
    </row>
    <row r="158" customFormat="false" ht="15" hidden="false" customHeight="false" outlineLevel="0" collapsed="false">
      <c r="A158" s="21" t="n">
        <v>143</v>
      </c>
      <c r="B158" s="46" t="str">
        <f aca="false">IF(Students!B147="","",Students!B147)</f>
        <v/>
      </c>
      <c r="C158" s="33" t="n">
        <f aca="false">'Apr 2027'!F158</f>
        <v>0</v>
      </c>
      <c r="D158" s="33" t="n">
        <f aca="false">IF(B158="",0,N(Students!E147))</f>
        <v>0</v>
      </c>
      <c r="E158" s="23"/>
      <c r="F158" s="24" t="n">
        <f aca="false">N(C158)+N(D158)-N(E158)</f>
        <v>0</v>
      </c>
      <c r="G158" s="33" t="n">
        <f aca="false">'Apr 2027'!J158</f>
        <v>0</v>
      </c>
      <c r="H158" s="33" t="n">
        <f aca="false">IF(B158="",0,N(Students!F147))</f>
        <v>0</v>
      </c>
      <c r="I158" s="23"/>
      <c r="J158" s="24" t="n">
        <f aca="false">N(G158)+N(H158)-N(I158)</f>
        <v>0</v>
      </c>
      <c r="K158" s="33" t="n">
        <f aca="false">'Apr 2027'!N158</f>
        <v>0</v>
      </c>
      <c r="L158" s="33" t="n">
        <f aca="false">IF(B158="",0,N(Students!G147))</f>
        <v>0</v>
      </c>
      <c r="M158" s="23"/>
      <c r="N158" s="24" t="n">
        <f aca="false">N(K158)+N(L158)-N(M158)</f>
        <v>0</v>
      </c>
      <c r="O158" s="33" t="n">
        <f aca="false">'Apr 2027'!R158</f>
        <v>0</v>
      </c>
      <c r="P158" s="33" t="n">
        <f aca="false">IF(B158="",0,N(Students!H147))</f>
        <v>0</v>
      </c>
      <c r="Q158" s="23"/>
      <c r="R158" s="24" t="n">
        <f aca="false">N(O158)+N(P158)-N(Q158)</f>
        <v>0</v>
      </c>
      <c r="S158" s="33" t="n">
        <f aca="false">'Apr 2027'!V158</f>
        <v>0</v>
      </c>
      <c r="T158" s="33" t="n">
        <f aca="false">IF(B158="",0,N(Students!I147))</f>
        <v>0</v>
      </c>
      <c r="U158" s="23"/>
      <c r="V158" s="24" t="n">
        <f aca="false">N(S158)+N(T158)-N(U158)</f>
        <v>0</v>
      </c>
      <c r="W158" s="33" t="n">
        <f aca="false">'Apr 2027'!Z158</f>
        <v>0</v>
      </c>
      <c r="X158" s="33" t="n">
        <f aca="false">IF(B158="",0,N(Students!J147))</f>
        <v>0</v>
      </c>
      <c r="Y158" s="23"/>
      <c r="Z158" s="24" t="n">
        <f aca="false">N(W158)+N(X158)-N(Y158)</f>
        <v>0</v>
      </c>
      <c r="AA158" s="33" t="n">
        <f aca="false">N(E158)+N(I158)+N(M158)+N(Q158)+N(U158)+N(Y158)</f>
        <v>0</v>
      </c>
      <c r="AB158" s="24" t="n">
        <f aca="false">F158+J158+N158+R158+V158+Z158</f>
        <v>0</v>
      </c>
      <c r="AC158" s="81" t="str">
        <f aca="false">IF(B158="","",IF(AB158&lt;=0,"Clear",IF(AA158&gt;0,"Partial","Due")))</f>
        <v/>
      </c>
    </row>
    <row r="159" customFormat="false" ht="15" hidden="false" customHeight="false" outlineLevel="0" collapsed="false">
      <c r="A159" s="25" t="n">
        <v>144</v>
      </c>
      <c r="B159" s="82" t="str">
        <f aca="false">IF(Students!B148="","",Students!B148)</f>
        <v/>
      </c>
      <c r="C159" s="37" t="n">
        <f aca="false">'Apr 2027'!F159</f>
        <v>0</v>
      </c>
      <c r="D159" s="37" t="n">
        <f aca="false">IF(B159="",0,N(Students!E148))</f>
        <v>0</v>
      </c>
      <c r="E159" s="23"/>
      <c r="F159" s="26" t="n">
        <f aca="false">N(C159)+N(D159)-N(E159)</f>
        <v>0</v>
      </c>
      <c r="G159" s="37" t="n">
        <f aca="false">'Apr 2027'!J159</f>
        <v>0</v>
      </c>
      <c r="H159" s="37" t="n">
        <f aca="false">IF(B159="",0,N(Students!F148))</f>
        <v>0</v>
      </c>
      <c r="I159" s="23"/>
      <c r="J159" s="26" t="n">
        <f aca="false">N(G159)+N(H159)-N(I159)</f>
        <v>0</v>
      </c>
      <c r="K159" s="37" t="n">
        <f aca="false">'Apr 2027'!N159</f>
        <v>0</v>
      </c>
      <c r="L159" s="37" t="n">
        <f aca="false">IF(B159="",0,N(Students!G148))</f>
        <v>0</v>
      </c>
      <c r="M159" s="23"/>
      <c r="N159" s="26" t="n">
        <f aca="false">N(K159)+N(L159)-N(M159)</f>
        <v>0</v>
      </c>
      <c r="O159" s="37" t="n">
        <f aca="false">'Apr 2027'!R159</f>
        <v>0</v>
      </c>
      <c r="P159" s="37" t="n">
        <f aca="false">IF(B159="",0,N(Students!H148))</f>
        <v>0</v>
      </c>
      <c r="Q159" s="23"/>
      <c r="R159" s="26" t="n">
        <f aca="false">N(O159)+N(P159)-N(Q159)</f>
        <v>0</v>
      </c>
      <c r="S159" s="37" t="n">
        <f aca="false">'Apr 2027'!V159</f>
        <v>0</v>
      </c>
      <c r="T159" s="37" t="n">
        <f aca="false">IF(B159="",0,N(Students!I148))</f>
        <v>0</v>
      </c>
      <c r="U159" s="23"/>
      <c r="V159" s="26" t="n">
        <f aca="false">N(S159)+N(T159)-N(U159)</f>
        <v>0</v>
      </c>
      <c r="W159" s="37" t="n">
        <f aca="false">'Apr 2027'!Z159</f>
        <v>0</v>
      </c>
      <c r="X159" s="37" t="n">
        <f aca="false">IF(B159="",0,N(Students!J148))</f>
        <v>0</v>
      </c>
      <c r="Y159" s="23"/>
      <c r="Z159" s="26" t="n">
        <f aca="false">N(W159)+N(X159)-N(Y159)</f>
        <v>0</v>
      </c>
      <c r="AA159" s="37" t="n">
        <f aca="false">N(E159)+N(I159)+N(M159)+N(Q159)+N(U159)+N(Y159)</f>
        <v>0</v>
      </c>
      <c r="AB159" s="26" t="n">
        <f aca="false">F159+J159+N159+R159+V159+Z159</f>
        <v>0</v>
      </c>
      <c r="AC159" s="83" t="str">
        <f aca="false">IF(B159="","",IF(AB159&lt;=0,"Clear",IF(AA159&gt;0,"Partial","Due")))</f>
        <v/>
      </c>
    </row>
    <row r="160" customFormat="false" ht="15" hidden="false" customHeight="false" outlineLevel="0" collapsed="false">
      <c r="A160" s="21" t="n">
        <v>145</v>
      </c>
      <c r="B160" s="46" t="str">
        <f aca="false">IF(Students!B149="","",Students!B149)</f>
        <v/>
      </c>
      <c r="C160" s="33" t="n">
        <f aca="false">'Apr 2027'!F160</f>
        <v>0</v>
      </c>
      <c r="D160" s="33" t="n">
        <f aca="false">IF(B160="",0,N(Students!E149))</f>
        <v>0</v>
      </c>
      <c r="E160" s="23"/>
      <c r="F160" s="24" t="n">
        <f aca="false">N(C160)+N(D160)-N(E160)</f>
        <v>0</v>
      </c>
      <c r="G160" s="33" t="n">
        <f aca="false">'Apr 2027'!J160</f>
        <v>0</v>
      </c>
      <c r="H160" s="33" t="n">
        <f aca="false">IF(B160="",0,N(Students!F149))</f>
        <v>0</v>
      </c>
      <c r="I160" s="23"/>
      <c r="J160" s="24" t="n">
        <f aca="false">N(G160)+N(H160)-N(I160)</f>
        <v>0</v>
      </c>
      <c r="K160" s="33" t="n">
        <f aca="false">'Apr 2027'!N160</f>
        <v>0</v>
      </c>
      <c r="L160" s="33" t="n">
        <f aca="false">IF(B160="",0,N(Students!G149))</f>
        <v>0</v>
      </c>
      <c r="M160" s="23"/>
      <c r="N160" s="24" t="n">
        <f aca="false">N(K160)+N(L160)-N(M160)</f>
        <v>0</v>
      </c>
      <c r="O160" s="33" t="n">
        <f aca="false">'Apr 2027'!R160</f>
        <v>0</v>
      </c>
      <c r="P160" s="33" t="n">
        <f aca="false">IF(B160="",0,N(Students!H149))</f>
        <v>0</v>
      </c>
      <c r="Q160" s="23"/>
      <c r="R160" s="24" t="n">
        <f aca="false">N(O160)+N(P160)-N(Q160)</f>
        <v>0</v>
      </c>
      <c r="S160" s="33" t="n">
        <f aca="false">'Apr 2027'!V160</f>
        <v>0</v>
      </c>
      <c r="T160" s="33" t="n">
        <f aca="false">IF(B160="",0,N(Students!I149))</f>
        <v>0</v>
      </c>
      <c r="U160" s="23"/>
      <c r="V160" s="24" t="n">
        <f aca="false">N(S160)+N(T160)-N(U160)</f>
        <v>0</v>
      </c>
      <c r="W160" s="33" t="n">
        <f aca="false">'Apr 2027'!Z160</f>
        <v>0</v>
      </c>
      <c r="X160" s="33" t="n">
        <f aca="false">IF(B160="",0,N(Students!J149))</f>
        <v>0</v>
      </c>
      <c r="Y160" s="23"/>
      <c r="Z160" s="24" t="n">
        <f aca="false">N(W160)+N(X160)-N(Y160)</f>
        <v>0</v>
      </c>
      <c r="AA160" s="33" t="n">
        <f aca="false">N(E160)+N(I160)+N(M160)+N(Q160)+N(U160)+N(Y160)</f>
        <v>0</v>
      </c>
      <c r="AB160" s="24" t="n">
        <f aca="false">F160+J160+N160+R160+V160+Z160</f>
        <v>0</v>
      </c>
      <c r="AC160" s="81" t="str">
        <f aca="false">IF(B160="","",IF(AB160&lt;=0,"Clear",IF(AA160&gt;0,"Partial","Due")))</f>
        <v/>
      </c>
    </row>
    <row r="161" customFormat="false" ht="15" hidden="false" customHeight="false" outlineLevel="0" collapsed="false">
      <c r="A161" s="25" t="n">
        <v>146</v>
      </c>
      <c r="B161" s="82" t="str">
        <f aca="false">IF(Students!B150="","",Students!B150)</f>
        <v/>
      </c>
      <c r="C161" s="37" t="n">
        <f aca="false">'Apr 2027'!F161</f>
        <v>0</v>
      </c>
      <c r="D161" s="37" t="n">
        <f aca="false">IF(B161="",0,N(Students!E150))</f>
        <v>0</v>
      </c>
      <c r="E161" s="23"/>
      <c r="F161" s="26" t="n">
        <f aca="false">N(C161)+N(D161)-N(E161)</f>
        <v>0</v>
      </c>
      <c r="G161" s="37" t="n">
        <f aca="false">'Apr 2027'!J161</f>
        <v>0</v>
      </c>
      <c r="H161" s="37" t="n">
        <f aca="false">IF(B161="",0,N(Students!F150))</f>
        <v>0</v>
      </c>
      <c r="I161" s="23"/>
      <c r="J161" s="26" t="n">
        <f aca="false">N(G161)+N(H161)-N(I161)</f>
        <v>0</v>
      </c>
      <c r="K161" s="37" t="n">
        <f aca="false">'Apr 2027'!N161</f>
        <v>0</v>
      </c>
      <c r="L161" s="37" t="n">
        <f aca="false">IF(B161="",0,N(Students!G150))</f>
        <v>0</v>
      </c>
      <c r="M161" s="23"/>
      <c r="N161" s="26" t="n">
        <f aca="false">N(K161)+N(L161)-N(M161)</f>
        <v>0</v>
      </c>
      <c r="O161" s="37" t="n">
        <f aca="false">'Apr 2027'!R161</f>
        <v>0</v>
      </c>
      <c r="P161" s="37" t="n">
        <f aca="false">IF(B161="",0,N(Students!H150))</f>
        <v>0</v>
      </c>
      <c r="Q161" s="23"/>
      <c r="R161" s="26" t="n">
        <f aca="false">N(O161)+N(P161)-N(Q161)</f>
        <v>0</v>
      </c>
      <c r="S161" s="37" t="n">
        <f aca="false">'Apr 2027'!V161</f>
        <v>0</v>
      </c>
      <c r="T161" s="37" t="n">
        <f aca="false">IF(B161="",0,N(Students!I150))</f>
        <v>0</v>
      </c>
      <c r="U161" s="23"/>
      <c r="V161" s="26" t="n">
        <f aca="false">N(S161)+N(T161)-N(U161)</f>
        <v>0</v>
      </c>
      <c r="W161" s="37" t="n">
        <f aca="false">'Apr 2027'!Z161</f>
        <v>0</v>
      </c>
      <c r="X161" s="37" t="n">
        <f aca="false">IF(B161="",0,N(Students!J150))</f>
        <v>0</v>
      </c>
      <c r="Y161" s="23"/>
      <c r="Z161" s="26" t="n">
        <f aca="false">N(W161)+N(X161)-N(Y161)</f>
        <v>0</v>
      </c>
      <c r="AA161" s="37" t="n">
        <f aca="false">N(E161)+N(I161)+N(M161)+N(Q161)+N(U161)+N(Y161)</f>
        <v>0</v>
      </c>
      <c r="AB161" s="26" t="n">
        <f aca="false">F161+J161+N161+R161+V161+Z161</f>
        <v>0</v>
      </c>
      <c r="AC161" s="83" t="str">
        <f aca="false">IF(B161="","",IF(AB161&lt;=0,"Clear",IF(AA161&gt;0,"Partial","Due")))</f>
        <v/>
      </c>
    </row>
    <row r="162" customFormat="false" ht="15" hidden="false" customHeight="false" outlineLevel="0" collapsed="false">
      <c r="A162" s="21" t="n">
        <v>147</v>
      </c>
      <c r="B162" s="46" t="str">
        <f aca="false">IF(Students!B151="","",Students!B151)</f>
        <v/>
      </c>
      <c r="C162" s="33" t="n">
        <f aca="false">'Apr 2027'!F162</f>
        <v>0</v>
      </c>
      <c r="D162" s="33" t="n">
        <f aca="false">IF(B162="",0,N(Students!E151))</f>
        <v>0</v>
      </c>
      <c r="E162" s="23"/>
      <c r="F162" s="24" t="n">
        <f aca="false">N(C162)+N(D162)-N(E162)</f>
        <v>0</v>
      </c>
      <c r="G162" s="33" t="n">
        <f aca="false">'Apr 2027'!J162</f>
        <v>0</v>
      </c>
      <c r="H162" s="33" t="n">
        <f aca="false">IF(B162="",0,N(Students!F151))</f>
        <v>0</v>
      </c>
      <c r="I162" s="23"/>
      <c r="J162" s="24" t="n">
        <f aca="false">N(G162)+N(H162)-N(I162)</f>
        <v>0</v>
      </c>
      <c r="K162" s="33" t="n">
        <f aca="false">'Apr 2027'!N162</f>
        <v>0</v>
      </c>
      <c r="L162" s="33" t="n">
        <f aca="false">IF(B162="",0,N(Students!G151))</f>
        <v>0</v>
      </c>
      <c r="M162" s="23"/>
      <c r="N162" s="24" t="n">
        <f aca="false">N(K162)+N(L162)-N(M162)</f>
        <v>0</v>
      </c>
      <c r="O162" s="33" t="n">
        <f aca="false">'Apr 2027'!R162</f>
        <v>0</v>
      </c>
      <c r="P162" s="33" t="n">
        <f aca="false">IF(B162="",0,N(Students!H151))</f>
        <v>0</v>
      </c>
      <c r="Q162" s="23"/>
      <c r="R162" s="24" t="n">
        <f aca="false">N(O162)+N(P162)-N(Q162)</f>
        <v>0</v>
      </c>
      <c r="S162" s="33" t="n">
        <f aca="false">'Apr 2027'!V162</f>
        <v>0</v>
      </c>
      <c r="T162" s="33" t="n">
        <f aca="false">IF(B162="",0,N(Students!I151))</f>
        <v>0</v>
      </c>
      <c r="U162" s="23"/>
      <c r="V162" s="24" t="n">
        <f aca="false">N(S162)+N(T162)-N(U162)</f>
        <v>0</v>
      </c>
      <c r="W162" s="33" t="n">
        <f aca="false">'Apr 2027'!Z162</f>
        <v>0</v>
      </c>
      <c r="X162" s="33" t="n">
        <f aca="false">IF(B162="",0,N(Students!J151))</f>
        <v>0</v>
      </c>
      <c r="Y162" s="23"/>
      <c r="Z162" s="24" t="n">
        <f aca="false">N(W162)+N(X162)-N(Y162)</f>
        <v>0</v>
      </c>
      <c r="AA162" s="33" t="n">
        <f aca="false">N(E162)+N(I162)+N(M162)+N(Q162)+N(U162)+N(Y162)</f>
        <v>0</v>
      </c>
      <c r="AB162" s="24" t="n">
        <f aca="false">F162+J162+N162+R162+V162+Z162</f>
        <v>0</v>
      </c>
      <c r="AC162" s="81" t="str">
        <f aca="false">IF(B162="","",IF(AB162&lt;=0,"Clear",IF(AA162&gt;0,"Partial","Due")))</f>
        <v/>
      </c>
    </row>
    <row r="163" customFormat="false" ht="15" hidden="false" customHeight="false" outlineLevel="0" collapsed="false">
      <c r="A163" s="25" t="n">
        <v>148</v>
      </c>
      <c r="B163" s="82" t="str">
        <f aca="false">IF(Students!B152="","",Students!B152)</f>
        <v/>
      </c>
      <c r="C163" s="37" t="n">
        <f aca="false">'Apr 2027'!F163</f>
        <v>0</v>
      </c>
      <c r="D163" s="37" t="n">
        <f aca="false">IF(B163="",0,N(Students!E152))</f>
        <v>0</v>
      </c>
      <c r="E163" s="23"/>
      <c r="F163" s="26" t="n">
        <f aca="false">N(C163)+N(D163)-N(E163)</f>
        <v>0</v>
      </c>
      <c r="G163" s="37" t="n">
        <f aca="false">'Apr 2027'!J163</f>
        <v>0</v>
      </c>
      <c r="H163" s="37" t="n">
        <f aca="false">IF(B163="",0,N(Students!F152))</f>
        <v>0</v>
      </c>
      <c r="I163" s="23"/>
      <c r="J163" s="26" t="n">
        <f aca="false">N(G163)+N(H163)-N(I163)</f>
        <v>0</v>
      </c>
      <c r="K163" s="37" t="n">
        <f aca="false">'Apr 2027'!N163</f>
        <v>0</v>
      </c>
      <c r="L163" s="37" t="n">
        <f aca="false">IF(B163="",0,N(Students!G152))</f>
        <v>0</v>
      </c>
      <c r="M163" s="23"/>
      <c r="N163" s="26" t="n">
        <f aca="false">N(K163)+N(L163)-N(M163)</f>
        <v>0</v>
      </c>
      <c r="O163" s="37" t="n">
        <f aca="false">'Apr 2027'!R163</f>
        <v>0</v>
      </c>
      <c r="P163" s="37" t="n">
        <f aca="false">IF(B163="",0,N(Students!H152))</f>
        <v>0</v>
      </c>
      <c r="Q163" s="23"/>
      <c r="R163" s="26" t="n">
        <f aca="false">N(O163)+N(P163)-N(Q163)</f>
        <v>0</v>
      </c>
      <c r="S163" s="37" t="n">
        <f aca="false">'Apr 2027'!V163</f>
        <v>0</v>
      </c>
      <c r="T163" s="37" t="n">
        <f aca="false">IF(B163="",0,N(Students!I152))</f>
        <v>0</v>
      </c>
      <c r="U163" s="23"/>
      <c r="V163" s="26" t="n">
        <f aca="false">N(S163)+N(T163)-N(U163)</f>
        <v>0</v>
      </c>
      <c r="W163" s="37" t="n">
        <f aca="false">'Apr 2027'!Z163</f>
        <v>0</v>
      </c>
      <c r="X163" s="37" t="n">
        <f aca="false">IF(B163="",0,N(Students!J152))</f>
        <v>0</v>
      </c>
      <c r="Y163" s="23"/>
      <c r="Z163" s="26" t="n">
        <f aca="false">N(W163)+N(X163)-N(Y163)</f>
        <v>0</v>
      </c>
      <c r="AA163" s="37" t="n">
        <f aca="false">N(E163)+N(I163)+N(M163)+N(Q163)+N(U163)+N(Y163)</f>
        <v>0</v>
      </c>
      <c r="AB163" s="26" t="n">
        <f aca="false">F163+J163+N163+R163+V163+Z163</f>
        <v>0</v>
      </c>
      <c r="AC163" s="83" t="str">
        <f aca="false">IF(B163="","",IF(AB163&lt;=0,"Clear",IF(AA163&gt;0,"Partial","Due")))</f>
        <v/>
      </c>
    </row>
    <row r="164" customFormat="false" ht="15" hidden="false" customHeight="false" outlineLevel="0" collapsed="false">
      <c r="A164" s="21" t="n">
        <v>149</v>
      </c>
      <c r="B164" s="46" t="str">
        <f aca="false">IF(Students!B153="","",Students!B153)</f>
        <v/>
      </c>
      <c r="C164" s="33" t="n">
        <f aca="false">'Apr 2027'!F164</f>
        <v>0</v>
      </c>
      <c r="D164" s="33" t="n">
        <f aca="false">IF(B164="",0,N(Students!E153))</f>
        <v>0</v>
      </c>
      <c r="E164" s="23"/>
      <c r="F164" s="24" t="n">
        <f aca="false">N(C164)+N(D164)-N(E164)</f>
        <v>0</v>
      </c>
      <c r="G164" s="33" t="n">
        <f aca="false">'Apr 2027'!J164</f>
        <v>0</v>
      </c>
      <c r="H164" s="33" t="n">
        <f aca="false">IF(B164="",0,N(Students!F153))</f>
        <v>0</v>
      </c>
      <c r="I164" s="23"/>
      <c r="J164" s="24" t="n">
        <f aca="false">N(G164)+N(H164)-N(I164)</f>
        <v>0</v>
      </c>
      <c r="K164" s="33" t="n">
        <f aca="false">'Apr 2027'!N164</f>
        <v>0</v>
      </c>
      <c r="L164" s="33" t="n">
        <f aca="false">IF(B164="",0,N(Students!G153))</f>
        <v>0</v>
      </c>
      <c r="M164" s="23"/>
      <c r="N164" s="24" t="n">
        <f aca="false">N(K164)+N(L164)-N(M164)</f>
        <v>0</v>
      </c>
      <c r="O164" s="33" t="n">
        <f aca="false">'Apr 2027'!R164</f>
        <v>0</v>
      </c>
      <c r="P164" s="33" t="n">
        <f aca="false">IF(B164="",0,N(Students!H153))</f>
        <v>0</v>
      </c>
      <c r="Q164" s="23"/>
      <c r="R164" s="24" t="n">
        <f aca="false">N(O164)+N(P164)-N(Q164)</f>
        <v>0</v>
      </c>
      <c r="S164" s="33" t="n">
        <f aca="false">'Apr 2027'!V164</f>
        <v>0</v>
      </c>
      <c r="T164" s="33" t="n">
        <f aca="false">IF(B164="",0,N(Students!I153))</f>
        <v>0</v>
      </c>
      <c r="U164" s="23"/>
      <c r="V164" s="24" t="n">
        <f aca="false">N(S164)+N(T164)-N(U164)</f>
        <v>0</v>
      </c>
      <c r="W164" s="33" t="n">
        <f aca="false">'Apr 2027'!Z164</f>
        <v>0</v>
      </c>
      <c r="X164" s="33" t="n">
        <f aca="false">IF(B164="",0,N(Students!J153))</f>
        <v>0</v>
      </c>
      <c r="Y164" s="23"/>
      <c r="Z164" s="24" t="n">
        <f aca="false">N(W164)+N(X164)-N(Y164)</f>
        <v>0</v>
      </c>
      <c r="AA164" s="33" t="n">
        <f aca="false">N(E164)+N(I164)+N(M164)+N(Q164)+N(U164)+N(Y164)</f>
        <v>0</v>
      </c>
      <c r="AB164" s="24" t="n">
        <f aca="false">F164+J164+N164+R164+V164+Z164</f>
        <v>0</v>
      </c>
      <c r="AC164" s="81" t="str">
        <f aca="false">IF(B164="","",IF(AB164&lt;=0,"Clear",IF(AA164&gt;0,"Partial","Due")))</f>
        <v/>
      </c>
    </row>
    <row r="165" customFormat="false" ht="15" hidden="false" customHeight="false" outlineLevel="0" collapsed="false">
      <c r="A165" s="25" t="n">
        <v>150</v>
      </c>
      <c r="B165" s="82" t="str">
        <f aca="false">IF(Students!B154="","",Students!B154)</f>
        <v/>
      </c>
      <c r="C165" s="37" t="n">
        <f aca="false">'Apr 2027'!F165</f>
        <v>0</v>
      </c>
      <c r="D165" s="37" t="n">
        <f aca="false">IF(B165="",0,N(Students!E154))</f>
        <v>0</v>
      </c>
      <c r="E165" s="23"/>
      <c r="F165" s="26" t="n">
        <f aca="false">N(C165)+N(D165)-N(E165)</f>
        <v>0</v>
      </c>
      <c r="G165" s="37" t="n">
        <f aca="false">'Apr 2027'!J165</f>
        <v>0</v>
      </c>
      <c r="H165" s="37" t="n">
        <f aca="false">IF(B165="",0,N(Students!F154))</f>
        <v>0</v>
      </c>
      <c r="I165" s="23"/>
      <c r="J165" s="26" t="n">
        <f aca="false">N(G165)+N(H165)-N(I165)</f>
        <v>0</v>
      </c>
      <c r="K165" s="37" t="n">
        <f aca="false">'Apr 2027'!N165</f>
        <v>0</v>
      </c>
      <c r="L165" s="37" t="n">
        <f aca="false">IF(B165="",0,N(Students!G154))</f>
        <v>0</v>
      </c>
      <c r="M165" s="23"/>
      <c r="N165" s="26" t="n">
        <f aca="false">N(K165)+N(L165)-N(M165)</f>
        <v>0</v>
      </c>
      <c r="O165" s="37" t="n">
        <f aca="false">'Apr 2027'!R165</f>
        <v>0</v>
      </c>
      <c r="P165" s="37" t="n">
        <f aca="false">IF(B165="",0,N(Students!H154))</f>
        <v>0</v>
      </c>
      <c r="Q165" s="23"/>
      <c r="R165" s="26" t="n">
        <f aca="false">N(O165)+N(P165)-N(Q165)</f>
        <v>0</v>
      </c>
      <c r="S165" s="37" t="n">
        <f aca="false">'Apr 2027'!V165</f>
        <v>0</v>
      </c>
      <c r="T165" s="37" t="n">
        <f aca="false">IF(B165="",0,N(Students!I154))</f>
        <v>0</v>
      </c>
      <c r="U165" s="23"/>
      <c r="V165" s="26" t="n">
        <f aca="false">N(S165)+N(T165)-N(U165)</f>
        <v>0</v>
      </c>
      <c r="W165" s="37" t="n">
        <f aca="false">'Apr 2027'!Z165</f>
        <v>0</v>
      </c>
      <c r="X165" s="37" t="n">
        <f aca="false">IF(B165="",0,N(Students!J154))</f>
        <v>0</v>
      </c>
      <c r="Y165" s="23"/>
      <c r="Z165" s="26" t="n">
        <f aca="false">N(W165)+N(X165)-N(Y165)</f>
        <v>0</v>
      </c>
      <c r="AA165" s="37" t="n">
        <f aca="false">N(E165)+N(I165)+N(M165)+N(Q165)+N(U165)+N(Y165)</f>
        <v>0</v>
      </c>
      <c r="AB165" s="26" t="n">
        <f aca="false">F165+J165+N165+R165+V165+Z165</f>
        <v>0</v>
      </c>
      <c r="AC165" s="83" t="str">
        <f aca="false">IF(B165="","",IF(AB165&lt;=0,"Clear",IF(AA165&gt;0,"Partial","Due")))</f>
        <v/>
      </c>
    </row>
    <row r="166" customFormat="false" ht="15" hidden="false" customHeight="true" outlineLevel="0" collapsed="false">
      <c r="A166" s="4" t="s">
        <v>79</v>
      </c>
      <c r="B166" s="4"/>
      <c r="C166" s="41" t="n">
        <f aca="false">SUM(C16:C165)</f>
        <v>0</v>
      </c>
      <c r="D166" s="41" t="n">
        <f aca="false">SUM(D16:D165)</f>
        <v>0</v>
      </c>
      <c r="E166" s="41" t="n">
        <f aca="false">SUM(E16:E165)</f>
        <v>0</v>
      </c>
      <c r="F166" s="41" t="n">
        <f aca="false">SUM(F16:F165)</f>
        <v>0</v>
      </c>
      <c r="G166" s="41" t="n">
        <f aca="false">SUM(G16:G165)</f>
        <v>12000</v>
      </c>
      <c r="H166" s="41" t="n">
        <f aca="false">SUM(H16:H165)</f>
        <v>2000</v>
      </c>
      <c r="I166" s="41" t="n">
        <f aca="false">SUM(I16:I165)</f>
        <v>0</v>
      </c>
      <c r="J166" s="41" t="n">
        <f aca="false">SUM(J16:J165)</f>
        <v>14000</v>
      </c>
      <c r="K166" s="41" t="n">
        <f aca="false">SUM(K16:K165)</f>
        <v>0</v>
      </c>
      <c r="L166" s="41" t="n">
        <f aca="false">SUM(L16:L165)</f>
        <v>0</v>
      </c>
      <c r="M166" s="41" t="n">
        <f aca="false">SUM(M16:M165)</f>
        <v>0</v>
      </c>
      <c r="N166" s="41" t="n">
        <f aca="false">SUM(N16:N165)</f>
        <v>0</v>
      </c>
      <c r="O166" s="41" t="n">
        <f aca="false">SUM(O16:O165)</f>
        <v>9500</v>
      </c>
      <c r="P166" s="41" t="n">
        <f aca="false">SUM(P16:P165)</f>
        <v>1500</v>
      </c>
      <c r="Q166" s="41" t="n">
        <f aca="false">SUM(Q16:Q165)</f>
        <v>0</v>
      </c>
      <c r="R166" s="41" t="n">
        <f aca="false">SUM(R16:R165)</f>
        <v>11000</v>
      </c>
      <c r="S166" s="41" t="n">
        <f aca="false">SUM(S16:S165)</f>
        <v>0</v>
      </c>
      <c r="T166" s="41" t="n">
        <f aca="false">SUM(T16:T165)</f>
        <v>0</v>
      </c>
      <c r="U166" s="41" t="n">
        <f aca="false">SUM(U16:U165)</f>
        <v>0</v>
      </c>
      <c r="V166" s="41" t="n">
        <f aca="false">SUM(V16:V165)</f>
        <v>0</v>
      </c>
      <c r="W166" s="41" t="n">
        <f aca="false">SUM(W16:W165)</f>
        <v>0</v>
      </c>
      <c r="X166" s="41" t="n">
        <f aca="false">SUM(X16:X165)</f>
        <v>0</v>
      </c>
      <c r="Y166" s="41" t="n">
        <f aca="false">SUM(Y16:Y165)</f>
        <v>0</v>
      </c>
      <c r="Z166" s="41" t="n">
        <f aca="false">SUM(Z16:Z165)</f>
        <v>0</v>
      </c>
      <c r="AA166" s="41" t="n">
        <f aca="false">SUM(AA16:AA165)</f>
        <v>0</v>
      </c>
      <c r="AB166" s="41" t="n">
        <f aca="false">SUM(AB16:AB165)</f>
        <v>25000</v>
      </c>
      <c r="AC166" s="43"/>
    </row>
  </sheetData>
  <mergeCells count="34">
    <mergeCell ref="A1:AC1"/>
    <mergeCell ref="A2:AC2"/>
    <mergeCell ref="B4:I4"/>
    <mergeCell ref="K4:N4"/>
    <mergeCell ref="C5:D5"/>
    <mergeCell ref="K5:M5"/>
    <mergeCell ref="P5:R5"/>
    <mergeCell ref="T5:V5"/>
    <mergeCell ref="X5:Z5"/>
    <mergeCell ref="C6:D6"/>
    <mergeCell ref="K6:M6"/>
    <mergeCell ref="P6:R7"/>
    <mergeCell ref="T6:V7"/>
    <mergeCell ref="X6:Z7"/>
    <mergeCell ref="C7:D7"/>
    <mergeCell ref="K7:M7"/>
    <mergeCell ref="C8:D8"/>
    <mergeCell ref="K8:M8"/>
    <mergeCell ref="C9:D9"/>
    <mergeCell ref="P9:Z9"/>
    <mergeCell ref="C10:D10"/>
    <mergeCell ref="K10:M10"/>
    <mergeCell ref="C11:D11"/>
    <mergeCell ref="K11:N11"/>
    <mergeCell ref="C12:D12"/>
    <mergeCell ref="A14:B14"/>
    <mergeCell ref="C14:F14"/>
    <mergeCell ref="G14:J14"/>
    <mergeCell ref="K14:N14"/>
    <mergeCell ref="O14:R14"/>
    <mergeCell ref="S14:V14"/>
    <mergeCell ref="W14:Z14"/>
    <mergeCell ref="AA14:AC14"/>
    <mergeCell ref="A166:B166"/>
  </mergeCells>
  <conditionalFormatting sqref="AC16:AC165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F16:F165 J16:J165 N16:N165 R16:R165 V16:V165 Z16:Z165 AB16:AB165">
    <cfRule type="cellIs" priority="5" operator="greaterThan" aboveAverage="0" equalAverage="0" bottom="0" percent="0" rank="0" text="" dxfId="0">
      <formula>0</formula>
    </cfRule>
  </conditionalFormatting>
  <conditionalFormatting sqref="N10"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AC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29" min="5" style="0" width="11.5"/>
  </cols>
  <sheetData>
    <row r="1" customFormat="false" ht="31.5" hidden="false" customHeight="true" outlineLevel="0" collapsed="false">
      <c r="A1" s="54" t="str">
        <f aca="false">UPPER(Setup!B3)</f>
        <v>FUTURE TALENT ACADEMY JAMSHORO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customFormat="false" ht="21.75" hidden="false" customHeight="true" outlineLevel="0" collapsed="false">
      <c r="A2" s="55" t="s">
        <v>110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customFormat="false" ht="15" hidden="false" customHeight="true" outlineLevel="0" collapsed="false">
      <c r="B4" s="4" t="s">
        <v>82</v>
      </c>
      <c r="C4" s="4"/>
      <c r="D4" s="4"/>
      <c r="E4" s="4"/>
      <c r="F4" s="4"/>
      <c r="G4" s="4"/>
      <c r="H4" s="4"/>
      <c r="I4" s="4"/>
      <c r="K4" s="28" t="s">
        <v>83</v>
      </c>
      <c r="L4" s="28"/>
      <c r="M4" s="28"/>
      <c r="N4" s="28"/>
    </row>
    <row r="5" customFormat="false" ht="22.35" hidden="false" customHeight="true" outlineLevel="0" collapsed="false">
      <c r="B5" s="56" t="s">
        <v>76</v>
      </c>
      <c r="C5" s="56" t="s">
        <v>77</v>
      </c>
      <c r="D5" s="56"/>
      <c r="E5" s="56" t="s">
        <v>84</v>
      </c>
      <c r="F5" s="56" t="s">
        <v>85</v>
      </c>
      <c r="G5" s="56" t="s">
        <v>5</v>
      </c>
      <c r="H5" s="56" t="s">
        <v>6</v>
      </c>
      <c r="I5" s="56" t="s">
        <v>86</v>
      </c>
      <c r="K5" s="57" t="s">
        <v>87</v>
      </c>
      <c r="L5" s="57"/>
      <c r="M5" s="57"/>
      <c r="N5" s="58" t="n">
        <f aca="false">H12</f>
        <v>0</v>
      </c>
      <c r="P5" s="59" t="s">
        <v>88</v>
      </c>
      <c r="Q5" s="59"/>
      <c r="R5" s="59"/>
      <c r="T5" s="60" t="s">
        <v>89</v>
      </c>
      <c r="U5" s="60"/>
      <c r="V5" s="60"/>
      <c r="X5" s="61" t="s">
        <v>90</v>
      </c>
      <c r="Y5" s="61"/>
      <c r="Z5" s="61"/>
    </row>
    <row r="6" customFormat="false" ht="15" hidden="false" customHeight="true" outlineLevel="0" collapsed="false">
      <c r="B6" s="62" t="str">
        <f aca="false">Setup!A6</f>
        <v>English</v>
      </c>
      <c r="C6" s="63" t="str">
        <f aca="false">Setup!B6</f>
        <v>Sir Sajjad Ali Birhmani</v>
      </c>
      <c r="D6" s="63"/>
      <c r="E6" s="64" t="n">
        <f aca="false">D166</f>
        <v>0</v>
      </c>
      <c r="F6" s="58" t="n">
        <f aca="false">E166</f>
        <v>0</v>
      </c>
      <c r="G6" s="65" t="n">
        <f aca="false">F6*Setup!C6</f>
        <v>0</v>
      </c>
      <c r="H6" s="66" t="n">
        <f aca="false">F6-G6</f>
        <v>0</v>
      </c>
      <c r="I6" s="67" t="n">
        <f aca="false">F166</f>
        <v>0</v>
      </c>
      <c r="K6" s="57" t="s">
        <v>91</v>
      </c>
      <c r="L6" s="57"/>
      <c r="M6" s="57"/>
      <c r="N6" s="65" t="n">
        <f aca="false">SUMIFS(Administration!$G$5:$G$304,Administration!$C$5:$C$304,"Jun 2027",Administration!$D$5:$D$304,"Other Income")</f>
        <v>0</v>
      </c>
      <c r="P6" s="68" t="n">
        <f aca="false">F12</f>
        <v>0</v>
      </c>
      <c r="Q6" s="68"/>
      <c r="R6" s="68"/>
      <c r="T6" s="69" t="n">
        <f aca="false">G12</f>
        <v>0</v>
      </c>
      <c r="U6" s="69"/>
      <c r="V6" s="69"/>
      <c r="X6" s="70" t="n">
        <f aca="false">I12</f>
        <v>28500</v>
      </c>
      <c r="Y6" s="70"/>
      <c r="Z6" s="70"/>
    </row>
    <row r="7" customFormat="false" ht="15" hidden="false" customHeight="true" outlineLevel="0" collapsed="false">
      <c r="B7" s="71" t="str">
        <f aca="false">Setup!A7</f>
        <v>Computer</v>
      </c>
      <c r="C7" s="63" t="str">
        <f aca="false">Setup!B7</f>
        <v>Sir Nazeer Ahmed Jamali</v>
      </c>
      <c r="D7" s="63"/>
      <c r="E7" s="64" t="n">
        <f aca="false">H166</f>
        <v>2000</v>
      </c>
      <c r="F7" s="58" t="n">
        <f aca="false">I166</f>
        <v>0</v>
      </c>
      <c r="G7" s="65" t="n">
        <f aca="false">F7*Setup!C7</f>
        <v>0</v>
      </c>
      <c r="H7" s="66" t="n">
        <f aca="false">F7-G7</f>
        <v>0</v>
      </c>
      <c r="I7" s="67" t="n">
        <f aca="false">J166</f>
        <v>16000</v>
      </c>
      <c r="K7" s="57" t="s">
        <v>92</v>
      </c>
      <c r="L7" s="57"/>
      <c r="M7" s="57"/>
      <c r="N7" s="72" t="n">
        <f aca="false">SUMIFS(Administration!$G$5:$G$304,Administration!$C$5:$C$304,"Jun 2027",Administration!$D$5:$D$304,"Expense")</f>
        <v>0</v>
      </c>
      <c r="P7" s="68"/>
      <c r="Q7" s="68"/>
      <c r="R7" s="68"/>
      <c r="T7" s="69"/>
      <c r="U7" s="69"/>
      <c r="V7" s="69"/>
      <c r="X7" s="70"/>
      <c r="Y7" s="70"/>
      <c r="Z7" s="70"/>
    </row>
    <row r="8" customFormat="false" ht="15" hidden="false" customHeight="true" outlineLevel="0" collapsed="false">
      <c r="B8" s="73" t="str">
        <f aca="false">Setup!A8</f>
        <v>Biology</v>
      </c>
      <c r="C8" s="63" t="str">
        <f aca="false">Setup!B8</f>
        <v>Sir Azhar Ali Chandio</v>
      </c>
      <c r="D8" s="63"/>
      <c r="E8" s="64" t="n">
        <f aca="false">L166</f>
        <v>0</v>
      </c>
      <c r="F8" s="58" t="n">
        <f aca="false">M166</f>
        <v>0</v>
      </c>
      <c r="G8" s="65" t="n">
        <f aca="false">F8*Setup!C8</f>
        <v>0</v>
      </c>
      <c r="H8" s="66" t="n">
        <f aca="false">F8-G8</f>
        <v>0</v>
      </c>
      <c r="I8" s="67" t="n">
        <f aca="false">N166</f>
        <v>0</v>
      </c>
      <c r="K8" s="57" t="s">
        <v>93</v>
      </c>
      <c r="L8" s="57"/>
      <c r="M8" s="57"/>
      <c r="N8" s="72" t="n">
        <f aca="false">SUMIFS(Administration!$G$5:$G$304,Administration!$C$5:$C$304,"Jun 2027",Administration!$D$5:$D$304,"Investment")</f>
        <v>0</v>
      </c>
    </row>
    <row r="9" customFormat="false" ht="15" hidden="false" customHeight="false" outlineLevel="0" collapsed="false">
      <c r="B9" s="74" t="str">
        <f aca="false">Setup!A9</f>
        <v>Math</v>
      </c>
      <c r="C9" s="63" t="str">
        <f aca="false">Setup!B9</f>
        <v>Sir M. Faheem</v>
      </c>
      <c r="D9" s="63"/>
      <c r="E9" s="64" t="n">
        <f aca="false">P166</f>
        <v>1500</v>
      </c>
      <c r="F9" s="58" t="n">
        <f aca="false">Q166</f>
        <v>0</v>
      </c>
      <c r="G9" s="65" t="n">
        <f aca="false">F9*Setup!C9</f>
        <v>0</v>
      </c>
      <c r="H9" s="66" t="n">
        <f aca="false">F9-G9</f>
        <v>0</v>
      </c>
      <c r="I9" s="67" t="n">
        <f aca="false">R166</f>
        <v>12500</v>
      </c>
      <c r="P9" s="75" t="str">
        <f aca="false">COUNTIF(AC16:AC165,"Clear")&amp;" students fully paid   •   "&amp;(COUNTIF(AC16:AC165,"Due")+COUNTIF(AC16:AC165,"Partial"))&amp;" students with dues"</f>
        <v>0 students fully paid   •   1 students with dues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15" hidden="false" customHeight="true" outlineLevel="0" collapsed="false">
      <c r="B10" s="76" t="str">
        <f aca="false">Setup!A10</f>
        <v>Kids Coaching (Class 1)</v>
      </c>
      <c r="C10" s="63" t="str">
        <f aca="false">Setup!B10</f>
        <v>Miss Farzana</v>
      </c>
      <c r="D10" s="63"/>
      <c r="E10" s="64" t="n">
        <f aca="false">T166</f>
        <v>0</v>
      </c>
      <c r="F10" s="58" t="n">
        <f aca="false">U166</f>
        <v>0</v>
      </c>
      <c r="G10" s="65" t="n">
        <f aca="false">F10*Setup!C10</f>
        <v>0</v>
      </c>
      <c r="H10" s="66" t="n">
        <f aca="false">F10-G10</f>
        <v>0</v>
      </c>
      <c r="I10" s="67" t="n">
        <f aca="false">V166</f>
        <v>0</v>
      </c>
      <c r="K10" s="77" t="s">
        <v>59</v>
      </c>
      <c r="L10" s="77"/>
      <c r="M10" s="77"/>
      <c r="N10" s="78" t="n">
        <f aca="false">N5+N6-N7-N8</f>
        <v>0</v>
      </c>
    </row>
    <row r="11" customFormat="false" ht="15" hidden="false" customHeight="true" outlineLevel="0" collapsed="false">
      <c r="B11" s="79" t="str">
        <f aca="false">Setup!A11</f>
        <v>Kids Coaching (Class 2)</v>
      </c>
      <c r="C11" s="63" t="str">
        <f aca="false">Setup!B11</f>
        <v>Miss Fozia</v>
      </c>
      <c r="D11" s="63"/>
      <c r="E11" s="64" t="n">
        <f aca="false">X166</f>
        <v>0</v>
      </c>
      <c r="F11" s="58" t="n">
        <f aca="false">Y166</f>
        <v>0</v>
      </c>
      <c r="G11" s="65" t="n">
        <f aca="false">F11*Setup!C11</f>
        <v>0</v>
      </c>
      <c r="H11" s="66" t="n">
        <f aca="false">F11-G11</f>
        <v>0</v>
      </c>
      <c r="I11" s="67" t="n">
        <f aca="false">Z166</f>
        <v>0</v>
      </c>
      <c r="K11" s="53" t="s">
        <v>94</v>
      </c>
      <c r="L11" s="53"/>
      <c r="M11" s="53"/>
      <c r="N11" s="53"/>
    </row>
    <row r="12" customFormat="false" ht="15" hidden="false" customHeight="false" outlineLevel="0" collapsed="false">
      <c r="B12" s="40" t="s">
        <v>79</v>
      </c>
      <c r="C12" s="43"/>
      <c r="D12" s="43"/>
      <c r="E12" s="41" t="n">
        <f aca="false">SUM(E6:E11)</f>
        <v>3500</v>
      </c>
      <c r="F12" s="41" t="n">
        <f aca="false">SUM(F6:F11)</f>
        <v>0</v>
      </c>
      <c r="G12" s="41" t="n">
        <f aca="false">SUM(G6:G11)</f>
        <v>0</v>
      </c>
      <c r="H12" s="41" t="n">
        <f aca="false">SUM(H6:H11)</f>
        <v>0</v>
      </c>
      <c r="I12" s="41" t="n">
        <f aca="false">SUM(I6:I11)</f>
        <v>28500</v>
      </c>
    </row>
    <row r="14" customFormat="false" ht="25.5" hidden="false" customHeight="true" outlineLevel="0" collapsed="false">
      <c r="A14" s="4" t="s">
        <v>28</v>
      </c>
      <c r="B14" s="4"/>
      <c r="C14" s="14" t="str">
        <f aca="false">Setup!A6&amp;" — "&amp;Setup!B6</f>
        <v>English — Sir Sajjad Ali Birhmani</v>
      </c>
      <c r="D14" s="14"/>
      <c r="E14" s="14"/>
      <c r="F14" s="14"/>
      <c r="G14" s="15" t="str">
        <f aca="false">Setup!A7&amp;" — "&amp;Setup!B7</f>
        <v>Computer — Sir Nazeer Ahmed Jamali</v>
      </c>
      <c r="H14" s="15"/>
      <c r="I14" s="15"/>
      <c r="J14" s="15"/>
      <c r="K14" s="16" t="str">
        <f aca="false">Setup!A8&amp;" — "&amp;Setup!B8</f>
        <v>Biology — Sir Azhar Ali Chandio</v>
      </c>
      <c r="L14" s="16"/>
      <c r="M14" s="16"/>
      <c r="N14" s="16"/>
      <c r="O14" s="17" t="str">
        <f aca="false">Setup!A9&amp;" — "&amp;Setup!B9</f>
        <v>Math — Sir M. Faheem</v>
      </c>
      <c r="P14" s="17"/>
      <c r="Q14" s="17"/>
      <c r="R14" s="17"/>
      <c r="S14" s="18" t="str">
        <f aca="false">Setup!A10&amp;" — "&amp;Setup!B10</f>
        <v>Kids Coaching (Class 1) — Miss Farzana</v>
      </c>
      <c r="T14" s="18"/>
      <c r="U14" s="18"/>
      <c r="V14" s="18"/>
      <c r="W14" s="19" t="str">
        <f aca="false">Setup!A11&amp;" — "&amp;Setup!B11</f>
        <v>Kids Coaching (Class 2) — Miss Fozia</v>
      </c>
      <c r="X14" s="19"/>
      <c r="Y14" s="19"/>
      <c r="Z14" s="19"/>
      <c r="AA14" s="80" t="s">
        <v>95</v>
      </c>
      <c r="AB14" s="80"/>
      <c r="AC14" s="80"/>
    </row>
    <row r="15" customFormat="false" ht="30" hidden="false" customHeight="true" outlineLevel="0" collapsed="false">
      <c r="A15" s="13" t="s">
        <v>30</v>
      </c>
      <c r="B15" s="13" t="s">
        <v>31</v>
      </c>
      <c r="C15" s="14" t="s">
        <v>96</v>
      </c>
      <c r="D15" s="14" t="s">
        <v>97</v>
      </c>
      <c r="E15" s="14" t="s">
        <v>98</v>
      </c>
      <c r="F15" s="14" t="s">
        <v>99</v>
      </c>
      <c r="G15" s="15" t="s">
        <v>96</v>
      </c>
      <c r="H15" s="15" t="s">
        <v>97</v>
      </c>
      <c r="I15" s="15" t="s">
        <v>98</v>
      </c>
      <c r="J15" s="15" t="s">
        <v>99</v>
      </c>
      <c r="K15" s="16" t="s">
        <v>96</v>
      </c>
      <c r="L15" s="16" t="s">
        <v>97</v>
      </c>
      <c r="M15" s="16" t="s">
        <v>98</v>
      </c>
      <c r="N15" s="16" t="s">
        <v>99</v>
      </c>
      <c r="O15" s="17" t="s">
        <v>96</v>
      </c>
      <c r="P15" s="17" t="s">
        <v>97</v>
      </c>
      <c r="Q15" s="17" t="s">
        <v>98</v>
      </c>
      <c r="R15" s="17" t="s">
        <v>99</v>
      </c>
      <c r="S15" s="18" t="s">
        <v>96</v>
      </c>
      <c r="T15" s="18" t="s">
        <v>97</v>
      </c>
      <c r="U15" s="18" t="s">
        <v>98</v>
      </c>
      <c r="V15" s="18" t="s">
        <v>99</v>
      </c>
      <c r="W15" s="19" t="s">
        <v>96</v>
      </c>
      <c r="X15" s="19" t="s">
        <v>97</v>
      </c>
      <c r="Y15" s="19" t="s">
        <v>98</v>
      </c>
      <c r="Z15" s="19" t="s">
        <v>99</v>
      </c>
      <c r="AA15" s="20" t="s">
        <v>100</v>
      </c>
      <c r="AB15" s="20" t="s">
        <v>101</v>
      </c>
      <c r="AC15" s="20" t="s">
        <v>102</v>
      </c>
    </row>
    <row r="16" customFormat="false" ht="15" hidden="false" customHeight="false" outlineLevel="0" collapsed="false">
      <c r="A16" s="21" t="n">
        <v>1</v>
      </c>
      <c r="B16" s="46" t="str">
        <f aca="false">IF(Students!B5="","",Students!B5)</f>
        <v>Ali (example)</v>
      </c>
      <c r="C16" s="33" t="n">
        <f aca="false">'May 2027'!F16</f>
        <v>0</v>
      </c>
      <c r="D16" s="33" t="n">
        <f aca="false">IF(B16="",0,N(Students!E5))</f>
        <v>0</v>
      </c>
      <c r="E16" s="23"/>
      <c r="F16" s="24" t="n">
        <f aca="false">N(C16)+N(D16)-N(E16)</f>
        <v>0</v>
      </c>
      <c r="G16" s="33" t="n">
        <f aca="false">'May 2027'!J16</f>
        <v>14000</v>
      </c>
      <c r="H16" s="33" t="n">
        <f aca="false">IF(B16="",0,N(Students!F5))</f>
        <v>2000</v>
      </c>
      <c r="I16" s="23"/>
      <c r="J16" s="24" t="n">
        <f aca="false">N(G16)+N(H16)-N(I16)</f>
        <v>16000</v>
      </c>
      <c r="K16" s="33" t="n">
        <f aca="false">'May 2027'!N16</f>
        <v>0</v>
      </c>
      <c r="L16" s="33" t="n">
        <f aca="false">IF(B16="",0,N(Students!G5))</f>
        <v>0</v>
      </c>
      <c r="M16" s="23"/>
      <c r="N16" s="24" t="n">
        <f aca="false">N(K16)+N(L16)-N(M16)</f>
        <v>0</v>
      </c>
      <c r="O16" s="33" t="n">
        <f aca="false">'May 2027'!R16</f>
        <v>11000</v>
      </c>
      <c r="P16" s="33" t="n">
        <f aca="false">IF(B16="",0,N(Students!H5))</f>
        <v>1500</v>
      </c>
      <c r="Q16" s="23"/>
      <c r="R16" s="24" t="n">
        <f aca="false">N(O16)+N(P16)-N(Q16)</f>
        <v>12500</v>
      </c>
      <c r="S16" s="33" t="n">
        <f aca="false">'May 2027'!V16</f>
        <v>0</v>
      </c>
      <c r="T16" s="33" t="n">
        <f aca="false">IF(B16="",0,N(Students!I5))</f>
        <v>0</v>
      </c>
      <c r="U16" s="23"/>
      <c r="V16" s="24" t="n">
        <f aca="false">N(S16)+N(T16)-N(U16)</f>
        <v>0</v>
      </c>
      <c r="W16" s="33" t="n">
        <f aca="false">'May 2027'!Z16</f>
        <v>0</v>
      </c>
      <c r="X16" s="33" t="n">
        <f aca="false">IF(B16="",0,N(Students!J5))</f>
        <v>0</v>
      </c>
      <c r="Y16" s="23"/>
      <c r="Z16" s="24" t="n">
        <f aca="false">N(W16)+N(X16)-N(Y16)</f>
        <v>0</v>
      </c>
      <c r="AA16" s="33" t="n">
        <f aca="false">N(E16)+N(I16)+N(M16)+N(Q16)+N(U16)+N(Y16)</f>
        <v>0</v>
      </c>
      <c r="AB16" s="24" t="n">
        <f aca="false">F16+J16+N16+R16+V16+Z16</f>
        <v>28500</v>
      </c>
      <c r="AC16" s="81" t="str">
        <f aca="false">IF(B16="","",IF(AB16&lt;=0,"Clear",IF(AA16&gt;0,"Partial","Due")))</f>
        <v>Due</v>
      </c>
    </row>
    <row r="17" customFormat="false" ht="15" hidden="false" customHeight="false" outlineLevel="0" collapsed="false">
      <c r="A17" s="25" t="n">
        <v>2</v>
      </c>
      <c r="B17" s="82" t="str">
        <f aca="false">IF(Students!B6="","",Students!B6)</f>
        <v/>
      </c>
      <c r="C17" s="37" t="n">
        <f aca="false">'May 2027'!F17</f>
        <v>0</v>
      </c>
      <c r="D17" s="37" t="n">
        <f aca="false">IF(B17="",0,N(Students!E6))</f>
        <v>0</v>
      </c>
      <c r="E17" s="23"/>
      <c r="F17" s="26" t="n">
        <f aca="false">N(C17)+N(D17)-N(E17)</f>
        <v>0</v>
      </c>
      <c r="G17" s="37" t="n">
        <f aca="false">'May 2027'!J17</f>
        <v>0</v>
      </c>
      <c r="H17" s="37" t="n">
        <f aca="false">IF(B17="",0,N(Students!F6))</f>
        <v>0</v>
      </c>
      <c r="I17" s="23"/>
      <c r="J17" s="26" t="n">
        <f aca="false">N(G17)+N(H17)-N(I17)</f>
        <v>0</v>
      </c>
      <c r="K17" s="37" t="n">
        <f aca="false">'May 2027'!N17</f>
        <v>0</v>
      </c>
      <c r="L17" s="37" t="n">
        <f aca="false">IF(B17="",0,N(Students!G6))</f>
        <v>0</v>
      </c>
      <c r="M17" s="23"/>
      <c r="N17" s="26" t="n">
        <f aca="false">N(K17)+N(L17)-N(M17)</f>
        <v>0</v>
      </c>
      <c r="O17" s="37" t="n">
        <f aca="false">'May 2027'!R17</f>
        <v>0</v>
      </c>
      <c r="P17" s="37" t="n">
        <f aca="false">IF(B17="",0,N(Students!H6))</f>
        <v>0</v>
      </c>
      <c r="Q17" s="23"/>
      <c r="R17" s="26" t="n">
        <f aca="false">N(O17)+N(P17)-N(Q17)</f>
        <v>0</v>
      </c>
      <c r="S17" s="37" t="n">
        <f aca="false">'May 2027'!V17</f>
        <v>0</v>
      </c>
      <c r="T17" s="37" t="n">
        <f aca="false">IF(B17="",0,N(Students!I6))</f>
        <v>0</v>
      </c>
      <c r="U17" s="23"/>
      <c r="V17" s="26" t="n">
        <f aca="false">N(S17)+N(T17)-N(U17)</f>
        <v>0</v>
      </c>
      <c r="W17" s="37" t="n">
        <f aca="false">'May 2027'!Z17</f>
        <v>0</v>
      </c>
      <c r="X17" s="37" t="n">
        <f aca="false">IF(B17="",0,N(Students!J6))</f>
        <v>0</v>
      </c>
      <c r="Y17" s="23"/>
      <c r="Z17" s="26" t="n">
        <f aca="false">N(W17)+N(X17)-N(Y17)</f>
        <v>0</v>
      </c>
      <c r="AA17" s="37" t="n">
        <f aca="false">N(E17)+N(I17)+N(M17)+N(Q17)+N(U17)+N(Y17)</f>
        <v>0</v>
      </c>
      <c r="AB17" s="26" t="n">
        <f aca="false">F17+J17+N17+R17+V17+Z17</f>
        <v>0</v>
      </c>
      <c r="AC17" s="83" t="str">
        <f aca="false">IF(B17="","",IF(AB17&lt;=0,"Clear",IF(AA17&gt;0,"Partial","Due")))</f>
        <v/>
      </c>
    </row>
    <row r="18" customFormat="false" ht="15" hidden="false" customHeight="false" outlineLevel="0" collapsed="false">
      <c r="A18" s="21" t="n">
        <v>3</v>
      </c>
      <c r="B18" s="46" t="str">
        <f aca="false">IF(Students!B7="","",Students!B7)</f>
        <v/>
      </c>
      <c r="C18" s="33" t="n">
        <f aca="false">'May 2027'!F18</f>
        <v>0</v>
      </c>
      <c r="D18" s="33" t="n">
        <f aca="false">IF(B18="",0,N(Students!E7))</f>
        <v>0</v>
      </c>
      <c r="E18" s="23"/>
      <c r="F18" s="24" t="n">
        <f aca="false">N(C18)+N(D18)-N(E18)</f>
        <v>0</v>
      </c>
      <c r="G18" s="33" t="n">
        <f aca="false">'May 2027'!J18</f>
        <v>0</v>
      </c>
      <c r="H18" s="33" t="n">
        <f aca="false">IF(B18="",0,N(Students!F7))</f>
        <v>0</v>
      </c>
      <c r="I18" s="23"/>
      <c r="J18" s="24" t="n">
        <f aca="false">N(G18)+N(H18)-N(I18)</f>
        <v>0</v>
      </c>
      <c r="K18" s="33" t="n">
        <f aca="false">'May 2027'!N18</f>
        <v>0</v>
      </c>
      <c r="L18" s="33" t="n">
        <f aca="false">IF(B18="",0,N(Students!G7))</f>
        <v>0</v>
      </c>
      <c r="M18" s="23"/>
      <c r="N18" s="24" t="n">
        <f aca="false">N(K18)+N(L18)-N(M18)</f>
        <v>0</v>
      </c>
      <c r="O18" s="33" t="n">
        <f aca="false">'May 2027'!R18</f>
        <v>0</v>
      </c>
      <c r="P18" s="33" t="n">
        <f aca="false">IF(B18="",0,N(Students!H7))</f>
        <v>0</v>
      </c>
      <c r="Q18" s="23"/>
      <c r="R18" s="24" t="n">
        <f aca="false">N(O18)+N(P18)-N(Q18)</f>
        <v>0</v>
      </c>
      <c r="S18" s="33" t="n">
        <f aca="false">'May 2027'!V18</f>
        <v>0</v>
      </c>
      <c r="T18" s="33" t="n">
        <f aca="false">IF(B18="",0,N(Students!I7))</f>
        <v>0</v>
      </c>
      <c r="U18" s="23"/>
      <c r="V18" s="24" t="n">
        <f aca="false">N(S18)+N(T18)-N(U18)</f>
        <v>0</v>
      </c>
      <c r="W18" s="33" t="n">
        <f aca="false">'May 2027'!Z18</f>
        <v>0</v>
      </c>
      <c r="X18" s="33" t="n">
        <f aca="false">IF(B18="",0,N(Students!J7))</f>
        <v>0</v>
      </c>
      <c r="Y18" s="23"/>
      <c r="Z18" s="24" t="n">
        <f aca="false">N(W18)+N(X18)-N(Y18)</f>
        <v>0</v>
      </c>
      <c r="AA18" s="33" t="n">
        <f aca="false">N(E18)+N(I18)+N(M18)+N(Q18)+N(U18)+N(Y18)</f>
        <v>0</v>
      </c>
      <c r="AB18" s="24" t="n">
        <f aca="false">F18+J18+N18+R18+V18+Z18</f>
        <v>0</v>
      </c>
      <c r="AC18" s="81" t="str">
        <f aca="false">IF(B18="","",IF(AB18&lt;=0,"Clear",IF(AA18&gt;0,"Partial","Due")))</f>
        <v/>
      </c>
    </row>
    <row r="19" customFormat="false" ht="15" hidden="false" customHeight="false" outlineLevel="0" collapsed="false">
      <c r="A19" s="25" t="n">
        <v>4</v>
      </c>
      <c r="B19" s="82" t="str">
        <f aca="false">IF(Students!B8="","",Students!B8)</f>
        <v/>
      </c>
      <c r="C19" s="37" t="n">
        <f aca="false">'May 2027'!F19</f>
        <v>0</v>
      </c>
      <c r="D19" s="37" t="n">
        <f aca="false">IF(B19="",0,N(Students!E8))</f>
        <v>0</v>
      </c>
      <c r="E19" s="23"/>
      <c r="F19" s="26" t="n">
        <f aca="false">N(C19)+N(D19)-N(E19)</f>
        <v>0</v>
      </c>
      <c r="G19" s="37" t="n">
        <f aca="false">'May 2027'!J19</f>
        <v>0</v>
      </c>
      <c r="H19" s="37" t="n">
        <f aca="false">IF(B19="",0,N(Students!F8))</f>
        <v>0</v>
      </c>
      <c r="I19" s="23"/>
      <c r="J19" s="26" t="n">
        <f aca="false">N(G19)+N(H19)-N(I19)</f>
        <v>0</v>
      </c>
      <c r="K19" s="37" t="n">
        <f aca="false">'May 2027'!N19</f>
        <v>0</v>
      </c>
      <c r="L19" s="37" t="n">
        <f aca="false">IF(B19="",0,N(Students!G8))</f>
        <v>0</v>
      </c>
      <c r="M19" s="23"/>
      <c r="N19" s="26" t="n">
        <f aca="false">N(K19)+N(L19)-N(M19)</f>
        <v>0</v>
      </c>
      <c r="O19" s="37" t="n">
        <f aca="false">'May 2027'!R19</f>
        <v>0</v>
      </c>
      <c r="P19" s="37" t="n">
        <f aca="false">IF(B19="",0,N(Students!H8))</f>
        <v>0</v>
      </c>
      <c r="Q19" s="23"/>
      <c r="R19" s="26" t="n">
        <f aca="false">N(O19)+N(P19)-N(Q19)</f>
        <v>0</v>
      </c>
      <c r="S19" s="37" t="n">
        <f aca="false">'May 2027'!V19</f>
        <v>0</v>
      </c>
      <c r="T19" s="37" t="n">
        <f aca="false">IF(B19="",0,N(Students!I8))</f>
        <v>0</v>
      </c>
      <c r="U19" s="23"/>
      <c r="V19" s="26" t="n">
        <f aca="false">N(S19)+N(T19)-N(U19)</f>
        <v>0</v>
      </c>
      <c r="W19" s="37" t="n">
        <f aca="false">'May 2027'!Z19</f>
        <v>0</v>
      </c>
      <c r="X19" s="37" t="n">
        <f aca="false">IF(B19="",0,N(Students!J8))</f>
        <v>0</v>
      </c>
      <c r="Y19" s="23"/>
      <c r="Z19" s="26" t="n">
        <f aca="false">N(W19)+N(X19)-N(Y19)</f>
        <v>0</v>
      </c>
      <c r="AA19" s="37" t="n">
        <f aca="false">N(E19)+N(I19)+N(M19)+N(Q19)+N(U19)+N(Y19)</f>
        <v>0</v>
      </c>
      <c r="AB19" s="26" t="n">
        <f aca="false">F19+J19+N19+R19+V19+Z19</f>
        <v>0</v>
      </c>
      <c r="AC19" s="83" t="str">
        <f aca="false">IF(B19="","",IF(AB19&lt;=0,"Clear",IF(AA19&gt;0,"Partial","Due")))</f>
        <v/>
      </c>
    </row>
    <row r="20" customFormat="false" ht="15" hidden="false" customHeight="false" outlineLevel="0" collapsed="false">
      <c r="A20" s="21" t="n">
        <v>5</v>
      </c>
      <c r="B20" s="46" t="str">
        <f aca="false">IF(Students!B9="","",Students!B9)</f>
        <v/>
      </c>
      <c r="C20" s="33" t="n">
        <f aca="false">'May 2027'!F20</f>
        <v>0</v>
      </c>
      <c r="D20" s="33" t="n">
        <f aca="false">IF(B20="",0,N(Students!E9))</f>
        <v>0</v>
      </c>
      <c r="E20" s="23"/>
      <c r="F20" s="24" t="n">
        <f aca="false">N(C20)+N(D20)-N(E20)</f>
        <v>0</v>
      </c>
      <c r="G20" s="33" t="n">
        <f aca="false">'May 2027'!J20</f>
        <v>0</v>
      </c>
      <c r="H20" s="33" t="n">
        <f aca="false">IF(B20="",0,N(Students!F9))</f>
        <v>0</v>
      </c>
      <c r="I20" s="23"/>
      <c r="J20" s="24" t="n">
        <f aca="false">N(G20)+N(H20)-N(I20)</f>
        <v>0</v>
      </c>
      <c r="K20" s="33" t="n">
        <f aca="false">'May 2027'!N20</f>
        <v>0</v>
      </c>
      <c r="L20" s="33" t="n">
        <f aca="false">IF(B20="",0,N(Students!G9))</f>
        <v>0</v>
      </c>
      <c r="M20" s="23"/>
      <c r="N20" s="24" t="n">
        <f aca="false">N(K20)+N(L20)-N(M20)</f>
        <v>0</v>
      </c>
      <c r="O20" s="33" t="n">
        <f aca="false">'May 2027'!R20</f>
        <v>0</v>
      </c>
      <c r="P20" s="33" t="n">
        <f aca="false">IF(B20="",0,N(Students!H9))</f>
        <v>0</v>
      </c>
      <c r="Q20" s="23"/>
      <c r="R20" s="24" t="n">
        <f aca="false">N(O20)+N(P20)-N(Q20)</f>
        <v>0</v>
      </c>
      <c r="S20" s="33" t="n">
        <f aca="false">'May 2027'!V20</f>
        <v>0</v>
      </c>
      <c r="T20" s="33" t="n">
        <f aca="false">IF(B20="",0,N(Students!I9))</f>
        <v>0</v>
      </c>
      <c r="U20" s="23"/>
      <c r="V20" s="24" t="n">
        <f aca="false">N(S20)+N(T20)-N(U20)</f>
        <v>0</v>
      </c>
      <c r="W20" s="33" t="n">
        <f aca="false">'May 2027'!Z20</f>
        <v>0</v>
      </c>
      <c r="X20" s="33" t="n">
        <f aca="false">IF(B20="",0,N(Students!J9))</f>
        <v>0</v>
      </c>
      <c r="Y20" s="23"/>
      <c r="Z20" s="24" t="n">
        <f aca="false">N(W20)+N(X20)-N(Y20)</f>
        <v>0</v>
      </c>
      <c r="AA20" s="33" t="n">
        <f aca="false">N(E20)+N(I20)+N(M20)+N(Q20)+N(U20)+N(Y20)</f>
        <v>0</v>
      </c>
      <c r="AB20" s="24" t="n">
        <f aca="false">F20+J20+N20+R20+V20+Z20</f>
        <v>0</v>
      </c>
      <c r="AC20" s="81" t="str">
        <f aca="false">IF(B20="","",IF(AB20&lt;=0,"Clear",IF(AA20&gt;0,"Partial","Due")))</f>
        <v/>
      </c>
    </row>
    <row r="21" customFormat="false" ht="15" hidden="false" customHeight="false" outlineLevel="0" collapsed="false">
      <c r="A21" s="25" t="n">
        <v>6</v>
      </c>
      <c r="B21" s="82" t="str">
        <f aca="false">IF(Students!B10="","",Students!B10)</f>
        <v/>
      </c>
      <c r="C21" s="37" t="n">
        <f aca="false">'May 2027'!F21</f>
        <v>0</v>
      </c>
      <c r="D21" s="37" t="n">
        <f aca="false">IF(B21="",0,N(Students!E10))</f>
        <v>0</v>
      </c>
      <c r="E21" s="23"/>
      <c r="F21" s="26" t="n">
        <f aca="false">N(C21)+N(D21)-N(E21)</f>
        <v>0</v>
      </c>
      <c r="G21" s="37" t="n">
        <f aca="false">'May 2027'!J21</f>
        <v>0</v>
      </c>
      <c r="H21" s="37" t="n">
        <f aca="false">IF(B21="",0,N(Students!F10))</f>
        <v>0</v>
      </c>
      <c r="I21" s="23"/>
      <c r="J21" s="26" t="n">
        <f aca="false">N(G21)+N(H21)-N(I21)</f>
        <v>0</v>
      </c>
      <c r="K21" s="37" t="n">
        <f aca="false">'May 2027'!N21</f>
        <v>0</v>
      </c>
      <c r="L21" s="37" t="n">
        <f aca="false">IF(B21="",0,N(Students!G10))</f>
        <v>0</v>
      </c>
      <c r="M21" s="23"/>
      <c r="N21" s="26" t="n">
        <f aca="false">N(K21)+N(L21)-N(M21)</f>
        <v>0</v>
      </c>
      <c r="O21" s="37" t="n">
        <f aca="false">'May 2027'!R21</f>
        <v>0</v>
      </c>
      <c r="P21" s="37" t="n">
        <f aca="false">IF(B21="",0,N(Students!H10))</f>
        <v>0</v>
      </c>
      <c r="Q21" s="23"/>
      <c r="R21" s="26" t="n">
        <f aca="false">N(O21)+N(P21)-N(Q21)</f>
        <v>0</v>
      </c>
      <c r="S21" s="37" t="n">
        <f aca="false">'May 2027'!V21</f>
        <v>0</v>
      </c>
      <c r="T21" s="37" t="n">
        <f aca="false">IF(B21="",0,N(Students!I10))</f>
        <v>0</v>
      </c>
      <c r="U21" s="23"/>
      <c r="V21" s="26" t="n">
        <f aca="false">N(S21)+N(T21)-N(U21)</f>
        <v>0</v>
      </c>
      <c r="W21" s="37" t="n">
        <f aca="false">'May 2027'!Z21</f>
        <v>0</v>
      </c>
      <c r="X21" s="37" t="n">
        <f aca="false">IF(B21="",0,N(Students!J10))</f>
        <v>0</v>
      </c>
      <c r="Y21" s="23"/>
      <c r="Z21" s="26" t="n">
        <f aca="false">N(W21)+N(X21)-N(Y21)</f>
        <v>0</v>
      </c>
      <c r="AA21" s="37" t="n">
        <f aca="false">N(E21)+N(I21)+N(M21)+N(Q21)+N(U21)+N(Y21)</f>
        <v>0</v>
      </c>
      <c r="AB21" s="26" t="n">
        <f aca="false">F21+J21+N21+R21+V21+Z21</f>
        <v>0</v>
      </c>
      <c r="AC21" s="83" t="str">
        <f aca="false">IF(B21="","",IF(AB21&lt;=0,"Clear",IF(AA21&gt;0,"Partial","Due")))</f>
        <v/>
      </c>
    </row>
    <row r="22" customFormat="false" ht="15" hidden="false" customHeight="false" outlineLevel="0" collapsed="false">
      <c r="A22" s="21" t="n">
        <v>7</v>
      </c>
      <c r="B22" s="46" t="str">
        <f aca="false">IF(Students!B11="","",Students!B11)</f>
        <v/>
      </c>
      <c r="C22" s="33" t="n">
        <f aca="false">'May 2027'!F22</f>
        <v>0</v>
      </c>
      <c r="D22" s="33" t="n">
        <f aca="false">IF(B22="",0,N(Students!E11))</f>
        <v>0</v>
      </c>
      <c r="E22" s="23"/>
      <c r="F22" s="24" t="n">
        <f aca="false">N(C22)+N(D22)-N(E22)</f>
        <v>0</v>
      </c>
      <c r="G22" s="33" t="n">
        <f aca="false">'May 2027'!J22</f>
        <v>0</v>
      </c>
      <c r="H22" s="33" t="n">
        <f aca="false">IF(B22="",0,N(Students!F11))</f>
        <v>0</v>
      </c>
      <c r="I22" s="23"/>
      <c r="J22" s="24" t="n">
        <f aca="false">N(G22)+N(H22)-N(I22)</f>
        <v>0</v>
      </c>
      <c r="K22" s="33" t="n">
        <f aca="false">'May 2027'!N22</f>
        <v>0</v>
      </c>
      <c r="L22" s="33" t="n">
        <f aca="false">IF(B22="",0,N(Students!G11))</f>
        <v>0</v>
      </c>
      <c r="M22" s="23"/>
      <c r="N22" s="24" t="n">
        <f aca="false">N(K22)+N(L22)-N(M22)</f>
        <v>0</v>
      </c>
      <c r="O22" s="33" t="n">
        <f aca="false">'May 2027'!R22</f>
        <v>0</v>
      </c>
      <c r="P22" s="33" t="n">
        <f aca="false">IF(B22="",0,N(Students!H11))</f>
        <v>0</v>
      </c>
      <c r="Q22" s="23"/>
      <c r="R22" s="24" t="n">
        <f aca="false">N(O22)+N(P22)-N(Q22)</f>
        <v>0</v>
      </c>
      <c r="S22" s="33" t="n">
        <f aca="false">'May 2027'!V22</f>
        <v>0</v>
      </c>
      <c r="T22" s="33" t="n">
        <f aca="false">IF(B22="",0,N(Students!I11))</f>
        <v>0</v>
      </c>
      <c r="U22" s="23"/>
      <c r="V22" s="24" t="n">
        <f aca="false">N(S22)+N(T22)-N(U22)</f>
        <v>0</v>
      </c>
      <c r="W22" s="33" t="n">
        <f aca="false">'May 2027'!Z22</f>
        <v>0</v>
      </c>
      <c r="X22" s="33" t="n">
        <f aca="false">IF(B22="",0,N(Students!J11))</f>
        <v>0</v>
      </c>
      <c r="Y22" s="23"/>
      <c r="Z22" s="24" t="n">
        <f aca="false">N(W22)+N(X22)-N(Y22)</f>
        <v>0</v>
      </c>
      <c r="AA22" s="33" t="n">
        <f aca="false">N(E22)+N(I22)+N(M22)+N(Q22)+N(U22)+N(Y22)</f>
        <v>0</v>
      </c>
      <c r="AB22" s="24" t="n">
        <f aca="false">F22+J22+N22+R22+V22+Z22</f>
        <v>0</v>
      </c>
      <c r="AC22" s="81" t="str">
        <f aca="false">IF(B22="","",IF(AB22&lt;=0,"Clear",IF(AA22&gt;0,"Partial","Due")))</f>
        <v/>
      </c>
    </row>
    <row r="23" customFormat="false" ht="15" hidden="false" customHeight="false" outlineLevel="0" collapsed="false">
      <c r="A23" s="25" t="n">
        <v>8</v>
      </c>
      <c r="B23" s="82" t="str">
        <f aca="false">IF(Students!B12="","",Students!B12)</f>
        <v/>
      </c>
      <c r="C23" s="37" t="n">
        <f aca="false">'May 2027'!F23</f>
        <v>0</v>
      </c>
      <c r="D23" s="37" t="n">
        <f aca="false">IF(B23="",0,N(Students!E12))</f>
        <v>0</v>
      </c>
      <c r="E23" s="23"/>
      <c r="F23" s="26" t="n">
        <f aca="false">N(C23)+N(D23)-N(E23)</f>
        <v>0</v>
      </c>
      <c r="G23" s="37" t="n">
        <f aca="false">'May 2027'!J23</f>
        <v>0</v>
      </c>
      <c r="H23" s="37" t="n">
        <f aca="false">IF(B23="",0,N(Students!F12))</f>
        <v>0</v>
      </c>
      <c r="I23" s="23"/>
      <c r="J23" s="26" t="n">
        <f aca="false">N(G23)+N(H23)-N(I23)</f>
        <v>0</v>
      </c>
      <c r="K23" s="37" t="n">
        <f aca="false">'May 2027'!N23</f>
        <v>0</v>
      </c>
      <c r="L23" s="37" t="n">
        <f aca="false">IF(B23="",0,N(Students!G12))</f>
        <v>0</v>
      </c>
      <c r="M23" s="23"/>
      <c r="N23" s="26" t="n">
        <f aca="false">N(K23)+N(L23)-N(M23)</f>
        <v>0</v>
      </c>
      <c r="O23" s="37" t="n">
        <f aca="false">'May 2027'!R23</f>
        <v>0</v>
      </c>
      <c r="P23" s="37" t="n">
        <f aca="false">IF(B23="",0,N(Students!H12))</f>
        <v>0</v>
      </c>
      <c r="Q23" s="23"/>
      <c r="R23" s="26" t="n">
        <f aca="false">N(O23)+N(P23)-N(Q23)</f>
        <v>0</v>
      </c>
      <c r="S23" s="37" t="n">
        <f aca="false">'May 2027'!V23</f>
        <v>0</v>
      </c>
      <c r="T23" s="37" t="n">
        <f aca="false">IF(B23="",0,N(Students!I12))</f>
        <v>0</v>
      </c>
      <c r="U23" s="23"/>
      <c r="V23" s="26" t="n">
        <f aca="false">N(S23)+N(T23)-N(U23)</f>
        <v>0</v>
      </c>
      <c r="W23" s="37" t="n">
        <f aca="false">'May 2027'!Z23</f>
        <v>0</v>
      </c>
      <c r="X23" s="37" t="n">
        <f aca="false">IF(B23="",0,N(Students!J12))</f>
        <v>0</v>
      </c>
      <c r="Y23" s="23"/>
      <c r="Z23" s="26" t="n">
        <f aca="false">N(W23)+N(X23)-N(Y23)</f>
        <v>0</v>
      </c>
      <c r="AA23" s="37" t="n">
        <f aca="false">N(E23)+N(I23)+N(M23)+N(Q23)+N(U23)+N(Y23)</f>
        <v>0</v>
      </c>
      <c r="AB23" s="26" t="n">
        <f aca="false">F23+J23+N23+R23+V23+Z23</f>
        <v>0</v>
      </c>
      <c r="AC23" s="83" t="str">
        <f aca="false">IF(B23="","",IF(AB23&lt;=0,"Clear",IF(AA23&gt;0,"Partial","Due")))</f>
        <v/>
      </c>
    </row>
    <row r="24" customFormat="false" ht="15" hidden="false" customHeight="false" outlineLevel="0" collapsed="false">
      <c r="A24" s="21" t="n">
        <v>9</v>
      </c>
      <c r="B24" s="46" t="str">
        <f aca="false">IF(Students!B13="","",Students!B13)</f>
        <v/>
      </c>
      <c r="C24" s="33" t="n">
        <f aca="false">'May 2027'!F24</f>
        <v>0</v>
      </c>
      <c r="D24" s="33" t="n">
        <f aca="false">IF(B24="",0,N(Students!E13))</f>
        <v>0</v>
      </c>
      <c r="E24" s="23"/>
      <c r="F24" s="24" t="n">
        <f aca="false">N(C24)+N(D24)-N(E24)</f>
        <v>0</v>
      </c>
      <c r="G24" s="33" t="n">
        <f aca="false">'May 2027'!J24</f>
        <v>0</v>
      </c>
      <c r="H24" s="33" t="n">
        <f aca="false">IF(B24="",0,N(Students!F13))</f>
        <v>0</v>
      </c>
      <c r="I24" s="23"/>
      <c r="J24" s="24" t="n">
        <f aca="false">N(G24)+N(H24)-N(I24)</f>
        <v>0</v>
      </c>
      <c r="K24" s="33" t="n">
        <f aca="false">'May 2027'!N24</f>
        <v>0</v>
      </c>
      <c r="L24" s="33" t="n">
        <f aca="false">IF(B24="",0,N(Students!G13))</f>
        <v>0</v>
      </c>
      <c r="M24" s="23"/>
      <c r="N24" s="24" t="n">
        <f aca="false">N(K24)+N(L24)-N(M24)</f>
        <v>0</v>
      </c>
      <c r="O24" s="33" t="n">
        <f aca="false">'May 2027'!R24</f>
        <v>0</v>
      </c>
      <c r="P24" s="33" t="n">
        <f aca="false">IF(B24="",0,N(Students!H13))</f>
        <v>0</v>
      </c>
      <c r="Q24" s="23"/>
      <c r="R24" s="24" t="n">
        <f aca="false">N(O24)+N(P24)-N(Q24)</f>
        <v>0</v>
      </c>
      <c r="S24" s="33" t="n">
        <f aca="false">'May 2027'!V24</f>
        <v>0</v>
      </c>
      <c r="T24" s="33" t="n">
        <f aca="false">IF(B24="",0,N(Students!I13))</f>
        <v>0</v>
      </c>
      <c r="U24" s="23"/>
      <c r="V24" s="24" t="n">
        <f aca="false">N(S24)+N(T24)-N(U24)</f>
        <v>0</v>
      </c>
      <c r="W24" s="33" t="n">
        <f aca="false">'May 2027'!Z24</f>
        <v>0</v>
      </c>
      <c r="X24" s="33" t="n">
        <f aca="false">IF(B24="",0,N(Students!J13))</f>
        <v>0</v>
      </c>
      <c r="Y24" s="23"/>
      <c r="Z24" s="24" t="n">
        <f aca="false">N(W24)+N(X24)-N(Y24)</f>
        <v>0</v>
      </c>
      <c r="AA24" s="33" t="n">
        <f aca="false">N(E24)+N(I24)+N(M24)+N(Q24)+N(U24)+N(Y24)</f>
        <v>0</v>
      </c>
      <c r="AB24" s="24" t="n">
        <f aca="false">F24+J24+N24+R24+V24+Z24</f>
        <v>0</v>
      </c>
      <c r="AC24" s="81" t="str">
        <f aca="false">IF(B24="","",IF(AB24&lt;=0,"Clear",IF(AA24&gt;0,"Partial","Due")))</f>
        <v/>
      </c>
    </row>
    <row r="25" customFormat="false" ht="15" hidden="false" customHeight="false" outlineLevel="0" collapsed="false">
      <c r="A25" s="25" t="n">
        <v>10</v>
      </c>
      <c r="B25" s="82" t="str">
        <f aca="false">IF(Students!B14="","",Students!B14)</f>
        <v/>
      </c>
      <c r="C25" s="37" t="n">
        <f aca="false">'May 2027'!F25</f>
        <v>0</v>
      </c>
      <c r="D25" s="37" t="n">
        <f aca="false">IF(B25="",0,N(Students!E14))</f>
        <v>0</v>
      </c>
      <c r="E25" s="23"/>
      <c r="F25" s="26" t="n">
        <f aca="false">N(C25)+N(D25)-N(E25)</f>
        <v>0</v>
      </c>
      <c r="G25" s="37" t="n">
        <f aca="false">'May 2027'!J25</f>
        <v>0</v>
      </c>
      <c r="H25" s="37" t="n">
        <f aca="false">IF(B25="",0,N(Students!F14))</f>
        <v>0</v>
      </c>
      <c r="I25" s="23"/>
      <c r="J25" s="26" t="n">
        <f aca="false">N(G25)+N(H25)-N(I25)</f>
        <v>0</v>
      </c>
      <c r="K25" s="37" t="n">
        <f aca="false">'May 2027'!N25</f>
        <v>0</v>
      </c>
      <c r="L25" s="37" t="n">
        <f aca="false">IF(B25="",0,N(Students!G14))</f>
        <v>0</v>
      </c>
      <c r="M25" s="23"/>
      <c r="N25" s="26" t="n">
        <f aca="false">N(K25)+N(L25)-N(M25)</f>
        <v>0</v>
      </c>
      <c r="O25" s="37" t="n">
        <f aca="false">'May 2027'!R25</f>
        <v>0</v>
      </c>
      <c r="P25" s="37" t="n">
        <f aca="false">IF(B25="",0,N(Students!H14))</f>
        <v>0</v>
      </c>
      <c r="Q25" s="23"/>
      <c r="R25" s="26" t="n">
        <f aca="false">N(O25)+N(P25)-N(Q25)</f>
        <v>0</v>
      </c>
      <c r="S25" s="37" t="n">
        <f aca="false">'May 2027'!V25</f>
        <v>0</v>
      </c>
      <c r="T25" s="37" t="n">
        <f aca="false">IF(B25="",0,N(Students!I14))</f>
        <v>0</v>
      </c>
      <c r="U25" s="23"/>
      <c r="V25" s="26" t="n">
        <f aca="false">N(S25)+N(T25)-N(U25)</f>
        <v>0</v>
      </c>
      <c r="W25" s="37" t="n">
        <f aca="false">'May 2027'!Z25</f>
        <v>0</v>
      </c>
      <c r="X25" s="37" t="n">
        <f aca="false">IF(B25="",0,N(Students!J14))</f>
        <v>0</v>
      </c>
      <c r="Y25" s="23"/>
      <c r="Z25" s="26" t="n">
        <f aca="false">N(W25)+N(X25)-N(Y25)</f>
        <v>0</v>
      </c>
      <c r="AA25" s="37" t="n">
        <f aca="false">N(E25)+N(I25)+N(M25)+N(Q25)+N(U25)+N(Y25)</f>
        <v>0</v>
      </c>
      <c r="AB25" s="26" t="n">
        <f aca="false">F25+J25+N25+R25+V25+Z25</f>
        <v>0</v>
      </c>
      <c r="AC25" s="83" t="str">
        <f aca="false">IF(B25="","",IF(AB25&lt;=0,"Clear",IF(AA25&gt;0,"Partial","Due")))</f>
        <v/>
      </c>
    </row>
    <row r="26" customFormat="false" ht="15" hidden="false" customHeight="false" outlineLevel="0" collapsed="false">
      <c r="A26" s="21" t="n">
        <v>11</v>
      </c>
      <c r="B26" s="46" t="str">
        <f aca="false">IF(Students!B15="","",Students!B15)</f>
        <v/>
      </c>
      <c r="C26" s="33" t="n">
        <f aca="false">'May 2027'!F26</f>
        <v>0</v>
      </c>
      <c r="D26" s="33" t="n">
        <f aca="false">IF(B26="",0,N(Students!E15))</f>
        <v>0</v>
      </c>
      <c r="E26" s="23"/>
      <c r="F26" s="24" t="n">
        <f aca="false">N(C26)+N(D26)-N(E26)</f>
        <v>0</v>
      </c>
      <c r="G26" s="33" t="n">
        <f aca="false">'May 2027'!J26</f>
        <v>0</v>
      </c>
      <c r="H26" s="33" t="n">
        <f aca="false">IF(B26="",0,N(Students!F15))</f>
        <v>0</v>
      </c>
      <c r="I26" s="23"/>
      <c r="J26" s="24" t="n">
        <f aca="false">N(G26)+N(H26)-N(I26)</f>
        <v>0</v>
      </c>
      <c r="K26" s="33" t="n">
        <f aca="false">'May 2027'!N26</f>
        <v>0</v>
      </c>
      <c r="L26" s="33" t="n">
        <f aca="false">IF(B26="",0,N(Students!G15))</f>
        <v>0</v>
      </c>
      <c r="M26" s="23"/>
      <c r="N26" s="24" t="n">
        <f aca="false">N(K26)+N(L26)-N(M26)</f>
        <v>0</v>
      </c>
      <c r="O26" s="33" t="n">
        <f aca="false">'May 2027'!R26</f>
        <v>0</v>
      </c>
      <c r="P26" s="33" t="n">
        <f aca="false">IF(B26="",0,N(Students!H15))</f>
        <v>0</v>
      </c>
      <c r="Q26" s="23"/>
      <c r="R26" s="24" t="n">
        <f aca="false">N(O26)+N(P26)-N(Q26)</f>
        <v>0</v>
      </c>
      <c r="S26" s="33" t="n">
        <f aca="false">'May 2027'!V26</f>
        <v>0</v>
      </c>
      <c r="T26" s="33" t="n">
        <f aca="false">IF(B26="",0,N(Students!I15))</f>
        <v>0</v>
      </c>
      <c r="U26" s="23"/>
      <c r="V26" s="24" t="n">
        <f aca="false">N(S26)+N(T26)-N(U26)</f>
        <v>0</v>
      </c>
      <c r="W26" s="33" t="n">
        <f aca="false">'May 2027'!Z26</f>
        <v>0</v>
      </c>
      <c r="X26" s="33" t="n">
        <f aca="false">IF(B26="",0,N(Students!J15))</f>
        <v>0</v>
      </c>
      <c r="Y26" s="23"/>
      <c r="Z26" s="24" t="n">
        <f aca="false">N(W26)+N(X26)-N(Y26)</f>
        <v>0</v>
      </c>
      <c r="AA26" s="33" t="n">
        <f aca="false">N(E26)+N(I26)+N(M26)+N(Q26)+N(U26)+N(Y26)</f>
        <v>0</v>
      </c>
      <c r="AB26" s="24" t="n">
        <f aca="false">F26+J26+N26+R26+V26+Z26</f>
        <v>0</v>
      </c>
      <c r="AC26" s="81" t="str">
        <f aca="false">IF(B26="","",IF(AB26&lt;=0,"Clear",IF(AA26&gt;0,"Partial","Due")))</f>
        <v/>
      </c>
    </row>
    <row r="27" customFormat="false" ht="15" hidden="false" customHeight="false" outlineLevel="0" collapsed="false">
      <c r="A27" s="25" t="n">
        <v>12</v>
      </c>
      <c r="B27" s="82" t="str">
        <f aca="false">IF(Students!B16="","",Students!B16)</f>
        <v/>
      </c>
      <c r="C27" s="37" t="n">
        <f aca="false">'May 2027'!F27</f>
        <v>0</v>
      </c>
      <c r="D27" s="37" t="n">
        <f aca="false">IF(B27="",0,N(Students!E16))</f>
        <v>0</v>
      </c>
      <c r="E27" s="23"/>
      <c r="F27" s="26" t="n">
        <f aca="false">N(C27)+N(D27)-N(E27)</f>
        <v>0</v>
      </c>
      <c r="G27" s="37" t="n">
        <f aca="false">'May 2027'!J27</f>
        <v>0</v>
      </c>
      <c r="H27" s="37" t="n">
        <f aca="false">IF(B27="",0,N(Students!F16))</f>
        <v>0</v>
      </c>
      <c r="I27" s="23"/>
      <c r="J27" s="26" t="n">
        <f aca="false">N(G27)+N(H27)-N(I27)</f>
        <v>0</v>
      </c>
      <c r="K27" s="37" t="n">
        <f aca="false">'May 2027'!N27</f>
        <v>0</v>
      </c>
      <c r="L27" s="37" t="n">
        <f aca="false">IF(B27="",0,N(Students!G16))</f>
        <v>0</v>
      </c>
      <c r="M27" s="23"/>
      <c r="N27" s="26" t="n">
        <f aca="false">N(K27)+N(L27)-N(M27)</f>
        <v>0</v>
      </c>
      <c r="O27" s="37" t="n">
        <f aca="false">'May 2027'!R27</f>
        <v>0</v>
      </c>
      <c r="P27" s="37" t="n">
        <f aca="false">IF(B27="",0,N(Students!H16))</f>
        <v>0</v>
      </c>
      <c r="Q27" s="23"/>
      <c r="R27" s="26" t="n">
        <f aca="false">N(O27)+N(P27)-N(Q27)</f>
        <v>0</v>
      </c>
      <c r="S27" s="37" t="n">
        <f aca="false">'May 2027'!V27</f>
        <v>0</v>
      </c>
      <c r="T27" s="37" t="n">
        <f aca="false">IF(B27="",0,N(Students!I16))</f>
        <v>0</v>
      </c>
      <c r="U27" s="23"/>
      <c r="V27" s="26" t="n">
        <f aca="false">N(S27)+N(T27)-N(U27)</f>
        <v>0</v>
      </c>
      <c r="W27" s="37" t="n">
        <f aca="false">'May 2027'!Z27</f>
        <v>0</v>
      </c>
      <c r="X27" s="37" t="n">
        <f aca="false">IF(B27="",0,N(Students!J16))</f>
        <v>0</v>
      </c>
      <c r="Y27" s="23"/>
      <c r="Z27" s="26" t="n">
        <f aca="false">N(W27)+N(X27)-N(Y27)</f>
        <v>0</v>
      </c>
      <c r="AA27" s="37" t="n">
        <f aca="false">N(E27)+N(I27)+N(M27)+N(Q27)+N(U27)+N(Y27)</f>
        <v>0</v>
      </c>
      <c r="AB27" s="26" t="n">
        <f aca="false">F27+J27+N27+R27+V27+Z27</f>
        <v>0</v>
      </c>
      <c r="AC27" s="83" t="str">
        <f aca="false">IF(B27="","",IF(AB27&lt;=0,"Clear",IF(AA27&gt;0,"Partial","Due")))</f>
        <v/>
      </c>
    </row>
    <row r="28" customFormat="false" ht="15" hidden="false" customHeight="false" outlineLevel="0" collapsed="false">
      <c r="A28" s="21" t="n">
        <v>13</v>
      </c>
      <c r="B28" s="46" t="str">
        <f aca="false">IF(Students!B17="","",Students!B17)</f>
        <v/>
      </c>
      <c r="C28" s="33" t="n">
        <f aca="false">'May 2027'!F28</f>
        <v>0</v>
      </c>
      <c r="D28" s="33" t="n">
        <f aca="false">IF(B28="",0,N(Students!E17))</f>
        <v>0</v>
      </c>
      <c r="E28" s="23"/>
      <c r="F28" s="24" t="n">
        <f aca="false">N(C28)+N(D28)-N(E28)</f>
        <v>0</v>
      </c>
      <c r="G28" s="33" t="n">
        <f aca="false">'May 2027'!J28</f>
        <v>0</v>
      </c>
      <c r="H28" s="33" t="n">
        <f aca="false">IF(B28="",0,N(Students!F17))</f>
        <v>0</v>
      </c>
      <c r="I28" s="23"/>
      <c r="J28" s="24" t="n">
        <f aca="false">N(G28)+N(H28)-N(I28)</f>
        <v>0</v>
      </c>
      <c r="K28" s="33" t="n">
        <f aca="false">'May 2027'!N28</f>
        <v>0</v>
      </c>
      <c r="L28" s="33" t="n">
        <f aca="false">IF(B28="",0,N(Students!G17))</f>
        <v>0</v>
      </c>
      <c r="M28" s="23"/>
      <c r="N28" s="24" t="n">
        <f aca="false">N(K28)+N(L28)-N(M28)</f>
        <v>0</v>
      </c>
      <c r="O28" s="33" t="n">
        <f aca="false">'May 2027'!R28</f>
        <v>0</v>
      </c>
      <c r="P28" s="33" t="n">
        <f aca="false">IF(B28="",0,N(Students!H17))</f>
        <v>0</v>
      </c>
      <c r="Q28" s="23"/>
      <c r="R28" s="24" t="n">
        <f aca="false">N(O28)+N(P28)-N(Q28)</f>
        <v>0</v>
      </c>
      <c r="S28" s="33" t="n">
        <f aca="false">'May 2027'!V28</f>
        <v>0</v>
      </c>
      <c r="T28" s="33" t="n">
        <f aca="false">IF(B28="",0,N(Students!I17))</f>
        <v>0</v>
      </c>
      <c r="U28" s="23"/>
      <c r="V28" s="24" t="n">
        <f aca="false">N(S28)+N(T28)-N(U28)</f>
        <v>0</v>
      </c>
      <c r="W28" s="33" t="n">
        <f aca="false">'May 2027'!Z28</f>
        <v>0</v>
      </c>
      <c r="X28" s="33" t="n">
        <f aca="false">IF(B28="",0,N(Students!J17))</f>
        <v>0</v>
      </c>
      <c r="Y28" s="23"/>
      <c r="Z28" s="24" t="n">
        <f aca="false">N(W28)+N(X28)-N(Y28)</f>
        <v>0</v>
      </c>
      <c r="AA28" s="33" t="n">
        <f aca="false">N(E28)+N(I28)+N(M28)+N(Q28)+N(U28)+N(Y28)</f>
        <v>0</v>
      </c>
      <c r="AB28" s="24" t="n">
        <f aca="false">F28+J28+N28+R28+V28+Z28</f>
        <v>0</v>
      </c>
      <c r="AC28" s="81" t="str">
        <f aca="false">IF(B28="","",IF(AB28&lt;=0,"Clear",IF(AA28&gt;0,"Partial","Due")))</f>
        <v/>
      </c>
    </row>
    <row r="29" customFormat="false" ht="15" hidden="false" customHeight="false" outlineLevel="0" collapsed="false">
      <c r="A29" s="25" t="n">
        <v>14</v>
      </c>
      <c r="B29" s="82" t="str">
        <f aca="false">IF(Students!B18="","",Students!B18)</f>
        <v/>
      </c>
      <c r="C29" s="37" t="n">
        <f aca="false">'May 2027'!F29</f>
        <v>0</v>
      </c>
      <c r="D29" s="37" t="n">
        <f aca="false">IF(B29="",0,N(Students!E18))</f>
        <v>0</v>
      </c>
      <c r="E29" s="23"/>
      <c r="F29" s="26" t="n">
        <f aca="false">N(C29)+N(D29)-N(E29)</f>
        <v>0</v>
      </c>
      <c r="G29" s="37" t="n">
        <f aca="false">'May 2027'!J29</f>
        <v>0</v>
      </c>
      <c r="H29" s="37" t="n">
        <f aca="false">IF(B29="",0,N(Students!F18))</f>
        <v>0</v>
      </c>
      <c r="I29" s="23"/>
      <c r="J29" s="26" t="n">
        <f aca="false">N(G29)+N(H29)-N(I29)</f>
        <v>0</v>
      </c>
      <c r="K29" s="37" t="n">
        <f aca="false">'May 2027'!N29</f>
        <v>0</v>
      </c>
      <c r="L29" s="37" t="n">
        <f aca="false">IF(B29="",0,N(Students!G18))</f>
        <v>0</v>
      </c>
      <c r="M29" s="23"/>
      <c r="N29" s="26" t="n">
        <f aca="false">N(K29)+N(L29)-N(M29)</f>
        <v>0</v>
      </c>
      <c r="O29" s="37" t="n">
        <f aca="false">'May 2027'!R29</f>
        <v>0</v>
      </c>
      <c r="P29" s="37" t="n">
        <f aca="false">IF(B29="",0,N(Students!H18))</f>
        <v>0</v>
      </c>
      <c r="Q29" s="23"/>
      <c r="R29" s="26" t="n">
        <f aca="false">N(O29)+N(P29)-N(Q29)</f>
        <v>0</v>
      </c>
      <c r="S29" s="37" t="n">
        <f aca="false">'May 2027'!V29</f>
        <v>0</v>
      </c>
      <c r="T29" s="37" t="n">
        <f aca="false">IF(B29="",0,N(Students!I18))</f>
        <v>0</v>
      </c>
      <c r="U29" s="23"/>
      <c r="V29" s="26" t="n">
        <f aca="false">N(S29)+N(T29)-N(U29)</f>
        <v>0</v>
      </c>
      <c r="W29" s="37" t="n">
        <f aca="false">'May 2027'!Z29</f>
        <v>0</v>
      </c>
      <c r="X29" s="37" t="n">
        <f aca="false">IF(B29="",0,N(Students!J18))</f>
        <v>0</v>
      </c>
      <c r="Y29" s="23"/>
      <c r="Z29" s="26" t="n">
        <f aca="false">N(W29)+N(X29)-N(Y29)</f>
        <v>0</v>
      </c>
      <c r="AA29" s="37" t="n">
        <f aca="false">N(E29)+N(I29)+N(M29)+N(Q29)+N(U29)+N(Y29)</f>
        <v>0</v>
      </c>
      <c r="AB29" s="26" t="n">
        <f aca="false">F29+J29+N29+R29+V29+Z29</f>
        <v>0</v>
      </c>
      <c r="AC29" s="83" t="str">
        <f aca="false">IF(B29="","",IF(AB29&lt;=0,"Clear",IF(AA29&gt;0,"Partial","Due")))</f>
        <v/>
      </c>
    </row>
    <row r="30" customFormat="false" ht="15" hidden="false" customHeight="false" outlineLevel="0" collapsed="false">
      <c r="A30" s="21" t="n">
        <v>15</v>
      </c>
      <c r="B30" s="46" t="str">
        <f aca="false">IF(Students!B19="","",Students!B19)</f>
        <v/>
      </c>
      <c r="C30" s="33" t="n">
        <f aca="false">'May 2027'!F30</f>
        <v>0</v>
      </c>
      <c r="D30" s="33" t="n">
        <f aca="false">IF(B30="",0,N(Students!E19))</f>
        <v>0</v>
      </c>
      <c r="E30" s="23"/>
      <c r="F30" s="24" t="n">
        <f aca="false">N(C30)+N(D30)-N(E30)</f>
        <v>0</v>
      </c>
      <c r="G30" s="33" t="n">
        <f aca="false">'May 2027'!J30</f>
        <v>0</v>
      </c>
      <c r="H30" s="33" t="n">
        <f aca="false">IF(B30="",0,N(Students!F19))</f>
        <v>0</v>
      </c>
      <c r="I30" s="23"/>
      <c r="J30" s="24" t="n">
        <f aca="false">N(G30)+N(H30)-N(I30)</f>
        <v>0</v>
      </c>
      <c r="K30" s="33" t="n">
        <f aca="false">'May 2027'!N30</f>
        <v>0</v>
      </c>
      <c r="L30" s="33" t="n">
        <f aca="false">IF(B30="",0,N(Students!G19))</f>
        <v>0</v>
      </c>
      <c r="M30" s="23"/>
      <c r="N30" s="24" t="n">
        <f aca="false">N(K30)+N(L30)-N(M30)</f>
        <v>0</v>
      </c>
      <c r="O30" s="33" t="n">
        <f aca="false">'May 2027'!R30</f>
        <v>0</v>
      </c>
      <c r="P30" s="33" t="n">
        <f aca="false">IF(B30="",0,N(Students!H19))</f>
        <v>0</v>
      </c>
      <c r="Q30" s="23"/>
      <c r="R30" s="24" t="n">
        <f aca="false">N(O30)+N(P30)-N(Q30)</f>
        <v>0</v>
      </c>
      <c r="S30" s="33" t="n">
        <f aca="false">'May 2027'!V30</f>
        <v>0</v>
      </c>
      <c r="T30" s="33" t="n">
        <f aca="false">IF(B30="",0,N(Students!I19))</f>
        <v>0</v>
      </c>
      <c r="U30" s="23"/>
      <c r="V30" s="24" t="n">
        <f aca="false">N(S30)+N(T30)-N(U30)</f>
        <v>0</v>
      </c>
      <c r="W30" s="33" t="n">
        <f aca="false">'May 2027'!Z30</f>
        <v>0</v>
      </c>
      <c r="X30" s="33" t="n">
        <f aca="false">IF(B30="",0,N(Students!J19))</f>
        <v>0</v>
      </c>
      <c r="Y30" s="23"/>
      <c r="Z30" s="24" t="n">
        <f aca="false">N(W30)+N(X30)-N(Y30)</f>
        <v>0</v>
      </c>
      <c r="AA30" s="33" t="n">
        <f aca="false">N(E30)+N(I30)+N(M30)+N(Q30)+N(U30)+N(Y30)</f>
        <v>0</v>
      </c>
      <c r="AB30" s="24" t="n">
        <f aca="false">F30+J30+N30+R30+V30+Z30</f>
        <v>0</v>
      </c>
      <c r="AC30" s="81" t="str">
        <f aca="false">IF(B30="","",IF(AB30&lt;=0,"Clear",IF(AA30&gt;0,"Partial","Due")))</f>
        <v/>
      </c>
    </row>
    <row r="31" customFormat="false" ht="15" hidden="false" customHeight="false" outlineLevel="0" collapsed="false">
      <c r="A31" s="25" t="n">
        <v>16</v>
      </c>
      <c r="B31" s="82" t="str">
        <f aca="false">IF(Students!B20="","",Students!B20)</f>
        <v/>
      </c>
      <c r="C31" s="37" t="n">
        <f aca="false">'May 2027'!F31</f>
        <v>0</v>
      </c>
      <c r="D31" s="37" t="n">
        <f aca="false">IF(B31="",0,N(Students!E20))</f>
        <v>0</v>
      </c>
      <c r="E31" s="23"/>
      <c r="F31" s="26" t="n">
        <f aca="false">N(C31)+N(D31)-N(E31)</f>
        <v>0</v>
      </c>
      <c r="G31" s="37" t="n">
        <f aca="false">'May 2027'!J31</f>
        <v>0</v>
      </c>
      <c r="H31" s="37" t="n">
        <f aca="false">IF(B31="",0,N(Students!F20))</f>
        <v>0</v>
      </c>
      <c r="I31" s="23"/>
      <c r="J31" s="26" t="n">
        <f aca="false">N(G31)+N(H31)-N(I31)</f>
        <v>0</v>
      </c>
      <c r="K31" s="37" t="n">
        <f aca="false">'May 2027'!N31</f>
        <v>0</v>
      </c>
      <c r="L31" s="37" t="n">
        <f aca="false">IF(B31="",0,N(Students!G20))</f>
        <v>0</v>
      </c>
      <c r="M31" s="23"/>
      <c r="N31" s="26" t="n">
        <f aca="false">N(K31)+N(L31)-N(M31)</f>
        <v>0</v>
      </c>
      <c r="O31" s="37" t="n">
        <f aca="false">'May 2027'!R31</f>
        <v>0</v>
      </c>
      <c r="P31" s="37" t="n">
        <f aca="false">IF(B31="",0,N(Students!H20))</f>
        <v>0</v>
      </c>
      <c r="Q31" s="23"/>
      <c r="R31" s="26" t="n">
        <f aca="false">N(O31)+N(P31)-N(Q31)</f>
        <v>0</v>
      </c>
      <c r="S31" s="37" t="n">
        <f aca="false">'May 2027'!V31</f>
        <v>0</v>
      </c>
      <c r="T31" s="37" t="n">
        <f aca="false">IF(B31="",0,N(Students!I20))</f>
        <v>0</v>
      </c>
      <c r="U31" s="23"/>
      <c r="V31" s="26" t="n">
        <f aca="false">N(S31)+N(T31)-N(U31)</f>
        <v>0</v>
      </c>
      <c r="W31" s="37" t="n">
        <f aca="false">'May 2027'!Z31</f>
        <v>0</v>
      </c>
      <c r="X31" s="37" t="n">
        <f aca="false">IF(B31="",0,N(Students!J20))</f>
        <v>0</v>
      </c>
      <c r="Y31" s="23"/>
      <c r="Z31" s="26" t="n">
        <f aca="false">N(W31)+N(X31)-N(Y31)</f>
        <v>0</v>
      </c>
      <c r="AA31" s="37" t="n">
        <f aca="false">N(E31)+N(I31)+N(M31)+N(Q31)+N(U31)+N(Y31)</f>
        <v>0</v>
      </c>
      <c r="AB31" s="26" t="n">
        <f aca="false">F31+J31+N31+R31+V31+Z31</f>
        <v>0</v>
      </c>
      <c r="AC31" s="83" t="str">
        <f aca="false">IF(B31="","",IF(AB31&lt;=0,"Clear",IF(AA31&gt;0,"Partial","Due")))</f>
        <v/>
      </c>
    </row>
    <row r="32" customFormat="false" ht="15" hidden="false" customHeight="false" outlineLevel="0" collapsed="false">
      <c r="A32" s="21" t="n">
        <v>17</v>
      </c>
      <c r="B32" s="46" t="str">
        <f aca="false">IF(Students!B21="","",Students!B21)</f>
        <v/>
      </c>
      <c r="C32" s="33" t="n">
        <f aca="false">'May 2027'!F32</f>
        <v>0</v>
      </c>
      <c r="D32" s="33" t="n">
        <f aca="false">IF(B32="",0,N(Students!E21))</f>
        <v>0</v>
      </c>
      <c r="E32" s="23"/>
      <c r="F32" s="24" t="n">
        <f aca="false">N(C32)+N(D32)-N(E32)</f>
        <v>0</v>
      </c>
      <c r="G32" s="33" t="n">
        <f aca="false">'May 2027'!J32</f>
        <v>0</v>
      </c>
      <c r="H32" s="33" t="n">
        <f aca="false">IF(B32="",0,N(Students!F21))</f>
        <v>0</v>
      </c>
      <c r="I32" s="23"/>
      <c r="J32" s="24" t="n">
        <f aca="false">N(G32)+N(H32)-N(I32)</f>
        <v>0</v>
      </c>
      <c r="K32" s="33" t="n">
        <f aca="false">'May 2027'!N32</f>
        <v>0</v>
      </c>
      <c r="L32" s="33" t="n">
        <f aca="false">IF(B32="",0,N(Students!G21))</f>
        <v>0</v>
      </c>
      <c r="M32" s="23"/>
      <c r="N32" s="24" t="n">
        <f aca="false">N(K32)+N(L32)-N(M32)</f>
        <v>0</v>
      </c>
      <c r="O32" s="33" t="n">
        <f aca="false">'May 2027'!R32</f>
        <v>0</v>
      </c>
      <c r="P32" s="33" t="n">
        <f aca="false">IF(B32="",0,N(Students!H21))</f>
        <v>0</v>
      </c>
      <c r="Q32" s="23"/>
      <c r="R32" s="24" t="n">
        <f aca="false">N(O32)+N(P32)-N(Q32)</f>
        <v>0</v>
      </c>
      <c r="S32" s="33" t="n">
        <f aca="false">'May 2027'!V32</f>
        <v>0</v>
      </c>
      <c r="T32" s="33" t="n">
        <f aca="false">IF(B32="",0,N(Students!I21))</f>
        <v>0</v>
      </c>
      <c r="U32" s="23"/>
      <c r="V32" s="24" t="n">
        <f aca="false">N(S32)+N(T32)-N(U32)</f>
        <v>0</v>
      </c>
      <c r="W32" s="33" t="n">
        <f aca="false">'May 2027'!Z32</f>
        <v>0</v>
      </c>
      <c r="X32" s="33" t="n">
        <f aca="false">IF(B32="",0,N(Students!J21))</f>
        <v>0</v>
      </c>
      <c r="Y32" s="23"/>
      <c r="Z32" s="24" t="n">
        <f aca="false">N(W32)+N(X32)-N(Y32)</f>
        <v>0</v>
      </c>
      <c r="AA32" s="33" t="n">
        <f aca="false">N(E32)+N(I32)+N(M32)+N(Q32)+N(U32)+N(Y32)</f>
        <v>0</v>
      </c>
      <c r="AB32" s="24" t="n">
        <f aca="false">F32+J32+N32+R32+V32+Z32</f>
        <v>0</v>
      </c>
      <c r="AC32" s="81" t="str">
        <f aca="false">IF(B32="","",IF(AB32&lt;=0,"Clear",IF(AA32&gt;0,"Partial","Due")))</f>
        <v/>
      </c>
    </row>
    <row r="33" customFormat="false" ht="15" hidden="false" customHeight="false" outlineLevel="0" collapsed="false">
      <c r="A33" s="25" t="n">
        <v>18</v>
      </c>
      <c r="B33" s="82" t="str">
        <f aca="false">IF(Students!B22="","",Students!B22)</f>
        <v/>
      </c>
      <c r="C33" s="37" t="n">
        <f aca="false">'May 2027'!F33</f>
        <v>0</v>
      </c>
      <c r="D33" s="37" t="n">
        <f aca="false">IF(B33="",0,N(Students!E22))</f>
        <v>0</v>
      </c>
      <c r="E33" s="23"/>
      <c r="F33" s="26" t="n">
        <f aca="false">N(C33)+N(D33)-N(E33)</f>
        <v>0</v>
      </c>
      <c r="G33" s="37" t="n">
        <f aca="false">'May 2027'!J33</f>
        <v>0</v>
      </c>
      <c r="H33" s="37" t="n">
        <f aca="false">IF(B33="",0,N(Students!F22))</f>
        <v>0</v>
      </c>
      <c r="I33" s="23"/>
      <c r="J33" s="26" t="n">
        <f aca="false">N(G33)+N(H33)-N(I33)</f>
        <v>0</v>
      </c>
      <c r="K33" s="37" t="n">
        <f aca="false">'May 2027'!N33</f>
        <v>0</v>
      </c>
      <c r="L33" s="37" t="n">
        <f aca="false">IF(B33="",0,N(Students!G22))</f>
        <v>0</v>
      </c>
      <c r="M33" s="23"/>
      <c r="N33" s="26" t="n">
        <f aca="false">N(K33)+N(L33)-N(M33)</f>
        <v>0</v>
      </c>
      <c r="O33" s="37" t="n">
        <f aca="false">'May 2027'!R33</f>
        <v>0</v>
      </c>
      <c r="P33" s="37" t="n">
        <f aca="false">IF(B33="",0,N(Students!H22))</f>
        <v>0</v>
      </c>
      <c r="Q33" s="23"/>
      <c r="R33" s="26" t="n">
        <f aca="false">N(O33)+N(P33)-N(Q33)</f>
        <v>0</v>
      </c>
      <c r="S33" s="37" t="n">
        <f aca="false">'May 2027'!V33</f>
        <v>0</v>
      </c>
      <c r="T33" s="37" t="n">
        <f aca="false">IF(B33="",0,N(Students!I22))</f>
        <v>0</v>
      </c>
      <c r="U33" s="23"/>
      <c r="V33" s="26" t="n">
        <f aca="false">N(S33)+N(T33)-N(U33)</f>
        <v>0</v>
      </c>
      <c r="W33" s="37" t="n">
        <f aca="false">'May 2027'!Z33</f>
        <v>0</v>
      </c>
      <c r="X33" s="37" t="n">
        <f aca="false">IF(B33="",0,N(Students!J22))</f>
        <v>0</v>
      </c>
      <c r="Y33" s="23"/>
      <c r="Z33" s="26" t="n">
        <f aca="false">N(W33)+N(X33)-N(Y33)</f>
        <v>0</v>
      </c>
      <c r="AA33" s="37" t="n">
        <f aca="false">N(E33)+N(I33)+N(M33)+N(Q33)+N(U33)+N(Y33)</f>
        <v>0</v>
      </c>
      <c r="AB33" s="26" t="n">
        <f aca="false">F33+J33+N33+R33+V33+Z33</f>
        <v>0</v>
      </c>
      <c r="AC33" s="83" t="str">
        <f aca="false">IF(B33="","",IF(AB33&lt;=0,"Clear",IF(AA33&gt;0,"Partial","Due")))</f>
        <v/>
      </c>
    </row>
    <row r="34" customFormat="false" ht="15" hidden="false" customHeight="false" outlineLevel="0" collapsed="false">
      <c r="A34" s="21" t="n">
        <v>19</v>
      </c>
      <c r="B34" s="46" t="str">
        <f aca="false">IF(Students!B23="","",Students!B23)</f>
        <v/>
      </c>
      <c r="C34" s="33" t="n">
        <f aca="false">'May 2027'!F34</f>
        <v>0</v>
      </c>
      <c r="D34" s="33" t="n">
        <f aca="false">IF(B34="",0,N(Students!E23))</f>
        <v>0</v>
      </c>
      <c r="E34" s="23"/>
      <c r="F34" s="24" t="n">
        <f aca="false">N(C34)+N(D34)-N(E34)</f>
        <v>0</v>
      </c>
      <c r="G34" s="33" t="n">
        <f aca="false">'May 2027'!J34</f>
        <v>0</v>
      </c>
      <c r="H34" s="33" t="n">
        <f aca="false">IF(B34="",0,N(Students!F23))</f>
        <v>0</v>
      </c>
      <c r="I34" s="23"/>
      <c r="J34" s="24" t="n">
        <f aca="false">N(G34)+N(H34)-N(I34)</f>
        <v>0</v>
      </c>
      <c r="K34" s="33" t="n">
        <f aca="false">'May 2027'!N34</f>
        <v>0</v>
      </c>
      <c r="L34" s="33" t="n">
        <f aca="false">IF(B34="",0,N(Students!G23))</f>
        <v>0</v>
      </c>
      <c r="M34" s="23"/>
      <c r="N34" s="24" t="n">
        <f aca="false">N(K34)+N(L34)-N(M34)</f>
        <v>0</v>
      </c>
      <c r="O34" s="33" t="n">
        <f aca="false">'May 2027'!R34</f>
        <v>0</v>
      </c>
      <c r="P34" s="33" t="n">
        <f aca="false">IF(B34="",0,N(Students!H23))</f>
        <v>0</v>
      </c>
      <c r="Q34" s="23"/>
      <c r="R34" s="24" t="n">
        <f aca="false">N(O34)+N(P34)-N(Q34)</f>
        <v>0</v>
      </c>
      <c r="S34" s="33" t="n">
        <f aca="false">'May 2027'!V34</f>
        <v>0</v>
      </c>
      <c r="T34" s="33" t="n">
        <f aca="false">IF(B34="",0,N(Students!I23))</f>
        <v>0</v>
      </c>
      <c r="U34" s="23"/>
      <c r="V34" s="24" t="n">
        <f aca="false">N(S34)+N(T34)-N(U34)</f>
        <v>0</v>
      </c>
      <c r="W34" s="33" t="n">
        <f aca="false">'May 2027'!Z34</f>
        <v>0</v>
      </c>
      <c r="X34" s="33" t="n">
        <f aca="false">IF(B34="",0,N(Students!J23))</f>
        <v>0</v>
      </c>
      <c r="Y34" s="23"/>
      <c r="Z34" s="24" t="n">
        <f aca="false">N(W34)+N(X34)-N(Y34)</f>
        <v>0</v>
      </c>
      <c r="AA34" s="33" t="n">
        <f aca="false">N(E34)+N(I34)+N(M34)+N(Q34)+N(U34)+N(Y34)</f>
        <v>0</v>
      </c>
      <c r="AB34" s="24" t="n">
        <f aca="false">F34+J34+N34+R34+V34+Z34</f>
        <v>0</v>
      </c>
      <c r="AC34" s="81" t="str">
        <f aca="false">IF(B34="","",IF(AB34&lt;=0,"Clear",IF(AA34&gt;0,"Partial","Due")))</f>
        <v/>
      </c>
    </row>
    <row r="35" customFormat="false" ht="15" hidden="false" customHeight="false" outlineLevel="0" collapsed="false">
      <c r="A35" s="25" t="n">
        <v>20</v>
      </c>
      <c r="B35" s="82" t="str">
        <f aca="false">IF(Students!B24="","",Students!B24)</f>
        <v/>
      </c>
      <c r="C35" s="37" t="n">
        <f aca="false">'May 2027'!F35</f>
        <v>0</v>
      </c>
      <c r="D35" s="37" t="n">
        <f aca="false">IF(B35="",0,N(Students!E24))</f>
        <v>0</v>
      </c>
      <c r="E35" s="23"/>
      <c r="F35" s="26" t="n">
        <f aca="false">N(C35)+N(D35)-N(E35)</f>
        <v>0</v>
      </c>
      <c r="G35" s="37" t="n">
        <f aca="false">'May 2027'!J35</f>
        <v>0</v>
      </c>
      <c r="H35" s="37" t="n">
        <f aca="false">IF(B35="",0,N(Students!F24))</f>
        <v>0</v>
      </c>
      <c r="I35" s="23"/>
      <c r="J35" s="26" t="n">
        <f aca="false">N(G35)+N(H35)-N(I35)</f>
        <v>0</v>
      </c>
      <c r="K35" s="37" t="n">
        <f aca="false">'May 2027'!N35</f>
        <v>0</v>
      </c>
      <c r="L35" s="37" t="n">
        <f aca="false">IF(B35="",0,N(Students!G24))</f>
        <v>0</v>
      </c>
      <c r="M35" s="23"/>
      <c r="N35" s="26" t="n">
        <f aca="false">N(K35)+N(L35)-N(M35)</f>
        <v>0</v>
      </c>
      <c r="O35" s="37" t="n">
        <f aca="false">'May 2027'!R35</f>
        <v>0</v>
      </c>
      <c r="P35" s="37" t="n">
        <f aca="false">IF(B35="",0,N(Students!H24))</f>
        <v>0</v>
      </c>
      <c r="Q35" s="23"/>
      <c r="R35" s="26" t="n">
        <f aca="false">N(O35)+N(P35)-N(Q35)</f>
        <v>0</v>
      </c>
      <c r="S35" s="37" t="n">
        <f aca="false">'May 2027'!V35</f>
        <v>0</v>
      </c>
      <c r="T35" s="37" t="n">
        <f aca="false">IF(B35="",0,N(Students!I24))</f>
        <v>0</v>
      </c>
      <c r="U35" s="23"/>
      <c r="V35" s="26" t="n">
        <f aca="false">N(S35)+N(T35)-N(U35)</f>
        <v>0</v>
      </c>
      <c r="W35" s="37" t="n">
        <f aca="false">'May 2027'!Z35</f>
        <v>0</v>
      </c>
      <c r="X35" s="37" t="n">
        <f aca="false">IF(B35="",0,N(Students!J24))</f>
        <v>0</v>
      </c>
      <c r="Y35" s="23"/>
      <c r="Z35" s="26" t="n">
        <f aca="false">N(W35)+N(X35)-N(Y35)</f>
        <v>0</v>
      </c>
      <c r="AA35" s="37" t="n">
        <f aca="false">N(E35)+N(I35)+N(M35)+N(Q35)+N(U35)+N(Y35)</f>
        <v>0</v>
      </c>
      <c r="AB35" s="26" t="n">
        <f aca="false">F35+J35+N35+R35+V35+Z35</f>
        <v>0</v>
      </c>
      <c r="AC35" s="83" t="str">
        <f aca="false">IF(B35="","",IF(AB35&lt;=0,"Clear",IF(AA35&gt;0,"Partial","Due")))</f>
        <v/>
      </c>
    </row>
    <row r="36" customFormat="false" ht="15" hidden="false" customHeight="false" outlineLevel="0" collapsed="false">
      <c r="A36" s="21" t="n">
        <v>21</v>
      </c>
      <c r="B36" s="46" t="str">
        <f aca="false">IF(Students!B25="","",Students!B25)</f>
        <v/>
      </c>
      <c r="C36" s="33" t="n">
        <f aca="false">'May 2027'!F36</f>
        <v>0</v>
      </c>
      <c r="D36" s="33" t="n">
        <f aca="false">IF(B36="",0,N(Students!E25))</f>
        <v>0</v>
      </c>
      <c r="E36" s="23"/>
      <c r="F36" s="24" t="n">
        <f aca="false">N(C36)+N(D36)-N(E36)</f>
        <v>0</v>
      </c>
      <c r="G36" s="33" t="n">
        <f aca="false">'May 2027'!J36</f>
        <v>0</v>
      </c>
      <c r="H36" s="33" t="n">
        <f aca="false">IF(B36="",0,N(Students!F25))</f>
        <v>0</v>
      </c>
      <c r="I36" s="23"/>
      <c r="J36" s="24" t="n">
        <f aca="false">N(G36)+N(H36)-N(I36)</f>
        <v>0</v>
      </c>
      <c r="K36" s="33" t="n">
        <f aca="false">'May 2027'!N36</f>
        <v>0</v>
      </c>
      <c r="L36" s="33" t="n">
        <f aca="false">IF(B36="",0,N(Students!G25))</f>
        <v>0</v>
      </c>
      <c r="M36" s="23"/>
      <c r="N36" s="24" t="n">
        <f aca="false">N(K36)+N(L36)-N(M36)</f>
        <v>0</v>
      </c>
      <c r="O36" s="33" t="n">
        <f aca="false">'May 2027'!R36</f>
        <v>0</v>
      </c>
      <c r="P36" s="33" t="n">
        <f aca="false">IF(B36="",0,N(Students!H25))</f>
        <v>0</v>
      </c>
      <c r="Q36" s="23"/>
      <c r="R36" s="24" t="n">
        <f aca="false">N(O36)+N(P36)-N(Q36)</f>
        <v>0</v>
      </c>
      <c r="S36" s="33" t="n">
        <f aca="false">'May 2027'!V36</f>
        <v>0</v>
      </c>
      <c r="T36" s="33" t="n">
        <f aca="false">IF(B36="",0,N(Students!I25))</f>
        <v>0</v>
      </c>
      <c r="U36" s="23"/>
      <c r="V36" s="24" t="n">
        <f aca="false">N(S36)+N(T36)-N(U36)</f>
        <v>0</v>
      </c>
      <c r="W36" s="33" t="n">
        <f aca="false">'May 2027'!Z36</f>
        <v>0</v>
      </c>
      <c r="X36" s="33" t="n">
        <f aca="false">IF(B36="",0,N(Students!J25))</f>
        <v>0</v>
      </c>
      <c r="Y36" s="23"/>
      <c r="Z36" s="24" t="n">
        <f aca="false">N(W36)+N(X36)-N(Y36)</f>
        <v>0</v>
      </c>
      <c r="AA36" s="33" t="n">
        <f aca="false">N(E36)+N(I36)+N(M36)+N(Q36)+N(U36)+N(Y36)</f>
        <v>0</v>
      </c>
      <c r="AB36" s="24" t="n">
        <f aca="false">F36+J36+N36+R36+V36+Z36</f>
        <v>0</v>
      </c>
      <c r="AC36" s="81" t="str">
        <f aca="false">IF(B36="","",IF(AB36&lt;=0,"Clear",IF(AA36&gt;0,"Partial","Due")))</f>
        <v/>
      </c>
    </row>
    <row r="37" customFormat="false" ht="15" hidden="false" customHeight="false" outlineLevel="0" collapsed="false">
      <c r="A37" s="25" t="n">
        <v>22</v>
      </c>
      <c r="B37" s="82" t="str">
        <f aca="false">IF(Students!B26="","",Students!B26)</f>
        <v/>
      </c>
      <c r="C37" s="37" t="n">
        <f aca="false">'May 2027'!F37</f>
        <v>0</v>
      </c>
      <c r="D37" s="37" t="n">
        <f aca="false">IF(B37="",0,N(Students!E26))</f>
        <v>0</v>
      </c>
      <c r="E37" s="23"/>
      <c r="F37" s="26" t="n">
        <f aca="false">N(C37)+N(D37)-N(E37)</f>
        <v>0</v>
      </c>
      <c r="G37" s="37" t="n">
        <f aca="false">'May 2027'!J37</f>
        <v>0</v>
      </c>
      <c r="H37" s="37" t="n">
        <f aca="false">IF(B37="",0,N(Students!F26))</f>
        <v>0</v>
      </c>
      <c r="I37" s="23"/>
      <c r="J37" s="26" t="n">
        <f aca="false">N(G37)+N(H37)-N(I37)</f>
        <v>0</v>
      </c>
      <c r="K37" s="37" t="n">
        <f aca="false">'May 2027'!N37</f>
        <v>0</v>
      </c>
      <c r="L37" s="37" t="n">
        <f aca="false">IF(B37="",0,N(Students!G26))</f>
        <v>0</v>
      </c>
      <c r="M37" s="23"/>
      <c r="N37" s="26" t="n">
        <f aca="false">N(K37)+N(L37)-N(M37)</f>
        <v>0</v>
      </c>
      <c r="O37" s="37" t="n">
        <f aca="false">'May 2027'!R37</f>
        <v>0</v>
      </c>
      <c r="P37" s="37" t="n">
        <f aca="false">IF(B37="",0,N(Students!H26))</f>
        <v>0</v>
      </c>
      <c r="Q37" s="23"/>
      <c r="R37" s="26" t="n">
        <f aca="false">N(O37)+N(P37)-N(Q37)</f>
        <v>0</v>
      </c>
      <c r="S37" s="37" t="n">
        <f aca="false">'May 2027'!V37</f>
        <v>0</v>
      </c>
      <c r="T37" s="37" t="n">
        <f aca="false">IF(B37="",0,N(Students!I26))</f>
        <v>0</v>
      </c>
      <c r="U37" s="23"/>
      <c r="V37" s="26" t="n">
        <f aca="false">N(S37)+N(T37)-N(U37)</f>
        <v>0</v>
      </c>
      <c r="W37" s="37" t="n">
        <f aca="false">'May 2027'!Z37</f>
        <v>0</v>
      </c>
      <c r="X37" s="37" t="n">
        <f aca="false">IF(B37="",0,N(Students!J26))</f>
        <v>0</v>
      </c>
      <c r="Y37" s="23"/>
      <c r="Z37" s="26" t="n">
        <f aca="false">N(W37)+N(X37)-N(Y37)</f>
        <v>0</v>
      </c>
      <c r="AA37" s="37" t="n">
        <f aca="false">N(E37)+N(I37)+N(M37)+N(Q37)+N(U37)+N(Y37)</f>
        <v>0</v>
      </c>
      <c r="AB37" s="26" t="n">
        <f aca="false">F37+J37+N37+R37+V37+Z37</f>
        <v>0</v>
      </c>
      <c r="AC37" s="83" t="str">
        <f aca="false">IF(B37="","",IF(AB37&lt;=0,"Clear",IF(AA37&gt;0,"Partial","Due")))</f>
        <v/>
      </c>
    </row>
    <row r="38" customFormat="false" ht="15" hidden="false" customHeight="false" outlineLevel="0" collapsed="false">
      <c r="A38" s="21" t="n">
        <v>23</v>
      </c>
      <c r="B38" s="46" t="str">
        <f aca="false">IF(Students!B27="","",Students!B27)</f>
        <v/>
      </c>
      <c r="C38" s="33" t="n">
        <f aca="false">'May 2027'!F38</f>
        <v>0</v>
      </c>
      <c r="D38" s="33" t="n">
        <f aca="false">IF(B38="",0,N(Students!E27))</f>
        <v>0</v>
      </c>
      <c r="E38" s="23"/>
      <c r="F38" s="24" t="n">
        <f aca="false">N(C38)+N(D38)-N(E38)</f>
        <v>0</v>
      </c>
      <c r="G38" s="33" t="n">
        <f aca="false">'May 2027'!J38</f>
        <v>0</v>
      </c>
      <c r="H38" s="33" t="n">
        <f aca="false">IF(B38="",0,N(Students!F27))</f>
        <v>0</v>
      </c>
      <c r="I38" s="23"/>
      <c r="J38" s="24" t="n">
        <f aca="false">N(G38)+N(H38)-N(I38)</f>
        <v>0</v>
      </c>
      <c r="K38" s="33" t="n">
        <f aca="false">'May 2027'!N38</f>
        <v>0</v>
      </c>
      <c r="L38" s="33" t="n">
        <f aca="false">IF(B38="",0,N(Students!G27))</f>
        <v>0</v>
      </c>
      <c r="M38" s="23"/>
      <c r="N38" s="24" t="n">
        <f aca="false">N(K38)+N(L38)-N(M38)</f>
        <v>0</v>
      </c>
      <c r="O38" s="33" t="n">
        <f aca="false">'May 2027'!R38</f>
        <v>0</v>
      </c>
      <c r="P38" s="33" t="n">
        <f aca="false">IF(B38="",0,N(Students!H27))</f>
        <v>0</v>
      </c>
      <c r="Q38" s="23"/>
      <c r="R38" s="24" t="n">
        <f aca="false">N(O38)+N(P38)-N(Q38)</f>
        <v>0</v>
      </c>
      <c r="S38" s="33" t="n">
        <f aca="false">'May 2027'!V38</f>
        <v>0</v>
      </c>
      <c r="T38" s="33" t="n">
        <f aca="false">IF(B38="",0,N(Students!I27))</f>
        <v>0</v>
      </c>
      <c r="U38" s="23"/>
      <c r="V38" s="24" t="n">
        <f aca="false">N(S38)+N(T38)-N(U38)</f>
        <v>0</v>
      </c>
      <c r="W38" s="33" t="n">
        <f aca="false">'May 2027'!Z38</f>
        <v>0</v>
      </c>
      <c r="X38" s="33" t="n">
        <f aca="false">IF(B38="",0,N(Students!J27))</f>
        <v>0</v>
      </c>
      <c r="Y38" s="23"/>
      <c r="Z38" s="24" t="n">
        <f aca="false">N(W38)+N(X38)-N(Y38)</f>
        <v>0</v>
      </c>
      <c r="AA38" s="33" t="n">
        <f aca="false">N(E38)+N(I38)+N(M38)+N(Q38)+N(U38)+N(Y38)</f>
        <v>0</v>
      </c>
      <c r="AB38" s="24" t="n">
        <f aca="false">F38+J38+N38+R38+V38+Z38</f>
        <v>0</v>
      </c>
      <c r="AC38" s="81" t="str">
        <f aca="false">IF(B38="","",IF(AB38&lt;=0,"Clear",IF(AA38&gt;0,"Partial","Due")))</f>
        <v/>
      </c>
    </row>
    <row r="39" customFormat="false" ht="15" hidden="false" customHeight="false" outlineLevel="0" collapsed="false">
      <c r="A39" s="25" t="n">
        <v>24</v>
      </c>
      <c r="B39" s="82" t="str">
        <f aca="false">IF(Students!B28="","",Students!B28)</f>
        <v/>
      </c>
      <c r="C39" s="37" t="n">
        <f aca="false">'May 2027'!F39</f>
        <v>0</v>
      </c>
      <c r="D39" s="37" t="n">
        <f aca="false">IF(B39="",0,N(Students!E28))</f>
        <v>0</v>
      </c>
      <c r="E39" s="23"/>
      <c r="F39" s="26" t="n">
        <f aca="false">N(C39)+N(D39)-N(E39)</f>
        <v>0</v>
      </c>
      <c r="G39" s="37" t="n">
        <f aca="false">'May 2027'!J39</f>
        <v>0</v>
      </c>
      <c r="H39" s="37" t="n">
        <f aca="false">IF(B39="",0,N(Students!F28))</f>
        <v>0</v>
      </c>
      <c r="I39" s="23"/>
      <c r="J39" s="26" t="n">
        <f aca="false">N(G39)+N(H39)-N(I39)</f>
        <v>0</v>
      </c>
      <c r="K39" s="37" t="n">
        <f aca="false">'May 2027'!N39</f>
        <v>0</v>
      </c>
      <c r="L39" s="37" t="n">
        <f aca="false">IF(B39="",0,N(Students!G28))</f>
        <v>0</v>
      </c>
      <c r="M39" s="23"/>
      <c r="N39" s="26" t="n">
        <f aca="false">N(K39)+N(L39)-N(M39)</f>
        <v>0</v>
      </c>
      <c r="O39" s="37" t="n">
        <f aca="false">'May 2027'!R39</f>
        <v>0</v>
      </c>
      <c r="P39" s="37" t="n">
        <f aca="false">IF(B39="",0,N(Students!H28))</f>
        <v>0</v>
      </c>
      <c r="Q39" s="23"/>
      <c r="R39" s="26" t="n">
        <f aca="false">N(O39)+N(P39)-N(Q39)</f>
        <v>0</v>
      </c>
      <c r="S39" s="37" t="n">
        <f aca="false">'May 2027'!V39</f>
        <v>0</v>
      </c>
      <c r="T39" s="37" t="n">
        <f aca="false">IF(B39="",0,N(Students!I28))</f>
        <v>0</v>
      </c>
      <c r="U39" s="23"/>
      <c r="V39" s="26" t="n">
        <f aca="false">N(S39)+N(T39)-N(U39)</f>
        <v>0</v>
      </c>
      <c r="W39" s="37" t="n">
        <f aca="false">'May 2027'!Z39</f>
        <v>0</v>
      </c>
      <c r="X39" s="37" t="n">
        <f aca="false">IF(B39="",0,N(Students!J28))</f>
        <v>0</v>
      </c>
      <c r="Y39" s="23"/>
      <c r="Z39" s="26" t="n">
        <f aca="false">N(W39)+N(X39)-N(Y39)</f>
        <v>0</v>
      </c>
      <c r="AA39" s="37" t="n">
        <f aca="false">N(E39)+N(I39)+N(M39)+N(Q39)+N(U39)+N(Y39)</f>
        <v>0</v>
      </c>
      <c r="AB39" s="26" t="n">
        <f aca="false">F39+J39+N39+R39+V39+Z39</f>
        <v>0</v>
      </c>
      <c r="AC39" s="83" t="str">
        <f aca="false">IF(B39="","",IF(AB39&lt;=0,"Clear",IF(AA39&gt;0,"Partial","Due")))</f>
        <v/>
      </c>
    </row>
    <row r="40" customFormat="false" ht="15" hidden="false" customHeight="false" outlineLevel="0" collapsed="false">
      <c r="A40" s="21" t="n">
        <v>25</v>
      </c>
      <c r="B40" s="46" t="str">
        <f aca="false">IF(Students!B29="","",Students!B29)</f>
        <v/>
      </c>
      <c r="C40" s="33" t="n">
        <f aca="false">'May 2027'!F40</f>
        <v>0</v>
      </c>
      <c r="D40" s="33" t="n">
        <f aca="false">IF(B40="",0,N(Students!E29))</f>
        <v>0</v>
      </c>
      <c r="E40" s="23"/>
      <c r="F40" s="24" t="n">
        <f aca="false">N(C40)+N(D40)-N(E40)</f>
        <v>0</v>
      </c>
      <c r="G40" s="33" t="n">
        <f aca="false">'May 2027'!J40</f>
        <v>0</v>
      </c>
      <c r="H40" s="33" t="n">
        <f aca="false">IF(B40="",0,N(Students!F29))</f>
        <v>0</v>
      </c>
      <c r="I40" s="23"/>
      <c r="J40" s="24" t="n">
        <f aca="false">N(G40)+N(H40)-N(I40)</f>
        <v>0</v>
      </c>
      <c r="K40" s="33" t="n">
        <f aca="false">'May 2027'!N40</f>
        <v>0</v>
      </c>
      <c r="L40" s="33" t="n">
        <f aca="false">IF(B40="",0,N(Students!G29))</f>
        <v>0</v>
      </c>
      <c r="M40" s="23"/>
      <c r="N40" s="24" t="n">
        <f aca="false">N(K40)+N(L40)-N(M40)</f>
        <v>0</v>
      </c>
      <c r="O40" s="33" t="n">
        <f aca="false">'May 2027'!R40</f>
        <v>0</v>
      </c>
      <c r="P40" s="33" t="n">
        <f aca="false">IF(B40="",0,N(Students!H29))</f>
        <v>0</v>
      </c>
      <c r="Q40" s="23"/>
      <c r="R40" s="24" t="n">
        <f aca="false">N(O40)+N(P40)-N(Q40)</f>
        <v>0</v>
      </c>
      <c r="S40" s="33" t="n">
        <f aca="false">'May 2027'!V40</f>
        <v>0</v>
      </c>
      <c r="T40" s="33" t="n">
        <f aca="false">IF(B40="",0,N(Students!I29))</f>
        <v>0</v>
      </c>
      <c r="U40" s="23"/>
      <c r="V40" s="24" t="n">
        <f aca="false">N(S40)+N(T40)-N(U40)</f>
        <v>0</v>
      </c>
      <c r="W40" s="33" t="n">
        <f aca="false">'May 2027'!Z40</f>
        <v>0</v>
      </c>
      <c r="X40" s="33" t="n">
        <f aca="false">IF(B40="",0,N(Students!J29))</f>
        <v>0</v>
      </c>
      <c r="Y40" s="23"/>
      <c r="Z40" s="24" t="n">
        <f aca="false">N(W40)+N(X40)-N(Y40)</f>
        <v>0</v>
      </c>
      <c r="AA40" s="33" t="n">
        <f aca="false">N(E40)+N(I40)+N(M40)+N(Q40)+N(U40)+N(Y40)</f>
        <v>0</v>
      </c>
      <c r="AB40" s="24" t="n">
        <f aca="false">F40+J40+N40+R40+V40+Z40</f>
        <v>0</v>
      </c>
      <c r="AC40" s="81" t="str">
        <f aca="false">IF(B40="","",IF(AB40&lt;=0,"Clear",IF(AA40&gt;0,"Partial","Due")))</f>
        <v/>
      </c>
    </row>
    <row r="41" customFormat="false" ht="15" hidden="false" customHeight="false" outlineLevel="0" collapsed="false">
      <c r="A41" s="25" t="n">
        <v>26</v>
      </c>
      <c r="B41" s="82" t="str">
        <f aca="false">IF(Students!B30="","",Students!B30)</f>
        <v/>
      </c>
      <c r="C41" s="37" t="n">
        <f aca="false">'May 2027'!F41</f>
        <v>0</v>
      </c>
      <c r="D41" s="37" t="n">
        <f aca="false">IF(B41="",0,N(Students!E30))</f>
        <v>0</v>
      </c>
      <c r="E41" s="23"/>
      <c r="F41" s="26" t="n">
        <f aca="false">N(C41)+N(D41)-N(E41)</f>
        <v>0</v>
      </c>
      <c r="G41" s="37" t="n">
        <f aca="false">'May 2027'!J41</f>
        <v>0</v>
      </c>
      <c r="H41" s="37" t="n">
        <f aca="false">IF(B41="",0,N(Students!F30))</f>
        <v>0</v>
      </c>
      <c r="I41" s="23"/>
      <c r="J41" s="26" t="n">
        <f aca="false">N(G41)+N(H41)-N(I41)</f>
        <v>0</v>
      </c>
      <c r="K41" s="37" t="n">
        <f aca="false">'May 2027'!N41</f>
        <v>0</v>
      </c>
      <c r="L41" s="37" t="n">
        <f aca="false">IF(B41="",0,N(Students!G30))</f>
        <v>0</v>
      </c>
      <c r="M41" s="23"/>
      <c r="N41" s="26" t="n">
        <f aca="false">N(K41)+N(L41)-N(M41)</f>
        <v>0</v>
      </c>
      <c r="O41" s="37" t="n">
        <f aca="false">'May 2027'!R41</f>
        <v>0</v>
      </c>
      <c r="P41" s="37" t="n">
        <f aca="false">IF(B41="",0,N(Students!H30))</f>
        <v>0</v>
      </c>
      <c r="Q41" s="23"/>
      <c r="R41" s="26" t="n">
        <f aca="false">N(O41)+N(P41)-N(Q41)</f>
        <v>0</v>
      </c>
      <c r="S41" s="37" t="n">
        <f aca="false">'May 2027'!V41</f>
        <v>0</v>
      </c>
      <c r="T41" s="37" t="n">
        <f aca="false">IF(B41="",0,N(Students!I30))</f>
        <v>0</v>
      </c>
      <c r="U41" s="23"/>
      <c r="V41" s="26" t="n">
        <f aca="false">N(S41)+N(T41)-N(U41)</f>
        <v>0</v>
      </c>
      <c r="W41" s="37" t="n">
        <f aca="false">'May 2027'!Z41</f>
        <v>0</v>
      </c>
      <c r="X41" s="37" t="n">
        <f aca="false">IF(B41="",0,N(Students!J30))</f>
        <v>0</v>
      </c>
      <c r="Y41" s="23"/>
      <c r="Z41" s="26" t="n">
        <f aca="false">N(W41)+N(X41)-N(Y41)</f>
        <v>0</v>
      </c>
      <c r="AA41" s="37" t="n">
        <f aca="false">N(E41)+N(I41)+N(M41)+N(Q41)+N(U41)+N(Y41)</f>
        <v>0</v>
      </c>
      <c r="AB41" s="26" t="n">
        <f aca="false">F41+J41+N41+R41+V41+Z41</f>
        <v>0</v>
      </c>
      <c r="AC41" s="83" t="str">
        <f aca="false">IF(B41="","",IF(AB41&lt;=0,"Clear",IF(AA41&gt;0,"Partial","Due")))</f>
        <v/>
      </c>
    </row>
    <row r="42" customFormat="false" ht="15" hidden="false" customHeight="false" outlineLevel="0" collapsed="false">
      <c r="A42" s="21" t="n">
        <v>27</v>
      </c>
      <c r="B42" s="46" t="str">
        <f aca="false">IF(Students!B31="","",Students!B31)</f>
        <v/>
      </c>
      <c r="C42" s="33" t="n">
        <f aca="false">'May 2027'!F42</f>
        <v>0</v>
      </c>
      <c r="D42" s="33" t="n">
        <f aca="false">IF(B42="",0,N(Students!E31))</f>
        <v>0</v>
      </c>
      <c r="E42" s="23"/>
      <c r="F42" s="24" t="n">
        <f aca="false">N(C42)+N(D42)-N(E42)</f>
        <v>0</v>
      </c>
      <c r="G42" s="33" t="n">
        <f aca="false">'May 2027'!J42</f>
        <v>0</v>
      </c>
      <c r="H42" s="33" t="n">
        <f aca="false">IF(B42="",0,N(Students!F31))</f>
        <v>0</v>
      </c>
      <c r="I42" s="23"/>
      <c r="J42" s="24" t="n">
        <f aca="false">N(G42)+N(H42)-N(I42)</f>
        <v>0</v>
      </c>
      <c r="K42" s="33" t="n">
        <f aca="false">'May 2027'!N42</f>
        <v>0</v>
      </c>
      <c r="L42" s="33" t="n">
        <f aca="false">IF(B42="",0,N(Students!G31))</f>
        <v>0</v>
      </c>
      <c r="M42" s="23"/>
      <c r="N42" s="24" t="n">
        <f aca="false">N(K42)+N(L42)-N(M42)</f>
        <v>0</v>
      </c>
      <c r="O42" s="33" t="n">
        <f aca="false">'May 2027'!R42</f>
        <v>0</v>
      </c>
      <c r="P42" s="33" t="n">
        <f aca="false">IF(B42="",0,N(Students!H31))</f>
        <v>0</v>
      </c>
      <c r="Q42" s="23"/>
      <c r="R42" s="24" t="n">
        <f aca="false">N(O42)+N(P42)-N(Q42)</f>
        <v>0</v>
      </c>
      <c r="S42" s="33" t="n">
        <f aca="false">'May 2027'!V42</f>
        <v>0</v>
      </c>
      <c r="T42" s="33" t="n">
        <f aca="false">IF(B42="",0,N(Students!I31))</f>
        <v>0</v>
      </c>
      <c r="U42" s="23"/>
      <c r="V42" s="24" t="n">
        <f aca="false">N(S42)+N(T42)-N(U42)</f>
        <v>0</v>
      </c>
      <c r="W42" s="33" t="n">
        <f aca="false">'May 2027'!Z42</f>
        <v>0</v>
      </c>
      <c r="X42" s="33" t="n">
        <f aca="false">IF(B42="",0,N(Students!J31))</f>
        <v>0</v>
      </c>
      <c r="Y42" s="23"/>
      <c r="Z42" s="24" t="n">
        <f aca="false">N(W42)+N(X42)-N(Y42)</f>
        <v>0</v>
      </c>
      <c r="AA42" s="33" t="n">
        <f aca="false">N(E42)+N(I42)+N(M42)+N(Q42)+N(U42)+N(Y42)</f>
        <v>0</v>
      </c>
      <c r="AB42" s="24" t="n">
        <f aca="false">F42+J42+N42+R42+V42+Z42</f>
        <v>0</v>
      </c>
      <c r="AC42" s="81" t="str">
        <f aca="false">IF(B42="","",IF(AB42&lt;=0,"Clear",IF(AA42&gt;0,"Partial","Due")))</f>
        <v/>
      </c>
    </row>
    <row r="43" customFormat="false" ht="15" hidden="false" customHeight="false" outlineLevel="0" collapsed="false">
      <c r="A43" s="25" t="n">
        <v>28</v>
      </c>
      <c r="B43" s="82" t="str">
        <f aca="false">IF(Students!B32="","",Students!B32)</f>
        <v/>
      </c>
      <c r="C43" s="37" t="n">
        <f aca="false">'May 2027'!F43</f>
        <v>0</v>
      </c>
      <c r="D43" s="37" t="n">
        <f aca="false">IF(B43="",0,N(Students!E32))</f>
        <v>0</v>
      </c>
      <c r="E43" s="23"/>
      <c r="F43" s="26" t="n">
        <f aca="false">N(C43)+N(D43)-N(E43)</f>
        <v>0</v>
      </c>
      <c r="G43" s="37" t="n">
        <f aca="false">'May 2027'!J43</f>
        <v>0</v>
      </c>
      <c r="H43" s="37" t="n">
        <f aca="false">IF(B43="",0,N(Students!F32))</f>
        <v>0</v>
      </c>
      <c r="I43" s="23"/>
      <c r="J43" s="26" t="n">
        <f aca="false">N(G43)+N(H43)-N(I43)</f>
        <v>0</v>
      </c>
      <c r="K43" s="37" t="n">
        <f aca="false">'May 2027'!N43</f>
        <v>0</v>
      </c>
      <c r="L43" s="37" t="n">
        <f aca="false">IF(B43="",0,N(Students!G32))</f>
        <v>0</v>
      </c>
      <c r="M43" s="23"/>
      <c r="N43" s="26" t="n">
        <f aca="false">N(K43)+N(L43)-N(M43)</f>
        <v>0</v>
      </c>
      <c r="O43" s="37" t="n">
        <f aca="false">'May 2027'!R43</f>
        <v>0</v>
      </c>
      <c r="P43" s="37" t="n">
        <f aca="false">IF(B43="",0,N(Students!H32))</f>
        <v>0</v>
      </c>
      <c r="Q43" s="23"/>
      <c r="R43" s="26" t="n">
        <f aca="false">N(O43)+N(P43)-N(Q43)</f>
        <v>0</v>
      </c>
      <c r="S43" s="37" t="n">
        <f aca="false">'May 2027'!V43</f>
        <v>0</v>
      </c>
      <c r="T43" s="37" t="n">
        <f aca="false">IF(B43="",0,N(Students!I32))</f>
        <v>0</v>
      </c>
      <c r="U43" s="23"/>
      <c r="V43" s="26" t="n">
        <f aca="false">N(S43)+N(T43)-N(U43)</f>
        <v>0</v>
      </c>
      <c r="W43" s="37" t="n">
        <f aca="false">'May 2027'!Z43</f>
        <v>0</v>
      </c>
      <c r="X43" s="37" t="n">
        <f aca="false">IF(B43="",0,N(Students!J32))</f>
        <v>0</v>
      </c>
      <c r="Y43" s="23"/>
      <c r="Z43" s="26" t="n">
        <f aca="false">N(W43)+N(X43)-N(Y43)</f>
        <v>0</v>
      </c>
      <c r="AA43" s="37" t="n">
        <f aca="false">N(E43)+N(I43)+N(M43)+N(Q43)+N(U43)+N(Y43)</f>
        <v>0</v>
      </c>
      <c r="AB43" s="26" t="n">
        <f aca="false">F43+J43+N43+R43+V43+Z43</f>
        <v>0</v>
      </c>
      <c r="AC43" s="83" t="str">
        <f aca="false">IF(B43="","",IF(AB43&lt;=0,"Clear",IF(AA43&gt;0,"Partial","Due")))</f>
        <v/>
      </c>
    </row>
    <row r="44" customFormat="false" ht="15" hidden="false" customHeight="false" outlineLevel="0" collapsed="false">
      <c r="A44" s="21" t="n">
        <v>29</v>
      </c>
      <c r="B44" s="46" t="str">
        <f aca="false">IF(Students!B33="","",Students!B33)</f>
        <v/>
      </c>
      <c r="C44" s="33" t="n">
        <f aca="false">'May 2027'!F44</f>
        <v>0</v>
      </c>
      <c r="D44" s="33" t="n">
        <f aca="false">IF(B44="",0,N(Students!E33))</f>
        <v>0</v>
      </c>
      <c r="E44" s="23"/>
      <c r="F44" s="24" t="n">
        <f aca="false">N(C44)+N(D44)-N(E44)</f>
        <v>0</v>
      </c>
      <c r="G44" s="33" t="n">
        <f aca="false">'May 2027'!J44</f>
        <v>0</v>
      </c>
      <c r="H44" s="33" t="n">
        <f aca="false">IF(B44="",0,N(Students!F33))</f>
        <v>0</v>
      </c>
      <c r="I44" s="23"/>
      <c r="J44" s="24" t="n">
        <f aca="false">N(G44)+N(H44)-N(I44)</f>
        <v>0</v>
      </c>
      <c r="K44" s="33" t="n">
        <f aca="false">'May 2027'!N44</f>
        <v>0</v>
      </c>
      <c r="L44" s="33" t="n">
        <f aca="false">IF(B44="",0,N(Students!G33))</f>
        <v>0</v>
      </c>
      <c r="M44" s="23"/>
      <c r="N44" s="24" t="n">
        <f aca="false">N(K44)+N(L44)-N(M44)</f>
        <v>0</v>
      </c>
      <c r="O44" s="33" t="n">
        <f aca="false">'May 2027'!R44</f>
        <v>0</v>
      </c>
      <c r="P44" s="33" t="n">
        <f aca="false">IF(B44="",0,N(Students!H33))</f>
        <v>0</v>
      </c>
      <c r="Q44" s="23"/>
      <c r="R44" s="24" t="n">
        <f aca="false">N(O44)+N(P44)-N(Q44)</f>
        <v>0</v>
      </c>
      <c r="S44" s="33" t="n">
        <f aca="false">'May 2027'!V44</f>
        <v>0</v>
      </c>
      <c r="T44" s="33" t="n">
        <f aca="false">IF(B44="",0,N(Students!I33))</f>
        <v>0</v>
      </c>
      <c r="U44" s="23"/>
      <c r="V44" s="24" t="n">
        <f aca="false">N(S44)+N(T44)-N(U44)</f>
        <v>0</v>
      </c>
      <c r="W44" s="33" t="n">
        <f aca="false">'May 2027'!Z44</f>
        <v>0</v>
      </c>
      <c r="X44" s="33" t="n">
        <f aca="false">IF(B44="",0,N(Students!J33))</f>
        <v>0</v>
      </c>
      <c r="Y44" s="23"/>
      <c r="Z44" s="24" t="n">
        <f aca="false">N(W44)+N(X44)-N(Y44)</f>
        <v>0</v>
      </c>
      <c r="AA44" s="33" t="n">
        <f aca="false">N(E44)+N(I44)+N(M44)+N(Q44)+N(U44)+N(Y44)</f>
        <v>0</v>
      </c>
      <c r="AB44" s="24" t="n">
        <f aca="false">F44+J44+N44+R44+V44+Z44</f>
        <v>0</v>
      </c>
      <c r="AC44" s="81" t="str">
        <f aca="false">IF(B44="","",IF(AB44&lt;=0,"Clear",IF(AA44&gt;0,"Partial","Due")))</f>
        <v/>
      </c>
    </row>
    <row r="45" customFormat="false" ht="15" hidden="false" customHeight="false" outlineLevel="0" collapsed="false">
      <c r="A45" s="25" t="n">
        <v>30</v>
      </c>
      <c r="B45" s="82" t="str">
        <f aca="false">IF(Students!B34="","",Students!B34)</f>
        <v/>
      </c>
      <c r="C45" s="37" t="n">
        <f aca="false">'May 2027'!F45</f>
        <v>0</v>
      </c>
      <c r="D45" s="37" t="n">
        <f aca="false">IF(B45="",0,N(Students!E34))</f>
        <v>0</v>
      </c>
      <c r="E45" s="23"/>
      <c r="F45" s="26" t="n">
        <f aca="false">N(C45)+N(D45)-N(E45)</f>
        <v>0</v>
      </c>
      <c r="G45" s="37" t="n">
        <f aca="false">'May 2027'!J45</f>
        <v>0</v>
      </c>
      <c r="H45" s="37" t="n">
        <f aca="false">IF(B45="",0,N(Students!F34))</f>
        <v>0</v>
      </c>
      <c r="I45" s="23"/>
      <c r="J45" s="26" t="n">
        <f aca="false">N(G45)+N(H45)-N(I45)</f>
        <v>0</v>
      </c>
      <c r="K45" s="37" t="n">
        <f aca="false">'May 2027'!N45</f>
        <v>0</v>
      </c>
      <c r="L45" s="37" t="n">
        <f aca="false">IF(B45="",0,N(Students!G34))</f>
        <v>0</v>
      </c>
      <c r="M45" s="23"/>
      <c r="N45" s="26" t="n">
        <f aca="false">N(K45)+N(L45)-N(M45)</f>
        <v>0</v>
      </c>
      <c r="O45" s="37" t="n">
        <f aca="false">'May 2027'!R45</f>
        <v>0</v>
      </c>
      <c r="P45" s="37" t="n">
        <f aca="false">IF(B45="",0,N(Students!H34))</f>
        <v>0</v>
      </c>
      <c r="Q45" s="23"/>
      <c r="R45" s="26" t="n">
        <f aca="false">N(O45)+N(P45)-N(Q45)</f>
        <v>0</v>
      </c>
      <c r="S45" s="37" t="n">
        <f aca="false">'May 2027'!V45</f>
        <v>0</v>
      </c>
      <c r="T45" s="37" t="n">
        <f aca="false">IF(B45="",0,N(Students!I34))</f>
        <v>0</v>
      </c>
      <c r="U45" s="23"/>
      <c r="V45" s="26" t="n">
        <f aca="false">N(S45)+N(T45)-N(U45)</f>
        <v>0</v>
      </c>
      <c r="W45" s="37" t="n">
        <f aca="false">'May 2027'!Z45</f>
        <v>0</v>
      </c>
      <c r="X45" s="37" t="n">
        <f aca="false">IF(B45="",0,N(Students!J34))</f>
        <v>0</v>
      </c>
      <c r="Y45" s="23"/>
      <c r="Z45" s="26" t="n">
        <f aca="false">N(W45)+N(X45)-N(Y45)</f>
        <v>0</v>
      </c>
      <c r="AA45" s="37" t="n">
        <f aca="false">N(E45)+N(I45)+N(M45)+N(Q45)+N(U45)+N(Y45)</f>
        <v>0</v>
      </c>
      <c r="AB45" s="26" t="n">
        <f aca="false">F45+J45+N45+R45+V45+Z45</f>
        <v>0</v>
      </c>
      <c r="AC45" s="83" t="str">
        <f aca="false">IF(B45="","",IF(AB45&lt;=0,"Clear",IF(AA45&gt;0,"Partial","Due")))</f>
        <v/>
      </c>
    </row>
    <row r="46" customFormat="false" ht="15" hidden="false" customHeight="false" outlineLevel="0" collapsed="false">
      <c r="A46" s="21" t="n">
        <v>31</v>
      </c>
      <c r="B46" s="46" t="str">
        <f aca="false">IF(Students!B35="","",Students!B35)</f>
        <v/>
      </c>
      <c r="C46" s="33" t="n">
        <f aca="false">'May 2027'!F46</f>
        <v>0</v>
      </c>
      <c r="D46" s="33" t="n">
        <f aca="false">IF(B46="",0,N(Students!E35))</f>
        <v>0</v>
      </c>
      <c r="E46" s="23"/>
      <c r="F46" s="24" t="n">
        <f aca="false">N(C46)+N(D46)-N(E46)</f>
        <v>0</v>
      </c>
      <c r="G46" s="33" t="n">
        <f aca="false">'May 2027'!J46</f>
        <v>0</v>
      </c>
      <c r="H46" s="33" t="n">
        <f aca="false">IF(B46="",0,N(Students!F35))</f>
        <v>0</v>
      </c>
      <c r="I46" s="23"/>
      <c r="J46" s="24" t="n">
        <f aca="false">N(G46)+N(H46)-N(I46)</f>
        <v>0</v>
      </c>
      <c r="K46" s="33" t="n">
        <f aca="false">'May 2027'!N46</f>
        <v>0</v>
      </c>
      <c r="L46" s="33" t="n">
        <f aca="false">IF(B46="",0,N(Students!G35))</f>
        <v>0</v>
      </c>
      <c r="M46" s="23"/>
      <c r="N46" s="24" t="n">
        <f aca="false">N(K46)+N(L46)-N(M46)</f>
        <v>0</v>
      </c>
      <c r="O46" s="33" t="n">
        <f aca="false">'May 2027'!R46</f>
        <v>0</v>
      </c>
      <c r="P46" s="33" t="n">
        <f aca="false">IF(B46="",0,N(Students!H35))</f>
        <v>0</v>
      </c>
      <c r="Q46" s="23"/>
      <c r="R46" s="24" t="n">
        <f aca="false">N(O46)+N(P46)-N(Q46)</f>
        <v>0</v>
      </c>
      <c r="S46" s="33" t="n">
        <f aca="false">'May 2027'!V46</f>
        <v>0</v>
      </c>
      <c r="T46" s="33" t="n">
        <f aca="false">IF(B46="",0,N(Students!I35))</f>
        <v>0</v>
      </c>
      <c r="U46" s="23"/>
      <c r="V46" s="24" t="n">
        <f aca="false">N(S46)+N(T46)-N(U46)</f>
        <v>0</v>
      </c>
      <c r="W46" s="33" t="n">
        <f aca="false">'May 2027'!Z46</f>
        <v>0</v>
      </c>
      <c r="X46" s="33" t="n">
        <f aca="false">IF(B46="",0,N(Students!J35))</f>
        <v>0</v>
      </c>
      <c r="Y46" s="23"/>
      <c r="Z46" s="24" t="n">
        <f aca="false">N(W46)+N(X46)-N(Y46)</f>
        <v>0</v>
      </c>
      <c r="AA46" s="33" t="n">
        <f aca="false">N(E46)+N(I46)+N(M46)+N(Q46)+N(U46)+N(Y46)</f>
        <v>0</v>
      </c>
      <c r="AB46" s="24" t="n">
        <f aca="false">F46+J46+N46+R46+V46+Z46</f>
        <v>0</v>
      </c>
      <c r="AC46" s="81" t="str">
        <f aca="false">IF(B46="","",IF(AB46&lt;=0,"Clear",IF(AA46&gt;0,"Partial","Due")))</f>
        <v/>
      </c>
    </row>
    <row r="47" customFormat="false" ht="15" hidden="false" customHeight="false" outlineLevel="0" collapsed="false">
      <c r="A47" s="25" t="n">
        <v>32</v>
      </c>
      <c r="B47" s="82" t="str">
        <f aca="false">IF(Students!B36="","",Students!B36)</f>
        <v/>
      </c>
      <c r="C47" s="37" t="n">
        <f aca="false">'May 2027'!F47</f>
        <v>0</v>
      </c>
      <c r="D47" s="37" t="n">
        <f aca="false">IF(B47="",0,N(Students!E36))</f>
        <v>0</v>
      </c>
      <c r="E47" s="23"/>
      <c r="F47" s="26" t="n">
        <f aca="false">N(C47)+N(D47)-N(E47)</f>
        <v>0</v>
      </c>
      <c r="G47" s="37" t="n">
        <f aca="false">'May 2027'!J47</f>
        <v>0</v>
      </c>
      <c r="H47" s="37" t="n">
        <f aca="false">IF(B47="",0,N(Students!F36))</f>
        <v>0</v>
      </c>
      <c r="I47" s="23"/>
      <c r="J47" s="26" t="n">
        <f aca="false">N(G47)+N(H47)-N(I47)</f>
        <v>0</v>
      </c>
      <c r="K47" s="37" t="n">
        <f aca="false">'May 2027'!N47</f>
        <v>0</v>
      </c>
      <c r="L47" s="37" t="n">
        <f aca="false">IF(B47="",0,N(Students!G36))</f>
        <v>0</v>
      </c>
      <c r="M47" s="23"/>
      <c r="N47" s="26" t="n">
        <f aca="false">N(K47)+N(L47)-N(M47)</f>
        <v>0</v>
      </c>
      <c r="O47" s="37" t="n">
        <f aca="false">'May 2027'!R47</f>
        <v>0</v>
      </c>
      <c r="P47" s="37" t="n">
        <f aca="false">IF(B47="",0,N(Students!H36))</f>
        <v>0</v>
      </c>
      <c r="Q47" s="23"/>
      <c r="R47" s="26" t="n">
        <f aca="false">N(O47)+N(P47)-N(Q47)</f>
        <v>0</v>
      </c>
      <c r="S47" s="37" t="n">
        <f aca="false">'May 2027'!V47</f>
        <v>0</v>
      </c>
      <c r="T47" s="37" t="n">
        <f aca="false">IF(B47="",0,N(Students!I36))</f>
        <v>0</v>
      </c>
      <c r="U47" s="23"/>
      <c r="V47" s="26" t="n">
        <f aca="false">N(S47)+N(T47)-N(U47)</f>
        <v>0</v>
      </c>
      <c r="W47" s="37" t="n">
        <f aca="false">'May 2027'!Z47</f>
        <v>0</v>
      </c>
      <c r="X47" s="37" t="n">
        <f aca="false">IF(B47="",0,N(Students!J36))</f>
        <v>0</v>
      </c>
      <c r="Y47" s="23"/>
      <c r="Z47" s="26" t="n">
        <f aca="false">N(W47)+N(X47)-N(Y47)</f>
        <v>0</v>
      </c>
      <c r="AA47" s="37" t="n">
        <f aca="false">N(E47)+N(I47)+N(M47)+N(Q47)+N(U47)+N(Y47)</f>
        <v>0</v>
      </c>
      <c r="AB47" s="26" t="n">
        <f aca="false">F47+J47+N47+R47+V47+Z47</f>
        <v>0</v>
      </c>
      <c r="AC47" s="83" t="str">
        <f aca="false">IF(B47="","",IF(AB47&lt;=0,"Clear",IF(AA47&gt;0,"Partial","Due")))</f>
        <v/>
      </c>
    </row>
    <row r="48" customFormat="false" ht="15" hidden="false" customHeight="false" outlineLevel="0" collapsed="false">
      <c r="A48" s="21" t="n">
        <v>33</v>
      </c>
      <c r="B48" s="46" t="str">
        <f aca="false">IF(Students!B37="","",Students!B37)</f>
        <v/>
      </c>
      <c r="C48" s="33" t="n">
        <f aca="false">'May 2027'!F48</f>
        <v>0</v>
      </c>
      <c r="D48" s="33" t="n">
        <f aca="false">IF(B48="",0,N(Students!E37))</f>
        <v>0</v>
      </c>
      <c r="E48" s="23"/>
      <c r="F48" s="24" t="n">
        <f aca="false">N(C48)+N(D48)-N(E48)</f>
        <v>0</v>
      </c>
      <c r="G48" s="33" t="n">
        <f aca="false">'May 2027'!J48</f>
        <v>0</v>
      </c>
      <c r="H48" s="33" t="n">
        <f aca="false">IF(B48="",0,N(Students!F37))</f>
        <v>0</v>
      </c>
      <c r="I48" s="23"/>
      <c r="J48" s="24" t="n">
        <f aca="false">N(G48)+N(H48)-N(I48)</f>
        <v>0</v>
      </c>
      <c r="K48" s="33" t="n">
        <f aca="false">'May 2027'!N48</f>
        <v>0</v>
      </c>
      <c r="L48" s="33" t="n">
        <f aca="false">IF(B48="",0,N(Students!G37))</f>
        <v>0</v>
      </c>
      <c r="M48" s="23"/>
      <c r="N48" s="24" t="n">
        <f aca="false">N(K48)+N(L48)-N(M48)</f>
        <v>0</v>
      </c>
      <c r="O48" s="33" t="n">
        <f aca="false">'May 2027'!R48</f>
        <v>0</v>
      </c>
      <c r="P48" s="33" t="n">
        <f aca="false">IF(B48="",0,N(Students!H37))</f>
        <v>0</v>
      </c>
      <c r="Q48" s="23"/>
      <c r="R48" s="24" t="n">
        <f aca="false">N(O48)+N(P48)-N(Q48)</f>
        <v>0</v>
      </c>
      <c r="S48" s="33" t="n">
        <f aca="false">'May 2027'!V48</f>
        <v>0</v>
      </c>
      <c r="T48" s="33" t="n">
        <f aca="false">IF(B48="",0,N(Students!I37))</f>
        <v>0</v>
      </c>
      <c r="U48" s="23"/>
      <c r="V48" s="24" t="n">
        <f aca="false">N(S48)+N(T48)-N(U48)</f>
        <v>0</v>
      </c>
      <c r="W48" s="33" t="n">
        <f aca="false">'May 2027'!Z48</f>
        <v>0</v>
      </c>
      <c r="X48" s="33" t="n">
        <f aca="false">IF(B48="",0,N(Students!J37))</f>
        <v>0</v>
      </c>
      <c r="Y48" s="23"/>
      <c r="Z48" s="24" t="n">
        <f aca="false">N(W48)+N(X48)-N(Y48)</f>
        <v>0</v>
      </c>
      <c r="AA48" s="33" t="n">
        <f aca="false">N(E48)+N(I48)+N(M48)+N(Q48)+N(U48)+N(Y48)</f>
        <v>0</v>
      </c>
      <c r="AB48" s="24" t="n">
        <f aca="false">F48+J48+N48+R48+V48+Z48</f>
        <v>0</v>
      </c>
      <c r="AC48" s="81" t="str">
        <f aca="false">IF(B48="","",IF(AB48&lt;=0,"Clear",IF(AA48&gt;0,"Partial","Due")))</f>
        <v/>
      </c>
    </row>
    <row r="49" customFormat="false" ht="15" hidden="false" customHeight="false" outlineLevel="0" collapsed="false">
      <c r="A49" s="25" t="n">
        <v>34</v>
      </c>
      <c r="B49" s="82" t="str">
        <f aca="false">IF(Students!B38="","",Students!B38)</f>
        <v/>
      </c>
      <c r="C49" s="37" t="n">
        <f aca="false">'May 2027'!F49</f>
        <v>0</v>
      </c>
      <c r="D49" s="37" t="n">
        <f aca="false">IF(B49="",0,N(Students!E38))</f>
        <v>0</v>
      </c>
      <c r="E49" s="23"/>
      <c r="F49" s="26" t="n">
        <f aca="false">N(C49)+N(D49)-N(E49)</f>
        <v>0</v>
      </c>
      <c r="G49" s="37" t="n">
        <f aca="false">'May 2027'!J49</f>
        <v>0</v>
      </c>
      <c r="H49" s="37" t="n">
        <f aca="false">IF(B49="",0,N(Students!F38))</f>
        <v>0</v>
      </c>
      <c r="I49" s="23"/>
      <c r="J49" s="26" t="n">
        <f aca="false">N(G49)+N(H49)-N(I49)</f>
        <v>0</v>
      </c>
      <c r="K49" s="37" t="n">
        <f aca="false">'May 2027'!N49</f>
        <v>0</v>
      </c>
      <c r="L49" s="37" t="n">
        <f aca="false">IF(B49="",0,N(Students!G38))</f>
        <v>0</v>
      </c>
      <c r="M49" s="23"/>
      <c r="N49" s="26" t="n">
        <f aca="false">N(K49)+N(L49)-N(M49)</f>
        <v>0</v>
      </c>
      <c r="O49" s="37" t="n">
        <f aca="false">'May 2027'!R49</f>
        <v>0</v>
      </c>
      <c r="P49" s="37" t="n">
        <f aca="false">IF(B49="",0,N(Students!H38))</f>
        <v>0</v>
      </c>
      <c r="Q49" s="23"/>
      <c r="R49" s="26" t="n">
        <f aca="false">N(O49)+N(P49)-N(Q49)</f>
        <v>0</v>
      </c>
      <c r="S49" s="37" t="n">
        <f aca="false">'May 2027'!V49</f>
        <v>0</v>
      </c>
      <c r="T49" s="37" t="n">
        <f aca="false">IF(B49="",0,N(Students!I38))</f>
        <v>0</v>
      </c>
      <c r="U49" s="23"/>
      <c r="V49" s="26" t="n">
        <f aca="false">N(S49)+N(T49)-N(U49)</f>
        <v>0</v>
      </c>
      <c r="W49" s="37" t="n">
        <f aca="false">'May 2027'!Z49</f>
        <v>0</v>
      </c>
      <c r="X49" s="37" t="n">
        <f aca="false">IF(B49="",0,N(Students!J38))</f>
        <v>0</v>
      </c>
      <c r="Y49" s="23"/>
      <c r="Z49" s="26" t="n">
        <f aca="false">N(W49)+N(X49)-N(Y49)</f>
        <v>0</v>
      </c>
      <c r="AA49" s="37" t="n">
        <f aca="false">N(E49)+N(I49)+N(M49)+N(Q49)+N(U49)+N(Y49)</f>
        <v>0</v>
      </c>
      <c r="AB49" s="26" t="n">
        <f aca="false">F49+J49+N49+R49+V49+Z49</f>
        <v>0</v>
      </c>
      <c r="AC49" s="83" t="str">
        <f aca="false">IF(B49="","",IF(AB49&lt;=0,"Clear",IF(AA49&gt;0,"Partial","Due")))</f>
        <v/>
      </c>
    </row>
    <row r="50" customFormat="false" ht="15" hidden="false" customHeight="false" outlineLevel="0" collapsed="false">
      <c r="A50" s="21" t="n">
        <v>35</v>
      </c>
      <c r="B50" s="46" t="str">
        <f aca="false">IF(Students!B39="","",Students!B39)</f>
        <v/>
      </c>
      <c r="C50" s="33" t="n">
        <f aca="false">'May 2027'!F50</f>
        <v>0</v>
      </c>
      <c r="D50" s="33" t="n">
        <f aca="false">IF(B50="",0,N(Students!E39))</f>
        <v>0</v>
      </c>
      <c r="E50" s="23"/>
      <c r="F50" s="24" t="n">
        <f aca="false">N(C50)+N(D50)-N(E50)</f>
        <v>0</v>
      </c>
      <c r="G50" s="33" t="n">
        <f aca="false">'May 2027'!J50</f>
        <v>0</v>
      </c>
      <c r="H50" s="33" t="n">
        <f aca="false">IF(B50="",0,N(Students!F39))</f>
        <v>0</v>
      </c>
      <c r="I50" s="23"/>
      <c r="J50" s="24" t="n">
        <f aca="false">N(G50)+N(H50)-N(I50)</f>
        <v>0</v>
      </c>
      <c r="K50" s="33" t="n">
        <f aca="false">'May 2027'!N50</f>
        <v>0</v>
      </c>
      <c r="L50" s="33" t="n">
        <f aca="false">IF(B50="",0,N(Students!G39))</f>
        <v>0</v>
      </c>
      <c r="M50" s="23"/>
      <c r="N50" s="24" t="n">
        <f aca="false">N(K50)+N(L50)-N(M50)</f>
        <v>0</v>
      </c>
      <c r="O50" s="33" t="n">
        <f aca="false">'May 2027'!R50</f>
        <v>0</v>
      </c>
      <c r="P50" s="33" t="n">
        <f aca="false">IF(B50="",0,N(Students!H39))</f>
        <v>0</v>
      </c>
      <c r="Q50" s="23"/>
      <c r="R50" s="24" t="n">
        <f aca="false">N(O50)+N(P50)-N(Q50)</f>
        <v>0</v>
      </c>
      <c r="S50" s="33" t="n">
        <f aca="false">'May 2027'!V50</f>
        <v>0</v>
      </c>
      <c r="T50" s="33" t="n">
        <f aca="false">IF(B50="",0,N(Students!I39))</f>
        <v>0</v>
      </c>
      <c r="U50" s="23"/>
      <c r="V50" s="24" t="n">
        <f aca="false">N(S50)+N(T50)-N(U50)</f>
        <v>0</v>
      </c>
      <c r="W50" s="33" t="n">
        <f aca="false">'May 2027'!Z50</f>
        <v>0</v>
      </c>
      <c r="X50" s="33" t="n">
        <f aca="false">IF(B50="",0,N(Students!J39))</f>
        <v>0</v>
      </c>
      <c r="Y50" s="23"/>
      <c r="Z50" s="24" t="n">
        <f aca="false">N(W50)+N(X50)-N(Y50)</f>
        <v>0</v>
      </c>
      <c r="AA50" s="33" t="n">
        <f aca="false">N(E50)+N(I50)+N(M50)+N(Q50)+N(U50)+N(Y50)</f>
        <v>0</v>
      </c>
      <c r="AB50" s="24" t="n">
        <f aca="false">F50+J50+N50+R50+V50+Z50</f>
        <v>0</v>
      </c>
      <c r="AC50" s="81" t="str">
        <f aca="false">IF(B50="","",IF(AB50&lt;=0,"Clear",IF(AA50&gt;0,"Partial","Due")))</f>
        <v/>
      </c>
    </row>
    <row r="51" customFormat="false" ht="15" hidden="false" customHeight="false" outlineLevel="0" collapsed="false">
      <c r="A51" s="25" t="n">
        <v>36</v>
      </c>
      <c r="B51" s="82" t="str">
        <f aca="false">IF(Students!B40="","",Students!B40)</f>
        <v/>
      </c>
      <c r="C51" s="37" t="n">
        <f aca="false">'May 2027'!F51</f>
        <v>0</v>
      </c>
      <c r="D51" s="37" t="n">
        <f aca="false">IF(B51="",0,N(Students!E40))</f>
        <v>0</v>
      </c>
      <c r="E51" s="23"/>
      <c r="F51" s="26" t="n">
        <f aca="false">N(C51)+N(D51)-N(E51)</f>
        <v>0</v>
      </c>
      <c r="G51" s="37" t="n">
        <f aca="false">'May 2027'!J51</f>
        <v>0</v>
      </c>
      <c r="H51" s="37" t="n">
        <f aca="false">IF(B51="",0,N(Students!F40))</f>
        <v>0</v>
      </c>
      <c r="I51" s="23"/>
      <c r="J51" s="26" t="n">
        <f aca="false">N(G51)+N(H51)-N(I51)</f>
        <v>0</v>
      </c>
      <c r="K51" s="37" t="n">
        <f aca="false">'May 2027'!N51</f>
        <v>0</v>
      </c>
      <c r="L51" s="37" t="n">
        <f aca="false">IF(B51="",0,N(Students!G40))</f>
        <v>0</v>
      </c>
      <c r="M51" s="23"/>
      <c r="N51" s="26" t="n">
        <f aca="false">N(K51)+N(L51)-N(M51)</f>
        <v>0</v>
      </c>
      <c r="O51" s="37" t="n">
        <f aca="false">'May 2027'!R51</f>
        <v>0</v>
      </c>
      <c r="P51" s="37" t="n">
        <f aca="false">IF(B51="",0,N(Students!H40))</f>
        <v>0</v>
      </c>
      <c r="Q51" s="23"/>
      <c r="R51" s="26" t="n">
        <f aca="false">N(O51)+N(P51)-N(Q51)</f>
        <v>0</v>
      </c>
      <c r="S51" s="37" t="n">
        <f aca="false">'May 2027'!V51</f>
        <v>0</v>
      </c>
      <c r="T51" s="37" t="n">
        <f aca="false">IF(B51="",0,N(Students!I40))</f>
        <v>0</v>
      </c>
      <c r="U51" s="23"/>
      <c r="V51" s="26" t="n">
        <f aca="false">N(S51)+N(T51)-N(U51)</f>
        <v>0</v>
      </c>
      <c r="W51" s="37" t="n">
        <f aca="false">'May 2027'!Z51</f>
        <v>0</v>
      </c>
      <c r="X51" s="37" t="n">
        <f aca="false">IF(B51="",0,N(Students!J40))</f>
        <v>0</v>
      </c>
      <c r="Y51" s="23"/>
      <c r="Z51" s="26" t="n">
        <f aca="false">N(W51)+N(X51)-N(Y51)</f>
        <v>0</v>
      </c>
      <c r="AA51" s="37" t="n">
        <f aca="false">N(E51)+N(I51)+N(M51)+N(Q51)+N(U51)+N(Y51)</f>
        <v>0</v>
      </c>
      <c r="AB51" s="26" t="n">
        <f aca="false">F51+J51+N51+R51+V51+Z51</f>
        <v>0</v>
      </c>
      <c r="AC51" s="83" t="str">
        <f aca="false">IF(B51="","",IF(AB51&lt;=0,"Clear",IF(AA51&gt;0,"Partial","Due")))</f>
        <v/>
      </c>
    </row>
    <row r="52" customFormat="false" ht="15" hidden="false" customHeight="false" outlineLevel="0" collapsed="false">
      <c r="A52" s="21" t="n">
        <v>37</v>
      </c>
      <c r="B52" s="46" t="str">
        <f aca="false">IF(Students!B41="","",Students!B41)</f>
        <v/>
      </c>
      <c r="C52" s="33" t="n">
        <f aca="false">'May 2027'!F52</f>
        <v>0</v>
      </c>
      <c r="D52" s="33" t="n">
        <f aca="false">IF(B52="",0,N(Students!E41))</f>
        <v>0</v>
      </c>
      <c r="E52" s="23"/>
      <c r="F52" s="24" t="n">
        <f aca="false">N(C52)+N(D52)-N(E52)</f>
        <v>0</v>
      </c>
      <c r="G52" s="33" t="n">
        <f aca="false">'May 2027'!J52</f>
        <v>0</v>
      </c>
      <c r="H52" s="33" t="n">
        <f aca="false">IF(B52="",0,N(Students!F41))</f>
        <v>0</v>
      </c>
      <c r="I52" s="23"/>
      <c r="J52" s="24" t="n">
        <f aca="false">N(G52)+N(H52)-N(I52)</f>
        <v>0</v>
      </c>
      <c r="K52" s="33" t="n">
        <f aca="false">'May 2027'!N52</f>
        <v>0</v>
      </c>
      <c r="L52" s="33" t="n">
        <f aca="false">IF(B52="",0,N(Students!G41))</f>
        <v>0</v>
      </c>
      <c r="M52" s="23"/>
      <c r="N52" s="24" t="n">
        <f aca="false">N(K52)+N(L52)-N(M52)</f>
        <v>0</v>
      </c>
      <c r="O52" s="33" t="n">
        <f aca="false">'May 2027'!R52</f>
        <v>0</v>
      </c>
      <c r="P52" s="33" t="n">
        <f aca="false">IF(B52="",0,N(Students!H41))</f>
        <v>0</v>
      </c>
      <c r="Q52" s="23"/>
      <c r="R52" s="24" t="n">
        <f aca="false">N(O52)+N(P52)-N(Q52)</f>
        <v>0</v>
      </c>
      <c r="S52" s="33" t="n">
        <f aca="false">'May 2027'!V52</f>
        <v>0</v>
      </c>
      <c r="T52" s="33" t="n">
        <f aca="false">IF(B52="",0,N(Students!I41))</f>
        <v>0</v>
      </c>
      <c r="U52" s="23"/>
      <c r="V52" s="24" t="n">
        <f aca="false">N(S52)+N(T52)-N(U52)</f>
        <v>0</v>
      </c>
      <c r="W52" s="33" t="n">
        <f aca="false">'May 2027'!Z52</f>
        <v>0</v>
      </c>
      <c r="X52" s="33" t="n">
        <f aca="false">IF(B52="",0,N(Students!J41))</f>
        <v>0</v>
      </c>
      <c r="Y52" s="23"/>
      <c r="Z52" s="24" t="n">
        <f aca="false">N(W52)+N(X52)-N(Y52)</f>
        <v>0</v>
      </c>
      <c r="AA52" s="33" t="n">
        <f aca="false">N(E52)+N(I52)+N(M52)+N(Q52)+N(U52)+N(Y52)</f>
        <v>0</v>
      </c>
      <c r="AB52" s="24" t="n">
        <f aca="false">F52+J52+N52+R52+V52+Z52</f>
        <v>0</v>
      </c>
      <c r="AC52" s="81" t="str">
        <f aca="false">IF(B52="","",IF(AB52&lt;=0,"Clear",IF(AA52&gt;0,"Partial","Due")))</f>
        <v/>
      </c>
    </row>
    <row r="53" customFormat="false" ht="15" hidden="false" customHeight="false" outlineLevel="0" collapsed="false">
      <c r="A53" s="25" t="n">
        <v>38</v>
      </c>
      <c r="B53" s="82" t="str">
        <f aca="false">IF(Students!B42="","",Students!B42)</f>
        <v/>
      </c>
      <c r="C53" s="37" t="n">
        <f aca="false">'May 2027'!F53</f>
        <v>0</v>
      </c>
      <c r="D53" s="37" t="n">
        <f aca="false">IF(B53="",0,N(Students!E42))</f>
        <v>0</v>
      </c>
      <c r="E53" s="23"/>
      <c r="F53" s="26" t="n">
        <f aca="false">N(C53)+N(D53)-N(E53)</f>
        <v>0</v>
      </c>
      <c r="G53" s="37" t="n">
        <f aca="false">'May 2027'!J53</f>
        <v>0</v>
      </c>
      <c r="H53" s="37" t="n">
        <f aca="false">IF(B53="",0,N(Students!F42))</f>
        <v>0</v>
      </c>
      <c r="I53" s="23"/>
      <c r="J53" s="26" t="n">
        <f aca="false">N(G53)+N(H53)-N(I53)</f>
        <v>0</v>
      </c>
      <c r="K53" s="37" t="n">
        <f aca="false">'May 2027'!N53</f>
        <v>0</v>
      </c>
      <c r="L53" s="37" t="n">
        <f aca="false">IF(B53="",0,N(Students!G42))</f>
        <v>0</v>
      </c>
      <c r="M53" s="23"/>
      <c r="N53" s="26" t="n">
        <f aca="false">N(K53)+N(L53)-N(M53)</f>
        <v>0</v>
      </c>
      <c r="O53" s="37" t="n">
        <f aca="false">'May 2027'!R53</f>
        <v>0</v>
      </c>
      <c r="P53" s="37" t="n">
        <f aca="false">IF(B53="",0,N(Students!H42))</f>
        <v>0</v>
      </c>
      <c r="Q53" s="23"/>
      <c r="R53" s="26" t="n">
        <f aca="false">N(O53)+N(P53)-N(Q53)</f>
        <v>0</v>
      </c>
      <c r="S53" s="37" t="n">
        <f aca="false">'May 2027'!V53</f>
        <v>0</v>
      </c>
      <c r="T53" s="37" t="n">
        <f aca="false">IF(B53="",0,N(Students!I42))</f>
        <v>0</v>
      </c>
      <c r="U53" s="23"/>
      <c r="V53" s="26" t="n">
        <f aca="false">N(S53)+N(T53)-N(U53)</f>
        <v>0</v>
      </c>
      <c r="W53" s="37" t="n">
        <f aca="false">'May 2027'!Z53</f>
        <v>0</v>
      </c>
      <c r="X53" s="37" t="n">
        <f aca="false">IF(B53="",0,N(Students!J42))</f>
        <v>0</v>
      </c>
      <c r="Y53" s="23"/>
      <c r="Z53" s="26" t="n">
        <f aca="false">N(W53)+N(X53)-N(Y53)</f>
        <v>0</v>
      </c>
      <c r="AA53" s="37" t="n">
        <f aca="false">N(E53)+N(I53)+N(M53)+N(Q53)+N(U53)+N(Y53)</f>
        <v>0</v>
      </c>
      <c r="AB53" s="26" t="n">
        <f aca="false">F53+J53+N53+R53+V53+Z53</f>
        <v>0</v>
      </c>
      <c r="AC53" s="83" t="str">
        <f aca="false">IF(B53="","",IF(AB53&lt;=0,"Clear",IF(AA53&gt;0,"Partial","Due")))</f>
        <v/>
      </c>
    </row>
    <row r="54" customFormat="false" ht="15" hidden="false" customHeight="false" outlineLevel="0" collapsed="false">
      <c r="A54" s="21" t="n">
        <v>39</v>
      </c>
      <c r="B54" s="46" t="str">
        <f aca="false">IF(Students!B43="","",Students!B43)</f>
        <v/>
      </c>
      <c r="C54" s="33" t="n">
        <f aca="false">'May 2027'!F54</f>
        <v>0</v>
      </c>
      <c r="D54" s="33" t="n">
        <f aca="false">IF(B54="",0,N(Students!E43))</f>
        <v>0</v>
      </c>
      <c r="E54" s="23"/>
      <c r="F54" s="24" t="n">
        <f aca="false">N(C54)+N(D54)-N(E54)</f>
        <v>0</v>
      </c>
      <c r="G54" s="33" t="n">
        <f aca="false">'May 2027'!J54</f>
        <v>0</v>
      </c>
      <c r="H54" s="33" t="n">
        <f aca="false">IF(B54="",0,N(Students!F43))</f>
        <v>0</v>
      </c>
      <c r="I54" s="23"/>
      <c r="J54" s="24" t="n">
        <f aca="false">N(G54)+N(H54)-N(I54)</f>
        <v>0</v>
      </c>
      <c r="K54" s="33" t="n">
        <f aca="false">'May 2027'!N54</f>
        <v>0</v>
      </c>
      <c r="L54" s="33" t="n">
        <f aca="false">IF(B54="",0,N(Students!G43))</f>
        <v>0</v>
      </c>
      <c r="M54" s="23"/>
      <c r="N54" s="24" t="n">
        <f aca="false">N(K54)+N(L54)-N(M54)</f>
        <v>0</v>
      </c>
      <c r="O54" s="33" t="n">
        <f aca="false">'May 2027'!R54</f>
        <v>0</v>
      </c>
      <c r="P54" s="33" t="n">
        <f aca="false">IF(B54="",0,N(Students!H43))</f>
        <v>0</v>
      </c>
      <c r="Q54" s="23"/>
      <c r="R54" s="24" t="n">
        <f aca="false">N(O54)+N(P54)-N(Q54)</f>
        <v>0</v>
      </c>
      <c r="S54" s="33" t="n">
        <f aca="false">'May 2027'!V54</f>
        <v>0</v>
      </c>
      <c r="T54" s="33" t="n">
        <f aca="false">IF(B54="",0,N(Students!I43))</f>
        <v>0</v>
      </c>
      <c r="U54" s="23"/>
      <c r="V54" s="24" t="n">
        <f aca="false">N(S54)+N(T54)-N(U54)</f>
        <v>0</v>
      </c>
      <c r="W54" s="33" t="n">
        <f aca="false">'May 2027'!Z54</f>
        <v>0</v>
      </c>
      <c r="X54" s="33" t="n">
        <f aca="false">IF(B54="",0,N(Students!J43))</f>
        <v>0</v>
      </c>
      <c r="Y54" s="23"/>
      <c r="Z54" s="24" t="n">
        <f aca="false">N(W54)+N(X54)-N(Y54)</f>
        <v>0</v>
      </c>
      <c r="AA54" s="33" t="n">
        <f aca="false">N(E54)+N(I54)+N(M54)+N(Q54)+N(U54)+N(Y54)</f>
        <v>0</v>
      </c>
      <c r="AB54" s="24" t="n">
        <f aca="false">F54+J54+N54+R54+V54+Z54</f>
        <v>0</v>
      </c>
      <c r="AC54" s="81" t="str">
        <f aca="false">IF(B54="","",IF(AB54&lt;=0,"Clear",IF(AA54&gt;0,"Partial","Due")))</f>
        <v/>
      </c>
    </row>
    <row r="55" customFormat="false" ht="15" hidden="false" customHeight="false" outlineLevel="0" collapsed="false">
      <c r="A55" s="25" t="n">
        <v>40</v>
      </c>
      <c r="B55" s="82" t="str">
        <f aca="false">IF(Students!B44="","",Students!B44)</f>
        <v/>
      </c>
      <c r="C55" s="37" t="n">
        <f aca="false">'May 2027'!F55</f>
        <v>0</v>
      </c>
      <c r="D55" s="37" t="n">
        <f aca="false">IF(B55="",0,N(Students!E44))</f>
        <v>0</v>
      </c>
      <c r="E55" s="23"/>
      <c r="F55" s="26" t="n">
        <f aca="false">N(C55)+N(D55)-N(E55)</f>
        <v>0</v>
      </c>
      <c r="G55" s="37" t="n">
        <f aca="false">'May 2027'!J55</f>
        <v>0</v>
      </c>
      <c r="H55" s="37" t="n">
        <f aca="false">IF(B55="",0,N(Students!F44))</f>
        <v>0</v>
      </c>
      <c r="I55" s="23"/>
      <c r="J55" s="26" t="n">
        <f aca="false">N(G55)+N(H55)-N(I55)</f>
        <v>0</v>
      </c>
      <c r="K55" s="37" t="n">
        <f aca="false">'May 2027'!N55</f>
        <v>0</v>
      </c>
      <c r="L55" s="37" t="n">
        <f aca="false">IF(B55="",0,N(Students!G44))</f>
        <v>0</v>
      </c>
      <c r="M55" s="23"/>
      <c r="N55" s="26" t="n">
        <f aca="false">N(K55)+N(L55)-N(M55)</f>
        <v>0</v>
      </c>
      <c r="O55" s="37" t="n">
        <f aca="false">'May 2027'!R55</f>
        <v>0</v>
      </c>
      <c r="P55" s="37" t="n">
        <f aca="false">IF(B55="",0,N(Students!H44))</f>
        <v>0</v>
      </c>
      <c r="Q55" s="23"/>
      <c r="R55" s="26" t="n">
        <f aca="false">N(O55)+N(P55)-N(Q55)</f>
        <v>0</v>
      </c>
      <c r="S55" s="37" t="n">
        <f aca="false">'May 2027'!V55</f>
        <v>0</v>
      </c>
      <c r="T55" s="37" t="n">
        <f aca="false">IF(B55="",0,N(Students!I44))</f>
        <v>0</v>
      </c>
      <c r="U55" s="23"/>
      <c r="V55" s="26" t="n">
        <f aca="false">N(S55)+N(T55)-N(U55)</f>
        <v>0</v>
      </c>
      <c r="W55" s="37" t="n">
        <f aca="false">'May 2027'!Z55</f>
        <v>0</v>
      </c>
      <c r="X55" s="37" t="n">
        <f aca="false">IF(B55="",0,N(Students!J44))</f>
        <v>0</v>
      </c>
      <c r="Y55" s="23"/>
      <c r="Z55" s="26" t="n">
        <f aca="false">N(W55)+N(X55)-N(Y55)</f>
        <v>0</v>
      </c>
      <c r="AA55" s="37" t="n">
        <f aca="false">N(E55)+N(I55)+N(M55)+N(Q55)+N(U55)+N(Y55)</f>
        <v>0</v>
      </c>
      <c r="AB55" s="26" t="n">
        <f aca="false">F55+J55+N55+R55+V55+Z55</f>
        <v>0</v>
      </c>
      <c r="AC55" s="83" t="str">
        <f aca="false">IF(B55="","",IF(AB55&lt;=0,"Clear",IF(AA55&gt;0,"Partial","Due")))</f>
        <v/>
      </c>
    </row>
    <row r="56" customFormat="false" ht="15" hidden="false" customHeight="false" outlineLevel="0" collapsed="false">
      <c r="A56" s="21" t="n">
        <v>41</v>
      </c>
      <c r="B56" s="46" t="str">
        <f aca="false">IF(Students!B45="","",Students!B45)</f>
        <v/>
      </c>
      <c r="C56" s="33" t="n">
        <f aca="false">'May 2027'!F56</f>
        <v>0</v>
      </c>
      <c r="D56" s="33" t="n">
        <f aca="false">IF(B56="",0,N(Students!E45))</f>
        <v>0</v>
      </c>
      <c r="E56" s="23"/>
      <c r="F56" s="24" t="n">
        <f aca="false">N(C56)+N(D56)-N(E56)</f>
        <v>0</v>
      </c>
      <c r="G56" s="33" t="n">
        <f aca="false">'May 2027'!J56</f>
        <v>0</v>
      </c>
      <c r="H56" s="33" t="n">
        <f aca="false">IF(B56="",0,N(Students!F45))</f>
        <v>0</v>
      </c>
      <c r="I56" s="23"/>
      <c r="J56" s="24" t="n">
        <f aca="false">N(G56)+N(H56)-N(I56)</f>
        <v>0</v>
      </c>
      <c r="K56" s="33" t="n">
        <f aca="false">'May 2027'!N56</f>
        <v>0</v>
      </c>
      <c r="L56" s="33" t="n">
        <f aca="false">IF(B56="",0,N(Students!G45))</f>
        <v>0</v>
      </c>
      <c r="M56" s="23"/>
      <c r="N56" s="24" t="n">
        <f aca="false">N(K56)+N(L56)-N(M56)</f>
        <v>0</v>
      </c>
      <c r="O56" s="33" t="n">
        <f aca="false">'May 2027'!R56</f>
        <v>0</v>
      </c>
      <c r="P56" s="33" t="n">
        <f aca="false">IF(B56="",0,N(Students!H45))</f>
        <v>0</v>
      </c>
      <c r="Q56" s="23"/>
      <c r="R56" s="24" t="n">
        <f aca="false">N(O56)+N(P56)-N(Q56)</f>
        <v>0</v>
      </c>
      <c r="S56" s="33" t="n">
        <f aca="false">'May 2027'!V56</f>
        <v>0</v>
      </c>
      <c r="T56" s="33" t="n">
        <f aca="false">IF(B56="",0,N(Students!I45))</f>
        <v>0</v>
      </c>
      <c r="U56" s="23"/>
      <c r="V56" s="24" t="n">
        <f aca="false">N(S56)+N(T56)-N(U56)</f>
        <v>0</v>
      </c>
      <c r="W56" s="33" t="n">
        <f aca="false">'May 2027'!Z56</f>
        <v>0</v>
      </c>
      <c r="X56" s="33" t="n">
        <f aca="false">IF(B56="",0,N(Students!J45))</f>
        <v>0</v>
      </c>
      <c r="Y56" s="23"/>
      <c r="Z56" s="24" t="n">
        <f aca="false">N(W56)+N(X56)-N(Y56)</f>
        <v>0</v>
      </c>
      <c r="AA56" s="33" t="n">
        <f aca="false">N(E56)+N(I56)+N(M56)+N(Q56)+N(U56)+N(Y56)</f>
        <v>0</v>
      </c>
      <c r="AB56" s="24" t="n">
        <f aca="false">F56+J56+N56+R56+V56+Z56</f>
        <v>0</v>
      </c>
      <c r="AC56" s="81" t="str">
        <f aca="false">IF(B56="","",IF(AB56&lt;=0,"Clear",IF(AA56&gt;0,"Partial","Due")))</f>
        <v/>
      </c>
    </row>
    <row r="57" customFormat="false" ht="15" hidden="false" customHeight="false" outlineLevel="0" collapsed="false">
      <c r="A57" s="25" t="n">
        <v>42</v>
      </c>
      <c r="B57" s="82" t="str">
        <f aca="false">IF(Students!B46="","",Students!B46)</f>
        <v/>
      </c>
      <c r="C57" s="37" t="n">
        <f aca="false">'May 2027'!F57</f>
        <v>0</v>
      </c>
      <c r="D57" s="37" t="n">
        <f aca="false">IF(B57="",0,N(Students!E46))</f>
        <v>0</v>
      </c>
      <c r="E57" s="23"/>
      <c r="F57" s="26" t="n">
        <f aca="false">N(C57)+N(D57)-N(E57)</f>
        <v>0</v>
      </c>
      <c r="G57" s="37" t="n">
        <f aca="false">'May 2027'!J57</f>
        <v>0</v>
      </c>
      <c r="H57" s="37" t="n">
        <f aca="false">IF(B57="",0,N(Students!F46))</f>
        <v>0</v>
      </c>
      <c r="I57" s="23"/>
      <c r="J57" s="26" t="n">
        <f aca="false">N(G57)+N(H57)-N(I57)</f>
        <v>0</v>
      </c>
      <c r="K57" s="37" t="n">
        <f aca="false">'May 2027'!N57</f>
        <v>0</v>
      </c>
      <c r="L57" s="37" t="n">
        <f aca="false">IF(B57="",0,N(Students!G46))</f>
        <v>0</v>
      </c>
      <c r="M57" s="23"/>
      <c r="N57" s="26" t="n">
        <f aca="false">N(K57)+N(L57)-N(M57)</f>
        <v>0</v>
      </c>
      <c r="O57" s="37" t="n">
        <f aca="false">'May 2027'!R57</f>
        <v>0</v>
      </c>
      <c r="P57" s="37" t="n">
        <f aca="false">IF(B57="",0,N(Students!H46))</f>
        <v>0</v>
      </c>
      <c r="Q57" s="23"/>
      <c r="R57" s="26" t="n">
        <f aca="false">N(O57)+N(P57)-N(Q57)</f>
        <v>0</v>
      </c>
      <c r="S57" s="37" t="n">
        <f aca="false">'May 2027'!V57</f>
        <v>0</v>
      </c>
      <c r="T57" s="37" t="n">
        <f aca="false">IF(B57="",0,N(Students!I46))</f>
        <v>0</v>
      </c>
      <c r="U57" s="23"/>
      <c r="V57" s="26" t="n">
        <f aca="false">N(S57)+N(T57)-N(U57)</f>
        <v>0</v>
      </c>
      <c r="W57" s="37" t="n">
        <f aca="false">'May 2027'!Z57</f>
        <v>0</v>
      </c>
      <c r="X57" s="37" t="n">
        <f aca="false">IF(B57="",0,N(Students!J46))</f>
        <v>0</v>
      </c>
      <c r="Y57" s="23"/>
      <c r="Z57" s="26" t="n">
        <f aca="false">N(W57)+N(X57)-N(Y57)</f>
        <v>0</v>
      </c>
      <c r="AA57" s="37" t="n">
        <f aca="false">N(E57)+N(I57)+N(M57)+N(Q57)+N(U57)+N(Y57)</f>
        <v>0</v>
      </c>
      <c r="AB57" s="26" t="n">
        <f aca="false">F57+J57+N57+R57+V57+Z57</f>
        <v>0</v>
      </c>
      <c r="AC57" s="83" t="str">
        <f aca="false">IF(B57="","",IF(AB57&lt;=0,"Clear",IF(AA57&gt;0,"Partial","Due")))</f>
        <v/>
      </c>
    </row>
    <row r="58" customFormat="false" ht="15" hidden="false" customHeight="false" outlineLevel="0" collapsed="false">
      <c r="A58" s="21" t="n">
        <v>43</v>
      </c>
      <c r="B58" s="46" t="str">
        <f aca="false">IF(Students!B47="","",Students!B47)</f>
        <v/>
      </c>
      <c r="C58" s="33" t="n">
        <f aca="false">'May 2027'!F58</f>
        <v>0</v>
      </c>
      <c r="D58" s="33" t="n">
        <f aca="false">IF(B58="",0,N(Students!E47))</f>
        <v>0</v>
      </c>
      <c r="E58" s="23"/>
      <c r="F58" s="24" t="n">
        <f aca="false">N(C58)+N(D58)-N(E58)</f>
        <v>0</v>
      </c>
      <c r="G58" s="33" t="n">
        <f aca="false">'May 2027'!J58</f>
        <v>0</v>
      </c>
      <c r="H58" s="33" t="n">
        <f aca="false">IF(B58="",0,N(Students!F47))</f>
        <v>0</v>
      </c>
      <c r="I58" s="23"/>
      <c r="J58" s="24" t="n">
        <f aca="false">N(G58)+N(H58)-N(I58)</f>
        <v>0</v>
      </c>
      <c r="K58" s="33" t="n">
        <f aca="false">'May 2027'!N58</f>
        <v>0</v>
      </c>
      <c r="L58" s="33" t="n">
        <f aca="false">IF(B58="",0,N(Students!G47))</f>
        <v>0</v>
      </c>
      <c r="M58" s="23"/>
      <c r="N58" s="24" t="n">
        <f aca="false">N(K58)+N(L58)-N(M58)</f>
        <v>0</v>
      </c>
      <c r="O58" s="33" t="n">
        <f aca="false">'May 2027'!R58</f>
        <v>0</v>
      </c>
      <c r="P58" s="33" t="n">
        <f aca="false">IF(B58="",0,N(Students!H47))</f>
        <v>0</v>
      </c>
      <c r="Q58" s="23"/>
      <c r="R58" s="24" t="n">
        <f aca="false">N(O58)+N(P58)-N(Q58)</f>
        <v>0</v>
      </c>
      <c r="S58" s="33" t="n">
        <f aca="false">'May 2027'!V58</f>
        <v>0</v>
      </c>
      <c r="T58" s="33" t="n">
        <f aca="false">IF(B58="",0,N(Students!I47))</f>
        <v>0</v>
      </c>
      <c r="U58" s="23"/>
      <c r="V58" s="24" t="n">
        <f aca="false">N(S58)+N(T58)-N(U58)</f>
        <v>0</v>
      </c>
      <c r="W58" s="33" t="n">
        <f aca="false">'May 2027'!Z58</f>
        <v>0</v>
      </c>
      <c r="X58" s="33" t="n">
        <f aca="false">IF(B58="",0,N(Students!J47))</f>
        <v>0</v>
      </c>
      <c r="Y58" s="23"/>
      <c r="Z58" s="24" t="n">
        <f aca="false">N(W58)+N(X58)-N(Y58)</f>
        <v>0</v>
      </c>
      <c r="AA58" s="33" t="n">
        <f aca="false">N(E58)+N(I58)+N(M58)+N(Q58)+N(U58)+N(Y58)</f>
        <v>0</v>
      </c>
      <c r="AB58" s="24" t="n">
        <f aca="false">F58+J58+N58+R58+V58+Z58</f>
        <v>0</v>
      </c>
      <c r="AC58" s="81" t="str">
        <f aca="false">IF(B58="","",IF(AB58&lt;=0,"Clear",IF(AA58&gt;0,"Partial","Due")))</f>
        <v/>
      </c>
    </row>
    <row r="59" customFormat="false" ht="15" hidden="false" customHeight="false" outlineLevel="0" collapsed="false">
      <c r="A59" s="25" t="n">
        <v>44</v>
      </c>
      <c r="B59" s="82" t="str">
        <f aca="false">IF(Students!B48="","",Students!B48)</f>
        <v/>
      </c>
      <c r="C59" s="37" t="n">
        <f aca="false">'May 2027'!F59</f>
        <v>0</v>
      </c>
      <c r="D59" s="37" t="n">
        <f aca="false">IF(B59="",0,N(Students!E48))</f>
        <v>0</v>
      </c>
      <c r="E59" s="23"/>
      <c r="F59" s="26" t="n">
        <f aca="false">N(C59)+N(D59)-N(E59)</f>
        <v>0</v>
      </c>
      <c r="G59" s="37" t="n">
        <f aca="false">'May 2027'!J59</f>
        <v>0</v>
      </c>
      <c r="H59" s="37" t="n">
        <f aca="false">IF(B59="",0,N(Students!F48))</f>
        <v>0</v>
      </c>
      <c r="I59" s="23"/>
      <c r="J59" s="26" t="n">
        <f aca="false">N(G59)+N(H59)-N(I59)</f>
        <v>0</v>
      </c>
      <c r="K59" s="37" t="n">
        <f aca="false">'May 2027'!N59</f>
        <v>0</v>
      </c>
      <c r="L59" s="37" t="n">
        <f aca="false">IF(B59="",0,N(Students!G48))</f>
        <v>0</v>
      </c>
      <c r="M59" s="23"/>
      <c r="N59" s="26" t="n">
        <f aca="false">N(K59)+N(L59)-N(M59)</f>
        <v>0</v>
      </c>
      <c r="O59" s="37" t="n">
        <f aca="false">'May 2027'!R59</f>
        <v>0</v>
      </c>
      <c r="P59" s="37" t="n">
        <f aca="false">IF(B59="",0,N(Students!H48))</f>
        <v>0</v>
      </c>
      <c r="Q59" s="23"/>
      <c r="R59" s="26" t="n">
        <f aca="false">N(O59)+N(P59)-N(Q59)</f>
        <v>0</v>
      </c>
      <c r="S59" s="37" t="n">
        <f aca="false">'May 2027'!V59</f>
        <v>0</v>
      </c>
      <c r="T59" s="37" t="n">
        <f aca="false">IF(B59="",0,N(Students!I48))</f>
        <v>0</v>
      </c>
      <c r="U59" s="23"/>
      <c r="V59" s="26" t="n">
        <f aca="false">N(S59)+N(T59)-N(U59)</f>
        <v>0</v>
      </c>
      <c r="W59" s="37" t="n">
        <f aca="false">'May 2027'!Z59</f>
        <v>0</v>
      </c>
      <c r="X59" s="37" t="n">
        <f aca="false">IF(B59="",0,N(Students!J48))</f>
        <v>0</v>
      </c>
      <c r="Y59" s="23"/>
      <c r="Z59" s="26" t="n">
        <f aca="false">N(W59)+N(X59)-N(Y59)</f>
        <v>0</v>
      </c>
      <c r="AA59" s="37" t="n">
        <f aca="false">N(E59)+N(I59)+N(M59)+N(Q59)+N(U59)+N(Y59)</f>
        <v>0</v>
      </c>
      <c r="AB59" s="26" t="n">
        <f aca="false">F59+J59+N59+R59+V59+Z59</f>
        <v>0</v>
      </c>
      <c r="AC59" s="83" t="str">
        <f aca="false">IF(B59="","",IF(AB59&lt;=0,"Clear",IF(AA59&gt;0,"Partial","Due")))</f>
        <v/>
      </c>
    </row>
    <row r="60" customFormat="false" ht="15" hidden="false" customHeight="false" outlineLevel="0" collapsed="false">
      <c r="A60" s="21" t="n">
        <v>45</v>
      </c>
      <c r="B60" s="46" t="str">
        <f aca="false">IF(Students!B49="","",Students!B49)</f>
        <v/>
      </c>
      <c r="C60" s="33" t="n">
        <f aca="false">'May 2027'!F60</f>
        <v>0</v>
      </c>
      <c r="D60" s="33" t="n">
        <f aca="false">IF(B60="",0,N(Students!E49))</f>
        <v>0</v>
      </c>
      <c r="E60" s="23"/>
      <c r="F60" s="24" t="n">
        <f aca="false">N(C60)+N(D60)-N(E60)</f>
        <v>0</v>
      </c>
      <c r="G60" s="33" t="n">
        <f aca="false">'May 2027'!J60</f>
        <v>0</v>
      </c>
      <c r="H60" s="33" t="n">
        <f aca="false">IF(B60="",0,N(Students!F49))</f>
        <v>0</v>
      </c>
      <c r="I60" s="23"/>
      <c r="J60" s="24" t="n">
        <f aca="false">N(G60)+N(H60)-N(I60)</f>
        <v>0</v>
      </c>
      <c r="K60" s="33" t="n">
        <f aca="false">'May 2027'!N60</f>
        <v>0</v>
      </c>
      <c r="L60" s="33" t="n">
        <f aca="false">IF(B60="",0,N(Students!G49))</f>
        <v>0</v>
      </c>
      <c r="M60" s="23"/>
      <c r="N60" s="24" t="n">
        <f aca="false">N(K60)+N(L60)-N(M60)</f>
        <v>0</v>
      </c>
      <c r="O60" s="33" t="n">
        <f aca="false">'May 2027'!R60</f>
        <v>0</v>
      </c>
      <c r="P60" s="33" t="n">
        <f aca="false">IF(B60="",0,N(Students!H49))</f>
        <v>0</v>
      </c>
      <c r="Q60" s="23"/>
      <c r="R60" s="24" t="n">
        <f aca="false">N(O60)+N(P60)-N(Q60)</f>
        <v>0</v>
      </c>
      <c r="S60" s="33" t="n">
        <f aca="false">'May 2027'!V60</f>
        <v>0</v>
      </c>
      <c r="T60" s="33" t="n">
        <f aca="false">IF(B60="",0,N(Students!I49))</f>
        <v>0</v>
      </c>
      <c r="U60" s="23"/>
      <c r="V60" s="24" t="n">
        <f aca="false">N(S60)+N(T60)-N(U60)</f>
        <v>0</v>
      </c>
      <c r="W60" s="33" t="n">
        <f aca="false">'May 2027'!Z60</f>
        <v>0</v>
      </c>
      <c r="X60" s="33" t="n">
        <f aca="false">IF(B60="",0,N(Students!J49))</f>
        <v>0</v>
      </c>
      <c r="Y60" s="23"/>
      <c r="Z60" s="24" t="n">
        <f aca="false">N(W60)+N(X60)-N(Y60)</f>
        <v>0</v>
      </c>
      <c r="AA60" s="33" t="n">
        <f aca="false">N(E60)+N(I60)+N(M60)+N(Q60)+N(U60)+N(Y60)</f>
        <v>0</v>
      </c>
      <c r="AB60" s="24" t="n">
        <f aca="false">F60+J60+N60+R60+V60+Z60</f>
        <v>0</v>
      </c>
      <c r="AC60" s="81" t="str">
        <f aca="false">IF(B60="","",IF(AB60&lt;=0,"Clear",IF(AA60&gt;0,"Partial","Due")))</f>
        <v/>
      </c>
    </row>
    <row r="61" customFormat="false" ht="15" hidden="false" customHeight="false" outlineLevel="0" collapsed="false">
      <c r="A61" s="25" t="n">
        <v>46</v>
      </c>
      <c r="B61" s="82" t="str">
        <f aca="false">IF(Students!B50="","",Students!B50)</f>
        <v/>
      </c>
      <c r="C61" s="37" t="n">
        <f aca="false">'May 2027'!F61</f>
        <v>0</v>
      </c>
      <c r="D61" s="37" t="n">
        <f aca="false">IF(B61="",0,N(Students!E50))</f>
        <v>0</v>
      </c>
      <c r="E61" s="23"/>
      <c r="F61" s="26" t="n">
        <f aca="false">N(C61)+N(D61)-N(E61)</f>
        <v>0</v>
      </c>
      <c r="G61" s="37" t="n">
        <f aca="false">'May 2027'!J61</f>
        <v>0</v>
      </c>
      <c r="H61" s="37" t="n">
        <f aca="false">IF(B61="",0,N(Students!F50))</f>
        <v>0</v>
      </c>
      <c r="I61" s="23"/>
      <c r="J61" s="26" t="n">
        <f aca="false">N(G61)+N(H61)-N(I61)</f>
        <v>0</v>
      </c>
      <c r="K61" s="37" t="n">
        <f aca="false">'May 2027'!N61</f>
        <v>0</v>
      </c>
      <c r="L61" s="37" t="n">
        <f aca="false">IF(B61="",0,N(Students!G50))</f>
        <v>0</v>
      </c>
      <c r="M61" s="23"/>
      <c r="N61" s="26" t="n">
        <f aca="false">N(K61)+N(L61)-N(M61)</f>
        <v>0</v>
      </c>
      <c r="O61" s="37" t="n">
        <f aca="false">'May 2027'!R61</f>
        <v>0</v>
      </c>
      <c r="P61" s="37" t="n">
        <f aca="false">IF(B61="",0,N(Students!H50))</f>
        <v>0</v>
      </c>
      <c r="Q61" s="23"/>
      <c r="R61" s="26" t="n">
        <f aca="false">N(O61)+N(P61)-N(Q61)</f>
        <v>0</v>
      </c>
      <c r="S61" s="37" t="n">
        <f aca="false">'May 2027'!V61</f>
        <v>0</v>
      </c>
      <c r="T61" s="37" t="n">
        <f aca="false">IF(B61="",0,N(Students!I50))</f>
        <v>0</v>
      </c>
      <c r="U61" s="23"/>
      <c r="V61" s="26" t="n">
        <f aca="false">N(S61)+N(T61)-N(U61)</f>
        <v>0</v>
      </c>
      <c r="W61" s="37" t="n">
        <f aca="false">'May 2027'!Z61</f>
        <v>0</v>
      </c>
      <c r="X61" s="37" t="n">
        <f aca="false">IF(B61="",0,N(Students!J50))</f>
        <v>0</v>
      </c>
      <c r="Y61" s="23"/>
      <c r="Z61" s="26" t="n">
        <f aca="false">N(W61)+N(X61)-N(Y61)</f>
        <v>0</v>
      </c>
      <c r="AA61" s="37" t="n">
        <f aca="false">N(E61)+N(I61)+N(M61)+N(Q61)+N(U61)+N(Y61)</f>
        <v>0</v>
      </c>
      <c r="AB61" s="26" t="n">
        <f aca="false">F61+J61+N61+R61+V61+Z61</f>
        <v>0</v>
      </c>
      <c r="AC61" s="83" t="str">
        <f aca="false">IF(B61="","",IF(AB61&lt;=0,"Clear",IF(AA61&gt;0,"Partial","Due")))</f>
        <v/>
      </c>
    </row>
    <row r="62" customFormat="false" ht="15" hidden="false" customHeight="false" outlineLevel="0" collapsed="false">
      <c r="A62" s="21" t="n">
        <v>47</v>
      </c>
      <c r="B62" s="46" t="str">
        <f aca="false">IF(Students!B51="","",Students!B51)</f>
        <v/>
      </c>
      <c r="C62" s="33" t="n">
        <f aca="false">'May 2027'!F62</f>
        <v>0</v>
      </c>
      <c r="D62" s="33" t="n">
        <f aca="false">IF(B62="",0,N(Students!E51))</f>
        <v>0</v>
      </c>
      <c r="E62" s="23"/>
      <c r="F62" s="24" t="n">
        <f aca="false">N(C62)+N(D62)-N(E62)</f>
        <v>0</v>
      </c>
      <c r="G62" s="33" t="n">
        <f aca="false">'May 2027'!J62</f>
        <v>0</v>
      </c>
      <c r="H62" s="33" t="n">
        <f aca="false">IF(B62="",0,N(Students!F51))</f>
        <v>0</v>
      </c>
      <c r="I62" s="23"/>
      <c r="J62" s="24" t="n">
        <f aca="false">N(G62)+N(H62)-N(I62)</f>
        <v>0</v>
      </c>
      <c r="K62" s="33" t="n">
        <f aca="false">'May 2027'!N62</f>
        <v>0</v>
      </c>
      <c r="L62" s="33" t="n">
        <f aca="false">IF(B62="",0,N(Students!G51))</f>
        <v>0</v>
      </c>
      <c r="M62" s="23"/>
      <c r="N62" s="24" t="n">
        <f aca="false">N(K62)+N(L62)-N(M62)</f>
        <v>0</v>
      </c>
      <c r="O62" s="33" t="n">
        <f aca="false">'May 2027'!R62</f>
        <v>0</v>
      </c>
      <c r="P62" s="33" t="n">
        <f aca="false">IF(B62="",0,N(Students!H51))</f>
        <v>0</v>
      </c>
      <c r="Q62" s="23"/>
      <c r="R62" s="24" t="n">
        <f aca="false">N(O62)+N(P62)-N(Q62)</f>
        <v>0</v>
      </c>
      <c r="S62" s="33" t="n">
        <f aca="false">'May 2027'!V62</f>
        <v>0</v>
      </c>
      <c r="T62" s="33" t="n">
        <f aca="false">IF(B62="",0,N(Students!I51))</f>
        <v>0</v>
      </c>
      <c r="U62" s="23"/>
      <c r="V62" s="24" t="n">
        <f aca="false">N(S62)+N(T62)-N(U62)</f>
        <v>0</v>
      </c>
      <c r="W62" s="33" t="n">
        <f aca="false">'May 2027'!Z62</f>
        <v>0</v>
      </c>
      <c r="X62" s="33" t="n">
        <f aca="false">IF(B62="",0,N(Students!J51))</f>
        <v>0</v>
      </c>
      <c r="Y62" s="23"/>
      <c r="Z62" s="24" t="n">
        <f aca="false">N(W62)+N(X62)-N(Y62)</f>
        <v>0</v>
      </c>
      <c r="AA62" s="33" t="n">
        <f aca="false">N(E62)+N(I62)+N(M62)+N(Q62)+N(U62)+N(Y62)</f>
        <v>0</v>
      </c>
      <c r="AB62" s="24" t="n">
        <f aca="false">F62+J62+N62+R62+V62+Z62</f>
        <v>0</v>
      </c>
      <c r="AC62" s="81" t="str">
        <f aca="false">IF(B62="","",IF(AB62&lt;=0,"Clear",IF(AA62&gt;0,"Partial","Due")))</f>
        <v/>
      </c>
    </row>
    <row r="63" customFormat="false" ht="15" hidden="false" customHeight="false" outlineLevel="0" collapsed="false">
      <c r="A63" s="25" t="n">
        <v>48</v>
      </c>
      <c r="B63" s="82" t="str">
        <f aca="false">IF(Students!B52="","",Students!B52)</f>
        <v/>
      </c>
      <c r="C63" s="37" t="n">
        <f aca="false">'May 2027'!F63</f>
        <v>0</v>
      </c>
      <c r="D63" s="37" t="n">
        <f aca="false">IF(B63="",0,N(Students!E52))</f>
        <v>0</v>
      </c>
      <c r="E63" s="23"/>
      <c r="F63" s="26" t="n">
        <f aca="false">N(C63)+N(D63)-N(E63)</f>
        <v>0</v>
      </c>
      <c r="G63" s="37" t="n">
        <f aca="false">'May 2027'!J63</f>
        <v>0</v>
      </c>
      <c r="H63" s="37" t="n">
        <f aca="false">IF(B63="",0,N(Students!F52))</f>
        <v>0</v>
      </c>
      <c r="I63" s="23"/>
      <c r="J63" s="26" t="n">
        <f aca="false">N(G63)+N(H63)-N(I63)</f>
        <v>0</v>
      </c>
      <c r="K63" s="37" t="n">
        <f aca="false">'May 2027'!N63</f>
        <v>0</v>
      </c>
      <c r="L63" s="37" t="n">
        <f aca="false">IF(B63="",0,N(Students!G52))</f>
        <v>0</v>
      </c>
      <c r="M63" s="23"/>
      <c r="N63" s="26" t="n">
        <f aca="false">N(K63)+N(L63)-N(M63)</f>
        <v>0</v>
      </c>
      <c r="O63" s="37" t="n">
        <f aca="false">'May 2027'!R63</f>
        <v>0</v>
      </c>
      <c r="P63" s="37" t="n">
        <f aca="false">IF(B63="",0,N(Students!H52))</f>
        <v>0</v>
      </c>
      <c r="Q63" s="23"/>
      <c r="R63" s="26" t="n">
        <f aca="false">N(O63)+N(P63)-N(Q63)</f>
        <v>0</v>
      </c>
      <c r="S63" s="37" t="n">
        <f aca="false">'May 2027'!V63</f>
        <v>0</v>
      </c>
      <c r="T63" s="37" t="n">
        <f aca="false">IF(B63="",0,N(Students!I52))</f>
        <v>0</v>
      </c>
      <c r="U63" s="23"/>
      <c r="V63" s="26" t="n">
        <f aca="false">N(S63)+N(T63)-N(U63)</f>
        <v>0</v>
      </c>
      <c r="W63" s="37" t="n">
        <f aca="false">'May 2027'!Z63</f>
        <v>0</v>
      </c>
      <c r="X63" s="37" t="n">
        <f aca="false">IF(B63="",0,N(Students!J52))</f>
        <v>0</v>
      </c>
      <c r="Y63" s="23"/>
      <c r="Z63" s="26" t="n">
        <f aca="false">N(W63)+N(X63)-N(Y63)</f>
        <v>0</v>
      </c>
      <c r="AA63" s="37" t="n">
        <f aca="false">N(E63)+N(I63)+N(M63)+N(Q63)+N(U63)+N(Y63)</f>
        <v>0</v>
      </c>
      <c r="AB63" s="26" t="n">
        <f aca="false">F63+J63+N63+R63+V63+Z63</f>
        <v>0</v>
      </c>
      <c r="AC63" s="83" t="str">
        <f aca="false">IF(B63="","",IF(AB63&lt;=0,"Clear",IF(AA63&gt;0,"Partial","Due")))</f>
        <v/>
      </c>
    </row>
    <row r="64" customFormat="false" ht="15" hidden="false" customHeight="false" outlineLevel="0" collapsed="false">
      <c r="A64" s="21" t="n">
        <v>49</v>
      </c>
      <c r="B64" s="46" t="str">
        <f aca="false">IF(Students!B53="","",Students!B53)</f>
        <v/>
      </c>
      <c r="C64" s="33" t="n">
        <f aca="false">'May 2027'!F64</f>
        <v>0</v>
      </c>
      <c r="D64" s="33" t="n">
        <f aca="false">IF(B64="",0,N(Students!E53))</f>
        <v>0</v>
      </c>
      <c r="E64" s="23"/>
      <c r="F64" s="24" t="n">
        <f aca="false">N(C64)+N(D64)-N(E64)</f>
        <v>0</v>
      </c>
      <c r="G64" s="33" t="n">
        <f aca="false">'May 2027'!J64</f>
        <v>0</v>
      </c>
      <c r="H64" s="33" t="n">
        <f aca="false">IF(B64="",0,N(Students!F53))</f>
        <v>0</v>
      </c>
      <c r="I64" s="23"/>
      <c r="J64" s="24" t="n">
        <f aca="false">N(G64)+N(H64)-N(I64)</f>
        <v>0</v>
      </c>
      <c r="K64" s="33" t="n">
        <f aca="false">'May 2027'!N64</f>
        <v>0</v>
      </c>
      <c r="L64" s="33" t="n">
        <f aca="false">IF(B64="",0,N(Students!G53))</f>
        <v>0</v>
      </c>
      <c r="M64" s="23"/>
      <c r="N64" s="24" t="n">
        <f aca="false">N(K64)+N(L64)-N(M64)</f>
        <v>0</v>
      </c>
      <c r="O64" s="33" t="n">
        <f aca="false">'May 2027'!R64</f>
        <v>0</v>
      </c>
      <c r="P64" s="33" t="n">
        <f aca="false">IF(B64="",0,N(Students!H53))</f>
        <v>0</v>
      </c>
      <c r="Q64" s="23"/>
      <c r="R64" s="24" t="n">
        <f aca="false">N(O64)+N(P64)-N(Q64)</f>
        <v>0</v>
      </c>
      <c r="S64" s="33" t="n">
        <f aca="false">'May 2027'!V64</f>
        <v>0</v>
      </c>
      <c r="T64" s="33" t="n">
        <f aca="false">IF(B64="",0,N(Students!I53))</f>
        <v>0</v>
      </c>
      <c r="U64" s="23"/>
      <c r="V64" s="24" t="n">
        <f aca="false">N(S64)+N(T64)-N(U64)</f>
        <v>0</v>
      </c>
      <c r="W64" s="33" t="n">
        <f aca="false">'May 2027'!Z64</f>
        <v>0</v>
      </c>
      <c r="X64" s="33" t="n">
        <f aca="false">IF(B64="",0,N(Students!J53))</f>
        <v>0</v>
      </c>
      <c r="Y64" s="23"/>
      <c r="Z64" s="24" t="n">
        <f aca="false">N(W64)+N(X64)-N(Y64)</f>
        <v>0</v>
      </c>
      <c r="AA64" s="33" t="n">
        <f aca="false">N(E64)+N(I64)+N(M64)+N(Q64)+N(U64)+N(Y64)</f>
        <v>0</v>
      </c>
      <c r="AB64" s="24" t="n">
        <f aca="false">F64+J64+N64+R64+V64+Z64</f>
        <v>0</v>
      </c>
      <c r="AC64" s="81" t="str">
        <f aca="false">IF(B64="","",IF(AB64&lt;=0,"Clear",IF(AA64&gt;0,"Partial","Due")))</f>
        <v/>
      </c>
    </row>
    <row r="65" customFormat="false" ht="15" hidden="false" customHeight="false" outlineLevel="0" collapsed="false">
      <c r="A65" s="25" t="n">
        <v>50</v>
      </c>
      <c r="B65" s="82" t="str">
        <f aca="false">IF(Students!B54="","",Students!B54)</f>
        <v/>
      </c>
      <c r="C65" s="37" t="n">
        <f aca="false">'May 2027'!F65</f>
        <v>0</v>
      </c>
      <c r="D65" s="37" t="n">
        <f aca="false">IF(B65="",0,N(Students!E54))</f>
        <v>0</v>
      </c>
      <c r="E65" s="23"/>
      <c r="F65" s="26" t="n">
        <f aca="false">N(C65)+N(D65)-N(E65)</f>
        <v>0</v>
      </c>
      <c r="G65" s="37" t="n">
        <f aca="false">'May 2027'!J65</f>
        <v>0</v>
      </c>
      <c r="H65" s="37" t="n">
        <f aca="false">IF(B65="",0,N(Students!F54))</f>
        <v>0</v>
      </c>
      <c r="I65" s="23"/>
      <c r="J65" s="26" t="n">
        <f aca="false">N(G65)+N(H65)-N(I65)</f>
        <v>0</v>
      </c>
      <c r="K65" s="37" t="n">
        <f aca="false">'May 2027'!N65</f>
        <v>0</v>
      </c>
      <c r="L65" s="37" t="n">
        <f aca="false">IF(B65="",0,N(Students!G54))</f>
        <v>0</v>
      </c>
      <c r="M65" s="23"/>
      <c r="N65" s="26" t="n">
        <f aca="false">N(K65)+N(L65)-N(M65)</f>
        <v>0</v>
      </c>
      <c r="O65" s="37" t="n">
        <f aca="false">'May 2027'!R65</f>
        <v>0</v>
      </c>
      <c r="P65" s="37" t="n">
        <f aca="false">IF(B65="",0,N(Students!H54))</f>
        <v>0</v>
      </c>
      <c r="Q65" s="23"/>
      <c r="R65" s="26" t="n">
        <f aca="false">N(O65)+N(P65)-N(Q65)</f>
        <v>0</v>
      </c>
      <c r="S65" s="37" t="n">
        <f aca="false">'May 2027'!V65</f>
        <v>0</v>
      </c>
      <c r="T65" s="37" t="n">
        <f aca="false">IF(B65="",0,N(Students!I54))</f>
        <v>0</v>
      </c>
      <c r="U65" s="23"/>
      <c r="V65" s="26" t="n">
        <f aca="false">N(S65)+N(T65)-N(U65)</f>
        <v>0</v>
      </c>
      <c r="W65" s="37" t="n">
        <f aca="false">'May 2027'!Z65</f>
        <v>0</v>
      </c>
      <c r="X65" s="37" t="n">
        <f aca="false">IF(B65="",0,N(Students!J54))</f>
        <v>0</v>
      </c>
      <c r="Y65" s="23"/>
      <c r="Z65" s="26" t="n">
        <f aca="false">N(W65)+N(X65)-N(Y65)</f>
        <v>0</v>
      </c>
      <c r="AA65" s="37" t="n">
        <f aca="false">N(E65)+N(I65)+N(M65)+N(Q65)+N(U65)+N(Y65)</f>
        <v>0</v>
      </c>
      <c r="AB65" s="26" t="n">
        <f aca="false">F65+J65+N65+R65+V65+Z65</f>
        <v>0</v>
      </c>
      <c r="AC65" s="83" t="str">
        <f aca="false">IF(B65="","",IF(AB65&lt;=0,"Clear",IF(AA65&gt;0,"Partial","Due")))</f>
        <v/>
      </c>
    </row>
    <row r="66" customFormat="false" ht="15" hidden="false" customHeight="false" outlineLevel="0" collapsed="false">
      <c r="A66" s="21" t="n">
        <v>51</v>
      </c>
      <c r="B66" s="46" t="str">
        <f aca="false">IF(Students!B55="","",Students!B55)</f>
        <v/>
      </c>
      <c r="C66" s="33" t="n">
        <f aca="false">'May 2027'!F66</f>
        <v>0</v>
      </c>
      <c r="D66" s="33" t="n">
        <f aca="false">IF(B66="",0,N(Students!E55))</f>
        <v>0</v>
      </c>
      <c r="E66" s="23"/>
      <c r="F66" s="24" t="n">
        <f aca="false">N(C66)+N(D66)-N(E66)</f>
        <v>0</v>
      </c>
      <c r="G66" s="33" t="n">
        <f aca="false">'May 2027'!J66</f>
        <v>0</v>
      </c>
      <c r="H66" s="33" t="n">
        <f aca="false">IF(B66="",0,N(Students!F55))</f>
        <v>0</v>
      </c>
      <c r="I66" s="23"/>
      <c r="J66" s="24" t="n">
        <f aca="false">N(G66)+N(H66)-N(I66)</f>
        <v>0</v>
      </c>
      <c r="K66" s="33" t="n">
        <f aca="false">'May 2027'!N66</f>
        <v>0</v>
      </c>
      <c r="L66" s="33" t="n">
        <f aca="false">IF(B66="",0,N(Students!G55))</f>
        <v>0</v>
      </c>
      <c r="M66" s="23"/>
      <c r="N66" s="24" t="n">
        <f aca="false">N(K66)+N(L66)-N(M66)</f>
        <v>0</v>
      </c>
      <c r="O66" s="33" t="n">
        <f aca="false">'May 2027'!R66</f>
        <v>0</v>
      </c>
      <c r="P66" s="33" t="n">
        <f aca="false">IF(B66="",0,N(Students!H55))</f>
        <v>0</v>
      </c>
      <c r="Q66" s="23"/>
      <c r="R66" s="24" t="n">
        <f aca="false">N(O66)+N(P66)-N(Q66)</f>
        <v>0</v>
      </c>
      <c r="S66" s="33" t="n">
        <f aca="false">'May 2027'!V66</f>
        <v>0</v>
      </c>
      <c r="T66" s="33" t="n">
        <f aca="false">IF(B66="",0,N(Students!I55))</f>
        <v>0</v>
      </c>
      <c r="U66" s="23"/>
      <c r="V66" s="24" t="n">
        <f aca="false">N(S66)+N(T66)-N(U66)</f>
        <v>0</v>
      </c>
      <c r="W66" s="33" t="n">
        <f aca="false">'May 2027'!Z66</f>
        <v>0</v>
      </c>
      <c r="X66" s="33" t="n">
        <f aca="false">IF(B66="",0,N(Students!J55))</f>
        <v>0</v>
      </c>
      <c r="Y66" s="23"/>
      <c r="Z66" s="24" t="n">
        <f aca="false">N(W66)+N(X66)-N(Y66)</f>
        <v>0</v>
      </c>
      <c r="AA66" s="33" t="n">
        <f aca="false">N(E66)+N(I66)+N(M66)+N(Q66)+N(U66)+N(Y66)</f>
        <v>0</v>
      </c>
      <c r="AB66" s="24" t="n">
        <f aca="false">F66+J66+N66+R66+V66+Z66</f>
        <v>0</v>
      </c>
      <c r="AC66" s="81" t="str">
        <f aca="false">IF(B66="","",IF(AB66&lt;=0,"Clear",IF(AA66&gt;0,"Partial","Due")))</f>
        <v/>
      </c>
    </row>
    <row r="67" customFormat="false" ht="15" hidden="false" customHeight="false" outlineLevel="0" collapsed="false">
      <c r="A67" s="25" t="n">
        <v>52</v>
      </c>
      <c r="B67" s="82" t="str">
        <f aca="false">IF(Students!B56="","",Students!B56)</f>
        <v/>
      </c>
      <c r="C67" s="37" t="n">
        <f aca="false">'May 2027'!F67</f>
        <v>0</v>
      </c>
      <c r="D67" s="37" t="n">
        <f aca="false">IF(B67="",0,N(Students!E56))</f>
        <v>0</v>
      </c>
      <c r="E67" s="23"/>
      <c r="F67" s="26" t="n">
        <f aca="false">N(C67)+N(D67)-N(E67)</f>
        <v>0</v>
      </c>
      <c r="G67" s="37" t="n">
        <f aca="false">'May 2027'!J67</f>
        <v>0</v>
      </c>
      <c r="H67" s="37" t="n">
        <f aca="false">IF(B67="",0,N(Students!F56))</f>
        <v>0</v>
      </c>
      <c r="I67" s="23"/>
      <c r="J67" s="26" t="n">
        <f aca="false">N(G67)+N(H67)-N(I67)</f>
        <v>0</v>
      </c>
      <c r="K67" s="37" t="n">
        <f aca="false">'May 2027'!N67</f>
        <v>0</v>
      </c>
      <c r="L67" s="37" t="n">
        <f aca="false">IF(B67="",0,N(Students!G56))</f>
        <v>0</v>
      </c>
      <c r="M67" s="23"/>
      <c r="N67" s="26" t="n">
        <f aca="false">N(K67)+N(L67)-N(M67)</f>
        <v>0</v>
      </c>
      <c r="O67" s="37" t="n">
        <f aca="false">'May 2027'!R67</f>
        <v>0</v>
      </c>
      <c r="P67" s="37" t="n">
        <f aca="false">IF(B67="",0,N(Students!H56))</f>
        <v>0</v>
      </c>
      <c r="Q67" s="23"/>
      <c r="R67" s="26" t="n">
        <f aca="false">N(O67)+N(P67)-N(Q67)</f>
        <v>0</v>
      </c>
      <c r="S67" s="37" t="n">
        <f aca="false">'May 2027'!V67</f>
        <v>0</v>
      </c>
      <c r="T67" s="37" t="n">
        <f aca="false">IF(B67="",0,N(Students!I56))</f>
        <v>0</v>
      </c>
      <c r="U67" s="23"/>
      <c r="V67" s="26" t="n">
        <f aca="false">N(S67)+N(T67)-N(U67)</f>
        <v>0</v>
      </c>
      <c r="W67" s="37" t="n">
        <f aca="false">'May 2027'!Z67</f>
        <v>0</v>
      </c>
      <c r="X67" s="37" t="n">
        <f aca="false">IF(B67="",0,N(Students!J56))</f>
        <v>0</v>
      </c>
      <c r="Y67" s="23"/>
      <c r="Z67" s="26" t="n">
        <f aca="false">N(W67)+N(X67)-N(Y67)</f>
        <v>0</v>
      </c>
      <c r="AA67" s="37" t="n">
        <f aca="false">N(E67)+N(I67)+N(M67)+N(Q67)+N(U67)+N(Y67)</f>
        <v>0</v>
      </c>
      <c r="AB67" s="26" t="n">
        <f aca="false">F67+J67+N67+R67+V67+Z67</f>
        <v>0</v>
      </c>
      <c r="AC67" s="83" t="str">
        <f aca="false">IF(B67="","",IF(AB67&lt;=0,"Clear",IF(AA67&gt;0,"Partial","Due")))</f>
        <v/>
      </c>
    </row>
    <row r="68" customFormat="false" ht="15" hidden="false" customHeight="false" outlineLevel="0" collapsed="false">
      <c r="A68" s="21" t="n">
        <v>53</v>
      </c>
      <c r="B68" s="46" t="str">
        <f aca="false">IF(Students!B57="","",Students!B57)</f>
        <v/>
      </c>
      <c r="C68" s="33" t="n">
        <f aca="false">'May 2027'!F68</f>
        <v>0</v>
      </c>
      <c r="D68" s="33" t="n">
        <f aca="false">IF(B68="",0,N(Students!E57))</f>
        <v>0</v>
      </c>
      <c r="E68" s="23"/>
      <c r="F68" s="24" t="n">
        <f aca="false">N(C68)+N(D68)-N(E68)</f>
        <v>0</v>
      </c>
      <c r="G68" s="33" t="n">
        <f aca="false">'May 2027'!J68</f>
        <v>0</v>
      </c>
      <c r="H68" s="33" t="n">
        <f aca="false">IF(B68="",0,N(Students!F57))</f>
        <v>0</v>
      </c>
      <c r="I68" s="23"/>
      <c r="J68" s="24" t="n">
        <f aca="false">N(G68)+N(H68)-N(I68)</f>
        <v>0</v>
      </c>
      <c r="K68" s="33" t="n">
        <f aca="false">'May 2027'!N68</f>
        <v>0</v>
      </c>
      <c r="L68" s="33" t="n">
        <f aca="false">IF(B68="",0,N(Students!G57))</f>
        <v>0</v>
      </c>
      <c r="M68" s="23"/>
      <c r="N68" s="24" t="n">
        <f aca="false">N(K68)+N(L68)-N(M68)</f>
        <v>0</v>
      </c>
      <c r="O68" s="33" t="n">
        <f aca="false">'May 2027'!R68</f>
        <v>0</v>
      </c>
      <c r="P68" s="33" t="n">
        <f aca="false">IF(B68="",0,N(Students!H57))</f>
        <v>0</v>
      </c>
      <c r="Q68" s="23"/>
      <c r="R68" s="24" t="n">
        <f aca="false">N(O68)+N(P68)-N(Q68)</f>
        <v>0</v>
      </c>
      <c r="S68" s="33" t="n">
        <f aca="false">'May 2027'!V68</f>
        <v>0</v>
      </c>
      <c r="T68" s="33" t="n">
        <f aca="false">IF(B68="",0,N(Students!I57))</f>
        <v>0</v>
      </c>
      <c r="U68" s="23"/>
      <c r="V68" s="24" t="n">
        <f aca="false">N(S68)+N(T68)-N(U68)</f>
        <v>0</v>
      </c>
      <c r="W68" s="33" t="n">
        <f aca="false">'May 2027'!Z68</f>
        <v>0</v>
      </c>
      <c r="X68" s="33" t="n">
        <f aca="false">IF(B68="",0,N(Students!J57))</f>
        <v>0</v>
      </c>
      <c r="Y68" s="23"/>
      <c r="Z68" s="24" t="n">
        <f aca="false">N(W68)+N(X68)-N(Y68)</f>
        <v>0</v>
      </c>
      <c r="AA68" s="33" t="n">
        <f aca="false">N(E68)+N(I68)+N(M68)+N(Q68)+N(U68)+N(Y68)</f>
        <v>0</v>
      </c>
      <c r="AB68" s="24" t="n">
        <f aca="false">F68+J68+N68+R68+V68+Z68</f>
        <v>0</v>
      </c>
      <c r="AC68" s="81" t="str">
        <f aca="false">IF(B68="","",IF(AB68&lt;=0,"Clear",IF(AA68&gt;0,"Partial","Due")))</f>
        <v/>
      </c>
    </row>
    <row r="69" customFormat="false" ht="15" hidden="false" customHeight="false" outlineLevel="0" collapsed="false">
      <c r="A69" s="25" t="n">
        <v>54</v>
      </c>
      <c r="B69" s="82" t="str">
        <f aca="false">IF(Students!B58="","",Students!B58)</f>
        <v/>
      </c>
      <c r="C69" s="37" t="n">
        <f aca="false">'May 2027'!F69</f>
        <v>0</v>
      </c>
      <c r="D69" s="37" t="n">
        <f aca="false">IF(B69="",0,N(Students!E58))</f>
        <v>0</v>
      </c>
      <c r="E69" s="23"/>
      <c r="F69" s="26" t="n">
        <f aca="false">N(C69)+N(D69)-N(E69)</f>
        <v>0</v>
      </c>
      <c r="G69" s="37" t="n">
        <f aca="false">'May 2027'!J69</f>
        <v>0</v>
      </c>
      <c r="H69" s="37" t="n">
        <f aca="false">IF(B69="",0,N(Students!F58))</f>
        <v>0</v>
      </c>
      <c r="I69" s="23"/>
      <c r="J69" s="26" t="n">
        <f aca="false">N(G69)+N(H69)-N(I69)</f>
        <v>0</v>
      </c>
      <c r="K69" s="37" t="n">
        <f aca="false">'May 2027'!N69</f>
        <v>0</v>
      </c>
      <c r="L69" s="37" t="n">
        <f aca="false">IF(B69="",0,N(Students!G58))</f>
        <v>0</v>
      </c>
      <c r="M69" s="23"/>
      <c r="N69" s="26" t="n">
        <f aca="false">N(K69)+N(L69)-N(M69)</f>
        <v>0</v>
      </c>
      <c r="O69" s="37" t="n">
        <f aca="false">'May 2027'!R69</f>
        <v>0</v>
      </c>
      <c r="P69" s="37" t="n">
        <f aca="false">IF(B69="",0,N(Students!H58))</f>
        <v>0</v>
      </c>
      <c r="Q69" s="23"/>
      <c r="R69" s="26" t="n">
        <f aca="false">N(O69)+N(P69)-N(Q69)</f>
        <v>0</v>
      </c>
      <c r="S69" s="37" t="n">
        <f aca="false">'May 2027'!V69</f>
        <v>0</v>
      </c>
      <c r="T69" s="37" t="n">
        <f aca="false">IF(B69="",0,N(Students!I58))</f>
        <v>0</v>
      </c>
      <c r="U69" s="23"/>
      <c r="V69" s="26" t="n">
        <f aca="false">N(S69)+N(T69)-N(U69)</f>
        <v>0</v>
      </c>
      <c r="W69" s="37" t="n">
        <f aca="false">'May 2027'!Z69</f>
        <v>0</v>
      </c>
      <c r="X69" s="37" t="n">
        <f aca="false">IF(B69="",0,N(Students!J58))</f>
        <v>0</v>
      </c>
      <c r="Y69" s="23"/>
      <c r="Z69" s="26" t="n">
        <f aca="false">N(W69)+N(X69)-N(Y69)</f>
        <v>0</v>
      </c>
      <c r="AA69" s="37" t="n">
        <f aca="false">N(E69)+N(I69)+N(M69)+N(Q69)+N(U69)+N(Y69)</f>
        <v>0</v>
      </c>
      <c r="AB69" s="26" t="n">
        <f aca="false">F69+J69+N69+R69+V69+Z69</f>
        <v>0</v>
      </c>
      <c r="AC69" s="83" t="str">
        <f aca="false">IF(B69="","",IF(AB69&lt;=0,"Clear",IF(AA69&gt;0,"Partial","Due")))</f>
        <v/>
      </c>
    </row>
    <row r="70" customFormat="false" ht="15" hidden="false" customHeight="false" outlineLevel="0" collapsed="false">
      <c r="A70" s="21" t="n">
        <v>55</v>
      </c>
      <c r="B70" s="46" t="str">
        <f aca="false">IF(Students!B59="","",Students!B59)</f>
        <v/>
      </c>
      <c r="C70" s="33" t="n">
        <f aca="false">'May 2027'!F70</f>
        <v>0</v>
      </c>
      <c r="D70" s="33" t="n">
        <f aca="false">IF(B70="",0,N(Students!E59))</f>
        <v>0</v>
      </c>
      <c r="E70" s="23"/>
      <c r="F70" s="24" t="n">
        <f aca="false">N(C70)+N(D70)-N(E70)</f>
        <v>0</v>
      </c>
      <c r="G70" s="33" t="n">
        <f aca="false">'May 2027'!J70</f>
        <v>0</v>
      </c>
      <c r="H70" s="33" t="n">
        <f aca="false">IF(B70="",0,N(Students!F59))</f>
        <v>0</v>
      </c>
      <c r="I70" s="23"/>
      <c r="J70" s="24" t="n">
        <f aca="false">N(G70)+N(H70)-N(I70)</f>
        <v>0</v>
      </c>
      <c r="K70" s="33" t="n">
        <f aca="false">'May 2027'!N70</f>
        <v>0</v>
      </c>
      <c r="L70" s="33" t="n">
        <f aca="false">IF(B70="",0,N(Students!G59))</f>
        <v>0</v>
      </c>
      <c r="M70" s="23"/>
      <c r="N70" s="24" t="n">
        <f aca="false">N(K70)+N(L70)-N(M70)</f>
        <v>0</v>
      </c>
      <c r="O70" s="33" t="n">
        <f aca="false">'May 2027'!R70</f>
        <v>0</v>
      </c>
      <c r="P70" s="33" t="n">
        <f aca="false">IF(B70="",0,N(Students!H59))</f>
        <v>0</v>
      </c>
      <c r="Q70" s="23"/>
      <c r="R70" s="24" t="n">
        <f aca="false">N(O70)+N(P70)-N(Q70)</f>
        <v>0</v>
      </c>
      <c r="S70" s="33" t="n">
        <f aca="false">'May 2027'!V70</f>
        <v>0</v>
      </c>
      <c r="T70" s="33" t="n">
        <f aca="false">IF(B70="",0,N(Students!I59))</f>
        <v>0</v>
      </c>
      <c r="U70" s="23"/>
      <c r="V70" s="24" t="n">
        <f aca="false">N(S70)+N(T70)-N(U70)</f>
        <v>0</v>
      </c>
      <c r="W70" s="33" t="n">
        <f aca="false">'May 2027'!Z70</f>
        <v>0</v>
      </c>
      <c r="X70" s="33" t="n">
        <f aca="false">IF(B70="",0,N(Students!J59))</f>
        <v>0</v>
      </c>
      <c r="Y70" s="23"/>
      <c r="Z70" s="24" t="n">
        <f aca="false">N(W70)+N(X70)-N(Y70)</f>
        <v>0</v>
      </c>
      <c r="AA70" s="33" t="n">
        <f aca="false">N(E70)+N(I70)+N(M70)+N(Q70)+N(U70)+N(Y70)</f>
        <v>0</v>
      </c>
      <c r="AB70" s="24" t="n">
        <f aca="false">F70+J70+N70+R70+V70+Z70</f>
        <v>0</v>
      </c>
      <c r="AC70" s="81" t="str">
        <f aca="false">IF(B70="","",IF(AB70&lt;=0,"Clear",IF(AA70&gt;0,"Partial","Due")))</f>
        <v/>
      </c>
    </row>
    <row r="71" customFormat="false" ht="15" hidden="false" customHeight="false" outlineLevel="0" collapsed="false">
      <c r="A71" s="25" t="n">
        <v>56</v>
      </c>
      <c r="B71" s="82" t="str">
        <f aca="false">IF(Students!B60="","",Students!B60)</f>
        <v/>
      </c>
      <c r="C71" s="37" t="n">
        <f aca="false">'May 2027'!F71</f>
        <v>0</v>
      </c>
      <c r="D71" s="37" t="n">
        <f aca="false">IF(B71="",0,N(Students!E60))</f>
        <v>0</v>
      </c>
      <c r="E71" s="23"/>
      <c r="F71" s="26" t="n">
        <f aca="false">N(C71)+N(D71)-N(E71)</f>
        <v>0</v>
      </c>
      <c r="G71" s="37" t="n">
        <f aca="false">'May 2027'!J71</f>
        <v>0</v>
      </c>
      <c r="H71" s="37" t="n">
        <f aca="false">IF(B71="",0,N(Students!F60))</f>
        <v>0</v>
      </c>
      <c r="I71" s="23"/>
      <c r="J71" s="26" t="n">
        <f aca="false">N(G71)+N(H71)-N(I71)</f>
        <v>0</v>
      </c>
      <c r="K71" s="37" t="n">
        <f aca="false">'May 2027'!N71</f>
        <v>0</v>
      </c>
      <c r="L71" s="37" t="n">
        <f aca="false">IF(B71="",0,N(Students!G60))</f>
        <v>0</v>
      </c>
      <c r="M71" s="23"/>
      <c r="N71" s="26" t="n">
        <f aca="false">N(K71)+N(L71)-N(M71)</f>
        <v>0</v>
      </c>
      <c r="O71" s="37" t="n">
        <f aca="false">'May 2027'!R71</f>
        <v>0</v>
      </c>
      <c r="P71" s="37" t="n">
        <f aca="false">IF(B71="",0,N(Students!H60))</f>
        <v>0</v>
      </c>
      <c r="Q71" s="23"/>
      <c r="R71" s="26" t="n">
        <f aca="false">N(O71)+N(P71)-N(Q71)</f>
        <v>0</v>
      </c>
      <c r="S71" s="37" t="n">
        <f aca="false">'May 2027'!V71</f>
        <v>0</v>
      </c>
      <c r="T71" s="37" t="n">
        <f aca="false">IF(B71="",0,N(Students!I60))</f>
        <v>0</v>
      </c>
      <c r="U71" s="23"/>
      <c r="V71" s="26" t="n">
        <f aca="false">N(S71)+N(T71)-N(U71)</f>
        <v>0</v>
      </c>
      <c r="W71" s="37" t="n">
        <f aca="false">'May 2027'!Z71</f>
        <v>0</v>
      </c>
      <c r="X71" s="37" t="n">
        <f aca="false">IF(B71="",0,N(Students!J60))</f>
        <v>0</v>
      </c>
      <c r="Y71" s="23"/>
      <c r="Z71" s="26" t="n">
        <f aca="false">N(W71)+N(X71)-N(Y71)</f>
        <v>0</v>
      </c>
      <c r="AA71" s="37" t="n">
        <f aca="false">N(E71)+N(I71)+N(M71)+N(Q71)+N(U71)+N(Y71)</f>
        <v>0</v>
      </c>
      <c r="AB71" s="26" t="n">
        <f aca="false">F71+J71+N71+R71+V71+Z71</f>
        <v>0</v>
      </c>
      <c r="AC71" s="83" t="str">
        <f aca="false">IF(B71="","",IF(AB71&lt;=0,"Clear",IF(AA71&gt;0,"Partial","Due")))</f>
        <v/>
      </c>
    </row>
    <row r="72" customFormat="false" ht="15" hidden="false" customHeight="false" outlineLevel="0" collapsed="false">
      <c r="A72" s="21" t="n">
        <v>57</v>
      </c>
      <c r="B72" s="46" t="str">
        <f aca="false">IF(Students!B61="","",Students!B61)</f>
        <v/>
      </c>
      <c r="C72" s="33" t="n">
        <f aca="false">'May 2027'!F72</f>
        <v>0</v>
      </c>
      <c r="D72" s="33" t="n">
        <f aca="false">IF(B72="",0,N(Students!E61))</f>
        <v>0</v>
      </c>
      <c r="E72" s="23"/>
      <c r="F72" s="24" t="n">
        <f aca="false">N(C72)+N(D72)-N(E72)</f>
        <v>0</v>
      </c>
      <c r="G72" s="33" t="n">
        <f aca="false">'May 2027'!J72</f>
        <v>0</v>
      </c>
      <c r="H72" s="33" t="n">
        <f aca="false">IF(B72="",0,N(Students!F61))</f>
        <v>0</v>
      </c>
      <c r="I72" s="23"/>
      <c r="J72" s="24" t="n">
        <f aca="false">N(G72)+N(H72)-N(I72)</f>
        <v>0</v>
      </c>
      <c r="K72" s="33" t="n">
        <f aca="false">'May 2027'!N72</f>
        <v>0</v>
      </c>
      <c r="L72" s="33" t="n">
        <f aca="false">IF(B72="",0,N(Students!G61))</f>
        <v>0</v>
      </c>
      <c r="M72" s="23"/>
      <c r="N72" s="24" t="n">
        <f aca="false">N(K72)+N(L72)-N(M72)</f>
        <v>0</v>
      </c>
      <c r="O72" s="33" t="n">
        <f aca="false">'May 2027'!R72</f>
        <v>0</v>
      </c>
      <c r="P72" s="33" t="n">
        <f aca="false">IF(B72="",0,N(Students!H61))</f>
        <v>0</v>
      </c>
      <c r="Q72" s="23"/>
      <c r="R72" s="24" t="n">
        <f aca="false">N(O72)+N(P72)-N(Q72)</f>
        <v>0</v>
      </c>
      <c r="S72" s="33" t="n">
        <f aca="false">'May 2027'!V72</f>
        <v>0</v>
      </c>
      <c r="T72" s="33" t="n">
        <f aca="false">IF(B72="",0,N(Students!I61))</f>
        <v>0</v>
      </c>
      <c r="U72" s="23"/>
      <c r="V72" s="24" t="n">
        <f aca="false">N(S72)+N(T72)-N(U72)</f>
        <v>0</v>
      </c>
      <c r="W72" s="33" t="n">
        <f aca="false">'May 2027'!Z72</f>
        <v>0</v>
      </c>
      <c r="X72" s="33" t="n">
        <f aca="false">IF(B72="",0,N(Students!J61))</f>
        <v>0</v>
      </c>
      <c r="Y72" s="23"/>
      <c r="Z72" s="24" t="n">
        <f aca="false">N(W72)+N(X72)-N(Y72)</f>
        <v>0</v>
      </c>
      <c r="AA72" s="33" t="n">
        <f aca="false">N(E72)+N(I72)+N(M72)+N(Q72)+N(U72)+N(Y72)</f>
        <v>0</v>
      </c>
      <c r="AB72" s="24" t="n">
        <f aca="false">F72+J72+N72+R72+V72+Z72</f>
        <v>0</v>
      </c>
      <c r="AC72" s="81" t="str">
        <f aca="false">IF(B72="","",IF(AB72&lt;=0,"Clear",IF(AA72&gt;0,"Partial","Due")))</f>
        <v/>
      </c>
    </row>
    <row r="73" customFormat="false" ht="15" hidden="false" customHeight="false" outlineLevel="0" collapsed="false">
      <c r="A73" s="25" t="n">
        <v>58</v>
      </c>
      <c r="B73" s="82" t="str">
        <f aca="false">IF(Students!B62="","",Students!B62)</f>
        <v/>
      </c>
      <c r="C73" s="37" t="n">
        <f aca="false">'May 2027'!F73</f>
        <v>0</v>
      </c>
      <c r="D73" s="37" t="n">
        <f aca="false">IF(B73="",0,N(Students!E62))</f>
        <v>0</v>
      </c>
      <c r="E73" s="23"/>
      <c r="F73" s="26" t="n">
        <f aca="false">N(C73)+N(D73)-N(E73)</f>
        <v>0</v>
      </c>
      <c r="G73" s="37" t="n">
        <f aca="false">'May 2027'!J73</f>
        <v>0</v>
      </c>
      <c r="H73" s="37" t="n">
        <f aca="false">IF(B73="",0,N(Students!F62))</f>
        <v>0</v>
      </c>
      <c r="I73" s="23"/>
      <c r="J73" s="26" t="n">
        <f aca="false">N(G73)+N(H73)-N(I73)</f>
        <v>0</v>
      </c>
      <c r="K73" s="37" t="n">
        <f aca="false">'May 2027'!N73</f>
        <v>0</v>
      </c>
      <c r="L73" s="37" t="n">
        <f aca="false">IF(B73="",0,N(Students!G62))</f>
        <v>0</v>
      </c>
      <c r="M73" s="23"/>
      <c r="N73" s="26" t="n">
        <f aca="false">N(K73)+N(L73)-N(M73)</f>
        <v>0</v>
      </c>
      <c r="O73" s="37" t="n">
        <f aca="false">'May 2027'!R73</f>
        <v>0</v>
      </c>
      <c r="P73" s="37" t="n">
        <f aca="false">IF(B73="",0,N(Students!H62))</f>
        <v>0</v>
      </c>
      <c r="Q73" s="23"/>
      <c r="R73" s="26" t="n">
        <f aca="false">N(O73)+N(P73)-N(Q73)</f>
        <v>0</v>
      </c>
      <c r="S73" s="37" t="n">
        <f aca="false">'May 2027'!V73</f>
        <v>0</v>
      </c>
      <c r="T73" s="37" t="n">
        <f aca="false">IF(B73="",0,N(Students!I62))</f>
        <v>0</v>
      </c>
      <c r="U73" s="23"/>
      <c r="V73" s="26" t="n">
        <f aca="false">N(S73)+N(T73)-N(U73)</f>
        <v>0</v>
      </c>
      <c r="W73" s="37" t="n">
        <f aca="false">'May 2027'!Z73</f>
        <v>0</v>
      </c>
      <c r="X73" s="37" t="n">
        <f aca="false">IF(B73="",0,N(Students!J62))</f>
        <v>0</v>
      </c>
      <c r="Y73" s="23"/>
      <c r="Z73" s="26" t="n">
        <f aca="false">N(W73)+N(X73)-N(Y73)</f>
        <v>0</v>
      </c>
      <c r="AA73" s="37" t="n">
        <f aca="false">N(E73)+N(I73)+N(M73)+N(Q73)+N(U73)+N(Y73)</f>
        <v>0</v>
      </c>
      <c r="AB73" s="26" t="n">
        <f aca="false">F73+J73+N73+R73+V73+Z73</f>
        <v>0</v>
      </c>
      <c r="AC73" s="83" t="str">
        <f aca="false">IF(B73="","",IF(AB73&lt;=0,"Clear",IF(AA73&gt;0,"Partial","Due")))</f>
        <v/>
      </c>
    </row>
    <row r="74" customFormat="false" ht="15" hidden="false" customHeight="false" outlineLevel="0" collapsed="false">
      <c r="A74" s="21" t="n">
        <v>59</v>
      </c>
      <c r="B74" s="46" t="str">
        <f aca="false">IF(Students!B63="","",Students!B63)</f>
        <v/>
      </c>
      <c r="C74" s="33" t="n">
        <f aca="false">'May 2027'!F74</f>
        <v>0</v>
      </c>
      <c r="D74" s="33" t="n">
        <f aca="false">IF(B74="",0,N(Students!E63))</f>
        <v>0</v>
      </c>
      <c r="E74" s="23"/>
      <c r="F74" s="24" t="n">
        <f aca="false">N(C74)+N(D74)-N(E74)</f>
        <v>0</v>
      </c>
      <c r="G74" s="33" t="n">
        <f aca="false">'May 2027'!J74</f>
        <v>0</v>
      </c>
      <c r="H74" s="33" t="n">
        <f aca="false">IF(B74="",0,N(Students!F63))</f>
        <v>0</v>
      </c>
      <c r="I74" s="23"/>
      <c r="J74" s="24" t="n">
        <f aca="false">N(G74)+N(H74)-N(I74)</f>
        <v>0</v>
      </c>
      <c r="K74" s="33" t="n">
        <f aca="false">'May 2027'!N74</f>
        <v>0</v>
      </c>
      <c r="L74" s="33" t="n">
        <f aca="false">IF(B74="",0,N(Students!G63))</f>
        <v>0</v>
      </c>
      <c r="M74" s="23"/>
      <c r="N74" s="24" t="n">
        <f aca="false">N(K74)+N(L74)-N(M74)</f>
        <v>0</v>
      </c>
      <c r="O74" s="33" t="n">
        <f aca="false">'May 2027'!R74</f>
        <v>0</v>
      </c>
      <c r="P74" s="33" t="n">
        <f aca="false">IF(B74="",0,N(Students!H63))</f>
        <v>0</v>
      </c>
      <c r="Q74" s="23"/>
      <c r="R74" s="24" t="n">
        <f aca="false">N(O74)+N(P74)-N(Q74)</f>
        <v>0</v>
      </c>
      <c r="S74" s="33" t="n">
        <f aca="false">'May 2027'!V74</f>
        <v>0</v>
      </c>
      <c r="T74" s="33" t="n">
        <f aca="false">IF(B74="",0,N(Students!I63))</f>
        <v>0</v>
      </c>
      <c r="U74" s="23"/>
      <c r="V74" s="24" t="n">
        <f aca="false">N(S74)+N(T74)-N(U74)</f>
        <v>0</v>
      </c>
      <c r="W74" s="33" t="n">
        <f aca="false">'May 2027'!Z74</f>
        <v>0</v>
      </c>
      <c r="X74" s="33" t="n">
        <f aca="false">IF(B74="",0,N(Students!J63))</f>
        <v>0</v>
      </c>
      <c r="Y74" s="23"/>
      <c r="Z74" s="24" t="n">
        <f aca="false">N(W74)+N(X74)-N(Y74)</f>
        <v>0</v>
      </c>
      <c r="AA74" s="33" t="n">
        <f aca="false">N(E74)+N(I74)+N(M74)+N(Q74)+N(U74)+N(Y74)</f>
        <v>0</v>
      </c>
      <c r="AB74" s="24" t="n">
        <f aca="false">F74+J74+N74+R74+V74+Z74</f>
        <v>0</v>
      </c>
      <c r="AC74" s="81" t="str">
        <f aca="false">IF(B74="","",IF(AB74&lt;=0,"Clear",IF(AA74&gt;0,"Partial","Due")))</f>
        <v/>
      </c>
    </row>
    <row r="75" customFormat="false" ht="15" hidden="false" customHeight="false" outlineLevel="0" collapsed="false">
      <c r="A75" s="25" t="n">
        <v>60</v>
      </c>
      <c r="B75" s="82" t="str">
        <f aca="false">IF(Students!B64="","",Students!B64)</f>
        <v/>
      </c>
      <c r="C75" s="37" t="n">
        <f aca="false">'May 2027'!F75</f>
        <v>0</v>
      </c>
      <c r="D75" s="37" t="n">
        <f aca="false">IF(B75="",0,N(Students!E64))</f>
        <v>0</v>
      </c>
      <c r="E75" s="23"/>
      <c r="F75" s="26" t="n">
        <f aca="false">N(C75)+N(D75)-N(E75)</f>
        <v>0</v>
      </c>
      <c r="G75" s="37" t="n">
        <f aca="false">'May 2027'!J75</f>
        <v>0</v>
      </c>
      <c r="H75" s="37" t="n">
        <f aca="false">IF(B75="",0,N(Students!F64))</f>
        <v>0</v>
      </c>
      <c r="I75" s="23"/>
      <c r="J75" s="26" t="n">
        <f aca="false">N(G75)+N(H75)-N(I75)</f>
        <v>0</v>
      </c>
      <c r="K75" s="37" t="n">
        <f aca="false">'May 2027'!N75</f>
        <v>0</v>
      </c>
      <c r="L75" s="37" t="n">
        <f aca="false">IF(B75="",0,N(Students!G64))</f>
        <v>0</v>
      </c>
      <c r="M75" s="23"/>
      <c r="N75" s="26" t="n">
        <f aca="false">N(K75)+N(L75)-N(M75)</f>
        <v>0</v>
      </c>
      <c r="O75" s="37" t="n">
        <f aca="false">'May 2027'!R75</f>
        <v>0</v>
      </c>
      <c r="P75" s="37" t="n">
        <f aca="false">IF(B75="",0,N(Students!H64))</f>
        <v>0</v>
      </c>
      <c r="Q75" s="23"/>
      <c r="R75" s="26" t="n">
        <f aca="false">N(O75)+N(P75)-N(Q75)</f>
        <v>0</v>
      </c>
      <c r="S75" s="37" t="n">
        <f aca="false">'May 2027'!V75</f>
        <v>0</v>
      </c>
      <c r="T75" s="37" t="n">
        <f aca="false">IF(B75="",0,N(Students!I64))</f>
        <v>0</v>
      </c>
      <c r="U75" s="23"/>
      <c r="V75" s="26" t="n">
        <f aca="false">N(S75)+N(T75)-N(U75)</f>
        <v>0</v>
      </c>
      <c r="W75" s="37" t="n">
        <f aca="false">'May 2027'!Z75</f>
        <v>0</v>
      </c>
      <c r="X75" s="37" t="n">
        <f aca="false">IF(B75="",0,N(Students!J64))</f>
        <v>0</v>
      </c>
      <c r="Y75" s="23"/>
      <c r="Z75" s="26" t="n">
        <f aca="false">N(W75)+N(X75)-N(Y75)</f>
        <v>0</v>
      </c>
      <c r="AA75" s="37" t="n">
        <f aca="false">N(E75)+N(I75)+N(M75)+N(Q75)+N(U75)+N(Y75)</f>
        <v>0</v>
      </c>
      <c r="AB75" s="26" t="n">
        <f aca="false">F75+J75+N75+R75+V75+Z75</f>
        <v>0</v>
      </c>
      <c r="AC75" s="83" t="str">
        <f aca="false">IF(B75="","",IF(AB75&lt;=0,"Clear",IF(AA75&gt;0,"Partial","Due")))</f>
        <v/>
      </c>
    </row>
    <row r="76" customFormat="false" ht="15" hidden="false" customHeight="false" outlineLevel="0" collapsed="false">
      <c r="A76" s="21" t="n">
        <v>61</v>
      </c>
      <c r="B76" s="46" t="str">
        <f aca="false">IF(Students!B65="","",Students!B65)</f>
        <v/>
      </c>
      <c r="C76" s="33" t="n">
        <f aca="false">'May 2027'!F76</f>
        <v>0</v>
      </c>
      <c r="D76" s="33" t="n">
        <f aca="false">IF(B76="",0,N(Students!E65))</f>
        <v>0</v>
      </c>
      <c r="E76" s="23"/>
      <c r="F76" s="24" t="n">
        <f aca="false">N(C76)+N(D76)-N(E76)</f>
        <v>0</v>
      </c>
      <c r="G76" s="33" t="n">
        <f aca="false">'May 2027'!J76</f>
        <v>0</v>
      </c>
      <c r="H76" s="33" t="n">
        <f aca="false">IF(B76="",0,N(Students!F65))</f>
        <v>0</v>
      </c>
      <c r="I76" s="23"/>
      <c r="J76" s="24" t="n">
        <f aca="false">N(G76)+N(H76)-N(I76)</f>
        <v>0</v>
      </c>
      <c r="K76" s="33" t="n">
        <f aca="false">'May 2027'!N76</f>
        <v>0</v>
      </c>
      <c r="L76" s="33" t="n">
        <f aca="false">IF(B76="",0,N(Students!G65))</f>
        <v>0</v>
      </c>
      <c r="M76" s="23"/>
      <c r="N76" s="24" t="n">
        <f aca="false">N(K76)+N(L76)-N(M76)</f>
        <v>0</v>
      </c>
      <c r="O76" s="33" t="n">
        <f aca="false">'May 2027'!R76</f>
        <v>0</v>
      </c>
      <c r="P76" s="33" t="n">
        <f aca="false">IF(B76="",0,N(Students!H65))</f>
        <v>0</v>
      </c>
      <c r="Q76" s="23"/>
      <c r="R76" s="24" t="n">
        <f aca="false">N(O76)+N(P76)-N(Q76)</f>
        <v>0</v>
      </c>
      <c r="S76" s="33" t="n">
        <f aca="false">'May 2027'!V76</f>
        <v>0</v>
      </c>
      <c r="T76" s="33" t="n">
        <f aca="false">IF(B76="",0,N(Students!I65))</f>
        <v>0</v>
      </c>
      <c r="U76" s="23"/>
      <c r="V76" s="24" t="n">
        <f aca="false">N(S76)+N(T76)-N(U76)</f>
        <v>0</v>
      </c>
      <c r="W76" s="33" t="n">
        <f aca="false">'May 2027'!Z76</f>
        <v>0</v>
      </c>
      <c r="X76" s="33" t="n">
        <f aca="false">IF(B76="",0,N(Students!J65))</f>
        <v>0</v>
      </c>
      <c r="Y76" s="23"/>
      <c r="Z76" s="24" t="n">
        <f aca="false">N(W76)+N(X76)-N(Y76)</f>
        <v>0</v>
      </c>
      <c r="AA76" s="33" t="n">
        <f aca="false">N(E76)+N(I76)+N(M76)+N(Q76)+N(U76)+N(Y76)</f>
        <v>0</v>
      </c>
      <c r="AB76" s="24" t="n">
        <f aca="false">F76+J76+N76+R76+V76+Z76</f>
        <v>0</v>
      </c>
      <c r="AC76" s="81" t="str">
        <f aca="false">IF(B76="","",IF(AB76&lt;=0,"Clear",IF(AA76&gt;0,"Partial","Due")))</f>
        <v/>
      </c>
    </row>
    <row r="77" customFormat="false" ht="15" hidden="false" customHeight="false" outlineLevel="0" collapsed="false">
      <c r="A77" s="25" t="n">
        <v>62</v>
      </c>
      <c r="B77" s="82" t="str">
        <f aca="false">IF(Students!B66="","",Students!B66)</f>
        <v/>
      </c>
      <c r="C77" s="37" t="n">
        <f aca="false">'May 2027'!F77</f>
        <v>0</v>
      </c>
      <c r="D77" s="37" t="n">
        <f aca="false">IF(B77="",0,N(Students!E66))</f>
        <v>0</v>
      </c>
      <c r="E77" s="23"/>
      <c r="F77" s="26" t="n">
        <f aca="false">N(C77)+N(D77)-N(E77)</f>
        <v>0</v>
      </c>
      <c r="G77" s="37" t="n">
        <f aca="false">'May 2027'!J77</f>
        <v>0</v>
      </c>
      <c r="H77" s="37" t="n">
        <f aca="false">IF(B77="",0,N(Students!F66))</f>
        <v>0</v>
      </c>
      <c r="I77" s="23"/>
      <c r="J77" s="26" t="n">
        <f aca="false">N(G77)+N(H77)-N(I77)</f>
        <v>0</v>
      </c>
      <c r="K77" s="37" t="n">
        <f aca="false">'May 2027'!N77</f>
        <v>0</v>
      </c>
      <c r="L77" s="37" t="n">
        <f aca="false">IF(B77="",0,N(Students!G66))</f>
        <v>0</v>
      </c>
      <c r="M77" s="23"/>
      <c r="N77" s="26" t="n">
        <f aca="false">N(K77)+N(L77)-N(M77)</f>
        <v>0</v>
      </c>
      <c r="O77" s="37" t="n">
        <f aca="false">'May 2027'!R77</f>
        <v>0</v>
      </c>
      <c r="P77" s="37" t="n">
        <f aca="false">IF(B77="",0,N(Students!H66))</f>
        <v>0</v>
      </c>
      <c r="Q77" s="23"/>
      <c r="R77" s="26" t="n">
        <f aca="false">N(O77)+N(P77)-N(Q77)</f>
        <v>0</v>
      </c>
      <c r="S77" s="37" t="n">
        <f aca="false">'May 2027'!V77</f>
        <v>0</v>
      </c>
      <c r="T77" s="37" t="n">
        <f aca="false">IF(B77="",0,N(Students!I66))</f>
        <v>0</v>
      </c>
      <c r="U77" s="23"/>
      <c r="V77" s="26" t="n">
        <f aca="false">N(S77)+N(T77)-N(U77)</f>
        <v>0</v>
      </c>
      <c r="W77" s="37" t="n">
        <f aca="false">'May 2027'!Z77</f>
        <v>0</v>
      </c>
      <c r="X77" s="37" t="n">
        <f aca="false">IF(B77="",0,N(Students!J66))</f>
        <v>0</v>
      </c>
      <c r="Y77" s="23"/>
      <c r="Z77" s="26" t="n">
        <f aca="false">N(W77)+N(X77)-N(Y77)</f>
        <v>0</v>
      </c>
      <c r="AA77" s="37" t="n">
        <f aca="false">N(E77)+N(I77)+N(M77)+N(Q77)+N(U77)+N(Y77)</f>
        <v>0</v>
      </c>
      <c r="AB77" s="26" t="n">
        <f aca="false">F77+J77+N77+R77+V77+Z77</f>
        <v>0</v>
      </c>
      <c r="AC77" s="83" t="str">
        <f aca="false">IF(B77="","",IF(AB77&lt;=0,"Clear",IF(AA77&gt;0,"Partial","Due")))</f>
        <v/>
      </c>
    </row>
    <row r="78" customFormat="false" ht="15" hidden="false" customHeight="false" outlineLevel="0" collapsed="false">
      <c r="A78" s="21" t="n">
        <v>63</v>
      </c>
      <c r="B78" s="46" t="str">
        <f aca="false">IF(Students!B67="","",Students!B67)</f>
        <v/>
      </c>
      <c r="C78" s="33" t="n">
        <f aca="false">'May 2027'!F78</f>
        <v>0</v>
      </c>
      <c r="D78" s="33" t="n">
        <f aca="false">IF(B78="",0,N(Students!E67))</f>
        <v>0</v>
      </c>
      <c r="E78" s="23"/>
      <c r="F78" s="24" t="n">
        <f aca="false">N(C78)+N(D78)-N(E78)</f>
        <v>0</v>
      </c>
      <c r="G78" s="33" t="n">
        <f aca="false">'May 2027'!J78</f>
        <v>0</v>
      </c>
      <c r="H78" s="33" t="n">
        <f aca="false">IF(B78="",0,N(Students!F67))</f>
        <v>0</v>
      </c>
      <c r="I78" s="23"/>
      <c r="J78" s="24" t="n">
        <f aca="false">N(G78)+N(H78)-N(I78)</f>
        <v>0</v>
      </c>
      <c r="K78" s="33" t="n">
        <f aca="false">'May 2027'!N78</f>
        <v>0</v>
      </c>
      <c r="L78" s="33" t="n">
        <f aca="false">IF(B78="",0,N(Students!G67))</f>
        <v>0</v>
      </c>
      <c r="M78" s="23"/>
      <c r="N78" s="24" t="n">
        <f aca="false">N(K78)+N(L78)-N(M78)</f>
        <v>0</v>
      </c>
      <c r="O78" s="33" t="n">
        <f aca="false">'May 2027'!R78</f>
        <v>0</v>
      </c>
      <c r="P78" s="33" t="n">
        <f aca="false">IF(B78="",0,N(Students!H67))</f>
        <v>0</v>
      </c>
      <c r="Q78" s="23"/>
      <c r="R78" s="24" t="n">
        <f aca="false">N(O78)+N(P78)-N(Q78)</f>
        <v>0</v>
      </c>
      <c r="S78" s="33" t="n">
        <f aca="false">'May 2027'!V78</f>
        <v>0</v>
      </c>
      <c r="T78" s="33" t="n">
        <f aca="false">IF(B78="",0,N(Students!I67))</f>
        <v>0</v>
      </c>
      <c r="U78" s="23"/>
      <c r="V78" s="24" t="n">
        <f aca="false">N(S78)+N(T78)-N(U78)</f>
        <v>0</v>
      </c>
      <c r="W78" s="33" t="n">
        <f aca="false">'May 2027'!Z78</f>
        <v>0</v>
      </c>
      <c r="X78" s="33" t="n">
        <f aca="false">IF(B78="",0,N(Students!J67))</f>
        <v>0</v>
      </c>
      <c r="Y78" s="23"/>
      <c r="Z78" s="24" t="n">
        <f aca="false">N(W78)+N(X78)-N(Y78)</f>
        <v>0</v>
      </c>
      <c r="AA78" s="33" t="n">
        <f aca="false">N(E78)+N(I78)+N(M78)+N(Q78)+N(U78)+N(Y78)</f>
        <v>0</v>
      </c>
      <c r="AB78" s="24" t="n">
        <f aca="false">F78+J78+N78+R78+V78+Z78</f>
        <v>0</v>
      </c>
      <c r="AC78" s="81" t="str">
        <f aca="false">IF(B78="","",IF(AB78&lt;=0,"Clear",IF(AA78&gt;0,"Partial","Due")))</f>
        <v/>
      </c>
    </row>
    <row r="79" customFormat="false" ht="15" hidden="false" customHeight="false" outlineLevel="0" collapsed="false">
      <c r="A79" s="25" t="n">
        <v>64</v>
      </c>
      <c r="B79" s="82" t="str">
        <f aca="false">IF(Students!B68="","",Students!B68)</f>
        <v/>
      </c>
      <c r="C79" s="37" t="n">
        <f aca="false">'May 2027'!F79</f>
        <v>0</v>
      </c>
      <c r="D79" s="37" t="n">
        <f aca="false">IF(B79="",0,N(Students!E68))</f>
        <v>0</v>
      </c>
      <c r="E79" s="23"/>
      <c r="F79" s="26" t="n">
        <f aca="false">N(C79)+N(D79)-N(E79)</f>
        <v>0</v>
      </c>
      <c r="G79" s="37" t="n">
        <f aca="false">'May 2027'!J79</f>
        <v>0</v>
      </c>
      <c r="H79" s="37" t="n">
        <f aca="false">IF(B79="",0,N(Students!F68))</f>
        <v>0</v>
      </c>
      <c r="I79" s="23"/>
      <c r="J79" s="26" t="n">
        <f aca="false">N(G79)+N(H79)-N(I79)</f>
        <v>0</v>
      </c>
      <c r="K79" s="37" t="n">
        <f aca="false">'May 2027'!N79</f>
        <v>0</v>
      </c>
      <c r="L79" s="37" t="n">
        <f aca="false">IF(B79="",0,N(Students!G68))</f>
        <v>0</v>
      </c>
      <c r="M79" s="23"/>
      <c r="N79" s="26" t="n">
        <f aca="false">N(K79)+N(L79)-N(M79)</f>
        <v>0</v>
      </c>
      <c r="O79" s="37" t="n">
        <f aca="false">'May 2027'!R79</f>
        <v>0</v>
      </c>
      <c r="P79" s="37" t="n">
        <f aca="false">IF(B79="",0,N(Students!H68))</f>
        <v>0</v>
      </c>
      <c r="Q79" s="23"/>
      <c r="R79" s="26" t="n">
        <f aca="false">N(O79)+N(P79)-N(Q79)</f>
        <v>0</v>
      </c>
      <c r="S79" s="37" t="n">
        <f aca="false">'May 2027'!V79</f>
        <v>0</v>
      </c>
      <c r="T79" s="37" t="n">
        <f aca="false">IF(B79="",0,N(Students!I68))</f>
        <v>0</v>
      </c>
      <c r="U79" s="23"/>
      <c r="V79" s="26" t="n">
        <f aca="false">N(S79)+N(T79)-N(U79)</f>
        <v>0</v>
      </c>
      <c r="W79" s="37" t="n">
        <f aca="false">'May 2027'!Z79</f>
        <v>0</v>
      </c>
      <c r="X79" s="37" t="n">
        <f aca="false">IF(B79="",0,N(Students!J68))</f>
        <v>0</v>
      </c>
      <c r="Y79" s="23"/>
      <c r="Z79" s="26" t="n">
        <f aca="false">N(W79)+N(X79)-N(Y79)</f>
        <v>0</v>
      </c>
      <c r="AA79" s="37" t="n">
        <f aca="false">N(E79)+N(I79)+N(M79)+N(Q79)+N(U79)+N(Y79)</f>
        <v>0</v>
      </c>
      <c r="AB79" s="26" t="n">
        <f aca="false">F79+J79+N79+R79+V79+Z79</f>
        <v>0</v>
      </c>
      <c r="AC79" s="83" t="str">
        <f aca="false">IF(B79="","",IF(AB79&lt;=0,"Clear",IF(AA79&gt;0,"Partial","Due")))</f>
        <v/>
      </c>
    </row>
    <row r="80" customFormat="false" ht="15" hidden="false" customHeight="false" outlineLevel="0" collapsed="false">
      <c r="A80" s="21" t="n">
        <v>65</v>
      </c>
      <c r="B80" s="46" t="str">
        <f aca="false">IF(Students!B69="","",Students!B69)</f>
        <v/>
      </c>
      <c r="C80" s="33" t="n">
        <f aca="false">'May 2027'!F80</f>
        <v>0</v>
      </c>
      <c r="D80" s="33" t="n">
        <f aca="false">IF(B80="",0,N(Students!E69))</f>
        <v>0</v>
      </c>
      <c r="E80" s="23"/>
      <c r="F80" s="24" t="n">
        <f aca="false">N(C80)+N(D80)-N(E80)</f>
        <v>0</v>
      </c>
      <c r="G80" s="33" t="n">
        <f aca="false">'May 2027'!J80</f>
        <v>0</v>
      </c>
      <c r="H80" s="33" t="n">
        <f aca="false">IF(B80="",0,N(Students!F69))</f>
        <v>0</v>
      </c>
      <c r="I80" s="23"/>
      <c r="J80" s="24" t="n">
        <f aca="false">N(G80)+N(H80)-N(I80)</f>
        <v>0</v>
      </c>
      <c r="K80" s="33" t="n">
        <f aca="false">'May 2027'!N80</f>
        <v>0</v>
      </c>
      <c r="L80" s="33" t="n">
        <f aca="false">IF(B80="",0,N(Students!G69))</f>
        <v>0</v>
      </c>
      <c r="M80" s="23"/>
      <c r="N80" s="24" t="n">
        <f aca="false">N(K80)+N(L80)-N(M80)</f>
        <v>0</v>
      </c>
      <c r="O80" s="33" t="n">
        <f aca="false">'May 2027'!R80</f>
        <v>0</v>
      </c>
      <c r="P80" s="33" t="n">
        <f aca="false">IF(B80="",0,N(Students!H69))</f>
        <v>0</v>
      </c>
      <c r="Q80" s="23"/>
      <c r="R80" s="24" t="n">
        <f aca="false">N(O80)+N(P80)-N(Q80)</f>
        <v>0</v>
      </c>
      <c r="S80" s="33" t="n">
        <f aca="false">'May 2027'!V80</f>
        <v>0</v>
      </c>
      <c r="T80" s="33" t="n">
        <f aca="false">IF(B80="",0,N(Students!I69))</f>
        <v>0</v>
      </c>
      <c r="U80" s="23"/>
      <c r="V80" s="24" t="n">
        <f aca="false">N(S80)+N(T80)-N(U80)</f>
        <v>0</v>
      </c>
      <c r="W80" s="33" t="n">
        <f aca="false">'May 2027'!Z80</f>
        <v>0</v>
      </c>
      <c r="X80" s="33" t="n">
        <f aca="false">IF(B80="",0,N(Students!J69))</f>
        <v>0</v>
      </c>
      <c r="Y80" s="23"/>
      <c r="Z80" s="24" t="n">
        <f aca="false">N(W80)+N(X80)-N(Y80)</f>
        <v>0</v>
      </c>
      <c r="AA80" s="33" t="n">
        <f aca="false">N(E80)+N(I80)+N(M80)+N(Q80)+N(U80)+N(Y80)</f>
        <v>0</v>
      </c>
      <c r="AB80" s="24" t="n">
        <f aca="false">F80+J80+N80+R80+V80+Z80</f>
        <v>0</v>
      </c>
      <c r="AC80" s="81" t="str">
        <f aca="false">IF(B80="","",IF(AB80&lt;=0,"Clear",IF(AA80&gt;0,"Partial","Due")))</f>
        <v/>
      </c>
    </row>
    <row r="81" customFormat="false" ht="15" hidden="false" customHeight="false" outlineLevel="0" collapsed="false">
      <c r="A81" s="25" t="n">
        <v>66</v>
      </c>
      <c r="B81" s="82" t="str">
        <f aca="false">IF(Students!B70="","",Students!B70)</f>
        <v/>
      </c>
      <c r="C81" s="37" t="n">
        <f aca="false">'May 2027'!F81</f>
        <v>0</v>
      </c>
      <c r="D81" s="37" t="n">
        <f aca="false">IF(B81="",0,N(Students!E70))</f>
        <v>0</v>
      </c>
      <c r="E81" s="23"/>
      <c r="F81" s="26" t="n">
        <f aca="false">N(C81)+N(D81)-N(E81)</f>
        <v>0</v>
      </c>
      <c r="G81" s="37" t="n">
        <f aca="false">'May 2027'!J81</f>
        <v>0</v>
      </c>
      <c r="H81" s="37" t="n">
        <f aca="false">IF(B81="",0,N(Students!F70))</f>
        <v>0</v>
      </c>
      <c r="I81" s="23"/>
      <c r="J81" s="26" t="n">
        <f aca="false">N(G81)+N(H81)-N(I81)</f>
        <v>0</v>
      </c>
      <c r="K81" s="37" t="n">
        <f aca="false">'May 2027'!N81</f>
        <v>0</v>
      </c>
      <c r="L81" s="37" t="n">
        <f aca="false">IF(B81="",0,N(Students!G70))</f>
        <v>0</v>
      </c>
      <c r="M81" s="23"/>
      <c r="N81" s="26" t="n">
        <f aca="false">N(K81)+N(L81)-N(M81)</f>
        <v>0</v>
      </c>
      <c r="O81" s="37" t="n">
        <f aca="false">'May 2027'!R81</f>
        <v>0</v>
      </c>
      <c r="P81" s="37" t="n">
        <f aca="false">IF(B81="",0,N(Students!H70))</f>
        <v>0</v>
      </c>
      <c r="Q81" s="23"/>
      <c r="R81" s="26" t="n">
        <f aca="false">N(O81)+N(P81)-N(Q81)</f>
        <v>0</v>
      </c>
      <c r="S81" s="37" t="n">
        <f aca="false">'May 2027'!V81</f>
        <v>0</v>
      </c>
      <c r="T81" s="37" t="n">
        <f aca="false">IF(B81="",0,N(Students!I70))</f>
        <v>0</v>
      </c>
      <c r="U81" s="23"/>
      <c r="V81" s="26" t="n">
        <f aca="false">N(S81)+N(T81)-N(U81)</f>
        <v>0</v>
      </c>
      <c r="W81" s="37" t="n">
        <f aca="false">'May 2027'!Z81</f>
        <v>0</v>
      </c>
      <c r="X81" s="37" t="n">
        <f aca="false">IF(B81="",0,N(Students!J70))</f>
        <v>0</v>
      </c>
      <c r="Y81" s="23"/>
      <c r="Z81" s="26" t="n">
        <f aca="false">N(W81)+N(X81)-N(Y81)</f>
        <v>0</v>
      </c>
      <c r="AA81" s="37" t="n">
        <f aca="false">N(E81)+N(I81)+N(M81)+N(Q81)+N(U81)+N(Y81)</f>
        <v>0</v>
      </c>
      <c r="AB81" s="26" t="n">
        <f aca="false">F81+J81+N81+R81+V81+Z81</f>
        <v>0</v>
      </c>
      <c r="AC81" s="83" t="str">
        <f aca="false">IF(B81="","",IF(AB81&lt;=0,"Clear",IF(AA81&gt;0,"Partial","Due")))</f>
        <v/>
      </c>
    </row>
    <row r="82" customFormat="false" ht="15" hidden="false" customHeight="false" outlineLevel="0" collapsed="false">
      <c r="A82" s="21" t="n">
        <v>67</v>
      </c>
      <c r="B82" s="46" t="str">
        <f aca="false">IF(Students!B71="","",Students!B71)</f>
        <v/>
      </c>
      <c r="C82" s="33" t="n">
        <f aca="false">'May 2027'!F82</f>
        <v>0</v>
      </c>
      <c r="D82" s="33" t="n">
        <f aca="false">IF(B82="",0,N(Students!E71))</f>
        <v>0</v>
      </c>
      <c r="E82" s="23"/>
      <c r="F82" s="24" t="n">
        <f aca="false">N(C82)+N(D82)-N(E82)</f>
        <v>0</v>
      </c>
      <c r="G82" s="33" t="n">
        <f aca="false">'May 2027'!J82</f>
        <v>0</v>
      </c>
      <c r="H82" s="33" t="n">
        <f aca="false">IF(B82="",0,N(Students!F71))</f>
        <v>0</v>
      </c>
      <c r="I82" s="23"/>
      <c r="J82" s="24" t="n">
        <f aca="false">N(G82)+N(H82)-N(I82)</f>
        <v>0</v>
      </c>
      <c r="K82" s="33" t="n">
        <f aca="false">'May 2027'!N82</f>
        <v>0</v>
      </c>
      <c r="L82" s="33" t="n">
        <f aca="false">IF(B82="",0,N(Students!G71))</f>
        <v>0</v>
      </c>
      <c r="M82" s="23"/>
      <c r="N82" s="24" t="n">
        <f aca="false">N(K82)+N(L82)-N(M82)</f>
        <v>0</v>
      </c>
      <c r="O82" s="33" t="n">
        <f aca="false">'May 2027'!R82</f>
        <v>0</v>
      </c>
      <c r="P82" s="33" t="n">
        <f aca="false">IF(B82="",0,N(Students!H71))</f>
        <v>0</v>
      </c>
      <c r="Q82" s="23"/>
      <c r="R82" s="24" t="n">
        <f aca="false">N(O82)+N(P82)-N(Q82)</f>
        <v>0</v>
      </c>
      <c r="S82" s="33" t="n">
        <f aca="false">'May 2027'!V82</f>
        <v>0</v>
      </c>
      <c r="T82" s="33" t="n">
        <f aca="false">IF(B82="",0,N(Students!I71))</f>
        <v>0</v>
      </c>
      <c r="U82" s="23"/>
      <c r="V82" s="24" t="n">
        <f aca="false">N(S82)+N(T82)-N(U82)</f>
        <v>0</v>
      </c>
      <c r="W82" s="33" t="n">
        <f aca="false">'May 2027'!Z82</f>
        <v>0</v>
      </c>
      <c r="X82" s="33" t="n">
        <f aca="false">IF(B82="",0,N(Students!J71))</f>
        <v>0</v>
      </c>
      <c r="Y82" s="23"/>
      <c r="Z82" s="24" t="n">
        <f aca="false">N(W82)+N(X82)-N(Y82)</f>
        <v>0</v>
      </c>
      <c r="AA82" s="33" t="n">
        <f aca="false">N(E82)+N(I82)+N(M82)+N(Q82)+N(U82)+N(Y82)</f>
        <v>0</v>
      </c>
      <c r="AB82" s="24" t="n">
        <f aca="false">F82+J82+N82+R82+V82+Z82</f>
        <v>0</v>
      </c>
      <c r="AC82" s="81" t="str">
        <f aca="false">IF(B82="","",IF(AB82&lt;=0,"Clear",IF(AA82&gt;0,"Partial","Due")))</f>
        <v/>
      </c>
    </row>
    <row r="83" customFormat="false" ht="15" hidden="false" customHeight="false" outlineLevel="0" collapsed="false">
      <c r="A83" s="25" t="n">
        <v>68</v>
      </c>
      <c r="B83" s="82" t="str">
        <f aca="false">IF(Students!B72="","",Students!B72)</f>
        <v/>
      </c>
      <c r="C83" s="37" t="n">
        <f aca="false">'May 2027'!F83</f>
        <v>0</v>
      </c>
      <c r="D83" s="37" t="n">
        <f aca="false">IF(B83="",0,N(Students!E72))</f>
        <v>0</v>
      </c>
      <c r="E83" s="23"/>
      <c r="F83" s="26" t="n">
        <f aca="false">N(C83)+N(D83)-N(E83)</f>
        <v>0</v>
      </c>
      <c r="G83" s="37" t="n">
        <f aca="false">'May 2027'!J83</f>
        <v>0</v>
      </c>
      <c r="H83" s="37" t="n">
        <f aca="false">IF(B83="",0,N(Students!F72))</f>
        <v>0</v>
      </c>
      <c r="I83" s="23"/>
      <c r="J83" s="26" t="n">
        <f aca="false">N(G83)+N(H83)-N(I83)</f>
        <v>0</v>
      </c>
      <c r="K83" s="37" t="n">
        <f aca="false">'May 2027'!N83</f>
        <v>0</v>
      </c>
      <c r="L83" s="37" t="n">
        <f aca="false">IF(B83="",0,N(Students!G72))</f>
        <v>0</v>
      </c>
      <c r="M83" s="23"/>
      <c r="N83" s="26" t="n">
        <f aca="false">N(K83)+N(L83)-N(M83)</f>
        <v>0</v>
      </c>
      <c r="O83" s="37" t="n">
        <f aca="false">'May 2027'!R83</f>
        <v>0</v>
      </c>
      <c r="P83" s="37" t="n">
        <f aca="false">IF(B83="",0,N(Students!H72))</f>
        <v>0</v>
      </c>
      <c r="Q83" s="23"/>
      <c r="R83" s="26" t="n">
        <f aca="false">N(O83)+N(P83)-N(Q83)</f>
        <v>0</v>
      </c>
      <c r="S83" s="37" t="n">
        <f aca="false">'May 2027'!V83</f>
        <v>0</v>
      </c>
      <c r="T83" s="37" t="n">
        <f aca="false">IF(B83="",0,N(Students!I72))</f>
        <v>0</v>
      </c>
      <c r="U83" s="23"/>
      <c r="V83" s="26" t="n">
        <f aca="false">N(S83)+N(T83)-N(U83)</f>
        <v>0</v>
      </c>
      <c r="W83" s="37" t="n">
        <f aca="false">'May 2027'!Z83</f>
        <v>0</v>
      </c>
      <c r="X83" s="37" t="n">
        <f aca="false">IF(B83="",0,N(Students!J72))</f>
        <v>0</v>
      </c>
      <c r="Y83" s="23"/>
      <c r="Z83" s="26" t="n">
        <f aca="false">N(W83)+N(X83)-N(Y83)</f>
        <v>0</v>
      </c>
      <c r="AA83" s="37" t="n">
        <f aca="false">N(E83)+N(I83)+N(M83)+N(Q83)+N(U83)+N(Y83)</f>
        <v>0</v>
      </c>
      <c r="AB83" s="26" t="n">
        <f aca="false">F83+J83+N83+R83+V83+Z83</f>
        <v>0</v>
      </c>
      <c r="AC83" s="83" t="str">
        <f aca="false">IF(B83="","",IF(AB83&lt;=0,"Clear",IF(AA83&gt;0,"Partial","Due")))</f>
        <v/>
      </c>
    </row>
    <row r="84" customFormat="false" ht="15" hidden="false" customHeight="false" outlineLevel="0" collapsed="false">
      <c r="A84" s="21" t="n">
        <v>69</v>
      </c>
      <c r="B84" s="46" t="str">
        <f aca="false">IF(Students!B73="","",Students!B73)</f>
        <v/>
      </c>
      <c r="C84" s="33" t="n">
        <f aca="false">'May 2027'!F84</f>
        <v>0</v>
      </c>
      <c r="D84" s="33" t="n">
        <f aca="false">IF(B84="",0,N(Students!E73))</f>
        <v>0</v>
      </c>
      <c r="E84" s="23"/>
      <c r="F84" s="24" t="n">
        <f aca="false">N(C84)+N(D84)-N(E84)</f>
        <v>0</v>
      </c>
      <c r="G84" s="33" t="n">
        <f aca="false">'May 2027'!J84</f>
        <v>0</v>
      </c>
      <c r="H84" s="33" t="n">
        <f aca="false">IF(B84="",0,N(Students!F73))</f>
        <v>0</v>
      </c>
      <c r="I84" s="23"/>
      <c r="J84" s="24" t="n">
        <f aca="false">N(G84)+N(H84)-N(I84)</f>
        <v>0</v>
      </c>
      <c r="K84" s="33" t="n">
        <f aca="false">'May 2027'!N84</f>
        <v>0</v>
      </c>
      <c r="L84" s="33" t="n">
        <f aca="false">IF(B84="",0,N(Students!G73))</f>
        <v>0</v>
      </c>
      <c r="M84" s="23"/>
      <c r="N84" s="24" t="n">
        <f aca="false">N(K84)+N(L84)-N(M84)</f>
        <v>0</v>
      </c>
      <c r="O84" s="33" t="n">
        <f aca="false">'May 2027'!R84</f>
        <v>0</v>
      </c>
      <c r="P84" s="33" t="n">
        <f aca="false">IF(B84="",0,N(Students!H73))</f>
        <v>0</v>
      </c>
      <c r="Q84" s="23"/>
      <c r="R84" s="24" t="n">
        <f aca="false">N(O84)+N(P84)-N(Q84)</f>
        <v>0</v>
      </c>
      <c r="S84" s="33" t="n">
        <f aca="false">'May 2027'!V84</f>
        <v>0</v>
      </c>
      <c r="T84" s="33" t="n">
        <f aca="false">IF(B84="",0,N(Students!I73))</f>
        <v>0</v>
      </c>
      <c r="U84" s="23"/>
      <c r="V84" s="24" t="n">
        <f aca="false">N(S84)+N(T84)-N(U84)</f>
        <v>0</v>
      </c>
      <c r="W84" s="33" t="n">
        <f aca="false">'May 2027'!Z84</f>
        <v>0</v>
      </c>
      <c r="X84" s="33" t="n">
        <f aca="false">IF(B84="",0,N(Students!J73))</f>
        <v>0</v>
      </c>
      <c r="Y84" s="23"/>
      <c r="Z84" s="24" t="n">
        <f aca="false">N(W84)+N(X84)-N(Y84)</f>
        <v>0</v>
      </c>
      <c r="AA84" s="33" t="n">
        <f aca="false">N(E84)+N(I84)+N(M84)+N(Q84)+N(U84)+N(Y84)</f>
        <v>0</v>
      </c>
      <c r="AB84" s="24" t="n">
        <f aca="false">F84+J84+N84+R84+V84+Z84</f>
        <v>0</v>
      </c>
      <c r="AC84" s="81" t="str">
        <f aca="false">IF(B84="","",IF(AB84&lt;=0,"Clear",IF(AA84&gt;0,"Partial","Due")))</f>
        <v/>
      </c>
    </row>
    <row r="85" customFormat="false" ht="15" hidden="false" customHeight="false" outlineLevel="0" collapsed="false">
      <c r="A85" s="25" t="n">
        <v>70</v>
      </c>
      <c r="B85" s="82" t="str">
        <f aca="false">IF(Students!B74="","",Students!B74)</f>
        <v/>
      </c>
      <c r="C85" s="37" t="n">
        <f aca="false">'May 2027'!F85</f>
        <v>0</v>
      </c>
      <c r="D85" s="37" t="n">
        <f aca="false">IF(B85="",0,N(Students!E74))</f>
        <v>0</v>
      </c>
      <c r="E85" s="23"/>
      <c r="F85" s="26" t="n">
        <f aca="false">N(C85)+N(D85)-N(E85)</f>
        <v>0</v>
      </c>
      <c r="G85" s="37" t="n">
        <f aca="false">'May 2027'!J85</f>
        <v>0</v>
      </c>
      <c r="H85" s="37" t="n">
        <f aca="false">IF(B85="",0,N(Students!F74))</f>
        <v>0</v>
      </c>
      <c r="I85" s="23"/>
      <c r="J85" s="26" t="n">
        <f aca="false">N(G85)+N(H85)-N(I85)</f>
        <v>0</v>
      </c>
      <c r="K85" s="37" t="n">
        <f aca="false">'May 2027'!N85</f>
        <v>0</v>
      </c>
      <c r="L85" s="37" t="n">
        <f aca="false">IF(B85="",0,N(Students!G74))</f>
        <v>0</v>
      </c>
      <c r="M85" s="23"/>
      <c r="N85" s="26" t="n">
        <f aca="false">N(K85)+N(L85)-N(M85)</f>
        <v>0</v>
      </c>
      <c r="O85" s="37" t="n">
        <f aca="false">'May 2027'!R85</f>
        <v>0</v>
      </c>
      <c r="P85" s="37" t="n">
        <f aca="false">IF(B85="",0,N(Students!H74))</f>
        <v>0</v>
      </c>
      <c r="Q85" s="23"/>
      <c r="R85" s="26" t="n">
        <f aca="false">N(O85)+N(P85)-N(Q85)</f>
        <v>0</v>
      </c>
      <c r="S85" s="37" t="n">
        <f aca="false">'May 2027'!V85</f>
        <v>0</v>
      </c>
      <c r="T85" s="37" t="n">
        <f aca="false">IF(B85="",0,N(Students!I74))</f>
        <v>0</v>
      </c>
      <c r="U85" s="23"/>
      <c r="V85" s="26" t="n">
        <f aca="false">N(S85)+N(T85)-N(U85)</f>
        <v>0</v>
      </c>
      <c r="W85" s="37" t="n">
        <f aca="false">'May 2027'!Z85</f>
        <v>0</v>
      </c>
      <c r="X85" s="37" t="n">
        <f aca="false">IF(B85="",0,N(Students!J74))</f>
        <v>0</v>
      </c>
      <c r="Y85" s="23"/>
      <c r="Z85" s="26" t="n">
        <f aca="false">N(W85)+N(X85)-N(Y85)</f>
        <v>0</v>
      </c>
      <c r="AA85" s="37" t="n">
        <f aca="false">N(E85)+N(I85)+N(M85)+N(Q85)+N(U85)+N(Y85)</f>
        <v>0</v>
      </c>
      <c r="AB85" s="26" t="n">
        <f aca="false">F85+J85+N85+R85+V85+Z85</f>
        <v>0</v>
      </c>
      <c r="AC85" s="83" t="str">
        <f aca="false">IF(B85="","",IF(AB85&lt;=0,"Clear",IF(AA85&gt;0,"Partial","Due")))</f>
        <v/>
      </c>
    </row>
    <row r="86" customFormat="false" ht="15" hidden="false" customHeight="false" outlineLevel="0" collapsed="false">
      <c r="A86" s="21" t="n">
        <v>71</v>
      </c>
      <c r="B86" s="46" t="str">
        <f aca="false">IF(Students!B75="","",Students!B75)</f>
        <v/>
      </c>
      <c r="C86" s="33" t="n">
        <f aca="false">'May 2027'!F86</f>
        <v>0</v>
      </c>
      <c r="D86" s="33" t="n">
        <f aca="false">IF(B86="",0,N(Students!E75))</f>
        <v>0</v>
      </c>
      <c r="E86" s="23"/>
      <c r="F86" s="24" t="n">
        <f aca="false">N(C86)+N(D86)-N(E86)</f>
        <v>0</v>
      </c>
      <c r="G86" s="33" t="n">
        <f aca="false">'May 2027'!J86</f>
        <v>0</v>
      </c>
      <c r="H86" s="33" t="n">
        <f aca="false">IF(B86="",0,N(Students!F75))</f>
        <v>0</v>
      </c>
      <c r="I86" s="23"/>
      <c r="J86" s="24" t="n">
        <f aca="false">N(G86)+N(H86)-N(I86)</f>
        <v>0</v>
      </c>
      <c r="K86" s="33" t="n">
        <f aca="false">'May 2027'!N86</f>
        <v>0</v>
      </c>
      <c r="L86" s="33" t="n">
        <f aca="false">IF(B86="",0,N(Students!G75))</f>
        <v>0</v>
      </c>
      <c r="M86" s="23"/>
      <c r="N86" s="24" t="n">
        <f aca="false">N(K86)+N(L86)-N(M86)</f>
        <v>0</v>
      </c>
      <c r="O86" s="33" t="n">
        <f aca="false">'May 2027'!R86</f>
        <v>0</v>
      </c>
      <c r="P86" s="33" t="n">
        <f aca="false">IF(B86="",0,N(Students!H75))</f>
        <v>0</v>
      </c>
      <c r="Q86" s="23"/>
      <c r="R86" s="24" t="n">
        <f aca="false">N(O86)+N(P86)-N(Q86)</f>
        <v>0</v>
      </c>
      <c r="S86" s="33" t="n">
        <f aca="false">'May 2027'!V86</f>
        <v>0</v>
      </c>
      <c r="T86" s="33" t="n">
        <f aca="false">IF(B86="",0,N(Students!I75))</f>
        <v>0</v>
      </c>
      <c r="U86" s="23"/>
      <c r="V86" s="24" t="n">
        <f aca="false">N(S86)+N(T86)-N(U86)</f>
        <v>0</v>
      </c>
      <c r="W86" s="33" t="n">
        <f aca="false">'May 2027'!Z86</f>
        <v>0</v>
      </c>
      <c r="X86" s="33" t="n">
        <f aca="false">IF(B86="",0,N(Students!J75))</f>
        <v>0</v>
      </c>
      <c r="Y86" s="23"/>
      <c r="Z86" s="24" t="n">
        <f aca="false">N(W86)+N(X86)-N(Y86)</f>
        <v>0</v>
      </c>
      <c r="AA86" s="33" t="n">
        <f aca="false">N(E86)+N(I86)+N(M86)+N(Q86)+N(U86)+N(Y86)</f>
        <v>0</v>
      </c>
      <c r="AB86" s="24" t="n">
        <f aca="false">F86+J86+N86+R86+V86+Z86</f>
        <v>0</v>
      </c>
      <c r="AC86" s="81" t="str">
        <f aca="false">IF(B86="","",IF(AB86&lt;=0,"Clear",IF(AA86&gt;0,"Partial","Due")))</f>
        <v/>
      </c>
    </row>
    <row r="87" customFormat="false" ht="15" hidden="false" customHeight="false" outlineLevel="0" collapsed="false">
      <c r="A87" s="25" t="n">
        <v>72</v>
      </c>
      <c r="B87" s="82" t="str">
        <f aca="false">IF(Students!B76="","",Students!B76)</f>
        <v/>
      </c>
      <c r="C87" s="37" t="n">
        <f aca="false">'May 2027'!F87</f>
        <v>0</v>
      </c>
      <c r="D87" s="37" t="n">
        <f aca="false">IF(B87="",0,N(Students!E76))</f>
        <v>0</v>
      </c>
      <c r="E87" s="23"/>
      <c r="F87" s="26" t="n">
        <f aca="false">N(C87)+N(D87)-N(E87)</f>
        <v>0</v>
      </c>
      <c r="G87" s="37" t="n">
        <f aca="false">'May 2027'!J87</f>
        <v>0</v>
      </c>
      <c r="H87" s="37" t="n">
        <f aca="false">IF(B87="",0,N(Students!F76))</f>
        <v>0</v>
      </c>
      <c r="I87" s="23"/>
      <c r="J87" s="26" t="n">
        <f aca="false">N(G87)+N(H87)-N(I87)</f>
        <v>0</v>
      </c>
      <c r="K87" s="37" t="n">
        <f aca="false">'May 2027'!N87</f>
        <v>0</v>
      </c>
      <c r="L87" s="37" t="n">
        <f aca="false">IF(B87="",0,N(Students!G76))</f>
        <v>0</v>
      </c>
      <c r="M87" s="23"/>
      <c r="N87" s="26" t="n">
        <f aca="false">N(K87)+N(L87)-N(M87)</f>
        <v>0</v>
      </c>
      <c r="O87" s="37" t="n">
        <f aca="false">'May 2027'!R87</f>
        <v>0</v>
      </c>
      <c r="P87" s="37" t="n">
        <f aca="false">IF(B87="",0,N(Students!H76))</f>
        <v>0</v>
      </c>
      <c r="Q87" s="23"/>
      <c r="R87" s="26" t="n">
        <f aca="false">N(O87)+N(P87)-N(Q87)</f>
        <v>0</v>
      </c>
      <c r="S87" s="37" t="n">
        <f aca="false">'May 2027'!V87</f>
        <v>0</v>
      </c>
      <c r="T87" s="37" t="n">
        <f aca="false">IF(B87="",0,N(Students!I76))</f>
        <v>0</v>
      </c>
      <c r="U87" s="23"/>
      <c r="V87" s="26" t="n">
        <f aca="false">N(S87)+N(T87)-N(U87)</f>
        <v>0</v>
      </c>
      <c r="W87" s="37" t="n">
        <f aca="false">'May 2027'!Z87</f>
        <v>0</v>
      </c>
      <c r="X87" s="37" t="n">
        <f aca="false">IF(B87="",0,N(Students!J76))</f>
        <v>0</v>
      </c>
      <c r="Y87" s="23"/>
      <c r="Z87" s="26" t="n">
        <f aca="false">N(W87)+N(X87)-N(Y87)</f>
        <v>0</v>
      </c>
      <c r="AA87" s="37" t="n">
        <f aca="false">N(E87)+N(I87)+N(M87)+N(Q87)+N(U87)+N(Y87)</f>
        <v>0</v>
      </c>
      <c r="AB87" s="26" t="n">
        <f aca="false">F87+J87+N87+R87+V87+Z87</f>
        <v>0</v>
      </c>
      <c r="AC87" s="83" t="str">
        <f aca="false">IF(B87="","",IF(AB87&lt;=0,"Clear",IF(AA87&gt;0,"Partial","Due")))</f>
        <v/>
      </c>
    </row>
    <row r="88" customFormat="false" ht="15" hidden="false" customHeight="false" outlineLevel="0" collapsed="false">
      <c r="A88" s="21" t="n">
        <v>73</v>
      </c>
      <c r="B88" s="46" t="str">
        <f aca="false">IF(Students!B77="","",Students!B77)</f>
        <v/>
      </c>
      <c r="C88" s="33" t="n">
        <f aca="false">'May 2027'!F88</f>
        <v>0</v>
      </c>
      <c r="D88" s="33" t="n">
        <f aca="false">IF(B88="",0,N(Students!E77))</f>
        <v>0</v>
      </c>
      <c r="E88" s="23"/>
      <c r="F88" s="24" t="n">
        <f aca="false">N(C88)+N(D88)-N(E88)</f>
        <v>0</v>
      </c>
      <c r="G88" s="33" t="n">
        <f aca="false">'May 2027'!J88</f>
        <v>0</v>
      </c>
      <c r="H88" s="33" t="n">
        <f aca="false">IF(B88="",0,N(Students!F77))</f>
        <v>0</v>
      </c>
      <c r="I88" s="23"/>
      <c r="J88" s="24" t="n">
        <f aca="false">N(G88)+N(H88)-N(I88)</f>
        <v>0</v>
      </c>
      <c r="K88" s="33" t="n">
        <f aca="false">'May 2027'!N88</f>
        <v>0</v>
      </c>
      <c r="L88" s="33" t="n">
        <f aca="false">IF(B88="",0,N(Students!G77))</f>
        <v>0</v>
      </c>
      <c r="M88" s="23"/>
      <c r="N88" s="24" t="n">
        <f aca="false">N(K88)+N(L88)-N(M88)</f>
        <v>0</v>
      </c>
      <c r="O88" s="33" t="n">
        <f aca="false">'May 2027'!R88</f>
        <v>0</v>
      </c>
      <c r="P88" s="33" t="n">
        <f aca="false">IF(B88="",0,N(Students!H77))</f>
        <v>0</v>
      </c>
      <c r="Q88" s="23"/>
      <c r="R88" s="24" t="n">
        <f aca="false">N(O88)+N(P88)-N(Q88)</f>
        <v>0</v>
      </c>
      <c r="S88" s="33" t="n">
        <f aca="false">'May 2027'!V88</f>
        <v>0</v>
      </c>
      <c r="T88" s="33" t="n">
        <f aca="false">IF(B88="",0,N(Students!I77))</f>
        <v>0</v>
      </c>
      <c r="U88" s="23"/>
      <c r="V88" s="24" t="n">
        <f aca="false">N(S88)+N(T88)-N(U88)</f>
        <v>0</v>
      </c>
      <c r="W88" s="33" t="n">
        <f aca="false">'May 2027'!Z88</f>
        <v>0</v>
      </c>
      <c r="X88" s="33" t="n">
        <f aca="false">IF(B88="",0,N(Students!J77))</f>
        <v>0</v>
      </c>
      <c r="Y88" s="23"/>
      <c r="Z88" s="24" t="n">
        <f aca="false">N(W88)+N(X88)-N(Y88)</f>
        <v>0</v>
      </c>
      <c r="AA88" s="33" t="n">
        <f aca="false">N(E88)+N(I88)+N(M88)+N(Q88)+N(U88)+N(Y88)</f>
        <v>0</v>
      </c>
      <c r="AB88" s="24" t="n">
        <f aca="false">F88+J88+N88+R88+V88+Z88</f>
        <v>0</v>
      </c>
      <c r="AC88" s="81" t="str">
        <f aca="false">IF(B88="","",IF(AB88&lt;=0,"Clear",IF(AA88&gt;0,"Partial","Due")))</f>
        <v/>
      </c>
    </row>
    <row r="89" customFormat="false" ht="15" hidden="false" customHeight="false" outlineLevel="0" collapsed="false">
      <c r="A89" s="25" t="n">
        <v>74</v>
      </c>
      <c r="B89" s="82" t="str">
        <f aca="false">IF(Students!B78="","",Students!B78)</f>
        <v/>
      </c>
      <c r="C89" s="37" t="n">
        <f aca="false">'May 2027'!F89</f>
        <v>0</v>
      </c>
      <c r="D89" s="37" t="n">
        <f aca="false">IF(B89="",0,N(Students!E78))</f>
        <v>0</v>
      </c>
      <c r="E89" s="23"/>
      <c r="F89" s="26" t="n">
        <f aca="false">N(C89)+N(D89)-N(E89)</f>
        <v>0</v>
      </c>
      <c r="G89" s="37" t="n">
        <f aca="false">'May 2027'!J89</f>
        <v>0</v>
      </c>
      <c r="H89" s="37" t="n">
        <f aca="false">IF(B89="",0,N(Students!F78))</f>
        <v>0</v>
      </c>
      <c r="I89" s="23"/>
      <c r="J89" s="26" t="n">
        <f aca="false">N(G89)+N(H89)-N(I89)</f>
        <v>0</v>
      </c>
      <c r="K89" s="37" t="n">
        <f aca="false">'May 2027'!N89</f>
        <v>0</v>
      </c>
      <c r="L89" s="37" t="n">
        <f aca="false">IF(B89="",0,N(Students!G78))</f>
        <v>0</v>
      </c>
      <c r="M89" s="23"/>
      <c r="N89" s="26" t="n">
        <f aca="false">N(K89)+N(L89)-N(M89)</f>
        <v>0</v>
      </c>
      <c r="O89" s="37" t="n">
        <f aca="false">'May 2027'!R89</f>
        <v>0</v>
      </c>
      <c r="P89" s="37" t="n">
        <f aca="false">IF(B89="",0,N(Students!H78))</f>
        <v>0</v>
      </c>
      <c r="Q89" s="23"/>
      <c r="R89" s="26" t="n">
        <f aca="false">N(O89)+N(P89)-N(Q89)</f>
        <v>0</v>
      </c>
      <c r="S89" s="37" t="n">
        <f aca="false">'May 2027'!V89</f>
        <v>0</v>
      </c>
      <c r="T89" s="37" t="n">
        <f aca="false">IF(B89="",0,N(Students!I78))</f>
        <v>0</v>
      </c>
      <c r="U89" s="23"/>
      <c r="V89" s="26" t="n">
        <f aca="false">N(S89)+N(T89)-N(U89)</f>
        <v>0</v>
      </c>
      <c r="W89" s="37" t="n">
        <f aca="false">'May 2027'!Z89</f>
        <v>0</v>
      </c>
      <c r="X89" s="37" t="n">
        <f aca="false">IF(B89="",0,N(Students!J78))</f>
        <v>0</v>
      </c>
      <c r="Y89" s="23"/>
      <c r="Z89" s="26" t="n">
        <f aca="false">N(W89)+N(X89)-N(Y89)</f>
        <v>0</v>
      </c>
      <c r="AA89" s="37" t="n">
        <f aca="false">N(E89)+N(I89)+N(M89)+N(Q89)+N(U89)+N(Y89)</f>
        <v>0</v>
      </c>
      <c r="AB89" s="26" t="n">
        <f aca="false">F89+J89+N89+R89+V89+Z89</f>
        <v>0</v>
      </c>
      <c r="AC89" s="83" t="str">
        <f aca="false">IF(B89="","",IF(AB89&lt;=0,"Clear",IF(AA89&gt;0,"Partial","Due")))</f>
        <v/>
      </c>
    </row>
    <row r="90" customFormat="false" ht="15" hidden="false" customHeight="false" outlineLevel="0" collapsed="false">
      <c r="A90" s="21" t="n">
        <v>75</v>
      </c>
      <c r="B90" s="46" t="str">
        <f aca="false">IF(Students!B79="","",Students!B79)</f>
        <v/>
      </c>
      <c r="C90" s="33" t="n">
        <f aca="false">'May 2027'!F90</f>
        <v>0</v>
      </c>
      <c r="D90" s="33" t="n">
        <f aca="false">IF(B90="",0,N(Students!E79))</f>
        <v>0</v>
      </c>
      <c r="E90" s="23"/>
      <c r="F90" s="24" t="n">
        <f aca="false">N(C90)+N(D90)-N(E90)</f>
        <v>0</v>
      </c>
      <c r="G90" s="33" t="n">
        <f aca="false">'May 2027'!J90</f>
        <v>0</v>
      </c>
      <c r="H90" s="33" t="n">
        <f aca="false">IF(B90="",0,N(Students!F79))</f>
        <v>0</v>
      </c>
      <c r="I90" s="23"/>
      <c r="J90" s="24" t="n">
        <f aca="false">N(G90)+N(H90)-N(I90)</f>
        <v>0</v>
      </c>
      <c r="K90" s="33" t="n">
        <f aca="false">'May 2027'!N90</f>
        <v>0</v>
      </c>
      <c r="L90" s="33" t="n">
        <f aca="false">IF(B90="",0,N(Students!G79))</f>
        <v>0</v>
      </c>
      <c r="M90" s="23"/>
      <c r="N90" s="24" t="n">
        <f aca="false">N(K90)+N(L90)-N(M90)</f>
        <v>0</v>
      </c>
      <c r="O90" s="33" t="n">
        <f aca="false">'May 2027'!R90</f>
        <v>0</v>
      </c>
      <c r="P90" s="33" t="n">
        <f aca="false">IF(B90="",0,N(Students!H79))</f>
        <v>0</v>
      </c>
      <c r="Q90" s="23"/>
      <c r="R90" s="24" t="n">
        <f aca="false">N(O90)+N(P90)-N(Q90)</f>
        <v>0</v>
      </c>
      <c r="S90" s="33" t="n">
        <f aca="false">'May 2027'!V90</f>
        <v>0</v>
      </c>
      <c r="T90" s="33" t="n">
        <f aca="false">IF(B90="",0,N(Students!I79))</f>
        <v>0</v>
      </c>
      <c r="U90" s="23"/>
      <c r="V90" s="24" t="n">
        <f aca="false">N(S90)+N(T90)-N(U90)</f>
        <v>0</v>
      </c>
      <c r="W90" s="33" t="n">
        <f aca="false">'May 2027'!Z90</f>
        <v>0</v>
      </c>
      <c r="X90" s="33" t="n">
        <f aca="false">IF(B90="",0,N(Students!J79))</f>
        <v>0</v>
      </c>
      <c r="Y90" s="23"/>
      <c r="Z90" s="24" t="n">
        <f aca="false">N(W90)+N(X90)-N(Y90)</f>
        <v>0</v>
      </c>
      <c r="AA90" s="33" t="n">
        <f aca="false">N(E90)+N(I90)+N(M90)+N(Q90)+N(U90)+N(Y90)</f>
        <v>0</v>
      </c>
      <c r="AB90" s="24" t="n">
        <f aca="false">F90+J90+N90+R90+V90+Z90</f>
        <v>0</v>
      </c>
      <c r="AC90" s="81" t="str">
        <f aca="false">IF(B90="","",IF(AB90&lt;=0,"Clear",IF(AA90&gt;0,"Partial","Due")))</f>
        <v/>
      </c>
    </row>
    <row r="91" customFormat="false" ht="15" hidden="false" customHeight="false" outlineLevel="0" collapsed="false">
      <c r="A91" s="25" t="n">
        <v>76</v>
      </c>
      <c r="B91" s="82" t="str">
        <f aca="false">IF(Students!B80="","",Students!B80)</f>
        <v/>
      </c>
      <c r="C91" s="37" t="n">
        <f aca="false">'May 2027'!F91</f>
        <v>0</v>
      </c>
      <c r="D91" s="37" t="n">
        <f aca="false">IF(B91="",0,N(Students!E80))</f>
        <v>0</v>
      </c>
      <c r="E91" s="23"/>
      <c r="F91" s="26" t="n">
        <f aca="false">N(C91)+N(D91)-N(E91)</f>
        <v>0</v>
      </c>
      <c r="G91" s="37" t="n">
        <f aca="false">'May 2027'!J91</f>
        <v>0</v>
      </c>
      <c r="H91" s="37" t="n">
        <f aca="false">IF(B91="",0,N(Students!F80))</f>
        <v>0</v>
      </c>
      <c r="I91" s="23"/>
      <c r="J91" s="26" t="n">
        <f aca="false">N(G91)+N(H91)-N(I91)</f>
        <v>0</v>
      </c>
      <c r="K91" s="37" t="n">
        <f aca="false">'May 2027'!N91</f>
        <v>0</v>
      </c>
      <c r="L91" s="37" t="n">
        <f aca="false">IF(B91="",0,N(Students!G80))</f>
        <v>0</v>
      </c>
      <c r="M91" s="23"/>
      <c r="N91" s="26" t="n">
        <f aca="false">N(K91)+N(L91)-N(M91)</f>
        <v>0</v>
      </c>
      <c r="O91" s="37" t="n">
        <f aca="false">'May 2027'!R91</f>
        <v>0</v>
      </c>
      <c r="P91" s="37" t="n">
        <f aca="false">IF(B91="",0,N(Students!H80))</f>
        <v>0</v>
      </c>
      <c r="Q91" s="23"/>
      <c r="R91" s="26" t="n">
        <f aca="false">N(O91)+N(P91)-N(Q91)</f>
        <v>0</v>
      </c>
      <c r="S91" s="37" t="n">
        <f aca="false">'May 2027'!V91</f>
        <v>0</v>
      </c>
      <c r="T91" s="37" t="n">
        <f aca="false">IF(B91="",0,N(Students!I80))</f>
        <v>0</v>
      </c>
      <c r="U91" s="23"/>
      <c r="V91" s="26" t="n">
        <f aca="false">N(S91)+N(T91)-N(U91)</f>
        <v>0</v>
      </c>
      <c r="W91" s="37" t="n">
        <f aca="false">'May 2027'!Z91</f>
        <v>0</v>
      </c>
      <c r="X91" s="37" t="n">
        <f aca="false">IF(B91="",0,N(Students!J80))</f>
        <v>0</v>
      </c>
      <c r="Y91" s="23"/>
      <c r="Z91" s="26" t="n">
        <f aca="false">N(W91)+N(X91)-N(Y91)</f>
        <v>0</v>
      </c>
      <c r="AA91" s="37" t="n">
        <f aca="false">N(E91)+N(I91)+N(M91)+N(Q91)+N(U91)+N(Y91)</f>
        <v>0</v>
      </c>
      <c r="AB91" s="26" t="n">
        <f aca="false">F91+J91+N91+R91+V91+Z91</f>
        <v>0</v>
      </c>
      <c r="AC91" s="83" t="str">
        <f aca="false">IF(B91="","",IF(AB91&lt;=0,"Clear",IF(AA91&gt;0,"Partial","Due")))</f>
        <v/>
      </c>
    </row>
    <row r="92" customFormat="false" ht="15" hidden="false" customHeight="false" outlineLevel="0" collapsed="false">
      <c r="A92" s="21" t="n">
        <v>77</v>
      </c>
      <c r="B92" s="46" t="str">
        <f aca="false">IF(Students!B81="","",Students!B81)</f>
        <v/>
      </c>
      <c r="C92" s="33" t="n">
        <f aca="false">'May 2027'!F92</f>
        <v>0</v>
      </c>
      <c r="D92" s="33" t="n">
        <f aca="false">IF(B92="",0,N(Students!E81))</f>
        <v>0</v>
      </c>
      <c r="E92" s="23"/>
      <c r="F92" s="24" t="n">
        <f aca="false">N(C92)+N(D92)-N(E92)</f>
        <v>0</v>
      </c>
      <c r="G92" s="33" t="n">
        <f aca="false">'May 2027'!J92</f>
        <v>0</v>
      </c>
      <c r="H92" s="33" t="n">
        <f aca="false">IF(B92="",0,N(Students!F81))</f>
        <v>0</v>
      </c>
      <c r="I92" s="23"/>
      <c r="J92" s="24" t="n">
        <f aca="false">N(G92)+N(H92)-N(I92)</f>
        <v>0</v>
      </c>
      <c r="K92" s="33" t="n">
        <f aca="false">'May 2027'!N92</f>
        <v>0</v>
      </c>
      <c r="L92" s="33" t="n">
        <f aca="false">IF(B92="",0,N(Students!G81))</f>
        <v>0</v>
      </c>
      <c r="M92" s="23"/>
      <c r="N92" s="24" t="n">
        <f aca="false">N(K92)+N(L92)-N(M92)</f>
        <v>0</v>
      </c>
      <c r="O92" s="33" t="n">
        <f aca="false">'May 2027'!R92</f>
        <v>0</v>
      </c>
      <c r="P92" s="33" t="n">
        <f aca="false">IF(B92="",0,N(Students!H81))</f>
        <v>0</v>
      </c>
      <c r="Q92" s="23"/>
      <c r="R92" s="24" t="n">
        <f aca="false">N(O92)+N(P92)-N(Q92)</f>
        <v>0</v>
      </c>
      <c r="S92" s="33" t="n">
        <f aca="false">'May 2027'!V92</f>
        <v>0</v>
      </c>
      <c r="T92" s="33" t="n">
        <f aca="false">IF(B92="",0,N(Students!I81))</f>
        <v>0</v>
      </c>
      <c r="U92" s="23"/>
      <c r="V92" s="24" t="n">
        <f aca="false">N(S92)+N(T92)-N(U92)</f>
        <v>0</v>
      </c>
      <c r="W92" s="33" t="n">
        <f aca="false">'May 2027'!Z92</f>
        <v>0</v>
      </c>
      <c r="X92" s="33" t="n">
        <f aca="false">IF(B92="",0,N(Students!J81))</f>
        <v>0</v>
      </c>
      <c r="Y92" s="23"/>
      <c r="Z92" s="24" t="n">
        <f aca="false">N(W92)+N(X92)-N(Y92)</f>
        <v>0</v>
      </c>
      <c r="AA92" s="33" t="n">
        <f aca="false">N(E92)+N(I92)+N(M92)+N(Q92)+N(U92)+N(Y92)</f>
        <v>0</v>
      </c>
      <c r="AB92" s="24" t="n">
        <f aca="false">F92+J92+N92+R92+V92+Z92</f>
        <v>0</v>
      </c>
      <c r="AC92" s="81" t="str">
        <f aca="false">IF(B92="","",IF(AB92&lt;=0,"Clear",IF(AA92&gt;0,"Partial","Due")))</f>
        <v/>
      </c>
    </row>
    <row r="93" customFormat="false" ht="15" hidden="false" customHeight="false" outlineLevel="0" collapsed="false">
      <c r="A93" s="25" t="n">
        <v>78</v>
      </c>
      <c r="B93" s="82" t="str">
        <f aca="false">IF(Students!B82="","",Students!B82)</f>
        <v/>
      </c>
      <c r="C93" s="37" t="n">
        <f aca="false">'May 2027'!F93</f>
        <v>0</v>
      </c>
      <c r="D93" s="37" t="n">
        <f aca="false">IF(B93="",0,N(Students!E82))</f>
        <v>0</v>
      </c>
      <c r="E93" s="23"/>
      <c r="F93" s="26" t="n">
        <f aca="false">N(C93)+N(D93)-N(E93)</f>
        <v>0</v>
      </c>
      <c r="G93" s="37" t="n">
        <f aca="false">'May 2027'!J93</f>
        <v>0</v>
      </c>
      <c r="H93" s="37" t="n">
        <f aca="false">IF(B93="",0,N(Students!F82))</f>
        <v>0</v>
      </c>
      <c r="I93" s="23"/>
      <c r="J93" s="26" t="n">
        <f aca="false">N(G93)+N(H93)-N(I93)</f>
        <v>0</v>
      </c>
      <c r="K93" s="37" t="n">
        <f aca="false">'May 2027'!N93</f>
        <v>0</v>
      </c>
      <c r="L93" s="37" t="n">
        <f aca="false">IF(B93="",0,N(Students!G82))</f>
        <v>0</v>
      </c>
      <c r="M93" s="23"/>
      <c r="N93" s="26" t="n">
        <f aca="false">N(K93)+N(L93)-N(M93)</f>
        <v>0</v>
      </c>
      <c r="O93" s="37" t="n">
        <f aca="false">'May 2027'!R93</f>
        <v>0</v>
      </c>
      <c r="P93" s="37" t="n">
        <f aca="false">IF(B93="",0,N(Students!H82))</f>
        <v>0</v>
      </c>
      <c r="Q93" s="23"/>
      <c r="R93" s="26" t="n">
        <f aca="false">N(O93)+N(P93)-N(Q93)</f>
        <v>0</v>
      </c>
      <c r="S93" s="37" t="n">
        <f aca="false">'May 2027'!V93</f>
        <v>0</v>
      </c>
      <c r="T93" s="37" t="n">
        <f aca="false">IF(B93="",0,N(Students!I82))</f>
        <v>0</v>
      </c>
      <c r="U93" s="23"/>
      <c r="V93" s="26" t="n">
        <f aca="false">N(S93)+N(T93)-N(U93)</f>
        <v>0</v>
      </c>
      <c r="W93" s="37" t="n">
        <f aca="false">'May 2027'!Z93</f>
        <v>0</v>
      </c>
      <c r="X93" s="37" t="n">
        <f aca="false">IF(B93="",0,N(Students!J82))</f>
        <v>0</v>
      </c>
      <c r="Y93" s="23"/>
      <c r="Z93" s="26" t="n">
        <f aca="false">N(W93)+N(X93)-N(Y93)</f>
        <v>0</v>
      </c>
      <c r="AA93" s="37" t="n">
        <f aca="false">N(E93)+N(I93)+N(M93)+N(Q93)+N(U93)+N(Y93)</f>
        <v>0</v>
      </c>
      <c r="AB93" s="26" t="n">
        <f aca="false">F93+J93+N93+R93+V93+Z93</f>
        <v>0</v>
      </c>
      <c r="AC93" s="83" t="str">
        <f aca="false">IF(B93="","",IF(AB93&lt;=0,"Clear",IF(AA93&gt;0,"Partial","Due")))</f>
        <v/>
      </c>
    </row>
    <row r="94" customFormat="false" ht="15" hidden="false" customHeight="false" outlineLevel="0" collapsed="false">
      <c r="A94" s="21" t="n">
        <v>79</v>
      </c>
      <c r="B94" s="46" t="str">
        <f aca="false">IF(Students!B83="","",Students!B83)</f>
        <v/>
      </c>
      <c r="C94" s="33" t="n">
        <f aca="false">'May 2027'!F94</f>
        <v>0</v>
      </c>
      <c r="D94" s="33" t="n">
        <f aca="false">IF(B94="",0,N(Students!E83))</f>
        <v>0</v>
      </c>
      <c r="E94" s="23"/>
      <c r="F94" s="24" t="n">
        <f aca="false">N(C94)+N(D94)-N(E94)</f>
        <v>0</v>
      </c>
      <c r="G94" s="33" t="n">
        <f aca="false">'May 2027'!J94</f>
        <v>0</v>
      </c>
      <c r="H94" s="33" t="n">
        <f aca="false">IF(B94="",0,N(Students!F83))</f>
        <v>0</v>
      </c>
      <c r="I94" s="23"/>
      <c r="J94" s="24" t="n">
        <f aca="false">N(G94)+N(H94)-N(I94)</f>
        <v>0</v>
      </c>
      <c r="K94" s="33" t="n">
        <f aca="false">'May 2027'!N94</f>
        <v>0</v>
      </c>
      <c r="L94" s="33" t="n">
        <f aca="false">IF(B94="",0,N(Students!G83))</f>
        <v>0</v>
      </c>
      <c r="M94" s="23"/>
      <c r="N94" s="24" t="n">
        <f aca="false">N(K94)+N(L94)-N(M94)</f>
        <v>0</v>
      </c>
      <c r="O94" s="33" t="n">
        <f aca="false">'May 2027'!R94</f>
        <v>0</v>
      </c>
      <c r="P94" s="33" t="n">
        <f aca="false">IF(B94="",0,N(Students!H83))</f>
        <v>0</v>
      </c>
      <c r="Q94" s="23"/>
      <c r="R94" s="24" t="n">
        <f aca="false">N(O94)+N(P94)-N(Q94)</f>
        <v>0</v>
      </c>
      <c r="S94" s="33" t="n">
        <f aca="false">'May 2027'!V94</f>
        <v>0</v>
      </c>
      <c r="T94" s="33" t="n">
        <f aca="false">IF(B94="",0,N(Students!I83))</f>
        <v>0</v>
      </c>
      <c r="U94" s="23"/>
      <c r="V94" s="24" t="n">
        <f aca="false">N(S94)+N(T94)-N(U94)</f>
        <v>0</v>
      </c>
      <c r="W94" s="33" t="n">
        <f aca="false">'May 2027'!Z94</f>
        <v>0</v>
      </c>
      <c r="X94" s="33" t="n">
        <f aca="false">IF(B94="",0,N(Students!J83))</f>
        <v>0</v>
      </c>
      <c r="Y94" s="23"/>
      <c r="Z94" s="24" t="n">
        <f aca="false">N(W94)+N(X94)-N(Y94)</f>
        <v>0</v>
      </c>
      <c r="AA94" s="33" t="n">
        <f aca="false">N(E94)+N(I94)+N(M94)+N(Q94)+N(U94)+N(Y94)</f>
        <v>0</v>
      </c>
      <c r="AB94" s="24" t="n">
        <f aca="false">F94+J94+N94+R94+V94+Z94</f>
        <v>0</v>
      </c>
      <c r="AC94" s="81" t="str">
        <f aca="false">IF(B94="","",IF(AB94&lt;=0,"Clear",IF(AA94&gt;0,"Partial","Due")))</f>
        <v/>
      </c>
    </row>
    <row r="95" customFormat="false" ht="15" hidden="false" customHeight="false" outlineLevel="0" collapsed="false">
      <c r="A95" s="25" t="n">
        <v>80</v>
      </c>
      <c r="B95" s="82" t="str">
        <f aca="false">IF(Students!B84="","",Students!B84)</f>
        <v/>
      </c>
      <c r="C95" s="37" t="n">
        <f aca="false">'May 2027'!F95</f>
        <v>0</v>
      </c>
      <c r="D95" s="37" t="n">
        <f aca="false">IF(B95="",0,N(Students!E84))</f>
        <v>0</v>
      </c>
      <c r="E95" s="23"/>
      <c r="F95" s="26" t="n">
        <f aca="false">N(C95)+N(D95)-N(E95)</f>
        <v>0</v>
      </c>
      <c r="G95" s="37" t="n">
        <f aca="false">'May 2027'!J95</f>
        <v>0</v>
      </c>
      <c r="H95" s="37" t="n">
        <f aca="false">IF(B95="",0,N(Students!F84))</f>
        <v>0</v>
      </c>
      <c r="I95" s="23"/>
      <c r="J95" s="26" t="n">
        <f aca="false">N(G95)+N(H95)-N(I95)</f>
        <v>0</v>
      </c>
      <c r="K95" s="37" t="n">
        <f aca="false">'May 2027'!N95</f>
        <v>0</v>
      </c>
      <c r="L95" s="37" t="n">
        <f aca="false">IF(B95="",0,N(Students!G84))</f>
        <v>0</v>
      </c>
      <c r="M95" s="23"/>
      <c r="N95" s="26" t="n">
        <f aca="false">N(K95)+N(L95)-N(M95)</f>
        <v>0</v>
      </c>
      <c r="O95" s="37" t="n">
        <f aca="false">'May 2027'!R95</f>
        <v>0</v>
      </c>
      <c r="P95" s="37" t="n">
        <f aca="false">IF(B95="",0,N(Students!H84))</f>
        <v>0</v>
      </c>
      <c r="Q95" s="23"/>
      <c r="R95" s="26" t="n">
        <f aca="false">N(O95)+N(P95)-N(Q95)</f>
        <v>0</v>
      </c>
      <c r="S95" s="37" t="n">
        <f aca="false">'May 2027'!V95</f>
        <v>0</v>
      </c>
      <c r="T95" s="37" t="n">
        <f aca="false">IF(B95="",0,N(Students!I84))</f>
        <v>0</v>
      </c>
      <c r="U95" s="23"/>
      <c r="V95" s="26" t="n">
        <f aca="false">N(S95)+N(T95)-N(U95)</f>
        <v>0</v>
      </c>
      <c r="W95" s="37" t="n">
        <f aca="false">'May 2027'!Z95</f>
        <v>0</v>
      </c>
      <c r="X95" s="37" t="n">
        <f aca="false">IF(B95="",0,N(Students!J84))</f>
        <v>0</v>
      </c>
      <c r="Y95" s="23"/>
      <c r="Z95" s="26" t="n">
        <f aca="false">N(W95)+N(X95)-N(Y95)</f>
        <v>0</v>
      </c>
      <c r="AA95" s="37" t="n">
        <f aca="false">N(E95)+N(I95)+N(M95)+N(Q95)+N(U95)+N(Y95)</f>
        <v>0</v>
      </c>
      <c r="AB95" s="26" t="n">
        <f aca="false">F95+J95+N95+R95+V95+Z95</f>
        <v>0</v>
      </c>
      <c r="AC95" s="83" t="str">
        <f aca="false">IF(B95="","",IF(AB95&lt;=0,"Clear",IF(AA95&gt;0,"Partial","Due")))</f>
        <v/>
      </c>
    </row>
    <row r="96" customFormat="false" ht="15" hidden="false" customHeight="false" outlineLevel="0" collapsed="false">
      <c r="A96" s="21" t="n">
        <v>81</v>
      </c>
      <c r="B96" s="46" t="str">
        <f aca="false">IF(Students!B85="","",Students!B85)</f>
        <v/>
      </c>
      <c r="C96" s="33" t="n">
        <f aca="false">'May 2027'!F96</f>
        <v>0</v>
      </c>
      <c r="D96" s="33" t="n">
        <f aca="false">IF(B96="",0,N(Students!E85))</f>
        <v>0</v>
      </c>
      <c r="E96" s="23"/>
      <c r="F96" s="24" t="n">
        <f aca="false">N(C96)+N(D96)-N(E96)</f>
        <v>0</v>
      </c>
      <c r="G96" s="33" t="n">
        <f aca="false">'May 2027'!J96</f>
        <v>0</v>
      </c>
      <c r="H96" s="33" t="n">
        <f aca="false">IF(B96="",0,N(Students!F85))</f>
        <v>0</v>
      </c>
      <c r="I96" s="23"/>
      <c r="J96" s="24" t="n">
        <f aca="false">N(G96)+N(H96)-N(I96)</f>
        <v>0</v>
      </c>
      <c r="K96" s="33" t="n">
        <f aca="false">'May 2027'!N96</f>
        <v>0</v>
      </c>
      <c r="L96" s="33" t="n">
        <f aca="false">IF(B96="",0,N(Students!G85))</f>
        <v>0</v>
      </c>
      <c r="M96" s="23"/>
      <c r="N96" s="24" t="n">
        <f aca="false">N(K96)+N(L96)-N(M96)</f>
        <v>0</v>
      </c>
      <c r="O96" s="33" t="n">
        <f aca="false">'May 2027'!R96</f>
        <v>0</v>
      </c>
      <c r="P96" s="33" t="n">
        <f aca="false">IF(B96="",0,N(Students!H85))</f>
        <v>0</v>
      </c>
      <c r="Q96" s="23"/>
      <c r="R96" s="24" t="n">
        <f aca="false">N(O96)+N(P96)-N(Q96)</f>
        <v>0</v>
      </c>
      <c r="S96" s="33" t="n">
        <f aca="false">'May 2027'!V96</f>
        <v>0</v>
      </c>
      <c r="T96" s="33" t="n">
        <f aca="false">IF(B96="",0,N(Students!I85))</f>
        <v>0</v>
      </c>
      <c r="U96" s="23"/>
      <c r="V96" s="24" t="n">
        <f aca="false">N(S96)+N(T96)-N(U96)</f>
        <v>0</v>
      </c>
      <c r="W96" s="33" t="n">
        <f aca="false">'May 2027'!Z96</f>
        <v>0</v>
      </c>
      <c r="X96" s="33" t="n">
        <f aca="false">IF(B96="",0,N(Students!J85))</f>
        <v>0</v>
      </c>
      <c r="Y96" s="23"/>
      <c r="Z96" s="24" t="n">
        <f aca="false">N(W96)+N(X96)-N(Y96)</f>
        <v>0</v>
      </c>
      <c r="AA96" s="33" t="n">
        <f aca="false">N(E96)+N(I96)+N(M96)+N(Q96)+N(U96)+N(Y96)</f>
        <v>0</v>
      </c>
      <c r="AB96" s="24" t="n">
        <f aca="false">F96+J96+N96+R96+V96+Z96</f>
        <v>0</v>
      </c>
      <c r="AC96" s="81" t="str">
        <f aca="false">IF(B96="","",IF(AB96&lt;=0,"Clear",IF(AA96&gt;0,"Partial","Due")))</f>
        <v/>
      </c>
    </row>
    <row r="97" customFormat="false" ht="15" hidden="false" customHeight="false" outlineLevel="0" collapsed="false">
      <c r="A97" s="25" t="n">
        <v>82</v>
      </c>
      <c r="B97" s="82" t="str">
        <f aca="false">IF(Students!B86="","",Students!B86)</f>
        <v/>
      </c>
      <c r="C97" s="37" t="n">
        <f aca="false">'May 2027'!F97</f>
        <v>0</v>
      </c>
      <c r="D97" s="37" t="n">
        <f aca="false">IF(B97="",0,N(Students!E86))</f>
        <v>0</v>
      </c>
      <c r="E97" s="23"/>
      <c r="F97" s="26" t="n">
        <f aca="false">N(C97)+N(D97)-N(E97)</f>
        <v>0</v>
      </c>
      <c r="G97" s="37" t="n">
        <f aca="false">'May 2027'!J97</f>
        <v>0</v>
      </c>
      <c r="H97" s="37" t="n">
        <f aca="false">IF(B97="",0,N(Students!F86))</f>
        <v>0</v>
      </c>
      <c r="I97" s="23"/>
      <c r="J97" s="26" t="n">
        <f aca="false">N(G97)+N(H97)-N(I97)</f>
        <v>0</v>
      </c>
      <c r="K97" s="37" t="n">
        <f aca="false">'May 2027'!N97</f>
        <v>0</v>
      </c>
      <c r="L97" s="37" t="n">
        <f aca="false">IF(B97="",0,N(Students!G86))</f>
        <v>0</v>
      </c>
      <c r="M97" s="23"/>
      <c r="N97" s="26" t="n">
        <f aca="false">N(K97)+N(L97)-N(M97)</f>
        <v>0</v>
      </c>
      <c r="O97" s="37" t="n">
        <f aca="false">'May 2027'!R97</f>
        <v>0</v>
      </c>
      <c r="P97" s="37" t="n">
        <f aca="false">IF(B97="",0,N(Students!H86))</f>
        <v>0</v>
      </c>
      <c r="Q97" s="23"/>
      <c r="R97" s="26" t="n">
        <f aca="false">N(O97)+N(P97)-N(Q97)</f>
        <v>0</v>
      </c>
      <c r="S97" s="37" t="n">
        <f aca="false">'May 2027'!V97</f>
        <v>0</v>
      </c>
      <c r="T97" s="37" t="n">
        <f aca="false">IF(B97="",0,N(Students!I86))</f>
        <v>0</v>
      </c>
      <c r="U97" s="23"/>
      <c r="V97" s="26" t="n">
        <f aca="false">N(S97)+N(T97)-N(U97)</f>
        <v>0</v>
      </c>
      <c r="W97" s="37" t="n">
        <f aca="false">'May 2027'!Z97</f>
        <v>0</v>
      </c>
      <c r="X97" s="37" t="n">
        <f aca="false">IF(B97="",0,N(Students!J86))</f>
        <v>0</v>
      </c>
      <c r="Y97" s="23"/>
      <c r="Z97" s="26" t="n">
        <f aca="false">N(W97)+N(X97)-N(Y97)</f>
        <v>0</v>
      </c>
      <c r="AA97" s="37" t="n">
        <f aca="false">N(E97)+N(I97)+N(M97)+N(Q97)+N(U97)+N(Y97)</f>
        <v>0</v>
      </c>
      <c r="AB97" s="26" t="n">
        <f aca="false">F97+J97+N97+R97+V97+Z97</f>
        <v>0</v>
      </c>
      <c r="AC97" s="83" t="str">
        <f aca="false">IF(B97="","",IF(AB97&lt;=0,"Clear",IF(AA97&gt;0,"Partial","Due")))</f>
        <v/>
      </c>
    </row>
    <row r="98" customFormat="false" ht="15" hidden="false" customHeight="false" outlineLevel="0" collapsed="false">
      <c r="A98" s="21" t="n">
        <v>83</v>
      </c>
      <c r="B98" s="46" t="str">
        <f aca="false">IF(Students!B87="","",Students!B87)</f>
        <v/>
      </c>
      <c r="C98" s="33" t="n">
        <f aca="false">'May 2027'!F98</f>
        <v>0</v>
      </c>
      <c r="D98" s="33" t="n">
        <f aca="false">IF(B98="",0,N(Students!E87))</f>
        <v>0</v>
      </c>
      <c r="E98" s="23"/>
      <c r="F98" s="24" t="n">
        <f aca="false">N(C98)+N(D98)-N(E98)</f>
        <v>0</v>
      </c>
      <c r="G98" s="33" t="n">
        <f aca="false">'May 2027'!J98</f>
        <v>0</v>
      </c>
      <c r="H98" s="33" t="n">
        <f aca="false">IF(B98="",0,N(Students!F87))</f>
        <v>0</v>
      </c>
      <c r="I98" s="23"/>
      <c r="J98" s="24" t="n">
        <f aca="false">N(G98)+N(H98)-N(I98)</f>
        <v>0</v>
      </c>
      <c r="K98" s="33" t="n">
        <f aca="false">'May 2027'!N98</f>
        <v>0</v>
      </c>
      <c r="L98" s="33" t="n">
        <f aca="false">IF(B98="",0,N(Students!G87))</f>
        <v>0</v>
      </c>
      <c r="M98" s="23"/>
      <c r="N98" s="24" t="n">
        <f aca="false">N(K98)+N(L98)-N(M98)</f>
        <v>0</v>
      </c>
      <c r="O98" s="33" t="n">
        <f aca="false">'May 2027'!R98</f>
        <v>0</v>
      </c>
      <c r="P98" s="33" t="n">
        <f aca="false">IF(B98="",0,N(Students!H87))</f>
        <v>0</v>
      </c>
      <c r="Q98" s="23"/>
      <c r="R98" s="24" t="n">
        <f aca="false">N(O98)+N(P98)-N(Q98)</f>
        <v>0</v>
      </c>
      <c r="S98" s="33" t="n">
        <f aca="false">'May 2027'!V98</f>
        <v>0</v>
      </c>
      <c r="T98" s="33" t="n">
        <f aca="false">IF(B98="",0,N(Students!I87))</f>
        <v>0</v>
      </c>
      <c r="U98" s="23"/>
      <c r="V98" s="24" t="n">
        <f aca="false">N(S98)+N(T98)-N(U98)</f>
        <v>0</v>
      </c>
      <c r="W98" s="33" t="n">
        <f aca="false">'May 2027'!Z98</f>
        <v>0</v>
      </c>
      <c r="X98" s="33" t="n">
        <f aca="false">IF(B98="",0,N(Students!J87))</f>
        <v>0</v>
      </c>
      <c r="Y98" s="23"/>
      <c r="Z98" s="24" t="n">
        <f aca="false">N(W98)+N(X98)-N(Y98)</f>
        <v>0</v>
      </c>
      <c r="AA98" s="33" t="n">
        <f aca="false">N(E98)+N(I98)+N(M98)+N(Q98)+N(U98)+N(Y98)</f>
        <v>0</v>
      </c>
      <c r="AB98" s="24" t="n">
        <f aca="false">F98+J98+N98+R98+V98+Z98</f>
        <v>0</v>
      </c>
      <c r="AC98" s="81" t="str">
        <f aca="false">IF(B98="","",IF(AB98&lt;=0,"Clear",IF(AA98&gt;0,"Partial","Due")))</f>
        <v/>
      </c>
    </row>
    <row r="99" customFormat="false" ht="15" hidden="false" customHeight="false" outlineLevel="0" collapsed="false">
      <c r="A99" s="25" t="n">
        <v>84</v>
      </c>
      <c r="B99" s="82" t="str">
        <f aca="false">IF(Students!B88="","",Students!B88)</f>
        <v/>
      </c>
      <c r="C99" s="37" t="n">
        <f aca="false">'May 2027'!F99</f>
        <v>0</v>
      </c>
      <c r="D99" s="37" t="n">
        <f aca="false">IF(B99="",0,N(Students!E88))</f>
        <v>0</v>
      </c>
      <c r="E99" s="23"/>
      <c r="F99" s="26" t="n">
        <f aca="false">N(C99)+N(D99)-N(E99)</f>
        <v>0</v>
      </c>
      <c r="G99" s="37" t="n">
        <f aca="false">'May 2027'!J99</f>
        <v>0</v>
      </c>
      <c r="H99" s="37" t="n">
        <f aca="false">IF(B99="",0,N(Students!F88))</f>
        <v>0</v>
      </c>
      <c r="I99" s="23"/>
      <c r="J99" s="26" t="n">
        <f aca="false">N(G99)+N(H99)-N(I99)</f>
        <v>0</v>
      </c>
      <c r="K99" s="37" t="n">
        <f aca="false">'May 2027'!N99</f>
        <v>0</v>
      </c>
      <c r="L99" s="37" t="n">
        <f aca="false">IF(B99="",0,N(Students!G88))</f>
        <v>0</v>
      </c>
      <c r="M99" s="23"/>
      <c r="N99" s="26" t="n">
        <f aca="false">N(K99)+N(L99)-N(M99)</f>
        <v>0</v>
      </c>
      <c r="O99" s="37" t="n">
        <f aca="false">'May 2027'!R99</f>
        <v>0</v>
      </c>
      <c r="P99" s="37" t="n">
        <f aca="false">IF(B99="",0,N(Students!H88))</f>
        <v>0</v>
      </c>
      <c r="Q99" s="23"/>
      <c r="R99" s="26" t="n">
        <f aca="false">N(O99)+N(P99)-N(Q99)</f>
        <v>0</v>
      </c>
      <c r="S99" s="37" t="n">
        <f aca="false">'May 2027'!V99</f>
        <v>0</v>
      </c>
      <c r="T99" s="37" t="n">
        <f aca="false">IF(B99="",0,N(Students!I88))</f>
        <v>0</v>
      </c>
      <c r="U99" s="23"/>
      <c r="V99" s="26" t="n">
        <f aca="false">N(S99)+N(T99)-N(U99)</f>
        <v>0</v>
      </c>
      <c r="W99" s="37" t="n">
        <f aca="false">'May 2027'!Z99</f>
        <v>0</v>
      </c>
      <c r="X99" s="37" t="n">
        <f aca="false">IF(B99="",0,N(Students!J88))</f>
        <v>0</v>
      </c>
      <c r="Y99" s="23"/>
      <c r="Z99" s="26" t="n">
        <f aca="false">N(W99)+N(X99)-N(Y99)</f>
        <v>0</v>
      </c>
      <c r="AA99" s="37" t="n">
        <f aca="false">N(E99)+N(I99)+N(M99)+N(Q99)+N(U99)+N(Y99)</f>
        <v>0</v>
      </c>
      <c r="AB99" s="26" t="n">
        <f aca="false">F99+J99+N99+R99+V99+Z99</f>
        <v>0</v>
      </c>
      <c r="AC99" s="83" t="str">
        <f aca="false">IF(B99="","",IF(AB99&lt;=0,"Clear",IF(AA99&gt;0,"Partial","Due")))</f>
        <v/>
      </c>
    </row>
    <row r="100" customFormat="false" ht="15" hidden="false" customHeight="false" outlineLevel="0" collapsed="false">
      <c r="A100" s="21" t="n">
        <v>85</v>
      </c>
      <c r="B100" s="46" t="str">
        <f aca="false">IF(Students!B89="","",Students!B89)</f>
        <v/>
      </c>
      <c r="C100" s="33" t="n">
        <f aca="false">'May 2027'!F100</f>
        <v>0</v>
      </c>
      <c r="D100" s="33" t="n">
        <f aca="false">IF(B100="",0,N(Students!E89))</f>
        <v>0</v>
      </c>
      <c r="E100" s="23"/>
      <c r="F100" s="24" t="n">
        <f aca="false">N(C100)+N(D100)-N(E100)</f>
        <v>0</v>
      </c>
      <c r="G100" s="33" t="n">
        <f aca="false">'May 2027'!J100</f>
        <v>0</v>
      </c>
      <c r="H100" s="33" t="n">
        <f aca="false">IF(B100="",0,N(Students!F89))</f>
        <v>0</v>
      </c>
      <c r="I100" s="23"/>
      <c r="J100" s="24" t="n">
        <f aca="false">N(G100)+N(H100)-N(I100)</f>
        <v>0</v>
      </c>
      <c r="K100" s="33" t="n">
        <f aca="false">'May 2027'!N100</f>
        <v>0</v>
      </c>
      <c r="L100" s="33" t="n">
        <f aca="false">IF(B100="",0,N(Students!G89))</f>
        <v>0</v>
      </c>
      <c r="M100" s="23"/>
      <c r="N100" s="24" t="n">
        <f aca="false">N(K100)+N(L100)-N(M100)</f>
        <v>0</v>
      </c>
      <c r="O100" s="33" t="n">
        <f aca="false">'May 2027'!R100</f>
        <v>0</v>
      </c>
      <c r="P100" s="33" t="n">
        <f aca="false">IF(B100="",0,N(Students!H89))</f>
        <v>0</v>
      </c>
      <c r="Q100" s="23"/>
      <c r="R100" s="24" t="n">
        <f aca="false">N(O100)+N(P100)-N(Q100)</f>
        <v>0</v>
      </c>
      <c r="S100" s="33" t="n">
        <f aca="false">'May 2027'!V100</f>
        <v>0</v>
      </c>
      <c r="T100" s="33" t="n">
        <f aca="false">IF(B100="",0,N(Students!I89))</f>
        <v>0</v>
      </c>
      <c r="U100" s="23"/>
      <c r="V100" s="24" t="n">
        <f aca="false">N(S100)+N(T100)-N(U100)</f>
        <v>0</v>
      </c>
      <c r="W100" s="33" t="n">
        <f aca="false">'May 2027'!Z100</f>
        <v>0</v>
      </c>
      <c r="X100" s="33" t="n">
        <f aca="false">IF(B100="",0,N(Students!J89))</f>
        <v>0</v>
      </c>
      <c r="Y100" s="23"/>
      <c r="Z100" s="24" t="n">
        <f aca="false">N(W100)+N(X100)-N(Y100)</f>
        <v>0</v>
      </c>
      <c r="AA100" s="33" t="n">
        <f aca="false">N(E100)+N(I100)+N(M100)+N(Q100)+N(U100)+N(Y100)</f>
        <v>0</v>
      </c>
      <c r="AB100" s="24" t="n">
        <f aca="false">F100+J100+N100+R100+V100+Z100</f>
        <v>0</v>
      </c>
      <c r="AC100" s="81" t="str">
        <f aca="false">IF(B100="","",IF(AB100&lt;=0,"Clear",IF(AA100&gt;0,"Partial","Due")))</f>
        <v/>
      </c>
    </row>
    <row r="101" customFormat="false" ht="15" hidden="false" customHeight="false" outlineLevel="0" collapsed="false">
      <c r="A101" s="25" t="n">
        <v>86</v>
      </c>
      <c r="B101" s="82" t="str">
        <f aca="false">IF(Students!B90="","",Students!B90)</f>
        <v/>
      </c>
      <c r="C101" s="37" t="n">
        <f aca="false">'May 2027'!F101</f>
        <v>0</v>
      </c>
      <c r="D101" s="37" t="n">
        <f aca="false">IF(B101="",0,N(Students!E90))</f>
        <v>0</v>
      </c>
      <c r="E101" s="23"/>
      <c r="F101" s="26" t="n">
        <f aca="false">N(C101)+N(D101)-N(E101)</f>
        <v>0</v>
      </c>
      <c r="G101" s="37" t="n">
        <f aca="false">'May 2027'!J101</f>
        <v>0</v>
      </c>
      <c r="H101" s="37" t="n">
        <f aca="false">IF(B101="",0,N(Students!F90))</f>
        <v>0</v>
      </c>
      <c r="I101" s="23"/>
      <c r="J101" s="26" t="n">
        <f aca="false">N(G101)+N(H101)-N(I101)</f>
        <v>0</v>
      </c>
      <c r="K101" s="37" t="n">
        <f aca="false">'May 2027'!N101</f>
        <v>0</v>
      </c>
      <c r="L101" s="37" t="n">
        <f aca="false">IF(B101="",0,N(Students!G90))</f>
        <v>0</v>
      </c>
      <c r="M101" s="23"/>
      <c r="N101" s="26" t="n">
        <f aca="false">N(K101)+N(L101)-N(M101)</f>
        <v>0</v>
      </c>
      <c r="O101" s="37" t="n">
        <f aca="false">'May 2027'!R101</f>
        <v>0</v>
      </c>
      <c r="P101" s="37" t="n">
        <f aca="false">IF(B101="",0,N(Students!H90))</f>
        <v>0</v>
      </c>
      <c r="Q101" s="23"/>
      <c r="R101" s="26" t="n">
        <f aca="false">N(O101)+N(P101)-N(Q101)</f>
        <v>0</v>
      </c>
      <c r="S101" s="37" t="n">
        <f aca="false">'May 2027'!V101</f>
        <v>0</v>
      </c>
      <c r="T101" s="37" t="n">
        <f aca="false">IF(B101="",0,N(Students!I90))</f>
        <v>0</v>
      </c>
      <c r="U101" s="23"/>
      <c r="V101" s="26" t="n">
        <f aca="false">N(S101)+N(T101)-N(U101)</f>
        <v>0</v>
      </c>
      <c r="W101" s="37" t="n">
        <f aca="false">'May 2027'!Z101</f>
        <v>0</v>
      </c>
      <c r="X101" s="37" t="n">
        <f aca="false">IF(B101="",0,N(Students!J90))</f>
        <v>0</v>
      </c>
      <c r="Y101" s="23"/>
      <c r="Z101" s="26" t="n">
        <f aca="false">N(W101)+N(X101)-N(Y101)</f>
        <v>0</v>
      </c>
      <c r="AA101" s="37" t="n">
        <f aca="false">N(E101)+N(I101)+N(M101)+N(Q101)+N(U101)+N(Y101)</f>
        <v>0</v>
      </c>
      <c r="AB101" s="26" t="n">
        <f aca="false">F101+J101+N101+R101+V101+Z101</f>
        <v>0</v>
      </c>
      <c r="AC101" s="83" t="str">
        <f aca="false">IF(B101="","",IF(AB101&lt;=0,"Clear",IF(AA101&gt;0,"Partial","Due")))</f>
        <v/>
      </c>
    </row>
    <row r="102" customFormat="false" ht="15" hidden="false" customHeight="false" outlineLevel="0" collapsed="false">
      <c r="A102" s="21" t="n">
        <v>87</v>
      </c>
      <c r="B102" s="46" t="str">
        <f aca="false">IF(Students!B91="","",Students!B91)</f>
        <v/>
      </c>
      <c r="C102" s="33" t="n">
        <f aca="false">'May 2027'!F102</f>
        <v>0</v>
      </c>
      <c r="D102" s="33" t="n">
        <f aca="false">IF(B102="",0,N(Students!E91))</f>
        <v>0</v>
      </c>
      <c r="E102" s="23"/>
      <c r="F102" s="24" t="n">
        <f aca="false">N(C102)+N(D102)-N(E102)</f>
        <v>0</v>
      </c>
      <c r="G102" s="33" t="n">
        <f aca="false">'May 2027'!J102</f>
        <v>0</v>
      </c>
      <c r="H102" s="33" t="n">
        <f aca="false">IF(B102="",0,N(Students!F91))</f>
        <v>0</v>
      </c>
      <c r="I102" s="23"/>
      <c r="J102" s="24" t="n">
        <f aca="false">N(G102)+N(H102)-N(I102)</f>
        <v>0</v>
      </c>
      <c r="K102" s="33" t="n">
        <f aca="false">'May 2027'!N102</f>
        <v>0</v>
      </c>
      <c r="L102" s="33" t="n">
        <f aca="false">IF(B102="",0,N(Students!G91))</f>
        <v>0</v>
      </c>
      <c r="M102" s="23"/>
      <c r="N102" s="24" t="n">
        <f aca="false">N(K102)+N(L102)-N(M102)</f>
        <v>0</v>
      </c>
      <c r="O102" s="33" t="n">
        <f aca="false">'May 2027'!R102</f>
        <v>0</v>
      </c>
      <c r="P102" s="33" t="n">
        <f aca="false">IF(B102="",0,N(Students!H91))</f>
        <v>0</v>
      </c>
      <c r="Q102" s="23"/>
      <c r="R102" s="24" t="n">
        <f aca="false">N(O102)+N(P102)-N(Q102)</f>
        <v>0</v>
      </c>
      <c r="S102" s="33" t="n">
        <f aca="false">'May 2027'!V102</f>
        <v>0</v>
      </c>
      <c r="T102" s="33" t="n">
        <f aca="false">IF(B102="",0,N(Students!I91))</f>
        <v>0</v>
      </c>
      <c r="U102" s="23"/>
      <c r="V102" s="24" t="n">
        <f aca="false">N(S102)+N(T102)-N(U102)</f>
        <v>0</v>
      </c>
      <c r="W102" s="33" t="n">
        <f aca="false">'May 2027'!Z102</f>
        <v>0</v>
      </c>
      <c r="X102" s="33" t="n">
        <f aca="false">IF(B102="",0,N(Students!J91))</f>
        <v>0</v>
      </c>
      <c r="Y102" s="23"/>
      <c r="Z102" s="24" t="n">
        <f aca="false">N(W102)+N(X102)-N(Y102)</f>
        <v>0</v>
      </c>
      <c r="AA102" s="33" t="n">
        <f aca="false">N(E102)+N(I102)+N(M102)+N(Q102)+N(U102)+N(Y102)</f>
        <v>0</v>
      </c>
      <c r="AB102" s="24" t="n">
        <f aca="false">F102+J102+N102+R102+V102+Z102</f>
        <v>0</v>
      </c>
      <c r="AC102" s="81" t="str">
        <f aca="false">IF(B102="","",IF(AB102&lt;=0,"Clear",IF(AA102&gt;0,"Partial","Due")))</f>
        <v/>
      </c>
    </row>
    <row r="103" customFormat="false" ht="15" hidden="false" customHeight="false" outlineLevel="0" collapsed="false">
      <c r="A103" s="25" t="n">
        <v>88</v>
      </c>
      <c r="B103" s="82" t="str">
        <f aca="false">IF(Students!B92="","",Students!B92)</f>
        <v/>
      </c>
      <c r="C103" s="37" t="n">
        <f aca="false">'May 2027'!F103</f>
        <v>0</v>
      </c>
      <c r="D103" s="37" t="n">
        <f aca="false">IF(B103="",0,N(Students!E92))</f>
        <v>0</v>
      </c>
      <c r="E103" s="23"/>
      <c r="F103" s="26" t="n">
        <f aca="false">N(C103)+N(D103)-N(E103)</f>
        <v>0</v>
      </c>
      <c r="G103" s="37" t="n">
        <f aca="false">'May 2027'!J103</f>
        <v>0</v>
      </c>
      <c r="H103" s="37" t="n">
        <f aca="false">IF(B103="",0,N(Students!F92))</f>
        <v>0</v>
      </c>
      <c r="I103" s="23"/>
      <c r="J103" s="26" t="n">
        <f aca="false">N(G103)+N(H103)-N(I103)</f>
        <v>0</v>
      </c>
      <c r="K103" s="37" t="n">
        <f aca="false">'May 2027'!N103</f>
        <v>0</v>
      </c>
      <c r="L103" s="37" t="n">
        <f aca="false">IF(B103="",0,N(Students!G92))</f>
        <v>0</v>
      </c>
      <c r="M103" s="23"/>
      <c r="N103" s="26" t="n">
        <f aca="false">N(K103)+N(L103)-N(M103)</f>
        <v>0</v>
      </c>
      <c r="O103" s="37" t="n">
        <f aca="false">'May 2027'!R103</f>
        <v>0</v>
      </c>
      <c r="P103" s="37" t="n">
        <f aca="false">IF(B103="",0,N(Students!H92))</f>
        <v>0</v>
      </c>
      <c r="Q103" s="23"/>
      <c r="R103" s="26" t="n">
        <f aca="false">N(O103)+N(P103)-N(Q103)</f>
        <v>0</v>
      </c>
      <c r="S103" s="37" t="n">
        <f aca="false">'May 2027'!V103</f>
        <v>0</v>
      </c>
      <c r="T103" s="37" t="n">
        <f aca="false">IF(B103="",0,N(Students!I92))</f>
        <v>0</v>
      </c>
      <c r="U103" s="23"/>
      <c r="V103" s="26" t="n">
        <f aca="false">N(S103)+N(T103)-N(U103)</f>
        <v>0</v>
      </c>
      <c r="W103" s="37" t="n">
        <f aca="false">'May 2027'!Z103</f>
        <v>0</v>
      </c>
      <c r="X103" s="37" t="n">
        <f aca="false">IF(B103="",0,N(Students!J92))</f>
        <v>0</v>
      </c>
      <c r="Y103" s="23"/>
      <c r="Z103" s="26" t="n">
        <f aca="false">N(W103)+N(X103)-N(Y103)</f>
        <v>0</v>
      </c>
      <c r="AA103" s="37" t="n">
        <f aca="false">N(E103)+N(I103)+N(M103)+N(Q103)+N(U103)+N(Y103)</f>
        <v>0</v>
      </c>
      <c r="AB103" s="26" t="n">
        <f aca="false">F103+J103+N103+R103+V103+Z103</f>
        <v>0</v>
      </c>
      <c r="AC103" s="83" t="str">
        <f aca="false">IF(B103="","",IF(AB103&lt;=0,"Clear",IF(AA103&gt;0,"Partial","Due")))</f>
        <v/>
      </c>
    </row>
    <row r="104" customFormat="false" ht="15" hidden="false" customHeight="false" outlineLevel="0" collapsed="false">
      <c r="A104" s="21" t="n">
        <v>89</v>
      </c>
      <c r="B104" s="46" t="str">
        <f aca="false">IF(Students!B93="","",Students!B93)</f>
        <v/>
      </c>
      <c r="C104" s="33" t="n">
        <f aca="false">'May 2027'!F104</f>
        <v>0</v>
      </c>
      <c r="D104" s="33" t="n">
        <f aca="false">IF(B104="",0,N(Students!E93))</f>
        <v>0</v>
      </c>
      <c r="E104" s="23"/>
      <c r="F104" s="24" t="n">
        <f aca="false">N(C104)+N(D104)-N(E104)</f>
        <v>0</v>
      </c>
      <c r="G104" s="33" t="n">
        <f aca="false">'May 2027'!J104</f>
        <v>0</v>
      </c>
      <c r="H104" s="33" t="n">
        <f aca="false">IF(B104="",0,N(Students!F93))</f>
        <v>0</v>
      </c>
      <c r="I104" s="23"/>
      <c r="J104" s="24" t="n">
        <f aca="false">N(G104)+N(H104)-N(I104)</f>
        <v>0</v>
      </c>
      <c r="K104" s="33" t="n">
        <f aca="false">'May 2027'!N104</f>
        <v>0</v>
      </c>
      <c r="L104" s="33" t="n">
        <f aca="false">IF(B104="",0,N(Students!G93))</f>
        <v>0</v>
      </c>
      <c r="M104" s="23"/>
      <c r="N104" s="24" t="n">
        <f aca="false">N(K104)+N(L104)-N(M104)</f>
        <v>0</v>
      </c>
      <c r="O104" s="33" t="n">
        <f aca="false">'May 2027'!R104</f>
        <v>0</v>
      </c>
      <c r="P104" s="33" t="n">
        <f aca="false">IF(B104="",0,N(Students!H93))</f>
        <v>0</v>
      </c>
      <c r="Q104" s="23"/>
      <c r="R104" s="24" t="n">
        <f aca="false">N(O104)+N(P104)-N(Q104)</f>
        <v>0</v>
      </c>
      <c r="S104" s="33" t="n">
        <f aca="false">'May 2027'!V104</f>
        <v>0</v>
      </c>
      <c r="T104" s="33" t="n">
        <f aca="false">IF(B104="",0,N(Students!I93))</f>
        <v>0</v>
      </c>
      <c r="U104" s="23"/>
      <c r="V104" s="24" t="n">
        <f aca="false">N(S104)+N(T104)-N(U104)</f>
        <v>0</v>
      </c>
      <c r="W104" s="33" t="n">
        <f aca="false">'May 2027'!Z104</f>
        <v>0</v>
      </c>
      <c r="X104" s="33" t="n">
        <f aca="false">IF(B104="",0,N(Students!J93))</f>
        <v>0</v>
      </c>
      <c r="Y104" s="23"/>
      <c r="Z104" s="24" t="n">
        <f aca="false">N(W104)+N(X104)-N(Y104)</f>
        <v>0</v>
      </c>
      <c r="AA104" s="33" t="n">
        <f aca="false">N(E104)+N(I104)+N(M104)+N(Q104)+N(U104)+N(Y104)</f>
        <v>0</v>
      </c>
      <c r="AB104" s="24" t="n">
        <f aca="false">F104+J104+N104+R104+V104+Z104</f>
        <v>0</v>
      </c>
      <c r="AC104" s="81" t="str">
        <f aca="false">IF(B104="","",IF(AB104&lt;=0,"Clear",IF(AA104&gt;0,"Partial","Due")))</f>
        <v/>
      </c>
    </row>
    <row r="105" customFormat="false" ht="15" hidden="false" customHeight="false" outlineLevel="0" collapsed="false">
      <c r="A105" s="25" t="n">
        <v>90</v>
      </c>
      <c r="B105" s="82" t="str">
        <f aca="false">IF(Students!B94="","",Students!B94)</f>
        <v/>
      </c>
      <c r="C105" s="37" t="n">
        <f aca="false">'May 2027'!F105</f>
        <v>0</v>
      </c>
      <c r="D105" s="37" t="n">
        <f aca="false">IF(B105="",0,N(Students!E94))</f>
        <v>0</v>
      </c>
      <c r="E105" s="23"/>
      <c r="F105" s="26" t="n">
        <f aca="false">N(C105)+N(D105)-N(E105)</f>
        <v>0</v>
      </c>
      <c r="G105" s="37" t="n">
        <f aca="false">'May 2027'!J105</f>
        <v>0</v>
      </c>
      <c r="H105" s="37" t="n">
        <f aca="false">IF(B105="",0,N(Students!F94))</f>
        <v>0</v>
      </c>
      <c r="I105" s="23"/>
      <c r="J105" s="26" t="n">
        <f aca="false">N(G105)+N(H105)-N(I105)</f>
        <v>0</v>
      </c>
      <c r="K105" s="37" t="n">
        <f aca="false">'May 2027'!N105</f>
        <v>0</v>
      </c>
      <c r="L105" s="37" t="n">
        <f aca="false">IF(B105="",0,N(Students!G94))</f>
        <v>0</v>
      </c>
      <c r="M105" s="23"/>
      <c r="N105" s="26" t="n">
        <f aca="false">N(K105)+N(L105)-N(M105)</f>
        <v>0</v>
      </c>
      <c r="O105" s="37" t="n">
        <f aca="false">'May 2027'!R105</f>
        <v>0</v>
      </c>
      <c r="P105" s="37" t="n">
        <f aca="false">IF(B105="",0,N(Students!H94))</f>
        <v>0</v>
      </c>
      <c r="Q105" s="23"/>
      <c r="R105" s="26" t="n">
        <f aca="false">N(O105)+N(P105)-N(Q105)</f>
        <v>0</v>
      </c>
      <c r="S105" s="37" t="n">
        <f aca="false">'May 2027'!V105</f>
        <v>0</v>
      </c>
      <c r="T105" s="37" t="n">
        <f aca="false">IF(B105="",0,N(Students!I94))</f>
        <v>0</v>
      </c>
      <c r="U105" s="23"/>
      <c r="V105" s="26" t="n">
        <f aca="false">N(S105)+N(T105)-N(U105)</f>
        <v>0</v>
      </c>
      <c r="W105" s="37" t="n">
        <f aca="false">'May 2027'!Z105</f>
        <v>0</v>
      </c>
      <c r="X105" s="37" t="n">
        <f aca="false">IF(B105="",0,N(Students!J94))</f>
        <v>0</v>
      </c>
      <c r="Y105" s="23"/>
      <c r="Z105" s="26" t="n">
        <f aca="false">N(W105)+N(X105)-N(Y105)</f>
        <v>0</v>
      </c>
      <c r="AA105" s="37" t="n">
        <f aca="false">N(E105)+N(I105)+N(M105)+N(Q105)+N(U105)+N(Y105)</f>
        <v>0</v>
      </c>
      <c r="AB105" s="26" t="n">
        <f aca="false">F105+J105+N105+R105+V105+Z105</f>
        <v>0</v>
      </c>
      <c r="AC105" s="83" t="str">
        <f aca="false">IF(B105="","",IF(AB105&lt;=0,"Clear",IF(AA105&gt;0,"Partial","Due")))</f>
        <v/>
      </c>
    </row>
    <row r="106" customFormat="false" ht="15" hidden="false" customHeight="false" outlineLevel="0" collapsed="false">
      <c r="A106" s="21" t="n">
        <v>91</v>
      </c>
      <c r="B106" s="46" t="str">
        <f aca="false">IF(Students!B95="","",Students!B95)</f>
        <v/>
      </c>
      <c r="C106" s="33" t="n">
        <f aca="false">'May 2027'!F106</f>
        <v>0</v>
      </c>
      <c r="D106" s="33" t="n">
        <f aca="false">IF(B106="",0,N(Students!E95))</f>
        <v>0</v>
      </c>
      <c r="E106" s="23"/>
      <c r="F106" s="24" t="n">
        <f aca="false">N(C106)+N(D106)-N(E106)</f>
        <v>0</v>
      </c>
      <c r="G106" s="33" t="n">
        <f aca="false">'May 2027'!J106</f>
        <v>0</v>
      </c>
      <c r="H106" s="33" t="n">
        <f aca="false">IF(B106="",0,N(Students!F95))</f>
        <v>0</v>
      </c>
      <c r="I106" s="23"/>
      <c r="J106" s="24" t="n">
        <f aca="false">N(G106)+N(H106)-N(I106)</f>
        <v>0</v>
      </c>
      <c r="K106" s="33" t="n">
        <f aca="false">'May 2027'!N106</f>
        <v>0</v>
      </c>
      <c r="L106" s="33" t="n">
        <f aca="false">IF(B106="",0,N(Students!G95))</f>
        <v>0</v>
      </c>
      <c r="M106" s="23"/>
      <c r="N106" s="24" t="n">
        <f aca="false">N(K106)+N(L106)-N(M106)</f>
        <v>0</v>
      </c>
      <c r="O106" s="33" t="n">
        <f aca="false">'May 2027'!R106</f>
        <v>0</v>
      </c>
      <c r="P106" s="33" t="n">
        <f aca="false">IF(B106="",0,N(Students!H95))</f>
        <v>0</v>
      </c>
      <c r="Q106" s="23"/>
      <c r="R106" s="24" t="n">
        <f aca="false">N(O106)+N(P106)-N(Q106)</f>
        <v>0</v>
      </c>
      <c r="S106" s="33" t="n">
        <f aca="false">'May 2027'!V106</f>
        <v>0</v>
      </c>
      <c r="T106" s="33" t="n">
        <f aca="false">IF(B106="",0,N(Students!I95))</f>
        <v>0</v>
      </c>
      <c r="U106" s="23"/>
      <c r="V106" s="24" t="n">
        <f aca="false">N(S106)+N(T106)-N(U106)</f>
        <v>0</v>
      </c>
      <c r="W106" s="33" t="n">
        <f aca="false">'May 2027'!Z106</f>
        <v>0</v>
      </c>
      <c r="X106" s="33" t="n">
        <f aca="false">IF(B106="",0,N(Students!J95))</f>
        <v>0</v>
      </c>
      <c r="Y106" s="23"/>
      <c r="Z106" s="24" t="n">
        <f aca="false">N(W106)+N(X106)-N(Y106)</f>
        <v>0</v>
      </c>
      <c r="AA106" s="33" t="n">
        <f aca="false">N(E106)+N(I106)+N(M106)+N(Q106)+N(U106)+N(Y106)</f>
        <v>0</v>
      </c>
      <c r="AB106" s="24" t="n">
        <f aca="false">F106+J106+N106+R106+V106+Z106</f>
        <v>0</v>
      </c>
      <c r="AC106" s="81" t="str">
        <f aca="false">IF(B106="","",IF(AB106&lt;=0,"Clear",IF(AA106&gt;0,"Partial","Due")))</f>
        <v/>
      </c>
    </row>
    <row r="107" customFormat="false" ht="15" hidden="false" customHeight="false" outlineLevel="0" collapsed="false">
      <c r="A107" s="25" t="n">
        <v>92</v>
      </c>
      <c r="B107" s="82" t="str">
        <f aca="false">IF(Students!B96="","",Students!B96)</f>
        <v/>
      </c>
      <c r="C107" s="37" t="n">
        <f aca="false">'May 2027'!F107</f>
        <v>0</v>
      </c>
      <c r="D107" s="37" t="n">
        <f aca="false">IF(B107="",0,N(Students!E96))</f>
        <v>0</v>
      </c>
      <c r="E107" s="23"/>
      <c r="F107" s="26" t="n">
        <f aca="false">N(C107)+N(D107)-N(E107)</f>
        <v>0</v>
      </c>
      <c r="G107" s="37" t="n">
        <f aca="false">'May 2027'!J107</f>
        <v>0</v>
      </c>
      <c r="H107" s="37" t="n">
        <f aca="false">IF(B107="",0,N(Students!F96))</f>
        <v>0</v>
      </c>
      <c r="I107" s="23"/>
      <c r="J107" s="26" t="n">
        <f aca="false">N(G107)+N(H107)-N(I107)</f>
        <v>0</v>
      </c>
      <c r="K107" s="37" t="n">
        <f aca="false">'May 2027'!N107</f>
        <v>0</v>
      </c>
      <c r="L107" s="37" t="n">
        <f aca="false">IF(B107="",0,N(Students!G96))</f>
        <v>0</v>
      </c>
      <c r="M107" s="23"/>
      <c r="N107" s="26" t="n">
        <f aca="false">N(K107)+N(L107)-N(M107)</f>
        <v>0</v>
      </c>
      <c r="O107" s="37" t="n">
        <f aca="false">'May 2027'!R107</f>
        <v>0</v>
      </c>
      <c r="P107" s="37" t="n">
        <f aca="false">IF(B107="",0,N(Students!H96))</f>
        <v>0</v>
      </c>
      <c r="Q107" s="23"/>
      <c r="R107" s="26" t="n">
        <f aca="false">N(O107)+N(P107)-N(Q107)</f>
        <v>0</v>
      </c>
      <c r="S107" s="37" t="n">
        <f aca="false">'May 2027'!V107</f>
        <v>0</v>
      </c>
      <c r="T107" s="37" t="n">
        <f aca="false">IF(B107="",0,N(Students!I96))</f>
        <v>0</v>
      </c>
      <c r="U107" s="23"/>
      <c r="V107" s="26" t="n">
        <f aca="false">N(S107)+N(T107)-N(U107)</f>
        <v>0</v>
      </c>
      <c r="W107" s="37" t="n">
        <f aca="false">'May 2027'!Z107</f>
        <v>0</v>
      </c>
      <c r="X107" s="37" t="n">
        <f aca="false">IF(B107="",0,N(Students!J96))</f>
        <v>0</v>
      </c>
      <c r="Y107" s="23"/>
      <c r="Z107" s="26" t="n">
        <f aca="false">N(W107)+N(X107)-N(Y107)</f>
        <v>0</v>
      </c>
      <c r="AA107" s="37" t="n">
        <f aca="false">N(E107)+N(I107)+N(M107)+N(Q107)+N(U107)+N(Y107)</f>
        <v>0</v>
      </c>
      <c r="AB107" s="26" t="n">
        <f aca="false">F107+J107+N107+R107+V107+Z107</f>
        <v>0</v>
      </c>
      <c r="AC107" s="83" t="str">
        <f aca="false">IF(B107="","",IF(AB107&lt;=0,"Clear",IF(AA107&gt;0,"Partial","Due")))</f>
        <v/>
      </c>
    </row>
    <row r="108" customFormat="false" ht="15" hidden="false" customHeight="false" outlineLevel="0" collapsed="false">
      <c r="A108" s="21" t="n">
        <v>93</v>
      </c>
      <c r="B108" s="46" t="str">
        <f aca="false">IF(Students!B97="","",Students!B97)</f>
        <v/>
      </c>
      <c r="C108" s="33" t="n">
        <f aca="false">'May 2027'!F108</f>
        <v>0</v>
      </c>
      <c r="D108" s="33" t="n">
        <f aca="false">IF(B108="",0,N(Students!E97))</f>
        <v>0</v>
      </c>
      <c r="E108" s="23"/>
      <c r="F108" s="24" t="n">
        <f aca="false">N(C108)+N(D108)-N(E108)</f>
        <v>0</v>
      </c>
      <c r="G108" s="33" t="n">
        <f aca="false">'May 2027'!J108</f>
        <v>0</v>
      </c>
      <c r="H108" s="33" t="n">
        <f aca="false">IF(B108="",0,N(Students!F97))</f>
        <v>0</v>
      </c>
      <c r="I108" s="23"/>
      <c r="J108" s="24" t="n">
        <f aca="false">N(G108)+N(H108)-N(I108)</f>
        <v>0</v>
      </c>
      <c r="K108" s="33" t="n">
        <f aca="false">'May 2027'!N108</f>
        <v>0</v>
      </c>
      <c r="L108" s="33" t="n">
        <f aca="false">IF(B108="",0,N(Students!G97))</f>
        <v>0</v>
      </c>
      <c r="M108" s="23"/>
      <c r="N108" s="24" t="n">
        <f aca="false">N(K108)+N(L108)-N(M108)</f>
        <v>0</v>
      </c>
      <c r="O108" s="33" t="n">
        <f aca="false">'May 2027'!R108</f>
        <v>0</v>
      </c>
      <c r="P108" s="33" t="n">
        <f aca="false">IF(B108="",0,N(Students!H97))</f>
        <v>0</v>
      </c>
      <c r="Q108" s="23"/>
      <c r="R108" s="24" t="n">
        <f aca="false">N(O108)+N(P108)-N(Q108)</f>
        <v>0</v>
      </c>
      <c r="S108" s="33" t="n">
        <f aca="false">'May 2027'!V108</f>
        <v>0</v>
      </c>
      <c r="T108" s="33" t="n">
        <f aca="false">IF(B108="",0,N(Students!I97))</f>
        <v>0</v>
      </c>
      <c r="U108" s="23"/>
      <c r="V108" s="24" t="n">
        <f aca="false">N(S108)+N(T108)-N(U108)</f>
        <v>0</v>
      </c>
      <c r="W108" s="33" t="n">
        <f aca="false">'May 2027'!Z108</f>
        <v>0</v>
      </c>
      <c r="X108" s="33" t="n">
        <f aca="false">IF(B108="",0,N(Students!J97))</f>
        <v>0</v>
      </c>
      <c r="Y108" s="23"/>
      <c r="Z108" s="24" t="n">
        <f aca="false">N(W108)+N(X108)-N(Y108)</f>
        <v>0</v>
      </c>
      <c r="AA108" s="33" t="n">
        <f aca="false">N(E108)+N(I108)+N(M108)+N(Q108)+N(U108)+N(Y108)</f>
        <v>0</v>
      </c>
      <c r="AB108" s="24" t="n">
        <f aca="false">F108+J108+N108+R108+V108+Z108</f>
        <v>0</v>
      </c>
      <c r="AC108" s="81" t="str">
        <f aca="false">IF(B108="","",IF(AB108&lt;=0,"Clear",IF(AA108&gt;0,"Partial","Due")))</f>
        <v/>
      </c>
    </row>
    <row r="109" customFormat="false" ht="15" hidden="false" customHeight="false" outlineLevel="0" collapsed="false">
      <c r="A109" s="25" t="n">
        <v>94</v>
      </c>
      <c r="B109" s="82" t="str">
        <f aca="false">IF(Students!B98="","",Students!B98)</f>
        <v/>
      </c>
      <c r="C109" s="37" t="n">
        <f aca="false">'May 2027'!F109</f>
        <v>0</v>
      </c>
      <c r="D109" s="37" t="n">
        <f aca="false">IF(B109="",0,N(Students!E98))</f>
        <v>0</v>
      </c>
      <c r="E109" s="23"/>
      <c r="F109" s="26" t="n">
        <f aca="false">N(C109)+N(D109)-N(E109)</f>
        <v>0</v>
      </c>
      <c r="G109" s="37" t="n">
        <f aca="false">'May 2027'!J109</f>
        <v>0</v>
      </c>
      <c r="H109" s="37" t="n">
        <f aca="false">IF(B109="",0,N(Students!F98))</f>
        <v>0</v>
      </c>
      <c r="I109" s="23"/>
      <c r="J109" s="26" t="n">
        <f aca="false">N(G109)+N(H109)-N(I109)</f>
        <v>0</v>
      </c>
      <c r="K109" s="37" t="n">
        <f aca="false">'May 2027'!N109</f>
        <v>0</v>
      </c>
      <c r="L109" s="37" t="n">
        <f aca="false">IF(B109="",0,N(Students!G98))</f>
        <v>0</v>
      </c>
      <c r="M109" s="23"/>
      <c r="N109" s="26" t="n">
        <f aca="false">N(K109)+N(L109)-N(M109)</f>
        <v>0</v>
      </c>
      <c r="O109" s="37" t="n">
        <f aca="false">'May 2027'!R109</f>
        <v>0</v>
      </c>
      <c r="P109" s="37" t="n">
        <f aca="false">IF(B109="",0,N(Students!H98))</f>
        <v>0</v>
      </c>
      <c r="Q109" s="23"/>
      <c r="R109" s="26" t="n">
        <f aca="false">N(O109)+N(P109)-N(Q109)</f>
        <v>0</v>
      </c>
      <c r="S109" s="37" t="n">
        <f aca="false">'May 2027'!V109</f>
        <v>0</v>
      </c>
      <c r="T109" s="37" t="n">
        <f aca="false">IF(B109="",0,N(Students!I98))</f>
        <v>0</v>
      </c>
      <c r="U109" s="23"/>
      <c r="V109" s="26" t="n">
        <f aca="false">N(S109)+N(T109)-N(U109)</f>
        <v>0</v>
      </c>
      <c r="W109" s="37" t="n">
        <f aca="false">'May 2027'!Z109</f>
        <v>0</v>
      </c>
      <c r="X109" s="37" t="n">
        <f aca="false">IF(B109="",0,N(Students!J98))</f>
        <v>0</v>
      </c>
      <c r="Y109" s="23"/>
      <c r="Z109" s="26" t="n">
        <f aca="false">N(W109)+N(X109)-N(Y109)</f>
        <v>0</v>
      </c>
      <c r="AA109" s="37" t="n">
        <f aca="false">N(E109)+N(I109)+N(M109)+N(Q109)+N(U109)+N(Y109)</f>
        <v>0</v>
      </c>
      <c r="AB109" s="26" t="n">
        <f aca="false">F109+J109+N109+R109+V109+Z109</f>
        <v>0</v>
      </c>
      <c r="AC109" s="83" t="str">
        <f aca="false">IF(B109="","",IF(AB109&lt;=0,"Clear",IF(AA109&gt;0,"Partial","Due")))</f>
        <v/>
      </c>
    </row>
    <row r="110" customFormat="false" ht="15" hidden="false" customHeight="false" outlineLevel="0" collapsed="false">
      <c r="A110" s="21" t="n">
        <v>95</v>
      </c>
      <c r="B110" s="46" t="str">
        <f aca="false">IF(Students!B99="","",Students!B99)</f>
        <v/>
      </c>
      <c r="C110" s="33" t="n">
        <f aca="false">'May 2027'!F110</f>
        <v>0</v>
      </c>
      <c r="D110" s="33" t="n">
        <f aca="false">IF(B110="",0,N(Students!E99))</f>
        <v>0</v>
      </c>
      <c r="E110" s="23"/>
      <c r="F110" s="24" t="n">
        <f aca="false">N(C110)+N(D110)-N(E110)</f>
        <v>0</v>
      </c>
      <c r="G110" s="33" t="n">
        <f aca="false">'May 2027'!J110</f>
        <v>0</v>
      </c>
      <c r="H110" s="33" t="n">
        <f aca="false">IF(B110="",0,N(Students!F99))</f>
        <v>0</v>
      </c>
      <c r="I110" s="23"/>
      <c r="J110" s="24" t="n">
        <f aca="false">N(G110)+N(H110)-N(I110)</f>
        <v>0</v>
      </c>
      <c r="K110" s="33" t="n">
        <f aca="false">'May 2027'!N110</f>
        <v>0</v>
      </c>
      <c r="L110" s="33" t="n">
        <f aca="false">IF(B110="",0,N(Students!G99))</f>
        <v>0</v>
      </c>
      <c r="M110" s="23"/>
      <c r="N110" s="24" t="n">
        <f aca="false">N(K110)+N(L110)-N(M110)</f>
        <v>0</v>
      </c>
      <c r="O110" s="33" t="n">
        <f aca="false">'May 2027'!R110</f>
        <v>0</v>
      </c>
      <c r="P110" s="33" t="n">
        <f aca="false">IF(B110="",0,N(Students!H99))</f>
        <v>0</v>
      </c>
      <c r="Q110" s="23"/>
      <c r="R110" s="24" t="n">
        <f aca="false">N(O110)+N(P110)-N(Q110)</f>
        <v>0</v>
      </c>
      <c r="S110" s="33" t="n">
        <f aca="false">'May 2027'!V110</f>
        <v>0</v>
      </c>
      <c r="T110" s="33" t="n">
        <f aca="false">IF(B110="",0,N(Students!I99))</f>
        <v>0</v>
      </c>
      <c r="U110" s="23"/>
      <c r="V110" s="24" t="n">
        <f aca="false">N(S110)+N(T110)-N(U110)</f>
        <v>0</v>
      </c>
      <c r="W110" s="33" t="n">
        <f aca="false">'May 2027'!Z110</f>
        <v>0</v>
      </c>
      <c r="X110" s="33" t="n">
        <f aca="false">IF(B110="",0,N(Students!J99))</f>
        <v>0</v>
      </c>
      <c r="Y110" s="23"/>
      <c r="Z110" s="24" t="n">
        <f aca="false">N(W110)+N(X110)-N(Y110)</f>
        <v>0</v>
      </c>
      <c r="AA110" s="33" t="n">
        <f aca="false">N(E110)+N(I110)+N(M110)+N(Q110)+N(U110)+N(Y110)</f>
        <v>0</v>
      </c>
      <c r="AB110" s="24" t="n">
        <f aca="false">F110+J110+N110+R110+V110+Z110</f>
        <v>0</v>
      </c>
      <c r="AC110" s="81" t="str">
        <f aca="false">IF(B110="","",IF(AB110&lt;=0,"Clear",IF(AA110&gt;0,"Partial","Due")))</f>
        <v/>
      </c>
    </row>
    <row r="111" customFormat="false" ht="15" hidden="false" customHeight="false" outlineLevel="0" collapsed="false">
      <c r="A111" s="25" t="n">
        <v>96</v>
      </c>
      <c r="B111" s="82" t="str">
        <f aca="false">IF(Students!B100="","",Students!B100)</f>
        <v/>
      </c>
      <c r="C111" s="37" t="n">
        <f aca="false">'May 2027'!F111</f>
        <v>0</v>
      </c>
      <c r="D111" s="37" t="n">
        <f aca="false">IF(B111="",0,N(Students!E100))</f>
        <v>0</v>
      </c>
      <c r="E111" s="23"/>
      <c r="F111" s="26" t="n">
        <f aca="false">N(C111)+N(D111)-N(E111)</f>
        <v>0</v>
      </c>
      <c r="G111" s="37" t="n">
        <f aca="false">'May 2027'!J111</f>
        <v>0</v>
      </c>
      <c r="H111" s="37" t="n">
        <f aca="false">IF(B111="",0,N(Students!F100))</f>
        <v>0</v>
      </c>
      <c r="I111" s="23"/>
      <c r="J111" s="26" t="n">
        <f aca="false">N(G111)+N(H111)-N(I111)</f>
        <v>0</v>
      </c>
      <c r="K111" s="37" t="n">
        <f aca="false">'May 2027'!N111</f>
        <v>0</v>
      </c>
      <c r="L111" s="37" t="n">
        <f aca="false">IF(B111="",0,N(Students!G100))</f>
        <v>0</v>
      </c>
      <c r="M111" s="23"/>
      <c r="N111" s="26" t="n">
        <f aca="false">N(K111)+N(L111)-N(M111)</f>
        <v>0</v>
      </c>
      <c r="O111" s="37" t="n">
        <f aca="false">'May 2027'!R111</f>
        <v>0</v>
      </c>
      <c r="P111" s="37" t="n">
        <f aca="false">IF(B111="",0,N(Students!H100))</f>
        <v>0</v>
      </c>
      <c r="Q111" s="23"/>
      <c r="R111" s="26" t="n">
        <f aca="false">N(O111)+N(P111)-N(Q111)</f>
        <v>0</v>
      </c>
      <c r="S111" s="37" t="n">
        <f aca="false">'May 2027'!V111</f>
        <v>0</v>
      </c>
      <c r="T111" s="37" t="n">
        <f aca="false">IF(B111="",0,N(Students!I100))</f>
        <v>0</v>
      </c>
      <c r="U111" s="23"/>
      <c r="V111" s="26" t="n">
        <f aca="false">N(S111)+N(T111)-N(U111)</f>
        <v>0</v>
      </c>
      <c r="W111" s="37" t="n">
        <f aca="false">'May 2027'!Z111</f>
        <v>0</v>
      </c>
      <c r="X111" s="37" t="n">
        <f aca="false">IF(B111="",0,N(Students!J100))</f>
        <v>0</v>
      </c>
      <c r="Y111" s="23"/>
      <c r="Z111" s="26" t="n">
        <f aca="false">N(W111)+N(X111)-N(Y111)</f>
        <v>0</v>
      </c>
      <c r="AA111" s="37" t="n">
        <f aca="false">N(E111)+N(I111)+N(M111)+N(Q111)+N(U111)+N(Y111)</f>
        <v>0</v>
      </c>
      <c r="AB111" s="26" t="n">
        <f aca="false">F111+J111+N111+R111+V111+Z111</f>
        <v>0</v>
      </c>
      <c r="AC111" s="83" t="str">
        <f aca="false">IF(B111="","",IF(AB111&lt;=0,"Clear",IF(AA111&gt;0,"Partial","Due")))</f>
        <v/>
      </c>
    </row>
    <row r="112" customFormat="false" ht="15" hidden="false" customHeight="false" outlineLevel="0" collapsed="false">
      <c r="A112" s="21" t="n">
        <v>97</v>
      </c>
      <c r="B112" s="46" t="str">
        <f aca="false">IF(Students!B101="","",Students!B101)</f>
        <v/>
      </c>
      <c r="C112" s="33" t="n">
        <f aca="false">'May 2027'!F112</f>
        <v>0</v>
      </c>
      <c r="D112" s="33" t="n">
        <f aca="false">IF(B112="",0,N(Students!E101))</f>
        <v>0</v>
      </c>
      <c r="E112" s="23"/>
      <c r="F112" s="24" t="n">
        <f aca="false">N(C112)+N(D112)-N(E112)</f>
        <v>0</v>
      </c>
      <c r="G112" s="33" t="n">
        <f aca="false">'May 2027'!J112</f>
        <v>0</v>
      </c>
      <c r="H112" s="33" t="n">
        <f aca="false">IF(B112="",0,N(Students!F101))</f>
        <v>0</v>
      </c>
      <c r="I112" s="23"/>
      <c r="J112" s="24" t="n">
        <f aca="false">N(G112)+N(H112)-N(I112)</f>
        <v>0</v>
      </c>
      <c r="K112" s="33" t="n">
        <f aca="false">'May 2027'!N112</f>
        <v>0</v>
      </c>
      <c r="L112" s="33" t="n">
        <f aca="false">IF(B112="",0,N(Students!G101))</f>
        <v>0</v>
      </c>
      <c r="M112" s="23"/>
      <c r="N112" s="24" t="n">
        <f aca="false">N(K112)+N(L112)-N(M112)</f>
        <v>0</v>
      </c>
      <c r="O112" s="33" t="n">
        <f aca="false">'May 2027'!R112</f>
        <v>0</v>
      </c>
      <c r="P112" s="33" t="n">
        <f aca="false">IF(B112="",0,N(Students!H101))</f>
        <v>0</v>
      </c>
      <c r="Q112" s="23"/>
      <c r="R112" s="24" t="n">
        <f aca="false">N(O112)+N(P112)-N(Q112)</f>
        <v>0</v>
      </c>
      <c r="S112" s="33" t="n">
        <f aca="false">'May 2027'!V112</f>
        <v>0</v>
      </c>
      <c r="T112" s="33" t="n">
        <f aca="false">IF(B112="",0,N(Students!I101))</f>
        <v>0</v>
      </c>
      <c r="U112" s="23"/>
      <c r="V112" s="24" t="n">
        <f aca="false">N(S112)+N(T112)-N(U112)</f>
        <v>0</v>
      </c>
      <c r="W112" s="33" t="n">
        <f aca="false">'May 2027'!Z112</f>
        <v>0</v>
      </c>
      <c r="X112" s="33" t="n">
        <f aca="false">IF(B112="",0,N(Students!J101))</f>
        <v>0</v>
      </c>
      <c r="Y112" s="23"/>
      <c r="Z112" s="24" t="n">
        <f aca="false">N(W112)+N(X112)-N(Y112)</f>
        <v>0</v>
      </c>
      <c r="AA112" s="33" t="n">
        <f aca="false">N(E112)+N(I112)+N(M112)+N(Q112)+N(U112)+N(Y112)</f>
        <v>0</v>
      </c>
      <c r="AB112" s="24" t="n">
        <f aca="false">F112+J112+N112+R112+V112+Z112</f>
        <v>0</v>
      </c>
      <c r="AC112" s="81" t="str">
        <f aca="false">IF(B112="","",IF(AB112&lt;=0,"Clear",IF(AA112&gt;0,"Partial","Due")))</f>
        <v/>
      </c>
    </row>
    <row r="113" customFormat="false" ht="15" hidden="false" customHeight="false" outlineLevel="0" collapsed="false">
      <c r="A113" s="25" t="n">
        <v>98</v>
      </c>
      <c r="B113" s="82" t="str">
        <f aca="false">IF(Students!B102="","",Students!B102)</f>
        <v/>
      </c>
      <c r="C113" s="37" t="n">
        <f aca="false">'May 2027'!F113</f>
        <v>0</v>
      </c>
      <c r="D113" s="37" t="n">
        <f aca="false">IF(B113="",0,N(Students!E102))</f>
        <v>0</v>
      </c>
      <c r="E113" s="23"/>
      <c r="F113" s="26" t="n">
        <f aca="false">N(C113)+N(D113)-N(E113)</f>
        <v>0</v>
      </c>
      <c r="G113" s="37" t="n">
        <f aca="false">'May 2027'!J113</f>
        <v>0</v>
      </c>
      <c r="H113" s="37" t="n">
        <f aca="false">IF(B113="",0,N(Students!F102))</f>
        <v>0</v>
      </c>
      <c r="I113" s="23"/>
      <c r="J113" s="26" t="n">
        <f aca="false">N(G113)+N(H113)-N(I113)</f>
        <v>0</v>
      </c>
      <c r="K113" s="37" t="n">
        <f aca="false">'May 2027'!N113</f>
        <v>0</v>
      </c>
      <c r="L113" s="37" t="n">
        <f aca="false">IF(B113="",0,N(Students!G102))</f>
        <v>0</v>
      </c>
      <c r="M113" s="23"/>
      <c r="N113" s="26" t="n">
        <f aca="false">N(K113)+N(L113)-N(M113)</f>
        <v>0</v>
      </c>
      <c r="O113" s="37" t="n">
        <f aca="false">'May 2027'!R113</f>
        <v>0</v>
      </c>
      <c r="P113" s="37" t="n">
        <f aca="false">IF(B113="",0,N(Students!H102))</f>
        <v>0</v>
      </c>
      <c r="Q113" s="23"/>
      <c r="R113" s="26" t="n">
        <f aca="false">N(O113)+N(P113)-N(Q113)</f>
        <v>0</v>
      </c>
      <c r="S113" s="37" t="n">
        <f aca="false">'May 2027'!V113</f>
        <v>0</v>
      </c>
      <c r="T113" s="37" t="n">
        <f aca="false">IF(B113="",0,N(Students!I102))</f>
        <v>0</v>
      </c>
      <c r="U113" s="23"/>
      <c r="V113" s="26" t="n">
        <f aca="false">N(S113)+N(T113)-N(U113)</f>
        <v>0</v>
      </c>
      <c r="W113" s="37" t="n">
        <f aca="false">'May 2027'!Z113</f>
        <v>0</v>
      </c>
      <c r="X113" s="37" t="n">
        <f aca="false">IF(B113="",0,N(Students!J102))</f>
        <v>0</v>
      </c>
      <c r="Y113" s="23"/>
      <c r="Z113" s="26" t="n">
        <f aca="false">N(W113)+N(X113)-N(Y113)</f>
        <v>0</v>
      </c>
      <c r="AA113" s="37" t="n">
        <f aca="false">N(E113)+N(I113)+N(M113)+N(Q113)+N(U113)+N(Y113)</f>
        <v>0</v>
      </c>
      <c r="AB113" s="26" t="n">
        <f aca="false">F113+J113+N113+R113+V113+Z113</f>
        <v>0</v>
      </c>
      <c r="AC113" s="83" t="str">
        <f aca="false">IF(B113="","",IF(AB113&lt;=0,"Clear",IF(AA113&gt;0,"Partial","Due")))</f>
        <v/>
      </c>
    </row>
    <row r="114" customFormat="false" ht="15" hidden="false" customHeight="false" outlineLevel="0" collapsed="false">
      <c r="A114" s="21" t="n">
        <v>99</v>
      </c>
      <c r="B114" s="46" t="str">
        <f aca="false">IF(Students!B103="","",Students!B103)</f>
        <v/>
      </c>
      <c r="C114" s="33" t="n">
        <f aca="false">'May 2027'!F114</f>
        <v>0</v>
      </c>
      <c r="D114" s="33" t="n">
        <f aca="false">IF(B114="",0,N(Students!E103))</f>
        <v>0</v>
      </c>
      <c r="E114" s="23"/>
      <c r="F114" s="24" t="n">
        <f aca="false">N(C114)+N(D114)-N(E114)</f>
        <v>0</v>
      </c>
      <c r="G114" s="33" t="n">
        <f aca="false">'May 2027'!J114</f>
        <v>0</v>
      </c>
      <c r="H114" s="33" t="n">
        <f aca="false">IF(B114="",0,N(Students!F103))</f>
        <v>0</v>
      </c>
      <c r="I114" s="23"/>
      <c r="J114" s="24" t="n">
        <f aca="false">N(G114)+N(H114)-N(I114)</f>
        <v>0</v>
      </c>
      <c r="K114" s="33" t="n">
        <f aca="false">'May 2027'!N114</f>
        <v>0</v>
      </c>
      <c r="L114" s="33" t="n">
        <f aca="false">IF(B114="",0,N(Students!G103))</f>
        <v>0</v>
      </c>
      <c r="M114" s="23"/>
      <c r="N114" s="24" t="n">
        <f aca="false">N(K114)+N(L114)-N(M114)</f>
        <v>0</v>
      </c>
      <c r="O114" s="33" t="n">
        <f aca="false">'May 2027'!R114</f>
        <v>0</v>
      </c>
      <c r="P114" s="33" t="n">
        <f aca="false">IF(B114="",0,N(Students!H103))</f>
        <v>0</v>
      </c>
      <c r="Q114" s="23"/>
      <c r="R114" s="24" t="n">
        <f aca="false">N(O114)+N(P114)-N(Q114)</f>
        <v>0</v>
      </c>
      <c r="S114" s="33" t="n">
        <f aca="false">'May 2027'!V114</f>
        <v>0</v>
      </c>
      <c r="T114" s="33" t="n">
        <f aca="false">IF(B114="",0,N(Students!I103))</f>
        <v>0</v>
      </c>
      <c r="U114" s="23"/>
      <c r="V114" s="24" t="n">
        <f aca="false">N(S114)+N(T114)-N(U114)</f>
        <v>0</v>
      </c>
      <c r="W114" s="33" t="n">
        <f aca="false">'May 2027'!Z114</f>
        <v>0</v>
      </c>
      <c r="X114" s="33" t="n">
        <f aca="false">IF(B114="",0,N(Students!J103))</f>
        <v>0</v>
      </c>
      <c r="Y114" s="23"/>
      <c r="Z114" s="24" t="n">
        <f aca="false">N(W114)+N(X114)-N(Y114)</f>
        <v>0</v>
      </c>
      <c r="AA114" s="33" t="n">
        <f aca="false">N(E114)+N(I114)+N(M114)+N(Q114)+N(U114)+N(Y114)</f>
        <v>0</v>
      </c>
      <c r="AB114" s="24" t="n">
        <f aca="false">F114+J114+N114+R114+V114+Z114</f>
        <v>0</v>
      </c>
      <c r="AC114" s="81" t="str">
        <f aca="false">IF(B114="","",IF(AB114&lt;=0,"Clear",IF(AA114&gt;0,"Partial","Due")))</f>
        <v/>
      </c>
    </row>
    <row r="115" customFormat="false" ht="15" hidden="false" customHeight="false" outlineLevel="0" collapsed="false">
      <c r="A115" s="25" t="n">
        <v>100</v>
      </c>
      <c r="B115" s="82" t="str">
        <f aca="false">IF(Students!B104="","",Students!B104)</f>
        <v/>
      </c>
      <c r="C115" s="37" t="n">
        <f aca="false">'May 2027'!F115</f>
        <v>0</v>
      </c>
      <c r="D115" s="37" t="n">
        <f aca="false">IF(B115="",0,N(Students!E104))</f>
        <v>0</v>
      </c>
      <c r="E115" s="23"/>
      <c r="F115" s="26" t="n">
        <f aca="false">N(C115)+N(D115)-N(E115)</f>
        <v>0</v>
      </c>
      <c r="G115" s="37" t="n">
        <f aca="false">'May 2027'!J115</f>
        <v>0</v>
      </c>
      <c r="H115" s="37" t="n">
        <f aca="false">IF(B115="",0,N(Students!F104))</f>
        <v>0</v>
      </c>
      <c r="I115" s="23"/>
      <c r="J115" s="26" t="n">
        <f aca="false">N(G115)+N(H115)-N(I115)</f>
        <v>0</v>
      </c>
      <c r="K115" s="37" t="n">
        <f aca="false">'May 2027'!N115</f>
        <v>0</v>
      </c>
      <c r="L115" s="37" t="n">
        <f aca="false">IF(B115="",0,N(Students!G104))</f>
        <v>0</v>
      </c>
      <c r="M115" s="23"/>
      <c r="N115" s="26" t="n">
        <f aca="false">N(K115)+N(L115)-N(M115)</f>
        <v>0</v>
      </c>
      <c r="O115" s="37" t="n">
        <f aca="false">'May 2027'!R115</f>
        <v>0</v>
      </c>
      <c r="P115" s="37" t="n">
        <f aca="false">IF(B115="",0,N(Students!H104))</f>
        <v>0</v>
      </c>
      <c r="Q115" s="23"/>
      <c r="R115" s="26" t="n">
        <f aca="false">N(O115)+N(P115)-N(Q115)</f>
        <v>0</v>
      </c>
      <c r="S115" s="37" t="n">
        <f aca="false">'May 2027'!V115</f>
        <v>0</v>
      </c>
      <c r="T115" s="37" t="n">
        <f aca="false">IF(B115="",0,N(Students!I104))</f>
        <v>0</v>
      </c>
      <c r="U115" s="23"/>
      <c r="V115" s="26" t="n">
        <f aca="false">N(S115)+N(T115)-N(U115)</f>
        <v>0</v>
      </c>
      <c r="W115" s="37" t="n">
        <f aca="false">'May 2027'!Z115</f>
        <v>0</v>
      </c>
      <c r="X115" s="37" t="n">
        <f aca="false">IF(B115="",0,N(Students!J104))</f>
        <v>0</v>
      </c>
      <c r="Y115" s="23"/>
      <c r="Z115" s="26" t="n">
        <f aca="false">N(W115)+N(X115)-N(Y115)</f>
        <v>0</v>
      </c>
      <c r="AA115" s="37" t="n">
        <f aca="false">N(E115)+N(I115)+N(M115)+N(Q115)+N(U115)+N(Y115)</f>
        <v>0</v>
      </c>
      <c r="AB115" s="26" t="n">
        <f aca="false">F115+J115+N115+R115+V115+Z115</f>
        <v>0</v>
      </c>
      <c r="AC115" s="83" t="str">
        <f aca="false">IF(B115="","",IF(AB115&lt;=0,"Clear",IF(AA115&gt;0,"Partial","Due")))</f>
        <v/>
      </c>
    </row>
    <row r="116" customFormat="false" ht="15" hidden="false" customHeight="false" outlineLevel="0" collapsed="false">
      <c r="A116" s="21" t="n">
        <v>101</v>
      </c>
      <c r="B116" s="46" t="str">
        <f aca="false">IF(Students!B105="","",Students!B105)</f>
        <v/>
      </c>
      <c r="C116" s="33" t="n">
        <f aca="false">'May 2027'!F116</f>
        <v>0</v>
      </c>
      <c r="D116" s="33" t="n">
        <f aca="false">IF(B116="",0,N(Students!E105))</f>
        <v>0</v>
      </c>
      <c r="E116" s="23"/>
      <c r="F116" s="24" t="n">
        <f aca="false">N(C116)+N(D116)-N(E116)</f>
        <v>0</v>
      </c>
      <c r="G116" s="33" t="n">
        <f aca="false">'May 2027'!J116</f>
        <v>0</v>
      </c>
      <c r="H116" s="33" t="n">
        <f aca="false">IF(B116="",0,N(Students!F105))</f>
        <v>0</v>
      </c>
      <c r="I116" s="23"/>
      <c r="J116" s="24" t="n">
        <f aca="false">N(G116)+N(H116)-N(I116)</f>
        <v>0</v>
      </c>
      <c r="K116" s="33" t="n">
        <f aca="false">'May 2027'!N116</f>
        <v>0</v>
      </c>
      <c r="L116" s="33" t="n">
        <f aca="false">IF(B116="",0,N(Students!G105))</f>
        <v>0</v>
      </c>
      <c r="M116" s="23"/>
      <c r="N116" s="24" t="n">
        <f aca="false">N(K116)+N(L116)-N(M116)</f>
        <v>0</v>
      </c>
      <c r="O116" s="33" t="n">
        <f aca="false">'May 2027'!R116</f>
        <v>0</v>
      </c>
      <c r="P116" s="33" t="n">
        <f aca="false">IF(B116="",0,N(Students!H105))</f>
        <v>0</v>
      </c>
      <c r="Q116" s="23"/>
      <c r="R116" s="24" t="n">
        <f aca="false">N(O116)+N(P116)-N(Q116)</f>
        <v>0</v>
      </c>
      <c r="S116" s="33" t="n">
        <f aca="false">'May 2027'!V116</f>
        <v>0</v>
      </c>
      <c r="T116" s="33" t="n">
        <f aca="false">IF(B116="",0,N(Students!I105))</f>
        <v>0</v>
      </c>
      <c r="U116" s="23"/>
      <c r="V116" s="24" t="n">
        <f aca="false">N(S116)+N(T116)-N(U116)</f>
        <v>0</v>
      </c>
      <c r="W116" s="33" t="n">
        <f aca="false">'May 2027'!Z116</f>
        <v>0</v>
      </c>
      <c r="X116" s="33" t="n">
        <f aca="false">IF(B116="",0,N(Students!J105))</f>
        <v>0</v>
      </c>
      <c r="Y116" s="23"/>
      <c r="Z116" s="24" t="n">
        <f aca="false">N(W116)+N(X116)-N(Y116)</f>
        <v>0</v>
      </c>
      <c r="AA116" s="33" t="n">
        <f aca="false">N(E116)+N(I116)+N(M116)+N(Q116)+N(U116)+N(Y116)</f>
        <v>0</v>
      </c>
      <c r="AB116" s="24" t="n">
        <f aca="false">F116+J116+N116+R116+V116+Z116</f>
        <v>0</v>
      </c>
      <c r="AC116" s="81" t="str">
        <f aca="false">IF(B116="","",IF(AB116&lt;=0,"Clear",IF(AA116&gt;0,"Partial","Due")))</f>
        <v/>
      </c>
    </row>
    <row r="117" customFormat="false" ht="15" hidden="false" customHeight="false" outlineLevel="0" collapsed="false">
      <c r="A117" s="25" t="n">
        <v>102</v>
      </c>
      <c r="B117" s="82" t="str">
        <f aca="false">IF(Students!B106="","",Students!B106)</f>
        <v/>
      </c>
      <c r="C117" s="37" t="n">
        <f aca="false">'May 2027'!F117</f>
        <v>0</v>
      </c>
      <c r="D117" s="37" t="n">
        <f aca="false">IF(B117="",0,N(Students!E106))</f>
        <v>0</v>
      </c>
      <c r="E117" s="23"/>
      <c r="F117" s="26" t="n">
        <f aca="false">N(C117)+N(D117)-N(E117)</f>
        <v>0</v>
      </c>
      <c r="G117" s="37" t="n">
        <f aca="false">'May 2027'!J117</f>
        <v>0</v>
      </c>
      <c r="H117" s="37" t="n">
        <f aca="false">IF(B117="",0,N(Students!F106))</f>
        <v>0</v>
      </c>
      <c r="I117" s="23"/>
      <c r="J117" s="26" t="n">
        <f aca="false">N(G117)+N(H117)-N(I117)</f>
        <v>0</v>
      </c>
      <c r="K117" s="37" t="n">
        <f aca="false">'May 2027'!N117</f>
        <v>0</v>
      </c>
      <c r="L117" s="37" t="n">
        <f aca="false">IF(B117="",0,N(Students!G106))</f>
        <v>0</v>
      </c>
      <c r="M117" s="23"/>
      <c r="N117" s="26" t="n">
        <f aca="false">N(K117)+N(L117)-N(M117)</f>
        <v>0</v>
      </c>
      <c r="O117" s="37" t="n">
        <f aca="false">'May 2027'!R117</f>
        <v>0</v>
      </c>
      <c r="P117" s="37" t="n">
        <f aca="false">IF(B117="",0,N(Students!H106))</f>
        <v>0</v>
      </c>
      <c r="Q117" s="23"/>
      <c r="R117" s="26" t="n">
        <f aca="false">N(O117)+N(P117)-N(Q117)</f>
        <v>0</v>
      </c>
      <c r="S117" s="37" t="n">
        <f aca="false">'May 2027'!V117</f>
        <v>0</v>
      </c>
      <c r="T117" s="37" t="n">
        <f aca="false">IF(B117="",0,N(Students!I106))</f>
        <v>0</v>
      </c>
      <c r="U117" s="23"/>
      <c r="V117" s="26" t="n">
        <f aca="false">N(S117)+N(T117)-N(U117)</f>
        <v>0</v>
      </c>
      <c r="W117" s="37" t="n">
        <f aca="false">'May 2027'!Z117</f>
        <v>0</v>
      </c>
      <c r="X117" s="37" t="n">
        <f aca="false">IF(B117="",0,N(Students!J106))</f>
        <v>0</v>
      </c>
      <c r="Y117" s="23"/>
      <c r="Z117" s="26" t="n">
        <f aca="false">N(W117)+N(X117)-N(Y117)</f>
        <v>0</v>
      </c>
      <c r="AA117" s="37" t="n">
        <f aca="false">N(E117)+N(I117)+N(M117)+N(Q117)+N(U117)+N(Y117)</f>
        <v>0</v>
      </c>
      <c r="AB117" s="26" t="n">
        <f aca="false">F117+J117+N117+R117+V117+Z117</f>
        <v>0</v>
      </c>
      <c r="AC117" s="83" t="str">
        <f aca="false">IF(B117="","",IF(AB117&lt;=0,"Clear",IF(AA117&gt;0,"Partial","Due")))</f>
        <v/>
      </c>
    </row>
    <row r="118" customFormat="false" ht="15" hidden="false" customHeight="false" outlineLevel="0" collapsed="false">
      <c r="A118" s="21" t="n">
        <v>103</v>
      </c>
      <c r="B118" s="46" t="str">
        <f aca="false">IF(Students!B107="","",Students!B107)</f>
        <v/>
      </c>
      <c r="C118" s="33" t="n">
        <f aca="false">'May 2027'!F118</f>
        <v>0</v>
      </c>
      <c r="D118" s="33" t="n">
        <f aca="false">IF(B118="",0,N(Students!E107))</f>
        <v>0</v>
      </c>
      <c r="E118" s="23"/>
      <c r="F118" s="24" t="n">
        <f aca="false">N(C118)+N(D118)-N(E118)</f>
        <v>0</v>
      </c>
      <c r="G118" s="33" t="n">
        <f aca="false">'May 2027'!J118</f>
        <v>0</v>
      </c>
      <c r="H118" s="33" t="n">
        <f aca="false">IF(B118="",0,N(Students!F107))</f>
        <v>0</v>
      </c>
      <c r="I118" s="23"/>
      <c r="J118" s="24" t="n">
        <f aca="false">N(G118)+N(H118)-N(I118)</f>
        <v>0</v>
      </c>
      <c r="K118" s="33" t="n">
        <f aca="false">'May 2027'!N118</f>
        <v>0</v>
      </c>
      <c r="L118" s="33" t="n">
        <f aca="false">IF(B118="",0,N(Students!G107))</f>
        <v>0</v>
      </c>
      <c r="M118" s="23"/>
      <c r="N118" s="24" t="n">
        <f aca="false">N(K118)+N(L118)-N(M118)</f>
        <v>0</v>
      </c>
      <c r="O118" s="33" t="n">
        <f aca="false">'May 2027'!R118</f>
        <v>0</v>
      </c>
      <c r="P118" s="33" t="n">
        <f aca="false">IF(B118="",0,N(Students!H107))</f>
        <v>0</v>
      </c>
      <c r="Q118" s="23"/>
      <c r="R118" s="24" t="n">
        <f aca="false">N(O118)+N(P118)-N(Q118)</f>
        <v>0</v>
      </c>
      <c r="S118" s="33" t="n">
        <f aca="false">'May 2027'!V118</f>
        <v>0</v>
      </c>
      <c r="T118" s="33" t="n">
        <f aca="false">IF(B118="",0,N(Students!I107))</f>
        <v>0</v>
      </c>
      <c r="U118" s="23"/>
      <c r="V118" s="24" t="n">
        <f aca="false">N(S118)+N(T118)-N(U118)</f>
        <v>0</v>
      </c>
      <c r="W118" s="33" t="n">
        <f aca="false">'May 2027'!Z118</f>
        <v>0</v>
      </c>
      <c r="X118" s="33" t="n">
        <f aca="false">IF(B118="",0,N(Students!J107))</f>
        <v>0</v>
      </c>
      <c r="Y118" s="23"/>
      <c r="Z118" s="24" t="n">
        <f aca="false">N(W118)+N(X118)-N(Y118)</f>
        <v>0</v>
      </c>
      <c r="AA118" s="33" t="n">
        <f aca="false">N(E118)+N(I118)+N(M118)+N(Q118)+N(U118)+N(Y118)</f>
        <v>0</v>
      </c>
      <c r="AB118" s="24" t="n">
        <f aca="false">F118+J118+N118+R118+V118+Z118</f>
        <v>0</v>
      </c>
      <c r="AC118" s="81" t="str">
        <f aca="false">IF(B118="","",IF(AB118&lt;=0,"Clear",IF(AA118&gt;0,"Partial","Due")))</f>
        <v/>
      </c>
    </row>
    <row r="119" customFormat="false" ht="15" hidden="false" customHeight="false" outlineLevel="0" collapsed="false">
      <c r="A119" s="25" t="n">
        <v>104</v>
      </c>
      <c r="B119" s="82" t="str">
        <f aca="false">IF(Students!B108="","",Students!B108)</f>
        <v/>
      </c>
      <c r="C119" s="37" t="n">
        <f aca="false">'May 2027'!F119</f>
        <v>0</v>
      </c>
      <c r="D119" s="37" t="n">
        <f aca="false">IF(B119="",0,N(Students!E108))</f>
        <v>0</v>
      </c>
      <c r="E119" s="23"/>
      <c r="F119" s="26" t="n">
        <f aca="false">N(C119)+N(D119)-N(E119)</f>
        <v>0</v>
      </c>
      <c r="G119" s="37" t="n">
        <f aca="false">'May 2027'!J119</f>
        <v>0</v>
      </c>
      <c r="H119" s="37" t="n">
        <f aca="false">IF(B119="",0,N(Students!F108))</f>
        <v>0</v>
      </c>
      <c r="I119" s="23"/>
      <c r="J119" s="26" t="n">
        <f aca="false">N(G119)+N(H119)-N(I119)</f>
        <v>0</v>
      </c>
      <c r="K119" s="37" t="n">
        <f aca="false">'May 2027'!N119</f>
        <v>0</v>
      </c>
      <c r="L119" s="37" t="n">
        <f aca="false">IF(B119="",0,N(Students!G108))</f>
        <v>0</v>
      </c>
      <c r="M119" s="23"/>
      <c r="N119" s="26" t="n">
        <f aca="false">N(K119)+N(L119)-N(M119)</f>
        <v>0</v>
      </c>
      <c r="O119" s="37" t="n">
        <f aca="false">'May 2027'!R119</f>
        <v>0</v>
      </c>
      <c r="P119" s="37" t="n">
        <f aca="false">IF(B119="",0,N(Students!H108))</f>
        <v>0</v>
      </c>
      <c r="Q119" s="23"/>
      <c r="R119" s="26" t="n">
        <f aca="false">N(O119)+N(P119)-N(Q119)</f>
        <v>0</v>
      </c>
      <c r="S119" s="37" t="n">
        <f aca="false">'May 2027'!V119</f>
        <v>0</v>
      </c>
      <c r="T119" s="37" t="n">
        <f aca="false">IF(B119="",0,N(Students!I108))</f>
        <v>0</v>
      </c>
      <c r="U119" s="23"/>
      <c r="V119" s="26" t="n">
        <f aca="false">N(S119)+N(T119)-N(U119)</f>
        <v>0</v>
      </c>
      <c r="W119" s="37" t="n">
        <f aca="false">'May 2027'!Z119</f>
        <v>0</v>
      </c>
      <c r="X119" s="37" t="n">
        <f aca="false">IF(B119="",0,N(Students!J108))</f>
        <v>0</v>
      </c>
      <c r="Y119" s="23"/>
      <c r="Z119" s="26" t="n">
        <f aca="false">N(W119)+N(X119)-N(Y119)</f>
        <v>0</v>
      </c>
      <c r="AA119" s="37" t="n">
        <f aca="false">N(E119)+N(I119)+N(M119)+N(Q119)+N(U119)+N(Y119)</f>
        <v>0</v>
      </c>
      <c r="AB119" s="26" t="n">
        <f aca="false">F119+J119+N119+R119+V119+Z119</f>
        <v>0</v>
      </c>
      <c r="AC119" s="83" t="str">
        <f aca="false">IF(B119="","",IF(AB119&lt;=0,"Clear",IF(AA119&gt;0,"Partial","Due")))</f>
        <v/>
      </c>
    </row>
    <row r="120" customFormat="false" ht="15" hidden="false" customHeight="false" outlineLevel="0" collapsed="false">
      <c r="A120" s="21" t="n">
        <v>105</v>
      </c>
      <c r="B120" s="46" t="str">
        <f aca="false">IF(Students!B109="","",Students!B109)</f>
        <v/>
      </c>
      <c r="C120" s="33" t="n">
        <f aca="false">'May 2027'!F120</f>
        <v>0</v>
      </c>
      <c r="D120" s="33" t="n">
        <f aca="false">IF(B120="",0,N(Students!E109))</f>
        <v>0</v>
      </c>
      <c r="E120" s="23"/>
      <c r="F120" s="24" t="n">
        <f aca="false">N(C120)+N(D120)-N(E120)</f>
        <v>0</v>
      </c>
      <c r="G120" s="33" t="n">
        <f aca="false">'May 2027'!J120</f>
        <v>0</v>
      </c>
      <c r="H120" s="33" t="n">
        <f aca="false">IF(B120="",0,N(Students!F109))</f>
        <v>0</v>
      </c>
      <c r="I120" s="23"/>
      <c r="J120" s="24" t="n">
        <f aca="false">N(G120)+N(H120)-N(I120)</f>
        <v>0</v>
      </c>
      <c r="K120" s="33" t="n">
        <f aca="false">'May 2027'!N120</f>
        <v>0</v>
      </c>
      <c r="L120" s="33" t="n">
        <f aca="false">IF(B120="",0,N(Students!G109))</f>
        <v>0</v>
      </c>
      <c r="M120" s="23"/>
      <c r="N120" s="24" t="n">
        <f aca="false">N(K120)+N(L120)-N(M120)</f>
        <v>0</v>
      </c>
      <c r="O120" s="33" t="n">
        <f aca="false">'May 2027'!R120</f>
        <v>0</v>
      </c>
      <c r="P120" s="33" t="n">
        <f aca="false">IF(B120="",0,N(Students!H109))</f>
        <v>0</v>
      </c>
      <c r="Q120" s="23"/>
      <c r="R120" s="24" t="n">
        <f aca="false">N(O120)+N(P120)-N(Q120)</f>
        <v>0</v>
      </c>
      <c r="S120" s="33" t="n">
        <f aca="false">'May 2027'!V120</f>
        <v>0</v>
      </c>
      <c r="T120" s="33" t="n">
        <f aca="false">IF(B120="",0,N(Students!I109))</f>
        <v>0</v>
      </c>
      <c r="U120" s="23"/>
      <c r="V120" s="24" t="n">
        <f aca="false">N(S120)+N(T120)-N(U120)</f>
        <v>0</v>
      </c>
      <c r="W120" s="33" t="n">
        <f aca="false">'May 2027'!Z120</f>
        <v>0</v>
      </c>
      <c r="X120" s="33" t="n">
        <f aca="false">IF(B120="",0,N(Students!J109))</f>
        <v>0</v>
      </c>
      <c r="Y120" s="23"/>
      <c r="Z120" s="24" t="n">
        <f aca="false">N(W120)+N(X120)-N(Y120)</f>
        <v>0</v>
      </c>
      <c r="AA120" s="33" t="n">
        <f aca="false">N(E120)+N(I120)+N(M120)+N(Q120)+N(U120)+N(Y120)</f>
        <v>0</v>
      </c>
      <c r="AB120" s="24" t="n">
        <f aca="false">F120+J120+N120+R120+V120+Z120</f>
        <v>0</v>
      </c>
      <c r="AC120" s="81" t="str">
        <f aca="false">IF(B120="","",IF(AB120&lt;=0,"Clear",IF(AA120&gt;0,"Partial","Due")))</f>
        <v/>
      </c>
    </row>
    <row r="121" customFormat="false" ht="15" hidden="false" customHeight="false" outlineLevel="0" collapsed="false">
      <c r="A121" s="25" t="n">
        <v>106</v>
      </c>
      <c r="B121" s="82" t="str">
        <f aca="false">IF(Students!B110="","",Students!B110)</f>
        <v/>
      </c>
      <c r="C121" s="37" t="n">
        <f aca="false">'May 2027'!F121</f>
        <v>0</v>
      </c>
      <c r="D121" s="37" t="n">
        <f aca="false">IF(B121="",0,N(Students!E110))</f>
        <v>0</v>
      </c>
      <c r="E121" s="23"/>
      <c r="F121" s="26" t="n">
        <f aca="false">N(C121)+N(D121)-N(E121)</f>
        <v>0</v>
      </c>
      <c r="G121" s="37" t="n">
        <f aca="false">'May 2027'!J121</f>
        <v>0</v>
      </c>
      <c r="H121" s="37" t="n">
        <f aca="false">IF(B121="",0,N(Students!F110))</f>
        <v>0</v>
      </c>
      <c r="I121" s="23"/>
      <c r="J121" s="26" t="n">
        <f aca="false">N(G121)+N(H121)-N(I121)</f>
        <v>0</v>
      </c>
      <c r="K121" s="37" t="n">
        <f aca="false">'May 2027'!N121</f>
        <v>0</v>
      </c>
      <c r="L121" s="37" t="n">
        <f aca="false">IF(B121="",0,N(Students!G110))</f>
        <v>0</v>
      </c>
      <c r="M121" s="23"/>
      <c r="N121" s="26" t="n">
        <f aca="false">N(K121)+N(L121)-N(M121)</f>
        <v>0</v>
      </c>
      <c r="O121" s="37" t="n">
        <f aca="false">'May 2027'!R121</f>
        <v>0</v>
      </c>
      <c r="P121" s="37" t="n">
        <f aca="false">IF(B121="",0,N(Students!H110))</f>
        <v>0</v>
      </c>
      <c r="Q121" s="23"/>
      <c r="R121" s="26" t="n">
        <f aca="false">N(O121)+N(P121)-N(Q121)</f>
        <v>0</v>
      </c>
      <c r="S121" s="37" t="n">
        <f aca="false">'May 2027'!V121</f>
        <v>0</v>
      </c>
      <c r="T121" s="37" t="n">
        <f aca="false">IF(B121="",0,N(Students!I110))</f>
        <v>0</v>
      </c>
      <c r="U121" s="23"/>
      <c r="V121" s="26" t="n">
        <f aca="false">N(S121)+N(T121)-N(U121)</f>
        <v>0</v>
      </c>
      <c r="W121" s="37" t="n">
        <f aca="false">'May 2027'!Z121</f>
        <v>0</v>
      </c>
      <c r="X121" s="37" t="n">
        <f aca="false">IF(B121="",0,N(Students!J110))</f>
        <v>0</v>
      </c>
      <c r="Y121" s="23"/>
      <c r="Z121" s="26" t="n">
        <f aca="false">N(W121)+N(X121)-N(Y121)</f>
        <v>0</v>
      </c>
      <c r="AA121" s="37" t="n">
        <f aca="false">N(E121)+N(I121)+N(M121)+N(Q121)+N(U121)+N(Y121)</f>
        <v>0</v>
      </c>
      <c r="AB121" s="26" t="n">
        <f aca="false">F121+J121+N121+R121+V121+Z121</f>
        <v>0</v>
      </c>
      <c r="AC121" s="83" t="str">
        <f aca="false">IF(B121="","",IF(AB121&lt;=0,"Clear",IF(AA121&gt;0,"Partial","Due")))</f>
        <v/>
      </c>
    </row>
    <row r="122" customFormat="false" ht="15" hidden="false" customHeight="false" outlineLevel="0" collapsed="false">
      <c r="A122" s="21" t="n">
        <v>107</v>
      </c>
      <c r="B122" s="46" t="str">
        <f aca="false">IF(Students!B111="","",Students!B111)</f>
        <v/>
      </c>
      <c r="C122" s="33" t="n">
        <f aca="false">'May 2027'!F122</f>
        <v>0</v>
      </c>
      <c r="D122" s="33" t="n">
        <f aca="false">IF(B122="",0,N(Students!E111))</f>
        <v>0</v>
      </c>
      <c r="E122" s="23"/>
      <c r="F122" s="24" t="n">
        <f aca="false">N(C122)+N(D122)-N(E122)</f>
        <v>0</v>
      </c>
      <c r="G122" s="33" t="n">
        <f aca="false">'May 2027'!J122</f>
        <v>0</v>
      </c>
      <c r="H122" s="33" t="n">
        <f aca="false">IF(B122="",0,N(Students!F111))</f>
        <v>0</v>
      </c>
      <c r="I122" s="23"/>
      <c r="J122" s="24" t="n">
        <f aca="false">N(G122)+N(H122)-N(I122)</f>
        <v>0</v>
      </c>
      <c r="K122" s="33" t="n">
        <f aca="false">'May 2027'!N122</f>
        <v>0</v>
      </c>
      <c r="L122" s="33" t="n">
        <f aca="false">IF(B122="",0,N(Students!G111))</f>
        <v>0</v>
      </c>
      <c r="M122" s="23"/>
      <c r="N122" s="24" t="n">
        <f aca="false">N(K122)+N(L122)-N(M122)</f>
        <v>0</v>
      </c>
      <c r="O122" s="33" t="n">
        <f aca="false">'May 2027'!R122</f>
        <v>0</v>
      </c>
      <c r="P122" s="33" t="n">
        <f aca="false">IF(B122="",0,N(Students!H111))</f>
        <v>0</v>
      </c>
      <c r="Q122" s="23"/>
      <c r="R122" s="24" t="n">
        <f aca="false">N(O122)+N(P122)-N(Q122)</f>
        <v>0</v>
      </c>
      <c r="S122" s="33" t="n">
        <f aca="false">'May 2027'!V122</f>
        <v>0</v>
      </c>
      <c r="T122" s="33" t="n">
        <f aca="false">IF(B122="",0,N(Students!I111))</f>
        <v>0</v>
      </c>
      <c r="U122" s="23"/>
      <c r="V122" s="24" t="n">
        <f aca="false">N(S122)+N(T122)-N(U122)</f>
        <v>0</v>
      </c>
      <c r="W122" s="33" t="n">
        <f aca="false">'May 2027'!Z122</f>
        <v>0</v>
      </c>
      <c r="X122" s="33" t="n">
        <f aca="false">IF(B122="",0,N(Students!J111))</f>
        <v>0</v>
      </c>
      <c r="Y122" s="23"/>
      <c r="Z122" s="24" t="n">
        <f aca="false">N(W122)+N(X122)-N(Y122)</f>
        <v>0</v>
      </c>
      <c r="AA122" s="33" t="n">
        <f aca="false">N(E122)+N(I122)+N(M122)+N(Q122)+N(U122)+N(Y122)</f>
        <v>0</v>
      </c>
      <c r="AB122" s="24" t="n">
        <f aca="false">F122+J122+N122+R122+V122+Z122</f>
        <v>0</v>
      </c>
      <c r="AC122" s="81" t="str">
        <f aca="false">IF(B122="","",IF(AB122&lt;=0,"Clear",IF(AA122&gt;0,"Partial","Due")))</f>
        <v/>
      </c>
    </row>
    <row r="123" customFormat="false" ht="15" hidden="false" customHeight="false" outlineLevel="0" collapsed="false">
      <c r="A123" s="25" t="n">
        <v>108</v>
      </c>
      <c r="B123" s="82" t="str">
        <f aca="false">IF(Students!B112="","",Students!B112)</f>
        <v/>
      </c>
      <c r="C123" s="37" t="n">
        <f aca="false">'May 2027'!F123</f>
        <v>0</v>
      </c>
      <c r="D123" s="37" t="n">
        <f aca="false">IF(B123="",0,N(Students!E112))</f>
        <v>0</v>
      </c>
      <c r="E123" s="23"/>
      <c r="F123" s="26" t="n">
        <f aca="false">N(C123)+N(D123)-N(E123)</f>
        <v>0</v>
      </c>
      <c r="G123" s="37" t="n">
        <f aca="false">'May 2027'!J123</f>
        <v>0</v>
      </c>
      <c r="H123" s="37" t="n">
        <f aca="false">IF(B123="",0,N(Students!F112))</f>
        <v>0</v>
      </c>
      <c r="I123" s="23"/>
      <c r="J123" s="26" t="n">
        <f aca="false">N(G123)+N(H123)-N(I123)</f>
        <v>0</v>
      </c>
      <c r="K123" s="37" t="n">
        <f aca="false">'May 2027'!N123</f>
        <v>0</v>
      </c>
      <c r="L123" s="37" t="n">
        <f aca="false">IF(B123="",0,N(Students!G112))</f>
        <v>0</v>
      </c>
      <c r="M123" s="23"/>
      <c r="N123" s="26" t="n">
        <f aca="false">N(K123)+N(L123)-N(M123)</f>
        <v>0</v>
      </c>
      <c r="O123" s="37" t="n">
        <f aca="false">'May 2027'!R123</f>
        <v>0</v>
      </c>
      <c r="P123" s="37" t="n">
        <f aca="false">IF(B123="",0,N(Students!H112))</f>
        <v>0</v>
      </c>
      <c r="Q123" s="23"/>
      <c r="R123" s="26" t="n">
        <f aca="false">N(O123)+N(P123)-N(Q123)</f>
        <v>0</v>
      </c>
      <c r="S123" s="37" t="n">
        <f aca="false">'May 2027'!V123</f>
        <v>0</v>
      </c>
      <c r="T123" s="37" t="n">
        <f aca="false">IF(B123="",0,N(Students!I112))</f>
        <v>0</v>
      </c>
      <c r="U123" s="23"/>
      <c r="V123" s="26" t="n">
        <f aca="false">N(S123)+N(T123)-N(U123)</f>
        <v>0</v>
      </c>
      <c r="W123" s="37" t="n">
        <f aca="false">'May 2027'!Z123</f>
        <v>0</v>
      </c>
      <c r="X123" s="37" t="n">
        <f aca="false">IF(B123="",0,N(Students!J112))</f>
        <v>0</v>
      </c>
      <c r="Y123" s="23"/>
      <c r="Z123" s="26" t="n">
        <f aca="false">N(W123)+N(X123)-N(Y123)</f>
        <v>0</v>
      </c>
      <c r="AA123" s="37" t="n">
        <f aca="false">N(E123)+N(I123)+N(M123)+N(Q123)+N(U123)+N(Y123)</f>
        <v>0</v>
      </c>
      <c r="AB123" s="26" t="n">
        <f aca="false">F123+J123+N123+R123+V123+Z123</f>
        <v>0</v>
      </c>
      <c r="AC123" s="83" t="str">
        <f aca="false">IF(B123="","",IF(AB123&lt;=0,"Clear",IF(AA123&gt;0,"Partial","Due")))</f>
        <v/>
      </c>
    </row>
    <row r="124" customFormat="false" ht="15" hidden="false" customHeight="false" outlineLevel="0" collapsed="false">
      <c r="A124" s="21" t="n">
        <v>109</v>
      </c>
      <c r="B124" s="46" t="str">
        <f aca="false">IF(Students!B113="","",Students!B113)</f>
        <v/>
      </c>
      <c r="C124" s="33" t="n">
        <f aca="false">'May 2027'!F124</f>
        <v>0</v>
      </c>
      <c r="D124" s="33" t="n">
        <f aca="false">IF(B124="",0,N(Students!E113))</f>
        <v>0</v>
      </c>
      <c r="E124" s="23"/>
      <c r="F124" s="24" t="n">
        <f aca="false">N(C124)+N(D124)-N(E124)</f>
        <v>0</v>
      </c>
      <c r="G124" s="33" t="n">
        <f aca="false">'May 2027'!J124</f>
        <v>0</v>
      </c>
      <c r="H124" s="33" t="n">
        <f aca="false">IF(B124="",0,N(Students!F113))</f>
        <v>0</v>
      </c>
      <c r="I124" s="23"/>
      <c r="J124" s="24" t="n">
        <f aca="false">N(G124)+N(H124)-N(I124)</f>
        <v>0</v>
      </c>
      <c r="K124" s="33" t="n">
        <f aca="false">'May 2027'!N124</f>
        <v>0</v>
      </c>
      <c r="L124" s="33" t="n">
        <f aca="false">IF(B124="",0,N(Students!G113))</f>
        <v>0</v>
      </c>
      <c r="M124" s="23"/>
      <c r="N124" s="24" t="n">
        <f aca="false">N(K124)+N(L124)-N(M124)</f>
        <v>0</v>
      </c>
      <c r="O124" s="33" t="n">
        <f aca="false">'May 2027'!R124</f>
        <v>0</v>
      </c>
      <c r="P124" s="33" t="n">
        <f aca="false">IF(B124="",0,N(Students!H113))</f>
        <v>0</v>
      </c>
      <c r="Q124" s="23"/>
      <c r="R124" s="24" t="n">
        <f aca="false">N(O124)+N(P124)-N(Q124)</f>
        <v>0</v>
      </c>
      <c r="S124" s="33" t="n">
        <f aca="false">'May 2027'!V124</f>
        <v>0</v>
      </c>
      <c r="T124" s="33" t="n">
        <f aca="false">IF(B124="",0,N(Students!I113))</f>
        <v>0</v>
      </c>
      <c r="U124" s="23"/>
      <c r="V124" s="24" t="n">
        <f aca="false">N(S124)+N(T124)-N(U124)</f>
        <v>0</v>
      </c>
      <c r="W124" s="33" t="n">
        <f aca="false">'May 2027'!Z124</f>
        <v>0</v>
      </c>
      <c r="X124" s="33" t="n">
        <f aca="false">IF(B124="",0,N(Students!J113))</f>
        <v>0</v>
      </c>
      <c r="Y124" s="23"/>
      <c r="Z124" s="24" t="n">
        <f aca="false">N(W124)+N(X124)-N(Y124)</f>
        <v>0</v>
      </c>
      <c r="AA124" s="33" t="n">
        <f aca="false">N(E124)+N(I124)+N(M124)+N(Q124)+N(U124)+N(Y124)</f>
        <v>0</v>
      </c>
      <c r="AB124" s="24" t="n">
        <f aca="false">F124+J124+N124+R124+V124+Z124</f>
        <v>0</v>
      </c>
      <c r="AC124" s="81" t="str">
        <f aca="false">IF(B124="","",IF(AB124&lt;=0,"Clear",IF(AA124&gt;0,"Partial","Due")))</f>
        <v/>
      </c>
    </row>
    <row r="125" customFormat="false" ht="15" hidden="false" customHeight="false" outlineLevel="0" collapsed="false">
      <c r="A125" s="25" t="n">
        <v>110</v>
      </c>
      <c r="B125" s="82" t="str">
        <f aca="false">IF(Students!B114="","",Students!B114)</f>
        <v/>
      </c>
      <c r="C125" s="37" t="n">
        <f aca="false">'May 2027'!F125</f>
        <v>0</v>
      </c>
      <c r="D125" s="37" t="n">
        <f aca="false">IF(B125="",0,N(Students!E114))</f>
        <v>0</v>
      </c>
      <c r="E125" s="23"/>
      <c r="F125" s="26" t="n">
        <f aca="false">N(C125)+N(D125)-N(E125)</f>
        <v>0</v>
      </c>
      <c r="G125" s="37" t="n">
        <f aca="false">'May 2027'!J125</f>
        <v>0</v>
      </c>
      <c r="H125" s="37" t="n">
        <f aca="false">IF(B125="",0,N(Students!F114))</f>
        <v>0</v>
      </c>
      <c r="I125" s="23"/>
      <c r="J125" s="26" t="n">
        <f aca="false">N(G125)+N(H125)-N(I125)</f>
        <v>0</v>
      </c>
      <c r="K125" s="37" t="n">
        <f aca="false">'May 2027'!N125</f>
        <v>0</v>
      </c>
      <c r="L125" s="37" t="n">
        <f aca="false">IF(B125="",0,N(Students!G114))</f>
        <v>0</v>
      </c>
      <c r="M125" s="23"/>
      <c r="N125" s="26" t="n">
        <f aca="false">N(K125)+N(L125)-N(M125)</f>
        <v>0</v>
      </c>
      <c r="O125" s="37" t="n">
        <f aca="false">'May 2027'!R125</f>
        <v>0</v>
      </c>
      <c r="P125" s="37" t="n">
        <f aca="false">IF(B125="",0,N(Students!H114))</f>
        <v>0</v>
      </c>
      <c r="Q125" s="23"/>
      <c r="R125" s="26" t="n">
        <f aca="false">N(O125)+N(P125)-N(Q125)</f>
        <v>0</v>
      </c>
      <c r="S125" s="37" t="n">
        <f aca="false">'May 2027'!V125</f>
        <v>0</v>
      </c>
      <c r="T125" s="37" t="n">
        <f aca="false">IF(B125="",0,N(Students!I114))</f>
        <v>0</v>
      </c>
      <c r="U125" s="23"/>
      <c r="V125" s="26" t="n">
        <f aca="false">N(S125)+N(T125)-N(U125)</f>
        <v>0</v>
      </c>
      <c r="W125" s="37" t="n">
        <f aca="false">'May 2027'!Z125</f>
        <v>0</v>
      </c>
      <c r="X125" s="37" t="n">
        <f aca="false">IF(B125="",0,N(Students!J114))</f>
        <v>0</v>
      </c>
      <c r="Y125" s="23"/>
      <c r="Z125" s="26" t="n">
        <f aca="false">N(W125)+N(X125)-N(Y125)</f>
        <v>0</v>
      </c>
      <c r="AA125" s="37" t="n">
        <f aca="false">N(E125)+N(I125)+N(M125)+N(Q125)+N(U125)+N(Y125)</f>
        <v>0</v>
      </c>
      <c r="AB125" s="26" t="n">
        <f aca="false">F125+J125+N125+R125+V125+Z125</f>
        <v>0</v>
      </c>
      <c r="AC125" s="83" t="str">
        <f aca="false">IF(B125="","",IF(AB125&lt;=0,"Clear",IF(AA125&gt;0,"Partial","Due")))</f>
        <v/>
      </c>
    </row>
    <row r="126" customFormat="false" ht="15" hidden="false" customHeight="false" outlineLevel="0" collapsed="false">
      <c r="A126" s="21" t="n">
        <v>111</v>
      </c>
      <c r="B126" s="46" t="str">
        <f aca="false">IF(Students!B115="","",Students!B115)</f>
        <v/>
      </c>
      <c r="C126" s="33" t="n">
        <f aca="false">'May 2027'!F126</f>
        <v>0</v>
      </c>
      <c r="D126" s="33" t="n">
        <f aca="false">IF(B126="",0,N(Students!E115))</f>
        <v>0</v>
      </c>
      <c r="E126" s="23"/>
      <c r="F126" s="24" t="n">
        <f aca="false">N(C126)+N(D126)-N(E126)</f>
        <v>0</v>
      </c>
      <c r="G126" s="33" t="n">
        <f aca="false">'May 2027'!J126</f>
        <v>0</v>
      </c>
      <c r="H126" s="33" t="n">
        <f aca="false">IF(B126="",0,N(Students!F115))</f>
        <v>0</v>
      </c>
      <c r="I126" s="23"/>
      <c r="J126" s="24" t="n">
        <f aca="false">N(G126)+N(H126)-N(I126)</f>
        <v>0</v>
      </c>
      <c r="K126" s="33" t="n">
        <f aca="false">'May 2027'!N126</f>
        <v>0</v>
      </c>
      <c r="L126" s="33" t="n">
        <f aca="false">IF(B126="",0,N(Students!G115))</f>
        <v>0</v>
      </c>
      <c r="M126" s="23"/>
      <c r="N126" s="24" t="n">
        <f aca="false">N(K126)+N(L126)-N(M126)</f>
        <v>0</v>
      </c>
      <c r="O126" s="33" t="n">
        <f aca="false">'May 2027'!R126</f>
        <v>0</v>
      </c>
      <c r="P126" s="33" t="n">
        <f aca="false">IF(B126="",0,N(Students!H115))</f>
        <v>0</v>
      </c>
      <c r="Q126" s="23"/>
      <c r="R126" s="24" t="n">
        <f aca="false">N(O126)+N(P126)-N(Q126)</f>
        <v>0</v>
      </c>
      <c r="S126" s="33" t="n">
        <f aca="false">'May 2027'!V126</f>
        <v>0</v>
      </c>
      <c r="T126" s="33" t="n">
        <f aca="false">IF(B126="",0,N(Students!I115))</f>
        <v>0</v>
      </c>
      <c r="U126" s="23"/>
      <c r="V126" s="24" t="n">
        <f aca="false">N(S126)+N(T126)-N(U126)</f>
        <v>0</v>
      </c>
      <c r="W126" s="33" t="n">
        <f aca="false">'May 2027'!Z126</f>
        <v>0</v>
      </c>
      <c r="X126" s="33" t="n">
        <f aca="false">IF(B126="",0,N(Students!J115))</f>
        <v>0</v>
      </c>
      <c r="Y126" s="23"/>
      <c r="Z126" s="24" t="n">
        <f aca="false">N(W126)+N(X126)-N(Y126)</f>
        <v>0</v>
      </c>
      <c r="AA126" s="33" t="n">
        <f aca="false">N(E126)+N(I126)+N(M126)+N(Q126)+N(U126)+N(Y126)</f>
        <v>0</v>
      </c>
      <c r="AB126" s="24" t="n">
        <f aca="false">F126+J126+N126+R126+V126+Z126</f>
        <v>0</v>
      </c>
      <c r="AC126" s="81" t="str">
        <f aca="false">IF(B126="","",IF(AB126&lt;=0,"Clear",IF(AA126&gt;0,"Partial","Due")))</f>
        <v/>
      </c>
    </row>
    <row r="127" customFormat="false" ht="15" hidden="false" customHeight="false" outlineLevel="0" collapsed="false">
      <c r="A127" s="25" t="n">
        <v>112</v>
      </c>
      <c r="B127" s="82" t="str">
        <f aca="false">IF(Students!B116="","",Students!B116)</f>
        <v/>
      </c>
      <c r="C127" s="37" t="n">
        <f aca="false">'May 2027'!F127</f>
        <v>0</v>
      </c>
      <c r="D127" s="37" t="n">
        <f aca="false">IF(B127="",0,N(Students!E116))</f>
        <v>0</v>
      </c>
      <c r="E127" s="23"/>
      <c r="F127" s="26" t="n">
        <f aca="false">N(C127)+N(D127)-N(E127)</f>
        <v>0</v>
      </c>
      <c r="G127" s="37" t="n">
        <f aca="false">'May 2027'!J127</f>
        <v>0</v>
      </c>
      <c r="H127" s="37" t="n">
        <f aca="false">IF(B127="",0,N(Students!F116))</f>
        <v>0</v>
      </c>
      <c r="I127" s="23"/>
      <c r="J127" s="26" t="n">
        <f aca="false">N(G127)+N(H127)-N(I127)</f>
        <v>0</v>
      </c>
      <c r="K127" s="37" t="n">
        <f aca="false">'May 2027'!N127</f>
        <v>0</v>
      </c>
      <c r="L127" s="37" t="n">
        <f aca="false">IF(B127="",0,N(Students!G116))</f>
        <v>0</v>
      </c>
      <c r="M127" s="23"/>
      <c r="N127" s="26" t="n">
        <f aca="false">N(K127)+N(L127)-N(M127)</f>
        <v>0</v>
      </c>
      <c r="O127" s="37" t="n">
        <f aca="false">'May 2027'!R127</f>
        <v>0</v>
      </c>
      <c r="P127" s="37" t="n">
        <f aca="false">IF(B127="",0,N(Students!H116))</f>
        <v>0</v>
      </c>
      <c r="Q127" s="23"/>
      <c r="R127" s="26" t="n">
        <f aca="false">N(O127)+N(P127)-N(Q127)</f>
        <v>0</v>
      </c>
      <c r="S127" s="37" t="n">
        <f aca="false">'May 2027'!V127</f>
        <v>0</v>
      </c>
      <c r="T127" s="37" t="n">
        <f aca="false">IF(B127="",0,N(Students!I116))</f>
        <v>0</v>
      </c>
      <c r="U127" s="23"/>
      <c r="V127" s="26" t="n">
        <f aca="false">N(S127)+N(T127)-N(U127)</f>
        <v>0</v>
      </c>
      <c r="W127" s="37" t="n">
        <f aca="false">'May 2027'!Z127</f>
        <v>0</v>
      </c>
      <c r="X127" s="37" t="n">
        <f aca="false">IF(B127="",0,N(Students!J116))</f>
        <v>0</v>
      </c>
      <c r="Y127" s="23"/>
      <c r="Z127" s="26" t="n">
        <f aca="false">N(W127)+N(X127)-N(Y127)</f>
        <v>0</v>
      </c>
      <c r="AA127" s="37" t="n">
        <f aca="false">N(E127)+N(I127)+N(M127)+N(Q127)+N(U127)+N(Y127)</f>
        <v>0</v>
      </c>
      <c r="AB127" s="26" t="n">
        <f aca="false">F127+J127+N127+R127+V127+Z127</f>
        <v>0</v>
      </c>
      <c r="AC127" s="83" t="str">
        <f aca="false">IF(B127="","",IF(AB127&lt;=0,"Clear",IF(AA127&gt;0,"Partial","Due")))</f>
        <v/>
      </c>
    </row>
    <row r="128" customFormat="false" ht="15" hidden="false" customHeight="false" outlineLevel="0" collapsed="false">
      <c r="A128" s="21" t="n">
        <v>113</v>
      </c>
      <c r="B128" s="46" t="str">
        <f aca="false">IF(Students!B117="","",Students!B117)</f>
        <v/>
      </c>
      <c r="C128" s="33" t="n">
        <f aca="false">'May 2027'!F128</f>
        <v>0</v>
      </c>
      <c r="D128" s="33" t="n">
        <f aca="false">IF(B128="",0,N(Students!E117))</f>
        <v>0</v>
      </c>
      <c r="E128" s="23"/>
      <c r="F128" s="24" t="n">
        <f aca="false">N(C128)+N(D128)-N(E128)</f>
        <v>0</v>
      </c>
      <c r="G128" s="33" t="n">
        <f aca="false">'May 2027'!J128</f>
        <v>0</v>
      </c>
      <c r="H128" s="33" t="n">
        <f aca="false">IF(B128="",0,N(Students!F117))</f>
        <v>0</v>
      </c>
      <c r="I128" s="23"/>
      <c r="J128" s="24" t="n">
        <f aca="false">N(G128)+N(H128)-N(I128)</f>
        <v>0</v>
      </c>
      <c r="K128" s="33" t="n">
        <f aca="false">'May 2027'!N128</f>
        <v>0</v>
      </c>
      <c r="L128" s="33" t="n">
        <f aca="false">IF(B128="",0,N(Students!G117))</f>
        <v>0</v>
      </c>
      <c r="M128" s="23"/>
      <c r="N128" s="24" t="n">
        <f aca="false">N(K128)+N(L128)-N(M128)</f>
        <v>0</v>
      </c>
      <c r="O128" s="33" t="n">
        <f aca="false">'May 2027'!R128</f>
        <v>0</v>
      </c>
      <c r="P128" s="33" t="n">
        <f aca="false">IF(B128="",0,N(Students!H117))</f>
        <v>0</v>
      </c>
      <c r="Q128" s="23"/>
      <c r="R128" s="24" t="n">
        <f aca="false">N(O128)+N(P128)-N(Q128)</f>
        <v>0</v>
      </c>
      <c r="S128" s="33" t="n">
        <f aca="false">'May 2027'!V128</f>
        <v>0</v>
      </c>
      <c r="T128" s="33" t="n">
        <f aca="false">IF(B128="",0,N(Students!I117))</f>
        <v>0</v>
      </c>
      <c r="U128" s="23"/>
      <c r="V128" s="24" t="n">
        <f aca="false">N(S128)+N(T128)-N(U128)</f>
        <v>0</v>
      </c>
      <c r="W128" s="33" t="n">
        <f aca="false">'May 2027'!Z128</f>
        <v>0</v>
      </c>
      <c r="X128" s="33" t="n">
        <f aca="false">IF(B128="",0,N(Students!J117))</f>
        <v>0</v>
      </c>
      <c r="Y128" s="23"/>
      <c r="Z128" s="24" t="n">
        <f aca="false">N(W128)+N(X128)-N(Y128)</f>
        <v>0</v>
      </c>
      <c r="AA128" s="33" t="n">
        <f aca="false">N(E128)+N(I128)+N(M128)+N(Q128)+N(U128)+N(Y128)</f>
        <v>0</v>
      </c>
      <c r="AB128" s="24" t="n">
        <f aca="false">F128+J128+N128+R128+V128+Z128</f>
        <v>0</v>
      </c>
      <c r="AC128" s="81" t="str">
        <f aca="false">IF(B128="","",IF(AB128&lt;=0,"Clear",IF(AA128&gt;0,"Partial","Due")))</f>
        <v/>
      </c>
    </row>
    <row r="129" customFormat="false" ht="15" hidden="false" customHeight="false" outlineLevel="0" collapsed="false">
      <c r="A129" s="25" t="n">
        <v>114</v>
      </c>
      <c r="B129" s="82" t="str">
        <f aca="false">IF(Students!B118="","",Students!B118)</f>
        <v/>
      </c>
      <c r="C129" s="37" t="n">
        <f aca="false">'May 2027'!F129</f>
        <v>0</v>
      </c>
      <c r="D129" s="37" t="n">
        <f aca="false">IF(B129="",0,N(Students!E118))</f>
        <v>0</v>
      </c>
      <c r="E129" s="23"/>
      <c r="F129" s="26" t="n">
        <f aca="false">N(C129)+N(D129)-N(E129)</f>
        <v>0</v>
      </c>
      <c r="G129" s="37" t="n">
        <f aca="false">'May 2027'!J129</f>
        <v>0</v>
      </c>
      <c r="H129" s="37" t="n">
        <f aca="false">IF(B129="",0,N(Students!F118))</f>
        <v>0</v>
      </c>
      <c r="I129" s="23"/>
      <c r="J129" s="26" t="n">
        <f aca="false">N(G129)+N(H129)-N(I129)</f>
        <v>0</v>
      </c>
      <c r="K129" s="37" t="n">
        <f aca="false">'May 2027'!N129</f>
        <v>0</v>
      </c>
      <c r="L129" s="37" t="n">
        <f aca="false">IF(B129="",0,N(Students!G118))</f>
        <v>0</v>
      </c>
      <c r="M129" s="23"/>
      <c r="N129" s="26" t="n">
        <f aca="false">N(K129)+N(L129)-N(M129)</f>
        <v>0</v>
      </c>
      <c r="O129" s="37" t="n">
        <f aca="false">'May 2027'!R129</f>
        <v>0</v>
      </c>
      <c r="P129" s="37" t="n">
        <f aca="false">IF(B129="",0,N(Students!H118))</f>
        <v>0</v>
      </c>
      <c r="Q129" s="23"/>
      <c r="R129" s="26" t="n">
        <f aca="false">N(O129)+N(P129)-N(Q129)</f>
        <v>0</v>
      </c>
      <c r="S129" s="37" t="n">
        <f aca="false">'May 2027'!V129</f>
        <v>0</v>
      </c>
      <c r="T129" s="37" t="n">
        <f aca="false">IF(B129="",0,N(Students!I118))</f>
        <v>0</v>
      </c>
      <c r="U129" s="23"/>
      <c r="V129" s="26" t="n">
        <f aca="false">N(S129)+N(T129)-N(U129)</f>
        <v>0</v>
      </c>
      <c r="W129" s="37" t="n">
        <f aca="false">'May 2027'!Z129</f>
        <v>0</v>
      </c>
      <c r="X129" s="37" t="n">
        <f aca="false">IF(B129="",0,N(Students!J118))</f>
        <v>0</v>
      </c>
      <c r="Y129" s="23"/>
      <c r="Z129" s="26" t="n">
        <f aca="false">N(W129)+N(X129)-N(Y129)</f>
        <v>0</v>
      </c>
      <c r="AA129" s="37" t="n">
        <f aca="false">N(E129)+N(I129)+N(M129)+N(Q129)+N(U129)+N(Y129)</f>
        <v>0</v>
      </c>
      <c r="AB129" s="26" t="n">
        <f aca="false">F129+J129+N129+R129+V129+Z129</f>
        <v>0</v>
      </c>
      <c r="AC129" s="83" t="str">
        <f aca="false">IF(B129="","",IF(AB129&lt;=0,"Clear",IF(AA129&gt;0,"Partial","Due")))</f>
        <v/>
      </c>
    </row>
    <row r="130" customFormat="false" ht="15" hidden="false" customHeight="false" outlineLevel="0" collapsed="false">
      <c r="A130" s="21" t="n">
        <v>115</v>
      </c>
      <c r="B130" s="46" t="str">
        <f aca="false">IF(Students!B119="","",Students!B119)</f>
        <v/>
      </c>
      <c r="C130" s="33" t="n">
        <f aca="false">'May 2027'!F130</f>
        <v>0</v>
      </c>
      <c r="D130" s="33" t="n">
        <f aca="false">IF(B130="",0,N(Students!E119))</f>
        <v>0</v>
      </c>
      <c r="E130" s="23"/>
      <c r="F130" s="24" t="n">
        <f aca="false">N(C130)+N(D130)-N(E130)</f>
        <v>0</v>
      </c>
      <c r="G130" s="33" t="n">
        <f aca="false">'May 2027'!J130</f>
        <v>0</v>
      </c>
      <c r="H130" s="33" t="n">
        <f aca="false">IF(B130="",0,N(Students!F119))</f>
        <v>0</v>
      </c>
      <c r="I130" s="23"/>
      <c r="J130" s="24" t="n">
        <f aca="false">N(G130)+N(H130)-N(I130)</f>
        <v>0</v>
      </c>
      <c r="K130" s="33" t="n">
        <f aca="false">'May 2027'!N130</f>
        <v>0</v>
      </c>
      <c r="L130" s="33" t="n">
        <f aca="false">IF(B130="",0,N(Students!G119))</f>
        <v>0</v>
      </c>
      <c r="M130" s="23"/>
      <c r="N130" s="24" t="n">
        <f aca="false">N(K130)+N(L130)-N(M130)</f>
        <v>0</v>
      </c>
      <c r="O130" s="33" t="n">
        <f aca="false">'May 2027'!R130</f>
        <v>0</v>
      </c>
      <c r="P130" s="33" t="n">
        <f aca="false">IF(B130="",0,N(Students!H119))</f>
        <v>0</v>
      </c>
      <c r="Q130" s="23"/>
      <c r="R130" s="24" t="n">
        <f aca="false">N(O130)+N(P130)-N(Q130)</f>
        <v>0</v>
      </c>
      <c r="S130" s="33" t="n">
        <f aca="false">'May 2027'!V130</f>
        <v>0</v>
      </c>
      <c r="T130" s="33" t="n">
        <f aca="false">IF(B130="",0,N(Students!I119))</f>
        <v>0</v>
      </c>
      <c r="U130" s="23"/>
      <c r="V130" s="24" t="n">
        <f aca="false">N(S130)+N(T130)-N(U130)</f>
        <v>0</v>
      </c>
      <c r="W130" s="33" t="n">
        <f aca="false">'May 2027'!Z130</f>
        <v>0</v>
      </c>
      <c r="X130" s="33" t="n">
        <f aca="false">IF(B130="",0,N(Students!J119))</f>
        <v>0</v>
      </c>
      <c r="Y130" s="23"/>
      <c r="Z130" s="24" t="n">
        <f aca="false">N(W130)+N(X130)-N(Y130)</f>
        <v>0</v>
      </c>
      <c r="AA130" s="33" t="n">
        <f aca="false">N(E130)+N(I130)+N(M130)+N(Q130)+N(U130)+N(Y130)</f>
        <v>0</v>
      </c>
      <c r="AB130" s="24" t="n">
        <f aca="false">F130+J130+N130+R130+V130+Z130</f>
        <v>0</v>
      </c>
      <c r="AC130" s="81" t="str">
        <f aca="false">IF(B130="","",IF(AB130&lt;=0,"Clear",IF(AA130&gt;0,"Partial","Due")))</f>
        <v/>
      </c>
    </row>
    <row r="131" customFormat="false" ht="15" hidden="false" customHeight="false" outlineLevel="0" collapsed="false">
      <c r="A131" s="25" t="n">
        <v>116</v>
      </c>
      <c r="B131" s="82" t="str">
        <f aca="false">IF(Students!B120="","",Students!B120)</f>
        <v/>
      </c>
      <c r="C131" s="37" t="n">
        <f aca="false">'May 2027'!F131</f>
        <v>0</v>
      </c>
      <c r="D131" s="37" t="n">
        <f aca="false">IF(B131="",0,N(Students!E120))</f>
        <v>0</v>
      </c>
      <c r="E131" s="23"/>
      <c r="F131" s="26" t="n">
        <f aca="false">N(C131)+N(D131)-N(E131)</f>
        <v>0</v>
      </c>
      <c r="G131" s="37" t="n">
        <f aca="false">'May 2027'!J131</f>
        <v>0</v>
      </c>
      <c r="H131" s="37" t="n">
        <f aca="false">IF(B131="",0,N(Students!F120))</f>
        <v>0</v>
      </c>
      <c r="I131" s="23"/>
      <c r="J131" s="26" t="n">
        <f aca="false">N(G131)+N(H131)-N(I131)</f>
        <v>0</v>
      </c>
      <c r="K131" s="37" t="n">
        <f aca="false">'May 2027'!N131</f>
        <v>0</v>
      </c>
      <c r="L131" s="37" t="n">
        <f aca="false">IF(B131="",0,N(Students!G120))</f>
        <v>0</v>
      </c>
      <c r="M131" s="23"/>
      <c r="N131" s="26" t="n">
        <f aca="false">N(K131)+N(L131)-N(M131)</f>
        <v>0</v>
      </c>
      <c r="O131" s="37" t="n">
        <f aca="false">'May 2027'!R131</f>
        <v>0</v>
      </c>
      <c r="P131" s="37" t="n">
        <f aca="false">IF(B131="",0,N(Students!H120))</f>
        <v>0</v>
      </c>
      <c r="Q131" s="23"/>
      <c r="R131" s="26" t="n">
        <f aca="false">N(O131)+N(P131)-N(Q131)</f>
        <v>0</v>
      </c>
      <c r="S131" s="37" t="n">
        <f aca="false">'May 2027'!V131</f>
        <v>0</v>
      </c>
      <c r="T131" s="37" t="n">
        <f aca="false">IF(B131="",0,N(Students!I120))</f>
        <v>0</v>
      </c>
      <c r="U131" s="23"/>
      <c r="V131" s="26" t="n">
        <f aca="false">N(S131)+N(T131)-N(U131)</f>
        <v>0</v>
      </c>
      <c r="W131" s="37" t="n">
        <f aca="false">'May 2027'!Z131</f>
        <v>0</v>
      </c>
      <c r="X131" s="37" t="n">
        <f aca="false">IF(B131="",0,N(Students!J120))</f>
        <v>0</v>
      </c>
      <c r="Y131" s="23"/>
      <c r="Z131" s="26" t="n">
        <f aca="false">N(W131)+N(X131)-N(Y131)</f>
        <v>0</v>
      </c>
      <c r="AA131" s="37" t="n">
        <f aca="false">N(E131)+N(I131)+N(M131)+N(Q131)+N(U131)+N(Y131)</f>
        <v>0</v>
      </c>
      <c r="AB131" s="26" t="n">
        <f aca="false">F131+J131+N131+R131+V131+Z131</f>
        <v>0</v>
      </c>
      <c r="AC131" s="83" t="str">
        <f aca="false">IF(B131="","",IF(AB131&lt;=0,"Clear",IF(AA131&gt;0,"Partial","Due")))</f>
        <v/>
      </c>
    </row>
    <row r="132" customFormat="false" ht="15" hidden="false" customHeight="false" outlineLevel="0" collapsed="false">
      <c r="A132" s="21" t="n">
        <v>117</v>
      </c>
      <c r="B132" s="46" t="str">
        <f aca="false">IF(Students!B121="","",Students!B121)</f>
        <v/>
      </c>
      <c r="C132" s="33" t="n">
        <f aca="false">'May 2027'!F132</f>
        <v>0</v>
      </c>
      <c r="D132" s="33" t="n">
        <f aca="false">IF(B132="",0,N(Students!E121))</f>
        <v>0</v>
      </c>
      <c r="E132" s="23"/>
      <c r="F132" s="24" t="n">
        <f aca="false">N(C132)+N(D132)-N(E132)</f>
        <v>0</v>
      </c>
      <c r="G132" s="33" t="n">
        <f aca="false">'May 2027'!J132</f>
        <v>0</v>
      </c>
      <c r="H132" s="33" t="n">
        <f aca="false">IF(B132="",0,N(Students!F121))</f>
        <v>0</v>
      </c>
      <c r="I132" s="23"/>
      <c r="J132" s="24" t="n">
        <f aca="false">N(G132)+N(H132)-N(I132)</f>
        <v>0</v>
      </c>
      <c r="K132" s="33" t="n">
        <f aca="false">'May 2027'!N132</f>
        <v>0</v>
      </c>
      <c r="L132" s="33" t="n">
        <f aca="false">IF(B132="",0,N(Students!G121))</f>
        <v>0</v>
      </c>
      <c r="M132" s="23"/>
      <c r="N132" s="24" t="n">
        <f aca="false">N(K132)+N(L132)-N(M132)</f>
        <v>0</v>
      </c>
      <c r="O132" s="33" t="n">
        <f aca="false">'May 2027'!R132</f>
        <v>0</v>
      </c>
      <c r="P132" s="33" t="n">
        <f aca="false">IF(B132="",0,N(Students!H121))</f>
        <v>0</v>
      </c>
      <c r="Q132" s="23"/>
      <c r="R132" s="24" t="n">
        <f aca="false">N(O132)+N(P132)-N(Q132)</f>
        <v>0</v>
      </c>
      <c r="S132" s="33" t="n">
        <f aca="false">'May 2027'!V132</f>
        <v>0</v>
      </c>
      <c r="T132" s="33" t="n">
        <f aca="false">IF(B132="",0,N(Students!I121))</f>
        <v>0</v>
      </c>
      <c r="U132" s="23"/>
      <c r="V132" s="24" t="n">
        <f aca="false">N(S132)+N(T132)-N(U132)</f>
        <v>0</v>
      </c>
      <c r="W132" s="33" t="n">
        <f aca="false">'May 2027'!Z132</f>
        <v>0</v>
      </c>
      <c r="X132" s="33" t="n">
        <f aca="false">IF(B132="",0,N(Students!J121))</f>
        <v>0</v>
      </c>
      <c r="Y132" s="23"/>
      <c r="Z132" s="24" t="n">
        <f aca="false">N(W132)+N(X132)-N(Y132)</f>
        <v>0</v>
      </c>
      <c r="AA132" s="33" t="n">
        <f aca="false">N(E132)+N(I132)+N(M132)+N(Q132)+N(U132)+N(Y132)</f>
        <v>0</v>
      </c>
      <c r="AB132" s="24" t="n">
        <f aca="false">F132+J132+N132+R132+V132+Z132</f>
        <v>0</v>
      </c>
      <c r="AC132" s="81" t="str">
        <f aca="false">IF(B132="","",IF(AB132&lt;=0,"Clear",IF(AA132&gt;0,"Partial","Due")))</f>
        <v/>
      </c>
    </row>
    <row r="133" customFormat="false" ht="15" hidden="false" customHeight="false" outlineLevel="0" collapsed="false">
      <c r="A133" s="25" t="n">
        <v>118</v>
      </c>
      <c r="B133" s="82" t="str">
        <f aca="false">IF(Students!B122="","",Students!B122)</f>
        <v/>
      </c>
      <c r="C133" s="37" t="n">
        <f aca="false">'May 2027'!F133</f>
        <v>0</v>
      </c>
      <c r="D133" s="37" t="n">
        <f aca="false">IF(B133="",0,N(Students!E122))</f>
        <v>0</v>
      </c>
      <c r="E133" s="23"/>
      <c r="F133" s="26" t="n">
        <f aca="false">N(C133)+N(D133)-N(E133)</f>
        <v>0</v>
      </c>
      <c r="G133" s="37" t="n">
        <f aca="false">'May 2027'!J133</f>
        <v>0</v>
      </c>
      <c r="H133" s="37" t="n">
        <f aca="false">IF(B133="",0,N(Students!F122))</f>
        <v>0</v>
      </c>
      <c r="I133" s="23"/>
      <c r="J133" s="26" t="n">
        <f aca="false">N(G133)+N(H133)-N(I133)</f>
        <v>0</v>
      </c>
      <c r="K133" s="37" t="n">
        <f aca="false">'May 2027'!N133</f>
        <v>0</v>
      </c>
      <c r="L133" s="37" t="n">
        <f aca="false">IF(B133="",0,N(Students!G122))</f>
        <v>0</v>
      </c>
      <c r="M133" s="23"/>
      <c r="N133" s="26" t="n">
        <f aca="false">N(K133)+N(L133)-N(M133)</f>
        <v>0</v>
      </c>
      <c r="O133" s="37" t="n">
        <f aca="false">'May 2027'!R133</f>
        <v>0</v>
      </c>
      <c r="P133" s="37" t="n">
        <f aca="false">IF(B133="",0,N(Students!H122))</f>
        <v>0</v>
      </c>
      <c r="Q133" s="23"/>
      <c r="R133" s="26" t="n">
        <f aca="false">N(O133)+N(P133)-N(Q133)</f>
        <v>0</v>
      </c>
      <c r="S133" s="37" t="n">
        <f aca="false">'May 2027'!V133</f>
        <v>0</v>
      </c>
      <c r="T133" s="37" t="n">
        <f aca="false">IF(B133="",0,N(Students!I122))</f>
        <v>0</v>
      </c>
      <c r="U133" s="23"/>
      <c r="V133" s="26" t="n">
        <f aca="false">N(S133)+N(T133)-N(U133)</f>
        <v>0</v>
      </c>
      <c r="W133" s="37" t="n">
        <f aca="false">'May 2027'!Z133</f>
        <v>0</v>
      </c>
      <c r="X133" s="37" t="n">
        <f aca="false">IF(B133="",0,N(Students!J122))</f>
        <v>0</v>
      </c>
      <c r="Y133" s="23"/>
      <c r="Z133" s="26" t="n">
        <f aca="false">N(W133)+N(X133)-N(Y133)</f>
        <v>0</v>
      </c>
      <c r="AA133" s="37" t="n">
        <f aca="false">N(E133)+N(I133)+N(M133)+N(Q133)+N(U133)+N(Y133)</f>
        <v>0</v>
      </c>
      <c r="AB133" s="26" t="n">
        <f aca="false">F133+J133+N133+R133+V133+Z133</f>
        <v>0</v>
      </c>
      <c r="AC133" s="83" t="str">
        <f aca="false">IF(B133="","",IF(AB133&lt;=0,"Clear",IF(AA133&gt;0,"Partial","Due")))</f>
        <v/>
      </c>
    </row>
    <row r="134" customFormat="false" ht="15" hidden="false" customHeight="false" outlineLevel="0" collapsed="false">
      <c r="A134" s="21" t="n">
        <v>119</v>
      </c>
      <c r="B134" s="46" t="str">
        <f aca="false">IF(Students!B123="","",Students!B123)</f>
        <v/>
      </c>
      <c r="C134" s="33" t="n">
        <f aca="false">'May 2027'!F134</f>
        <v>0</v>
      </c>
      <c r="D134" s="33" t="n">
        <f aca="false">IF(B134="",0,N(Students!E123))</f>
        <v>0</v>
      </c>
      <c r="E134" s="23"/>
      <c r="F134" s="24" t="n">
        <f aca="false">N(C134)+N(D134)-N(E134)</f>
        <v>0</v>
      </c>
      <c r="G134" s="33" t="n">
        <f aca="false">'May 2027'!J134</f>
        <v>0</v>
      </c>
      <c r="H134" s="33" t="n">
        <f aca="false">IF(B134="",0,N(Students!F123))</f>
        <v>0</v>
      </c>
      <c r="I134" s="23"/>
      <c r="J134" s="24" t="n">
        <f aca="false">N(G134)+N(H134)-N(I134)</f>
        <v>0</v>
      </c>
      <c r="K134" s="33" t="n">
        <f aca="false">'May 2027'!N134</f>
        <v>0</v>
      </c>
      <c r="L134" s="33" t="n">
        <f aca="false">IF(B134="",0,N(Students!G123))</f>
        <v>0</v>
      </c>
      <c r="M134" s="23"/>
      <c r="N134" s="24" t="n">
        <f aca="false">N(K134)+N(L134)-N(M134)</f>
        <v>0</v>
      </c>
      <c r="O134" s="33" t="n">
        <f aca="false">'May 2027'!R134</f>
        <v>0</v>
      </c>
      <c r="P134" s="33" t="n">
        <f aca="false">IF(B134="",0,N(Students!H123))</f>
        <v>0</v>
      </c>
      <c r="Q134" s="23"/>
      <c r="R134" s="24" t="n">
        <f aca="false">N(O134)+N(P134)-N(Q134)</f>
        <v>0</v>
      </c>
      <c r="S134" s="33" t="n">
        <f aca="false">'May 2027'!V134</f>
        <v>0</v>
      </c>
      <c r="T134" s="33" t="n">
        <f aca="false">IF(B134="",0,N(Students!I123))</f>
        <v>0</v>
      </c>
      <c r="U134" s="23"/>
      <c r="V134" s="24" t="n">
        <f aca="false">N(S134)+N(T134)-N(U134)</f>
        <v>0</v>
      </c>
      <c r="W134" s="33" t="n">
        <f aca="false">'May 2027'!Z134</f>
        <v>0</v>
      </c>
      <c r="X134" s="33" t="n">
        <f aca="false">IF(B134="",0,N(Students!J123))</f>
        <v>0</v>
      </c>
      <c r="Y134" s="23"/>
      <c r="Z134" s="24" t="n">
        <f aca="false">N(W134)+N(X134)-N(Y134)</f>
        <v>0</v>
      </c>
      <c r="AA134" s="33" t="n">
        <f aca="false">N(E134)+N(I134)+N(M134)+N(Q134)+N(U134)+N(Y134)</f>
        <v>0</v>
      </c>
      <c r="AB134" s="24" t="n">
        <f aca="false">F134+J134+N134+R134+V134+Z134</f>
        <v>0</v>
      </c>
      <c r="AC134" s="81" t="str">
        <f aca="false">IF(B134="","",IF(AB134&lt;=0,"Clear",IF(AA134&gt;0,"Partial","Due")))</f>
        <v/>
      </c>
    </row>
    <row r="135" customFormat="false" ht="15" hidden="false" customHeight="false" outlineLevel="0" collapsed="false">
      <c r="A135" s="25" t="n">
        <v>120</v>
      </c>
      <c r="B135" s="82" t="str">
        <f aca="false">IF(Students!B124="","",Students!B124)</f>
        <v/>
      </c>
      <c r="C135" s="37" t="n">
        <f aca="false">'May 2027'!F135</f>
        <v>0</v>
      </c>
      <c r="D135" s="37" t="n">
        <f aca="false">IF(B135="",0,N(Students!E124))</f>
        <v>0</v>
      </c>
      <c r="E135" s="23"/>
      <c r="F135" s="26" t="n">
        <f aca="false">N(C135)+N(D135)-N(E135)</f>
        <v>0</v>
      </c>
      <c r="G135" s="37" t="n">
        <f aca="false">'May 2027'!J135</f>
        <v>0</v>
      </c>
      <c r="H135" s="37" t="n">
        <f aca="false">IF(B135="",0,N(Students!F124))</f>
        <v>0</v>
      </c>
      <c r="I135" s="23"/>
      <c r="J135" s="26" t="n">
        <f aca="false">N(G135)+N(H135)-N(I135)</f>
        <v>0</v>
      </c>
      <c r="K135" s="37" t="n">
        <f aca="false">'May 2027'!N135</f>
        <v>0</v>
      </c>
      <c r="L135" s="37" t="n">
        <f aca="false">IF(B135="",0,N(Students!G124))</f>
        <v>0</v>
      </c>
      <c r="M135" s="23"/>
      <c r="N135" s="26" t="n">
        <f aca="false">N(K135)+N(L135)-N(M135)</f>
        <v>0</v>
      </c>
      <c r="O135" s="37" t="n">
        <f aca="false">'May 2027'!R135</f>
        <v>0</v>
      </c>
      <c r="P135" s="37" t="n">
        <f aca="false">IF(B135="",0,N(Students!H124))</f>
        <v>0</v>
      </c>
      <c r="Q135" s="23"/>
      <c r="R135" s="26" t="n">
        <f aca="false">N(O135)+N(P135)-N(Q135)</f>
        <v>0</v>
      </c>
      <c r="S135" s="37" t="n">
        <f aca="false">'May 2027'!V135</f>
        <v>0</v>
      </c>
      <c r="T135" s="37" t="n">
        <f aca="false">IF(B135="",0,N(Students!I124))</f>
        <v>0</v>
      </c>
      <c r="U135" s="23"/>
      <c r="V135" s="26" t="n">
        <f aca="false">N(S135)+N(T135)-N(U135)</f>
        <v>0</v>
      </c>
      <c r="W135" s="37" t="n">
        <f aca="false">'May 2027'!Z135</f>
        <v>0</v>
      </c>
      <c r="X135" s="37" t="n">
        <f aca="false">IF(B135="",0,N(Students!J124))</f>
        <v>0</v>
      </c>
      <c r="Y135" s="23"/>
      <c r="Z135" s="26" t="n">
        <f aca="false">N(W135)+N(X135)-N(Y135)</f>
        <v>0</v>
      </c>
      <c r="AA135" s="37" t="n">
        <f aca="false">N(E135)+N(I135)+N(M135)+N(Q135)+N(U135)+N(Y135)</f>
        <v>0</v>
      </c>
      <c r="AB135" s="26" t="n">
        <f aca="false">F135+J135+N135+R135+V135+Z135</f>
        <v>0</v>
      </c>
      <c r="AC135" s="83" t="str">
        <f aca="false">IF(B135="","",IF(AB135&lt;=0,"Clear",IF(AA135&gt;0,"Partial","Due")))</f>
        <v/>
      </c>
    </row>
    <row r="136" customFormat="false" ht="15" hidden="false" customHeight="false" outlineLevel="0" collapsed="false">
      <c r="A136" s="21" t="n">
        <v>121</v>
      </c>
      <c r="B136" s="46" t="str">
        <f aca="false">IF(Students!B125="","",Students!B125)</f>
        <v/>
      </c>
      <c r="C136" s="33" t="n">
        <f aca="false">'May 2027'!F136</f>
        <v>0</v>
      </c>
      <c r="D136" s="33" t="n">
        <f aca="false">IF(B136="",0,N(Students!E125))</f>
        <v>0</v>
      </c>
      <c r="E136" s="23"/>
      <c r="F136" s="24" t="n">
        <f aca="false">N(C136)+N(D136)-N(E136)</f>
        <v>0</v>
      </c>
      <c r="G136" s="33" t="n">
        <f aca="false">'May 2027'!J136</f>
        <v>0</v>
      </c>
      <c r="H136" s="33" t="n">
        <f aca="false">IF(B136="",0,N(Students!F125))</f>
        <v>0</v>
      </c>
      <c r="I136" s="23"/>
      <c r="J136" s="24" t="n">
        <f aca="false">N(G136)+N(H136)-N(I136)</f>
        <v>0</v>
      </c>
      <c r="K136" s="33" t="n">
        <f aca="false">'May 2027'!N136</f>
        <v>0</v>
      </c>
      <c r="L136" s="33" t="n">
        <f aca="false">IF(B136="",0,N(Students!G125))</f>
        <v>0</v>
      </c>
      <c r="M136" s="23"/>
      <c r="N136" s="24" t="n">
        <f aca="false">N(K136)+N(L136)-N(M136)</f>
        <v>0</v>
      </c>
      <c r="O136" s="33" t="n">
        <f aca="false">'May 2027'!R136</f>
        <v>0</v>
      </c>
      <c r="P136" s="33" t="n">
        <f aca="false">IF(B136="",0,N(Students!H125))</f>
        <v>0</v>
      </c>
      <c r="Q136" s="23"/>
      <c r="R136" s="24" t="n">
        <f aca="false">N(O136)+N(P136)-N(Q136)</f>
        <v>0</v>
      </c>
      <c r="S136" s="33" t="n">
        <f aca="false">'May 2027'!V136</f>
        <v>0</v>
      </c>
      <c r="T136" s="33" t="n">
        <f aca="false">IF(B136="",0,N(Students!I125))</f>
        <v>0</v>
      </c>
      <c r="U136" s="23"/>
      <c r="V136" s="24" t="n">
        <f aca="false">N(S136)+N(T136)-N(U136)</f>
        <v>0</v>
      </c>
      <c r="W136" s="33" t="n">
        <f aca="false">'May 2027'!Z136</f>
        <v>0</v>
      </c>
      <c r="X136" s="33" t="n">
        <f aca="false">IF(B136="",0,N(Students!J125))</f>
        <v>0</v>
      </c>
      <c r="Y136" s="23"/>
      <c r="Z136" s="24" t="n">
        <f aca="false">N(W136)+N(X136)-N(Y136)</f>
        <v>0</v>
      </c>
      <c r="AA136" s="33" t="n">
        <f aca="false">N(E136)+N(I136)+N(M136)+N(Q136)+N(U136)+N(Y136)</f>
        <v>0</v>
      </c>
      <c r="AB136" s="24" t="n">
        <f aca="false">F136+J136+N136+R136+V136+Z136</f>
        <v>0</v>
      </c>
      <c r="AC136" s="81" t="str">
        <f aca="false">IF(B136="","",IF(AB136&lt;=0,"Clear",IF(AA136&gt;0,"Partial","Due")))</f>
        <v/>
      </c>
    </row>
    <row r="137" customFormat="false" ht="15" hidden="false" customHeight="false" outlineLevel="0" collapsed="false">
      <c r="A137" s="25" t="n">
        <v>122</v>
      </c>
      <c r="B137" s="82" t="str">
        <f aca="false">IF(Students!B126="","",Students!B126)</f>
        <v/>
      </c>
      <c r="C137" s="37" t="n">
        <f aca="false">'May 2027'!F137</f>
        <v>0</v>
      </c>
      <c r="D137" s="37" t="n">
        <f aca="false">IF(B137="",0,N(Students!E126))</f>
        <v>0</v>
      </c>
      <c r="E137" s="23"/>
      <c r="F137" s="26" t="n">
        <f aca="false">N(C137)+N(D137)-N(E137)</f>
        <v>0</v>
      </c>
      <c r="G137" s="37" t="n">
        <f aca="false">'May 2027'!J137</f>
        <v>0</v>
      </c>
      <c r="H137" s="37" t="n">
        <f aca="false">IF(B137="",0,N(Students!F126))</f>
        <v>0</v>
      </c>
      <c r="I137" s="23"/>
      <c r="J137" s="26" t="n">
        <f aca="false">N(G137)+N(H137)-N(I137)</f>
        <v>0</v>
      </c>
      <c r="K137" s="37" t="n">
        <f aca="false">'May 2027'!N137</f>
        <v>0</v>
      </c>
      <c r="L137" s="37" t="n">
        <f aca="false">IF(B137="",0,N(Students!G126))</f>
        <v>0</v>
      </c>
      <c r="M137" s="23"/>
      <c r="N137" s="26" t="n">
        <f aca="false">N(K137)+N(L137)-N(M137)</f>
        <v>0</v>
      </c>
      <c r="O137" s="37" t="n">
        <f aca="false">'May 2027'!R137</f>
        <v>0</v>
      </c>
      <c r="P137" s="37" t="n">
        <f aca="false">IF(B137="",0,N(Students!H126))</f>
        <v>0</v>
      </c>
      <c r="Q137" s="23"/>
      <c r="R137" s="26" t="n">
        <f aca="false">N(O137)+N(P137)-N(Q137)</f>
        <v>0</v>
      </c>
      <c r="S137" s="37" t="n">
        <f aca="false">'May 2027'!V137</f>
        <v>0</v>
      </c>
      <c r="T137" s="37" t="n">
        <f aca="false">IF(B137="",0,N(Students!I126))</f>
        <v>0</v>
      </c>
      <c r="U137" s="23"/>
      <c r="V137" s="26" t="n">
        <f aca="false">N(S137)+N(T137)-N(U137)</f>
        <v>0</v>
      </c>
      <c r="W137" s="37" t="n">
        <f aca="false">'May 2027'!Z137</f>
        <v>0</v>
      </c>
      <c r="X137" s="37" t="n">
        <f aca="false">IF(B137="",0,N(Students!J126))</f>
        <v>0</v>
      </c>
      <c r="Y137" s="23"/>
      <c r="Z137" s="26" t="n">
        <f aca="false">N(W137)+N(X137)-N(Y137)</f>
        <v>0</v>
      </c>
      <c r="AA137" s="37" t="n">
        <f aca="false">N(E137)+N(I137)+N(M137)+N(Q137)+N(U137)+N(Y137)</f>
        <v>0</v>
      </c>
      <c r="AB137" s="26" t="n">
        <f aca="false">F137+J137+N137+R137+V137+Z137</f>
        <v>0</v>
      </c>
      <c r="AC137" s="83" t="str">
        <f aca="false">IF(B137="","",IF(AB137&lt;=0,"Clear",IF(AA137&gt;0,"Partial","Due")))</f>
        <v/>
      </c>
    </row>
    <row r="138" customFormat="false" ht="15" hidden="false" customHeight="false" outlineLevel="0" collapsed="false">
      <c r="A138" s="21" t="n">
        <v>123</v>
      </c>
      <c r="B138" s="46" t="str">
        <f aca="false">IF(Students!B127="","",Students!B127)</f>
        <v/>
      </c>
      <c r="C138" s="33" t="n">
        <f aca="false">'May 2027'!F138</f>
        <v>0</v>
      </c>
      <c r="D138" s="33" t="n">
        <f aca="false">IF(B138="",0,N(Students!E127))</f>
        <v>0</v>
      </c>
      <c r="E138" s="23"/>
      <c r="F138" s="24" t="n">
        <f aca="false">N(C138)+N(D138)-N(E138)</f>
        <v>0</v>
      </c>
      <c r="G138" s="33" t="n">
        <f aca="false">'May 2027'!J138</f>
        <v>0</v>
      </c>
      <c r="H138" s="33" t="n">
        <f aca="false">IF(B138="",0,N(Students!F127))</f>
        <v>0</v>
      </c>
      <c r="I138" s="23"/>
      <c r="J138" s="24" t="n">
        <f aca="false">N(G138)+N(H138)-N(I138)</f>
        <v>0</v>
      </c>
      <c r="K138" s="33" t="n">
        <f aca="false">'May 2027'!N138</f>
        <v>0</v>
      </c>
      <c r="L138" s="33" t="n">
        <f aca="false">IF(B138="",0,N(Students!G127))</f>
        <v>0</v>
      </c>
      <c r="M138" s="23"/>
      <c r="N138" s="24" t="n">
        <f aca="false">N(K138)+N(L138)-N(M138)</f>
        <v>0</v>
      </c>
      <c r="O138" s="33" t="n">
        <f aca="false">'May 2027'!R138</f>
        <v>0</v>
      </c>
      <c r="P138" s="33" t="n">
        <f aca="false">IF(B138="",0,N(Students!H127))</f>
        <v>0</v>
      </c>
      <c r="Q138" s="23"/>
      <c r="R138" s="24" t="n">
        <f aca="false">N(O138)+N(P138)-N(Q138)</f>
        <v>0</v>
      </c>
      <c r="S138" s="33" t="n">
        <f aca="false">'May 2027'!V138</f>
        <v>0</v>
      </c>
      <c r="T138" s="33" t="n">
        <f aca="false">IF(B138="",0,N(Students!I127))</f>
        <v>0</v>
      </c>
      <c r="U138" s="23"/>
      <c r="V138" s="24" t="n">
        <f aca="false">N(S138)+N(T138)-N(U138)</f>
        <v>0</v>
      </c>
      <c r="W138" s="33" t="n">
        <f aca="false">'May 2027'!Z138</f>
        <v>0</v>
      </c>
      <c r="X138" s="33" t="n">
        <f aca="false">IF(B138="",0,N(Students!J127))</f>
        <v>0</v>
      </c>
      <c r="Y138" s="23"/>
      <c r="Z138" s="24" t="n">
        <f aca="false">N(W138)+N(X138)-N(Y138)</f>
        <v>0</v>
      </c>
      <c r="AA138" s="33" t="n">
        <f aca="false">N(E138)+N(I138)+N(M138)+N(Q138)+N(U138)+N(Y138)</f>
        <v>0</v>
      </c>
      <c r="AB138" s="24" t="n">
        <f aca="false">F138+J138+N138+R138+V138+Z138</f>
        <v>0</v>
      </c>
      <c r="AC138" s="81" t="str">
        <f aca="false">IF(B138="","",IF(AB138&lt;=0,"Clear",IF(AA138&gt;0,"Partial","Due")))</f>
        <v/>
      </c>
    </row>
    <row r="139" customFormat="false" ht="15" hidden="false" customHeight="false" outlineLevel="0" collapsed="false">
      <c r="A139" s="25" t="n">
        <v>124</v>
      </c>
      <c r="B139" s="82" t="str">
        <f aca="false">IF(Students!B128="","",Students!B128)</f>
        <v/>
      </c>
      <c r="C139" s="37" t="n">
        <f aca="false">'May 2027'!F139</f>
        <v>0</v>
      </c>
      <c r="D139" s="37" t="n">
        <f aca="false">IF(B139="",0,N(Students!E128))</f>
        <v>0</v>
      </c>
      <c r="E139" s="23"/>
      <c r="F139" s="26" t="n">
        <f aca="false">N(C139)+N(D139)-N(E139)</f>
        <v>0</v>
      </c>
      <c r="G139" s="37" t="n">
        <f aca="false">'May 2027'!J139</f>
        <v>0</v>
      </c>
      <c r="H139" s="37" t="n">
        <f aca="false">IF(B139="",0,N(Students!F128))</f>
        <v>0</v>
      </c>
      <c r="I139" s="23"/>
      <c r="J139" s="26" t="n">
        <f aca="false">N(G139)+N(H139)-N(I139)</f>
        <v>0</v>
      </c>
      <c r="K139" s="37" t="n">
        <f aca="false">'May 2027'!N139</f>
        <v>0</v>
      </c>
      <c r="L139" s="37" t="n">
        <f aca="false">IF(B139="",0,N(Students!G128))</f>
        <v>0</v>
      </c>
      <c r="M139" s="23"/>
      <c r="N139" s="26" t="n">
        <f aca="false">N(K139)+N(L139)-N(M139)</f>
        <v>0</v>
      </c>
      <c r="O139" s="37" t="n">
        <f aca="false">'May 2027'!R139</f>
        <v>0</v>
      </c>
      <c r="P139" s="37" t="n">
        <f aca="false">IF(B139="",0,N(Students!H128))</f>
        <v>0</v>
      </c>
      <c r="Q139" s="23"/>
      <c r="R139" s="26" t="n">
        <f aca="false">N(O139)+N(P139)-N(Q139)</f>
        <v>0</v>
      </c>
      <c r="S139" s="37" t="n">
        <f aca="false">'May 2027'!V139</f>
        <v>0</v>
      </c>
      <c r="T139" s="37" t="n">
        <f aca="false">IF(B139="",0,N(Students!I128))</f>
        <v>0</v>
      </c>
      <c r="U139" s="23"/>
      <c r="V139" s="26" t="n">
        <f aca="false">N(S139)+N(T139)-N(U139)</f>
        <v>0</v>
      </c>
      <c r="W139" s="37" t="n">
        <f aca="false">'May 2027'!Z139</f>
        <v>0</v>
      </c>
      <c r="X139" s="37" t="n">
        <f aca="false">IF(B139="",0,N(Students!J128))</f>
        <v>0</v>
      </c>
      <c r="Y139" s="23"/>
      <c r="Z139" s="26" t="n">
        <f aca="false">N(W139)+N(X139)-N(Y139)</f>
        <v>0</v>
      </c>
      <c r="AA139" s="37" t="n">
        <f aca="false">N(E139)+N(I139)+N(M139)+N(Q139)+N(U139)+N(Y139)</f>
        <v>0</v>
      </c>
      <c r="AB139" s="26" t="n">
        <f aca="false">F139+J139+N139+R139+V139+Z139</f>
        <v>0</v>
      </c>
      <c r="AC139" s="83" t="str">
        <f aca="false">IF(B139="","",IF(AB139&lt;=0,"Clear",IF(AA139&gt;0,"Partial","Due")))</f>
        <v/>
      </c>
    </row>
    <row r="140" customFormat="false" ht="15" hidden="false" customHeight="false" outlineLevel="0" collapsed="false">
      <c r="A140" s="21" t="n">
        <v>125</v>
      </c>
      <c r="B140" s="46" t="str">
        <f aca="false">IF(Students!B129="","",Students!B129)</f>
        <v/>
      </c>
      <c r="C140" s="33" t="n">
        <f aca="false">'May 2027'!F140</f>
        <v>0</v>
      </c>
      <c r="D140" s="33" t="n">
        <f aca="false">IF(B140="",0,N(Students!E129))</f>
        <v>0</v>
      </c>
      <c r="E140" s="23"/>
      <c r="F140" s="24" t="n">
        <f aca="false">N(C140)+N(D140)-N(E140)</f>
        <v>0</v>
      </c>
      <c r="G140" s="33" t="n">
        <f aca="false">'May 2027'!J140</f>
        <v>0</v>
      </c>
      <c r="H140" s="33" t="n">
        <f aca="false">IF(B140="",0,N(Students!F129))</f>
        <v>0</v>
      </c>
      <c r="I140" s="23"/>
      <c r="J140" s="24" t="n">
        <f aca="false">N(G140)+N(H140)-N(I140)</f>
        <v>0</v>
      </c>
      <c r="K140" s="33" t="n">
        <f aca="false">'May 2027'!N140</f>
        <v>0</v>
      </c>
      <c r="L140" s="33" t="n">
        <f aca="false">IF(B140="",0,N(Students!G129))</f>
        <v>0</v>
      </c>
      <c r="M140" s="23"/>
      <c r="N140" s="24" t="n">
        <f aca="false">N(K140)+N(L140)-N(M140)</f>
        <v>0</v>
      </c>
      <c r="O140" s="33" t="n">
        <f aca="false">'May 2027'!R140</f>
        <v>0</v>
      </c>
      <c r="P140" s="33" t="n">
        <f aca="false">IF(B140="",0,N(Students!H129))</f>
        <v>0</v>
      </c>
      <c r="Q140" s="23"/>
      <c r="R140" s="24" t="n">
        <f aca="false">N(O140)+N(P140)-N(Q140)</f>
        <v>0</v>
      </c>
      <c r="S140" s="33" t="n">
        <f aca="false">'May 2027'!V140</f>
        <v>0</v>
      </c>
      <c r="T140" s="33" t="n">
        <f aca="false">IF(B140="",0,N(Students!I129))</f>
        <v>0</v>
      </c>
      <c r="U140" s="23"/>
      <c r="V140" s="24" t="n">
        <f aca="false">N(S140)+N(T140)-N(U140)</f>
        <v>0</v>
      </c>
      <c r="W140" s="33" t="n">
        <f aca="false">'May 2027'!Z140</f>
        <v>0</v>
      </c>
      <c r="X140" s="33" t="n">
        <f aca="false">IF(B140="",0,N(Students!J129))</f>
        <v>0</v>
      </c>
      <c r="Y140" s="23"/>
      <c r="Z140" s="24" t="n">
        <f aca="false">N(W140)+N(X140)-N(Y140)</f>
        <v>0</v>
      </c>
      <c r="AA140" s="33" t="n">
        <f aca="false">N(E140)+N(I140)+N(M140)+N(Q140)+N(U140)+N(Y140)</f>
        <v>0</v>
      </c>
      <c r="AB140" s="24" t="n">
        <f aca="false">F140+J140+N140+R140+V140+Z140</f>
        <v>0</v>
      </c>
      <c r="AC140" s="81" t="str">
        <f aca="false">IF(B140="","",IF(AB140&lt;=0,"Clear",IF(AA140&gt;0,"Partial","Due")))</f>
        <v/>
      </c>
    </row>
    <row r="141" customFormat="false" ht="15" hidden="false" customHeight="false" outlineLevel="0" collapsed="false">
      <c r="A141" s="25" t="n">
        <v>126</v>
      </c>
      <c r="B141" s="82" t="str">
        <f aca="false">IF(Students!B130="","",Students!B130)</f>
        <v/>
      </c>
      <c r="C141" s="37" t="n">
        <f aca="false">'May 2027'!F141</f>
        <v>0</v>
      </c>
      <c r="D141" s="37" t="n">
        <f aca="false">IF(B141="",0,N(Students!E130))</f>
        <v>0</v>
      </c>
      <c r="E141" s="23"/>
      <c r="F141" s="26" t="n">
        <f aca="false">N(C141)+N(D141)-N(E141)</f>
        <v>0</v>
      </c>
      <c r="G141" s="37" t="n">
        <f aca="false">'May 2027'!J141</f>
        <v>0</v>
      </c>
      <c r="H141" s="37" t="n">
        <f aca="false">IF(B141="",0,N(Students!F130))</f>
        <v>0</v>
      </c>
      <c r="I141" s="23"/>
      <c r="J141" s="26" t="n">
        <f aca="false">N(G141)+N(H141)-N(I141)</f>
        <v>0</v>
      </c>
      <c r="K141" s="37" t="n">
        <f aca="false">'May 2027'!N141</f>
        <v>0</v>
      </c>
      <c r="L141" s="37" t="n">
        <f aca="false">IF(B141="",0,N(Students!G130))</f>
        <v>0</v>
      </c>
      <c r="M141" s="23"/>
      <c r="N141" s="26" t="n">
        <f aca="false">N(K141)+N(L141)-N(M141)</f>
        <v>0</v>
      </c>
      <c r="O141" s="37" t="n">
        <f aca="false">'May 2027'!R141</f>
        <v>0</v>
      </c>
      <c r="P141" s="37" t="n">
        <f aca="false">IF(B141="",0,N(Students!H130))</f>
        <v>0</v>
      </c>
      <c r="Q141" s="23"/>
      <c r="R141" s="26" t="n">
        <f aca="false">N(O141)+N(P141)-N(Q141)</f>
        <v>0</v>
      </c>
      <c r="S141" s="37" t="n">
        <f aca="false">'May 2027'!V141</f>
        <v>0</v>
      </c>
      <c r="T141" s="37" t="n">
        <f aca="false">IF(B141="",0,N(Students!I130))</f>
        <v>0</v>
      </c>
      <c r="U141" s="23"/>
      <c r="V141" s="26" t="n">
        <f aca="false">N(S141)+N(T141)-N(U141)</f>
        <v>0</v>
      </c>
      <c r="W141" s="37" t="n">
        <f aca="false">'May 2027'!Z141</f>
        <v>0</v>
      </c>
      <c r="X141" s="37" t="n">
        <f aca="false">IF(B141="",0,N(Students!J130))</f>
        <v>0</v>
      </c>
      <c r="Y141" s="23"/>
      <c r="Z141" s="26" t="n">
        <f aca="false">N(W141)+N(X141)-N(Y141)</f>
        <v>0</v>
      </c>
      <c r="AA141" s="37" t="n">
        <f aca="false">N(E141)+N(I141)+N(M141)+N(Q141)+N(U141)+N(Y141)</f>
        <v>0</v>
      </c>
      <c r="AB141" s="26" t="n">
        <f aca="false">F141+J141+N141+R141+V141+Z141</f>
        <v>0</v>
      </c>
      <c r="AC141" s="83" t="str">
        <f aca="false">IF(B141="","",IF(AB141&lt;=0,"Clear",IF(AA141&gt;0,"Partial","Due")))</f>
        <v/>
      </c>
    </row>
    <row r="142" customFormat="false" ht="15" hidden="false" customHeight="false" outlineLevel="0" collapsed="false">
      <c r="A142" s="21" t="n">
        <v>127</v>
      </c>
      <c r="B142" s="46" t="str">
        <f aca="false">IF(Students!B131="","",Students!B131)</f>
        <v/>
      </c>
      <c r="C142" s="33" t="n">
        <f aca="false">'May 2027'!F142</f>
        <v>0</v>
      </c>
      <c r="D142" s="33" t="n">
        <f aca="false">IF(B142="",0,N(Students!E131))</f>
        <v>0</v>
      </c>
      <c r="E142" s="23"/>
      <c r="F142" s="24" t="n">
        <f aca="false">N(C142)+N(D142)-N(E142)</f>
        <v>0</v>
      </c>
      <c r="G142" s="33" t="n">
        <f aca="false">'May 2027'!J142</f>
        <v>0</v>
      </c>
      <c r="H142" s="33" t="n">
        <f aca="false">IF(B142="",0,N(Students!F131))</f>
        <v>0</v>
      </c>
      <c r="I142" s="23"/>
      <c r="J142" s="24" t="n">
        <f aca="false">N(G142)+N(H142)-N(I142)</f>
        <v>0</v>
      </c>
      <c r="K142" s="33" t="n">
        <f aca="false">'May 2027'!N142</f>
        <v>0</v>
      </c>
      <c r="L142" s="33" t="n">
        <f aca="false">IF(B142="",0,N(Students!G131))</f>
        <v>0</v>
      </c>
      <c r="M142" s="23"/>
      <c r="N142" s="24" t="n">
        <f aca="false">N(K142)+N(L142)-N(M142)</f>
        <v>0</v>
      </c>
      <c r="O142" s="33" t="n">
        <f aca="false">'May 2027'!R142</f>
        <v>0</v>
      </c>
      <c r="P142" s="33" t="n">
        <f aca="false">IF(B142="",0,N(Students!H131))</f>
        <v>0</v>
      </c>
      <c r="Q142" s="23"/>
      <c r="R142" s="24" t="n">
        <f aca="false">N(O142)+N(P142)-N(Q142)</f>
        <v>0</v>
      </c>
      <c r="S142" s="33" t="n">
        <f aca="false">'May 2027'!V142</f>
        <v>0</v>
      </c>
      <c r="T142" s="33" t="n">
        <f aca="false">IF(B142="",0,N(Students!I131))</f>
        <v>0</v>
      </c>
      <c r="U142" s="23"/>
      <c r="V142" s="24" t="n">
        <f aca="false">N(S142)+N(T142)-N(U142)</f>
        <v>0</v>
      </c>
      <c r="W142" s="33" t="n">
        <f aca="false">'May 2027'!Z142</f>
        <v>0</v>
      </c>
      <c r="X142" s="33" t="n">
        <f aca="false">IF(B142="",0,N(Students!J131))</f>
        <v>0</v>
      </c>
      <c r="Y142" s="23"/>
      <c r="Z142" s="24" t="n">
        <f aca="false">N(W142)+N(X142)-N(Y142)</f>
        <v>0</v>
      </c>
      <c r="AA142" s="33" t="n">
        <f aca="false">N(E142)+N(I142)+N(M142)+N(Q142)+N(U142)+N(Y142)</f>
        <v>0</v>
      </c>
      <c r="AB142" s="24" t="n">
        <f aca="false">F142+J142+N142+R142+V142+Z142</f>
        <v>0</v>
      </c>
      <c r="AC142" s="81" t="str">
        <f aca="false">IF(B142="","",IF(AB142&lt;=0,"Clear",IF(AA142&gt;0,"Partial","Due")))</f>
        <v/>
      </c>
    </row>
    <row r="143" customFormat="false" ht="15" hidden="false" customHeight="false" outlineLevel="0" collapsed="false">
      <c r="A143" s="25" t="n">
        <v>128</v>
      </c>
      <c r="B143" s="82" t="str">
        <f aca="false">IF(Students!B132="","",Students!B132)</f>
        <v/>
      </c>
      <c r="C143" s="37" t="n">
        <f aca="false">'May 2027'!F143</f>
        <v>0</v>
      </c>
      <c r="D143" s="37" t="n">
        <f aca="false">IF(B143="",0,N(Students!E132))</f>
        <v>0</v>
      </c>
      <c r="E143" s="23"/>
      <c r="F143" s="26" t="n">
        <f aca="false">N(C143)+N(D143)-N(E143)</f>
        <v>0</v>
      </c>
      <c r="G143" s="37" t="n">
        <f aca="false">'May 2027'!J143</f>
        <v>0</v>
      </c>
      <c r="H143" s="37" t="n">
        <f aca="false">IF(B143="",0,N(Students!F132))</f>
        <v>0</v>
      </c>
      <c r="I143" s="23"/>
      <c r="J143" s="26" t="n">
        <f aca="false">N(G143)+N(H143)-N(I143)</f>
        <v>0</v>
      </c>
      <c r="K143" s="37" t="n">
        <f aca="false">'May 2027'!N143</f>
        <v>0</v>
      </c>
      <c r="L143" s="37" t="n">
        <f aca="false">IF(B143="",0,N(Students!G132))</f>
        <v>0</v>
      </c>
      <c r="M143" s="23"/>
      <c r="N143" s="26" t="n">
        <f aca="false">N(K143)+N(L143)-N(M143)</f>
        <v>0</v>
      </c>
      <c r="O143" s="37" t="n">
        <f aca="false">'May 2027'!R143</f>
        <v>0</v>
      </c>
      <c r="P143" s="37" t="n">
        <f aca="false">IF(B143="",0,N(Students!H132))</f>
        <v>0</v>
      </c>
      <c r="Q143" s="23"/>
      <c r="R143" s="26" t="n">
        <f aca="false">N(O143)+N(P143)-N(Q143)</f>
        <v>0</v>
      </c>
      <c r="S143" s="37" t="n">
        <f aca="false">'May 2027'!V143</f>
        <v>0</v>
      </c>
      <c r="T143" s="37" t="n">
        <f aca="false">IF(B143="",0,N(Students!I132))</f>
        <v>0</v>
      </c>
      <c r="U143" s="23"/>
      <c r="V143" s="26" t="n">
        <f aca="false">N(S143)+N(T143)-N(U143)</f>
        <v>0</v>
      </c>
      <c r="W143" s="37" t="n">
        <f aca="false">'May 2027'!Z143</f>
        <v>0</v>
      </c>
      <c r="X143" s="37" t="n">
        <f aca="false">IF(B143="",0,N(Students!J132))</f>
        <v>0</v>
      </c>
      <c r="Y143" s="23"/>
      <c r="Z143" s="26" t="n">
        <f aca="false">N(W143)+N(X143)-N(Y143)</f>
        <v>0</v>
      </c>
      <c r="AA143" s="37" t="n">
        <f aca="false">N(E143)+N(I143)+N(M143)+N(Q143)+N(U143)+N(Y143)</f>
        <v>0</v>
      </c>
      <c r="AB143" s="26" t="n">
        <f aca="false">F143+J143+N143+R143+V143+Z143</f>
        <v>0</v>
      </c>
      <c r="AC143" s="83" t="str">
        <f aca="false">IF(B143="","",IF(AB143&lt;=0,"Clear",IF(AA143&gt;0,"Partial","Due")))</f>
        <v/>
      </c>
    </row>
    <row r="144" customFormat="false" ht="15" hidden="false" customHeight="false" outlineLevel="0" collapsed="false">
      <c r="A144" s="21" t="n">
        <v>129</v>
      </c>
      <c r="B144" s="46" t="str">
        <f aca="false">IF(Students!B133="","",Students!B133)</f>
        <v/>
      </c>
      <c r="C144" s="33" t="n">
        <f aca="false">'May 2027'!F144</f>
        <v>0</v>
      </c>
      <c r="D144" s="33" t="n">
        <f aca="false">IF(B144="",0,N(Students!E133))</f>
        <v>0</v>
      </c>
      <c r="E144" s="23"/>
      <c r="F144" s="24" t="n">
        <f aca="false">N(C144)+N(D144)-N(E144)</f>
        <v>0</v>
      </c>
      <c r="G144" s="33" t="n">
        <f aca="false">'May 2027'!J144</f>
        <v>0</v>
      </c>
      <c r="H144" s="33" t="n">
        <f aca="false">IF(B144="",0,N(Students!F133))</f>
        <v>0</v>
      </c>
      <c r="I144" s="23"/>
      <c r="J144" s="24" t="n">
        <f aca="false">N(G144)+N(H144)-N(I144)</f>
        <v>0</v>
      </c>
      <c r="K144" s="33" t="n">
        <f aca="false">'May 2027'!N144</f>
        <v>0</v>
      </c>
      <c r="L144" s="33" t="n">
        <f aca="false">IF(B144="",0,N(Students!G133))</f>
        <v>0</v>
      </c>
      <c r="M144" s="23"/>
      <c r="N144" s="24" t="n">
        <f aca="false">N(K144)+N(L144)-N(M144)</f>
        <v>0</v>
      </c>
      <c r="O144" s="33" t="n">
        <f aca="false">'May 2027'!R144</f>
        <v>0</v>
      </c>
      <c r="P144" s="33" t="n">
        <f aca="false">IF(B144="",0,N(Students!H133))</f>
        <v>0</v>
      </c>
      <c r="Q144" s="23"/>
      <c r="R144" s="24" t="n">
        <f aca="false">N(O144)+N(P144)-N(Q144)</f>
        <v>0</v>
      </c>
      <c r="S144" s="33" t="n">
        <f aca="false">'May 2027'!V144</f>
        <v>0</v>
      </c>
      <c r="T144" s="33" t="n">
        <f aca="false">IF(B144="",0,N(Students!I133))</f>
        <v>0</v>
      </c>
      <c r="U144" s="23"/>
      <c r="V144" s="24" t="n">
        <f aca="false">N(S144)+N(T144)-N(U144)</f>
        <v>0</v>
      </c>
      <c r="W144" s="33" t="n">
        <f aca="false">'May 2027'!Z144</f>
        <v>0</v>
      </c>
      <c r="X144" s="33" t="n">
        <f aca="false">IF(B144="",0,N(Students!J133))</f>
        <v>0</v>
      </c>
      <c r="Y144" s="23"/>
      <c r="Z144" s="24" t="n">
        <f aca="false">N(W144)+N(X144)-N(Y144)</f>
        <v>0</v>
      </c>
      <c r="AA144" s="33" t="n">
        <f aca="false">N(E144)+N(I144)+N(M144)+N(Q144)+N(U144)+N(Y144)</f>
        <v>0</v>
      </c>
      <c r="AB144" s="24" t="n">
        <f aca="false">F144+J144+N144+R144+V144+Z144</f>
        <v>0</v>
      </c>
      <c r="AC144" s="81" t="str">
        <f aca="false">IF(B144="","",IF(AB144&lt;=0,"Clear",IF(AA144&gt;0,"Partial","Due")))</f>
        <v/>
      </c>
    </row>
    <row r="145" customFormat="false" ht="15" hidden="false" customHeight="false" outlineLevel="0" collapsed="false">
      <c r="A145" s="25" t="n">
        <v>130</v>
      </c>
      <c r="B145" s="82" t="str">
        <f aca="false">IF(Students!B134="","",Students!B134)</f>
        <v/>
      </c>
      <c r="C145" s="37" t="n">
        <f aca="false">'May 2027'!F145</f>
        <v>0</v>
      </c>
      <c r="D145" s="37" t="n">
        <f aca="false">IF(B145="",0,N(Students!E134))</f>
        <v>0</v>
      </c>
      <c r="E145" s="23"/>
      <c r="F145" s="26" t="n">
        <f aca="false">N(C145)+N(D145)-N(E145)</f>
        <v>0</v>
      </c>
      <c r="G145" s="37" t="n">
        <f aca="false">'May 2027'!J145</f>
        <v>0</v>
      </c>
      <c r="H145" s="37" t="n">
        <f aca="false">IF(B145="",0,N(Students!F134))</f>
        <v>0</v>
      </c>
      <c r="I145" s="23"/>
      <c r="J145" s="26" t="n">
        <f aca="false">N(G145)+N(H145)-N(I145)</f>
        <v>0</v>
      </c>
      <c r="K145" s="37" t="n">
        <f aca="false">'May 2027'!N145</f>
        <v>0</v>
      </c>
      <c r="L145" s="37" t="n">
        <f aca="false">IF(B145="",0,N(Students!G134))</f>
        <v>0</v>
      </c>
      <c r="M145" s="23"/>
      <c r="N145" s="26" t="n">
        <f aca="false">N(K145)+N(L145)-N(M145)</f>
        <v>0</v>
      </c>
      <c r="O145" s="37" t="n">
        <f aca="false">'May 2027'!R145</f>
        <v>0</v>
      </c>
      <c r="P145" s="37" t="n">
        <f aca="false">IF(B145="",0,N(Students!H134))</f>
        <v>0</v>
      </c>
      <c r="Q145" s="23"/>
      <c r="R145" s="26" t="n">
        <f aca="false">N(O145)+N(P145)-N(Q145)</f>
        <v>0</v>
      </c>
      <c r="S145" s="37" t="n">
        <f aca="false">'May 2027'!V145</f>
        <v>0</v>
      </c>
      <c r="T145" s="37" t="n">
        <f aca="false">IF(B145="",0,N(Students!I134))</f>
        <v>0</v>
      </c>
      <c r="U145" s="23"/>
      <c r="V145" s="26" t="n">
        <f aca="false">N(S145)+N(T145)-N(U145)</f>
        <v>0</v>
      </c>
      <c r="W145" s="37" t="n">
        <f aca="false">'May 2027'!Z145</f>
        <v>0</v>
      </c>
      <c r="X145" s="37" t="n">
        <f aca="false">IF(B145="",0,N(Students!J134))</f>
        <v>0</v>
      </c>
      <c r="Y145" s="23"/>
      <c r="Z145" s="26" t="n">
        <f aca="false">N(W145)+N(X145)-N(Y145)</f>
        <v>0</v>
      </c>
      <c r="AA145" s="37" t="n">
        <f aca="false">N(E145)+N(I145)+N(M145)+N(Q145)+N(U145)+N(Y145)</f>
        <v>0</v>
      </c>
      <c r="AB145" s="26" t="n">
        <f aca="false">F145+J145+N145+R145+V145+Z145</f>
        <v>0</v>
      </c>
      <c r="AC145" s="83" t="str">
        <f aca="false">IF(B145="","",IF(AB145&lt;=0,"Clear",IF(AA145&gt;0,"Partial","Due")))</f>
        <v/>
      </c>
    </row>
    <row r="146" customFormat="false" ht="15" hidden="false" customHeight="false" outlineLevel="0" collapsed="false">
      <c r="A146" s="21" t="n">
        <v>131</v>
      </c>
      <c r="B146" s="46" t="str">
        <f aca="false">IF(Students!B135="","",Students!B135)</f>
        <v/>
      </c>
      <c r="C146" s="33" t="n">
        <f aca="false">'May 2027'!F146</f>
        <v>0</v>
      </c>
      <c r="D146" s="33" t="n">
        <f aca="false">IF(B146="",0,N(Students!E135))</f>
        <v>0</v>
      </c>
      <c r="E146" s="23"/>
      <c r="F146" s="24" t="n">
        <f aca="false">N(C146)+N(D146)-N(E146)</f>
        <v>0</v>
      </c>
      <c r="G146" s="33" t="n">
        <f aca="false">'May 2027'!J146</f>
        <v>0</v>
      </c>
      <c r="H146" s="33" t="n">
        <f aca="false">IF(B146="",0,N(Students!F135))</f>
        <v>0</v>
      </c>
      <c r="I146" s="23"/>
      <c r="J146" s="24" t="n">
        <f aca="false">N(G146)+N(H146)-N(I146)</f>
        <v>0</v>
      </c>
      <c r="K146" s="33" t="n">
        <f aca="false">'May 2027'!N146</f>
        <v>0</v>
      </c>
      <c r="L146" s="33" t="n">
        <f aca="false">IF(B146="",0,N(Students!G135))</f>
        <v>0</v>
      </c>
      <c r="M146" s="23"/>
      <c r="N146" s="24" t="n">
        <f aca="false">N(K146)+N(L146)-N(M146)</f>
        <v>0</v>
      </c>
      <c r="O146" s="33" t="n">
        <f aca="false">'May 2027'!R146</f>
        <v>0</v>
      </c>
      <c r="P146" s="33" t="n">
        <f aca="false">IF(B146="",0,N(Students!H135))</f>
        <v>0</v>
      </c>
      <c r="Q146" s="23"/>
      <c r="R146" s="24" t="n">
        <f aca="false">N(O146)+N(P146)-N(Q146)</f>
        <v>0</v>
      </c>
      <c r="S146" s="33" t="n">
        <f aca="false">'May 2027'!V146</f>
        <v>0</v>
      </c>
      <c r="T146" s="33" t="n">
        <f aca="false">IF(B146="",0,N(Students!I135))</f>
        <v>0</v>
      </c>
      <c r="U146" s="23"/>
      <c r="V146" s="24" t="n">
        <f aca="false">N(S146)+N(T146)-N(U146)</f>
        <v>0</v>
      </c>
      <c r="W146" s="33" t="n">
        <f aca="false">'May 2027'!Z146</f>
        <v>0</v>
      </c>
      <c r="X146" s="33" t="n">
        <f aca="false">IF(B146="",0,N(Students!J135))</f>
        <v>0</v>
      </c>
      <c r="Y146" s="23"/>
      <c r="Z146" s="24" t="n">
        <f aca="false">N(W146)+N(X146)-N(Y146)</f>
        <v>0</v>
      </c>
      <c r="AA146" s="33" t="n">
        <f aca="false">N(E146)+N(I146)+N(M146)+N(Q146)+N(U146)+N(Y146)</f>
        <v>0</v>
      </c>
      <c r="AB146" s="24" t="n">
        <f aca="false">F146+J146+N146+R146+V146+Z146</f>
        <v>0</v>
      </c>
      <c r="AC146" s="81" t="str">
        <f aca="false">IF(B146="","",IF(AB146&lt;=0,"Clear",IF(AA146&gt;0,"Partial","Due")))</f>
        <v/>
      </c>
    </row>
    <row r="147" customFormat="false" ht="15" hidden="false" customHeight="false" outlineLevel="0" collapsed="false">
      <c r="A147" s="25" t="n">
        <v>132</v>
      </c>
      <c r="B147" s="82" t="str">
        <f aca="false">IF(Students!B136="","",Students!B136)</f>
        <v/>
      </c>
      <c r="C147" s="37" t="n">
        <f aca="false">'May 2027'!F147</f>
        <v>0</v>
      </c>
      <c r="D147" s="37" t="n">
        <f aca="false">IF(B147="",0,N(Students!E136))</f>
        <v>0</v>
      </c>
      <c r="E147" s="23"/>
      <c r="F147" s="26" t="n">
        <f aca="false">N(C147)+N(D147)-N(E147)</f>
        <v>0</v>
      </c>
      <c r="G147" s="37" t="n">
        <f aca="false">'May 2027'!J147</f>
        <v>0</v>
      </c>
      <c r="H147" s="37" t="n">
        <f aca="false">IF(B147="",0,N(Students!F136))</f>
        <v>0</v>
      </c>
      <c r="I147" s="23"/>
      <c r="J147" s="26" t="n">
        <f aca="false">N(G147)+N(H147)-N(I147)</f>
        <v>0</v>
      </c>
      <c r="K147" s="37" t="n">
        <f aca="false">'May 2027'!N147</f>
        <v>0</v>
      </c>
      <c r="L147" s="37" t="n">
        <f aca="false">IF(B147="",0,N(Students!G136))</f>
        <v>0</v>
      </c>
      <c r="M147" s="23"/>
      <c r="N147" s="26" t="n">
        <f aca="false">N(K147)+N(L147)-N(M147)</f>
        <v>0</v>
      </c>
      <c r="O147" s="37" t="n">
        <f aca="false">'May 2027'!R147</f>
        <v>0</v>
      </c>
      <c r="P147" s="37" t="n">
        <f aca="false">IF(B147="",0,N(Students!H136))</f>
        <v>0</v>
      </c>
      <c r="Q147" s="23"/>
      <c r="R147" s="26" t="n">
        <f aca="false">N(O147)+N(P147)-N(Q147)</f>
        <v>0</v>
      </c>
      <c r="S147" s="37" t="n">
        <f aca="false">'May 2027'!V147</f>
        <v>0</v>
      </c>
      <c r="T147" s="37" t="n">
        <f aca="false">IF(B147="",0,N(Students!I136))</f>
        <v>0</v>
      </c>
      <c r="U147" s="23"/>
      <c r="V147" s="26" t="n">
        <f aca="false">N(S147)+N(T147)-N(U147)</f>
        <v>0</v>
      </c>
      <c r="W147" s="37" t="n">
        <f aca="false">'May 2027'!Z147</f>
        <v>0</v>
      </c>
      <c r="X147" s="37" t="n">
        <f aca="false">IF(B147="",0,N(Students!J136))</f>
        <v>0</v>
      </c>
      <c r="Y147" s="23"/>
      <c r="Z147" s="26" t="n">
        <f aca="false">N(W147)+N(X147)-N(Y147)</f>
        <v>0</v>
      </c>
      <c r="AA147" s="37" t="n">
        <f aca="false">N(E147)+N(I147)+N(M147)+N(Q147)+N(U147)+N(Y147)</f>
        <v>0</v>
      </c>
      <c r="AB147" s="26" t="n">
        <f aca="false">F147+J147+N147+R147+V147+Z147</f>
        <v>0</v>
      </c>
      <c r="AC147" s="83" t="str">
        <f aca="false">IF(B147="","",IF(AB147&lt;=0,"Clear",IF(AA147&gt;0,"Partial","Due")))</f>
        <v/>
      </c>
    </row>
    <row r="148" customFormat="false" ht="15" hidden="false" customHeight="false" outlineLevel="0" collapsed="false">
      <c r="A148" s="21" t="n">
        <v>133</v>
      </c>
      <c r="B148" s="46" t="str">
        <f aca="false">IF(Students!B137="","",Students!B137)</f>
        <v/>
      </c>
      <c r="C148" s="33" t="n">
        <f aca="false">'May 2027'!F148</f>
        <v>0</v>
      </c>
      <c r="D148" s="33" t="n">
        <f aca="false">IF(B148="",0,N(Students!E137))</f>
        <v>0</v>
      </c>
      <c r="E148" s="23"/>
      <c r="F148" s="24" t="n">
        <f aca="false">N(C148)+N(D148)-N(E148)</f>
        <v>0</v>
      </c>
      <c r="G148" s="33" t="n">
        <f aca="false">'May 2027'!J148</f>
        <v>0</v>
      </c>
      <c r="H148" s="33" t="n">
        <f aca="false">IF(B148="",0,N(Students!F137))</f>
        <v>0</v>
      </c>
      <c r="I148" s="23"/>
      <c r="J148" s="24" t="n">
        <f aca="false">N(G148)+N(H148)-N(I148)</f>
        <v>0</v>
      </c>
      <c r="K148" s="33" t="n">
        <f aca="false">'May 2027'!N148</f>
        <v>0</v>
      </c>
      <c r="L148" s="33" t="n">
        <f aca="false">IF(B148="",0,N(Students!G137))</f>
        <v>0</v>
      </c>
      <c r="M148" s="23"/>
      <c r="N148" s="24" t="n">
        <f aca="false">N(K148)+N(L148)-N(M148)</f>
        <v>0</v>
      </c>
      <c r="O148" s="33" t="n">
        <f aca="false">'May 2027'!R148</f>
        <v>0</v>
      </c>
      <c r="P148" s="33" t="n">
        <f aca="false">IF(B148="",0,N(Students!H137))</f>
        <v>0</v>
      </c>
      <c r="Q148" s="23"/>
      <c r="R148" s="24" t="n">
        <f aca="false">N(O148)+N(P148)-N(Q148)</f>
        <v>0</v>
      </c>
      <c r="S148" s="33" t="n">
        <f aca="false">'May 2027'!V148</f>
        <v>0</v>
      </c>
      <c r="T148" s="33" t="n">
        <f aca="false">IF(B148="",0,N(Students!I137))</f>
        <v>0</v>
      </c>
      <c r="U148" s="23"/>
      <c r="V148" s="24" t="n">
        <f aca="false">N(S148)+N(T148)-N(U148)</f>
        <v>0</v>
      </c>
      <c r="W148" s="33" t="n">
        <f aca="false">'May 2027'!Z148</f>
        <v>0</v>
      </c>
      <c r="X148" s="33" t="n">
        <f aca="false">IF(B148="",0,N(Students!J137))</f>
        <v>0</v>
      </c>
      <c r="Y148" s="23"/>
      <c r="Z148" s="24" t="n">
        <f aca="false">N(W148)+N(X148)-N(Y148)</f>
        <v>0</v>
      </c>
      <c r="AA148" s="33" t="n">
        <f aca="false">N(E148)+N(I148)+N(M148)+N(Q148)+N(U148)+N(Y148)</f>
        <v>0</v>
      </c>
      <c r="AB148" s="24" t="n">
        <f aca="false">F148+J148+N148+R148+V148+Z148</f>
        <v>0</v>
      </c>
      <c r="AC148" s="81" t="str">
        <f aca="false">IF(B148="","",IF(AB148&lt;=0,"Clear",IF(AA148&gt;0,"Partial","Due")))</f>
        <v/>
      </c>
    </row>
    <row r="149" customFormat="false" ht="15" hidden="false" customHeight="false" outlineLevel="0" collapsed="false">
      <c r="A149" s="25" t="n">
        <v>134</v>
      </c>
      <c r="B149" s="82" t="str">
        <f aca="false">IF(Students!B138="","",Students!B138)</f>
        <v/>
      </c>
      <c r="C149" s="37" t="n">
        <f aca="false">'May 2027'!F149</f>
        <v>0</v>
      </c>
      <c r="D149" s="37" t="n">
        <f aca="false">IF(B149="",0,N(Students!E138))</f>
        <v>0</v>
      </c>
      <c r="E149" s="23"/>
      <c r="F149" s="26" t="n">
        <f aca="false">N(C149)+N(D149)-N(E149)</f>
        <v>0</v>
      </c>
      <c r="G149" s="37" t="n">
        <f aca="false">'May 2027'!J149</f>
        <v>0</v>
      </c>
      <c r="H149" s="37" t="n">
        <f aca="false">IF(B149="",0,N(Students!F138))</f>
        <v>0</v>
      </c>
      <c r="I149" s="23"/>
      <c r="J149" s="26" t="n">
        <f aca="false">N(G149)+N(H149)-N(I149)</f>
        <v>0</v>
      </c>
      <c r="K149" s="37" t="n">
        <f aca="false">'May 2027'!N149</f>
        <v>0</v>
      </c>
      <c r="L149" s="37" t="n">
        <f aca="false">IF(B149="",0,N(Students!G138))</f>
        <v>0</v>
      </c>
      <c r="M149" s="23"/>
      <c r="N149" s="26" t="n">
        <f aca="false">N(K149)+N(L149)-N(M149)</f>
        <v>0</v>
      </c>
      <c r="O149" s="37" t="n">
        <f aca="false">'May 2027'!R149</f>
        <v>0</v>
      </c>
      <c r="P149" s="37" t="n">
        <f aca="false">IF(B149="",0,N(Students!H138))</f>
        <v>0</v>
      </c>
      <c r="Q149" s="23"/>
      <c r="R149" s="26" t="n">
        <f aca="false">N(O149)+N(P149)-N(Q149)</f>
        <v>0</v>
      </c>
      <c r="S149" s="37" t="n">
        <f aca="false">'May 2027'!V149</f>
        <v>0</v>
      </c>
      <c r="T149" s="37" t="n">
        <f aca="false">IF(B149="",0,N(Students!I138))</f>
        <v>0</v>
      </c>
      <c r="U149" s="23"/>
      <c r="V149" s="26" t="n">
        <f aca="false">N(S149)+N(T149)-N(U149)</f>
        <v>0</v>
      </c>
      <c r="W149" s="37" t="n">
        <f aca="false">'May 2027'!Z149</f>
        <v>0</v>
      </c>
      <c r="X149" s="37" t="n">
        <f aca="false">IF(B149="",0,N(Students!J138))</f>
        <v>0</v>
      </c>
      <c r="Y149" s="23"/>
      <c r="Z149" s="26" t="n">
        <f aca="false">N(W149)+N(X149)-N(Y149)</f>
        <v>0</v>
      </c>
      <c r="AA149" s="37" t="n">
        <f aca="false">N(E149)+N(I149)+N(M149)+N(Q149)+N(U149)+N(Y149)</f>
        <v>0</v>
      </c>
      <c r="AB149" s="26" t="n">
        <f aca="false">F149+J149+N149+R149+V149+Z149</f>
        <v>0</v>
      </c>
      <c r="AC149" s="83" t="str">
        <f aca="false">IF(B149="","",IF(AB149&lt;=0,"Clear",IF(AA149&gt;0,"Partial","Due")))</f>
        <v/>
      </c>
    </row>
    <row r="150" customFormat="false" ht="15" hidden="false" customHeight="false" outlineLevel="0" collapsed="false">
      <c r="A150" s="21" t="n">
        <v>135</v>
      </c>
      <c r="B150" s="46" t="str">
        <f aca="false">IF(Students!B139="","",Students!B139)</f>
        <v/>
      </c>
      <c r="C150" s="33" t="n">
        <f aca="false">'May 2027'!F150</f>
        <v>0</v>
      </c>
      <c r="D150" s="33" t="n">
        <f aca="false">IF(B150="",0,N(Students!E139))</f>
        <v>0</v>
      </c>
      <c r="E150" s="23"/>
      <c r="F150" s="24" t="n">
        <f aca="false">N(C150)+N(D150)-N(E150)</f>
        <v>0</v>
      </c>
      <c r="G150" s="33" t="n">
        <f aca="false">'May 2027'!J150</f>
        <v>0</v>
      </c>
      <c r="H150" s="33" t="n">
        <f aca="false">IF(B150="",0,N(Students!F139))</f>
        <v>0</v>
      </c>
      <c r="I150" s="23"/>
      <c r="J150" s="24" t="n">
        <f aca="false">N(G150)+N(H150)-N(I150)</f>
        <v>0</v>
      </c>
      <c r="K150" s="33" t="n">
        <f aca="false">'May 2027'!N150</f>
        <v>0</v>
      </c>
      <c r="L150" s="33" t="n">
        <f aca="false">IF(B150="",0,N(Students!G139))</f>
        <v>0</v>
      </c>
      <c r="M150" s="23"/>
      <c r="N150" s="24" t="n">
        <f aca="false">N(K150)+N(L150)-N(M150)</f>
        <v>0</v>
      </c>
      <c r="O150" s="33" t="n">
        <f aca="false">'May 2027'!R150</f>
        <v>0</v>
      </c>
      <c r="P150" s="33" t="n">
        <f aca="false">IF(B150="",0,N(Students!H139))</f>
        <v>0</v>
      </c>
      <c r="Q150" s="23"/>
      <c r="R150" s="24" t="n">
        <f aca="false">N(O150)+N(P150)-N(Q150)</f>
        <v>0</v>
      </c>
      <c r="S150" s="33" t="n">
        <f aca="false">'May 2027'!V150</f>
        <v>0</v>
      </c>
      <c r="T150" s="33" t="n">
        <f aca="false">IF(B150="",0,N(Students!I139))</f>
        <v>0</v>
      </c>
      <c r="U150" s="23"/>
      <c r="V150" s="24" t="n">
        <f aca="false">N(S150)+N(T150)-N(U150)</f>
        <v>0</v>
      </c>
      <c r="W150" s="33" t="n">
        <f aca="false">'May 2027'!Z150</f>
        <v>0</v>
      </c>
      <c r="X150" s="33" t="n">
        <f aca="false">IF(B150="",0,N(Students!J139))</f>
        <v>0</v>
      </c>
      <c r="Y150" s="23"/>
      <c r="Z150" s="24" t="n">
        <f aca="false">N(W150)+N(X150)-N(Y150)</f>
        <v>0</v>
      </c>
      <c r="AA150" s="33" t="n">
        <f aca="false">N(E150)+N(I150)+N(M150)+N(Q150)+N(U150)+N(Y150)</f>
        <v>0</v>
      </c>
      <c r="AB150" s="24" t="n">
        <f aca="false">F150+J150+N150+R150+V150+Z150</f>
        <v>0</v>
      </c>
      <c r="AC150" s="81" t="str">
        <f aca="false">IF(B150="","",IF(AB150&lt;=0,"Clear",IF(AA150&gt;0,"Partial","Due")))</f>
        <v/>
      </c>
    </row>
    <row r="151" customFormat="false" ht="15" hidden="false" customHeight="false" outlineLevel="0" collapsed="false">
      <c r="A151" s="25" t="n">
        <v>136</v>
      </c>
      <c r="B151" s="82" t="str">
        <f aca="false">IF(Students!B140="","",Students!B140)</f>
        <v/>
      </c>
      <c r="C151" s="37" t="n">
        <f aca="false">'May 2027'!F151</f>
        <v>0</v>
      </c>
      <c r="D151" s="37" t="n">
        <f aca="false">IF(B151="",0,N(Students!E140))</f>
        <v>0</v>
      </c>
      <c r="E151" s="23"/>
      <c r="F151" s="26" t="n">
        <f aca="false">N(C151)+N(D151)-N(E151)</f>
        <v>0</v>
      </c>
      <c r="G151" s="37" t="n">
        <f aca="false">'May 2027'!J151</f>
        <v>0</v>
      </c>
      <c r="H151" s="37" t="n">
        <f aca="false">IF(B151="",0,N(Students!F140))</f>
        <v>0</v>
      </c>
      <c r="I151" s="23"/>
      <c r="J151" s="26" t="n">
        <f aca="false">N(G151)+N(H151)-N(I151)</f>
        <v>0</v>
      </c>
      <c r="K151" s="37" t="n">
        <f aca="false">'May 2027'!N151</f>
        <v>0</v>
      </c>
      <c r="L151" s="37" t="n">
        <f aca="false">IF(B151="",0,N(Students!G140))</f>
        <v>0</v>
      </c>
      <c r="M151" s="23"/>
      <c r="N151" s="26" t="n">
        <f aca="false">N(K151)+N(L151)-N(M151)</f>
        <v>0</v>
      </c>
      <c r="O151" s="37" t="n">
        <f aca="false">'May 2027'!R151</f>
        <v>0</v>
      </c>
      <c r="P151" s="37" t="n">
        <f aca="false">IF(B151="",0,N(Students!H140))</f>
        <v>0</v>
      </c>
      <c r="Q151" s="23"/>
      <c r="R151" s="26" t="n">
        <f aca="false">N(O151)+N(P151)-N(Q151)</f>
        <v>0</v>
      </c>
      <c r="S151" s="37" t="n">
        <f aca="false">'May 2027'!V151</f>
        <v>0</v>
      </c>
      <c r="T151" s="37" t="n">
        <f aca="false">IF(B151="",0,N(Students!I140))</f>
        <v>0</v>
      </c>
      <c r="U151" s="23"/>
      <c r="V151" s="26" t="n">
        <f aca="false">N(S151)+N(T151)-N(U151)</f>
        <v>0</v>
      </c>
      <c r="W151" s="37" t="n">
        <f aca="false">'May 2027'!Z151</f>
        <v>0</v>
      </c>
      <c r="X151" s="37" t="n">
        <f aca="false">IF(B151="",0,N(Students!J140))</f>
        <v>0</v>
      </c>
      <c r="Y151" s="23"/>
      <c r="Z151" s="26" t="n">
        <f aca="false">N(W151)+N(X151)-N(Y151)</f>
        <v>0</v>
      </c>
      <c r="AA151" s="37" t="n">
        <f aca="false">N(E151)+N(I151)+N(M151)+N(Q151)+N(U151)+N(Y151)</f>
        <v>0</v>
      </c>
      <c r="AB151" s="26" t="n">
        <f aca="false">F151+J151+N151+R151+V151+Z151</f>
        <v>0</v>
      </c>
      <c r="AC151" s="83" t="str">
        <f aca="false">IF(B151="","",IF(AB151&lt;=0,"Clear",IF(AA151&gt;0,"Partial","Due")))</f>
        <v/>
      </c>
    </row>
    <row r="152" customFormat="false" ht="15" hidden="false" customHeight="false" outlineLevel="0" collapsed="false">
      <c r="A152" s="21" t="n">
        <v>137</v>
      </c>
      <c r="B152" s="46" t="str">
        <f aca="false">IF(Students!B141="","",Students!B141)</f>
        <v/>
      </c>
      <c r="C152" s="33" t="n">
        <f aca="false">'May 2027'!F152</f>
        <v>0</v>
      </c>
      <c r="D152" s="33" t="n">
        <f aca="false">IF(B152="",0,N(Students!E141))</f>
        <v>0</v>
      </c>
      <c r="E152" s="23"/>
      <c r="F152" s="24" t="n">
        <f aca="false">N(C152)+N(D152)-N(E152)</f>
        <v>0</v>
      </c>
      <c r="G152" s="33" t="n">
        <f aca="false">'May 2027'!J152</f>
        <v>0</v>
      </c>
      <c r="H152" s="33" t="n">
        <f aca="false">IF(B152="",0,N(Students!F141))</f>
        <v>0</v>
      </c>
      <c r="I152" s="23"/>
      <c r="J152" s="24" t="n">
        <f aca="false">N(G152)+N(H152)-N(I152)</f>
        <v>0</v>
      </c>
      <c r="K152" s="33" t="n">
        <f aca="false">'May 2027'!N152</f>
        <v>0</v>
      </c>
      <c r="L152" s="33" t="n">
        <f aca="false">IF(B152="",0,N(Students!G141))</f>
        <v>0</v>
      </c>
      <c r="M152" s="23"/>
      <c r="N152" s="24" t="n">
        <f aca="false">N(K152)+N(L152)-N(M152)</f>
        <v>0</v>
      </c>
      <c r="O152" s="33" t="n">
        <f aca="false">'May 2027'!R152</f>
        <v>0</v>
      </c>
      <c r="P152" s="33" t="n">
        <f aca="false">IF(B152="",0,N(Students!H141))</f>
        <v>0</v>
      </c>
      <c r="Q152" s="23"/>
      <c r="R152" s="24" t="n">
        <f aca="false">N(O152)+N(P152)-N(Q152)</f>
        <v>0</v>
      </c>
      <c r="S152" s="33" t="n">
        <f aca="false">'May 2027'!V152</f>
        <v>0</v>
      </c>
      <c r="T152" s="33" t="n">
        <f aca="false">IF(B152="",0,N(Students!I141))</f>
        <v>0</v>
      </c>
      <c r="U152" s="23"/>
      <c r="V152" s="24" t="n">
        <f aca="false">N(S152)+N(T152)-N(U152)</f>
        <v>0</v>
      </c>
      <c r="W152" s="33" t="n">
        <f aca="false">'May 2027'!Z152</f>
        <v>0</v>
      </c>
      <c r="X152" s="33" t="n">
        <f aca="false">IF(B152="",0,N(Students!J141))</f>
        <v>0</v>
      </c>
      <c r="Y152" s="23"/>
      <c r="Z152" s="24" t="n">
        <f aca="false">N(W152)+N(X152)-N(Y152)</f>
        <v>0</v>
      </c>
      <c r="AA152" s="33" t="n">
        <f aca="false">N(E152)+N(I152)+N(M152)+N(Q152)+N(U152)+N(Y152)</f>
        <v>0</v>
      </c>
      <c r="AB152" s="24" t="n">
        <f aca="false">F152+J152+N152+R152+V152+Z152</f>
        <v>0</v>
      </c>
      <c r="AC152" s="81" t="str">
        <f aca="false">IF(B152="","",IF(AB152&lt;=0,"Clear",IF(AA152&gt;0,"Partial","Due")))</f>
        <v/>
      </c>
    </row>
    <row r="153" customFormat="false" ht="15" hidden="false" customHeight="false" outlineLevel="0" collapsed="false">
      <c r="A153" s="25" t="n">
        <v>138</v>
      </c>
      <c r="B153" s="82" t="str">
        <f aca="false">IF(Students!B142="","",Students!B142)</f>
        <v/>
      </c>
      <c r="C153" s="37" t="n">
        <f aca="false">'May 2027'!F153</f>
        <v>0</v>
      </c>
      <c r="D153" s="37" t="n">
        <f aca="false">IF(B153="",0,N(Students!E142))</f>
        <v>0</v>
      </c>
      <c r="E153" s="23"/>
      <c r="F153" s="26" t="n">
        <f aca="false">N(C153)+N(D153)-N(E153)</f>
        <v>0</v>
      </c>
      <c r="G153" s="37" t="n">
        <f aca="false">'May 2027'!J153</f>
        <v>0</v>
      </c>
      <c r="H153" s="37" t="n">
        <f aca="false">IF(B153="",0,N(Students!F142))</f>
        <v>0</v>
      </c>
      <c r="I153" s="23"/>
      <c r="J153" s="26" t="n">
        <f aca="false">N(G153)+N(H153)-N(I153)</f>
        <v>0</v>
      </c>
      <c r="K153" s="37" t="n">
        <f aca="false">'May 2027'!N153</f>
        <v>0</v>
      </c>
      <c r="L153" s="37" t="n">
        <f aca="false">IF(B153="",0,N(Students!G142))</f>
        <v>0</v>
      </c>
      <c r="M153" s="23"/>
      <c r="N153" s="26" t="n">
        <f aca="false">N(K153)+N(L153)-N(M153)</f>
        <v>0</v>
      </c>
      <c r="O153" s="37" t="n">
        <f aca="false">'May 2027'!R153</f>
        <v>0</v>
      </c>
      <c r="P153" s="37" t="n">
        <f aca="false">IF(B153="",0,N(Students!H142))</f>
        <v>0</v>
      </c>
      <c r="Q153" s="23"/>
      <c r="R153" s="26" t="n">
        <f aca="false">N(O153)+N(P153)-N(Q153)</f>
        <v>0</v>
      </c>
      <c r="S153" s="37" t="n">
        <f aca="false">'May 2027'!V153</f>
        <v>0</v>
      </c>
      <c r="T153" s="37" t="n">
        <f aca="false">IF(B153="",0,N(Students!I142))</f>
        <v>0</v>
      </c>
      <c r="U153" s="23"/>
      <c r="V153" s="26" t="n">
        <f aca="false">N(S153)+N(T153)-N(U153)</f>
        <v>0</v>
      </c>
      <c r="W153" s="37" t="n">
        <f aca="false">'May 2027'!Z153</f>
        <v>0</v>
      </c>
      <c r="X153" s="37" t="n">
        <f aca="false">IF(B153="",0,N(Students!J142))</f>
        <v>0</v>
      </c>
      <c r="Y153" s="23"/>
      <c r="Z153" s="26" t="n">
        <f aca="false">N(W153)+N(X153)-N(Y153)</f>
        <v>0</v>
      </c>
      <c r="AA153" s="37" t="n">
        <f aca="false">N(E153)+N(I153)+N(M153)+N(Q153)+N(U153)+N(Y153)</f>
        <v>0</v>
      </c>
      <c r="AB153" s="26" t="n">
        <f aca="false">F153+J153+N153+R153+V153+Z153</f>
        <v>0</v>
      </c>
      <c r="AC153" s="83" t="str">
        <f aca="false">IF(B153="","",IF(AB153&lt;=0,"Clear",IF(AA153&gt;0,"Partial","Due")))</f>
        <v/>
      </c>
    </row>
    <row r="154" customFormat="false" ht="15" hidden="false" customHeight="false" outlineLevel="0" collapsed="false">
      <c r="A154" s="21" t="n">
        <v>139</v>
      </c>
      <c r="B154" s="46" t="str">
        <f aca="false">IF(Students!B143="","",Students!B143)</f>
        <v/>
      </c>
      <c r="C154" s="33" t="n">
        <f aca="false">'May 2027'!F154</f>
        <v>0</v>
      </c>
      <c r="D154" s="33" t="n">
        <f aca="false">IF(B154="",0,N(Students!E143))</f>
        <v>0</v>
      </c>
      <c r="E154" s="23"/>
      <c r="F154" s="24" t="n">
        <f aca="false">N(C154)+N(D154)-N(E154)</f>
        <v>0</v>
      </c>
      <c r="G154" s="33" t="n">
        <f aca="false">'May 2027'!J154</f>
        <v>0</v>
      </c>
      <c r="H154" s="33" t="n">
        <f aca="false">IF(B154="",0,N(Students!F143))</f>
        <v>0</v>
      </c>
      <c r="I154" s="23"/>
      <c r="J154" s="24" t="n">
        <f aca="false">N(G154)+N(H154)-N(I154)</f>
        <v>0</v>
      </c>
      <c r="K154" s="33" t="n">
        <f aca="false">'May 2027'!N154</f>
        <v>0</v>
      </c>
      <c r="L154" s="33" t="n">
        <f aca="false">IF(B154="",0,N(Students!G143))</f>
        <v>0</v>
      </c>
      <c r="M154" s="23"/>
      <c r="N154" s="24" t="n">
        <f aca="false">N(K154)+N(L154)-N(M154)</f>
        <v>0</v>
      </c>
      <c r="O154" s="33" t="n">
        <f aca="false">'May 2027'!R154</f>
        <v>0</v>
      </c>
      <c r="P154" s="33" t="n">
        <f aca="false">IF(B154="",0,N(Students!H143))</f>
        <v>0</v>
      </c>
      <c r="Q154" s="23"/>
      <c r="R154" s="24" t="n">
        <f aca="false">N(O154)+N(P154)-N(Q154)</f>
        <v>0</v>
      </c>
      <c r="S154" s="33" t="n">
        <f aca="false">'May 2027'!V154</f>
        <v>0</v>
      </c>
      <c r="T154" s="33" t="n">
        <f aca="false">IF(B154="",0,N(Students!I143))</f>
        <v>0</v>
      </c>
      <c r="U154" s="23"/>
      <c r="V154" s="24" t="n">
        <f aca="false">N(S154)+N(T154)-N(U154)</f>
        <v>0</v>
      </c>
      <c r="W154" s="33" t="n">
        <f aca="false">'May 2027'!Z154</f>
        <v>0</v>
      </c>
      <c r="X154" s="33" t="n">
        <f aca="false">IF(B154="",0,N(Students!J143))</f>
        <v>0</v>
      </c>
      <c r="Y154" s="23"/>
      <c r="Z154" s="24" t="n">
        <f aca="false">N(W154)+N(X154)-N(Y154)</f>
        <v>0</v>
      </c>
      <c r="AA154" s="33" t="n">
        <f aca="false">N(E154)+N(I154)+N(M154)+N(Q154)+N(U154)+N(Y154)</f>
        <v>0</v>
      </c>
      <c r="AB154" s="24" t="n">
        <f aca="false">F154+J154+N154+R154+V154+Z154</f>
        <v>0</v>
      </c>
      <c r="AC154" s="81" t="str">
        <f aca="false">IF(B154="","",IF(AB154&lt;=0,"Clear",IF(AA154&gt;0,"Partial","Due")))</f>
        <v/>
      </c>
    </row>
    <row r="155" customFormat="false" ht="15" hidden="false" customHeight="false" outlineLevel="0" collapsed="false">
      <c r="A155" s="25" t="n">
        <v>140</v>
      </c>
      <c r="B155" s="82" t="str">
        <f aca="false">IF(Students!B144="","",Students!B144)</f>
        <v/>
      </c>
      <c r="C155" s="37" t="n">
        <f aca="false">'May 2027'!F155</f>
        <v>0</v>
      </c>
      <c r="D155" s="37" t="n">
        <f aca="false">IF(B155="",0,N(Students!E144))</f>
        <v>0</v>
      </c>
      <c r="E155" s="23"/>
      <c r="F155" s="26" t="n">
        <f aca="false">N(C155)+N(D155)-N(E155)</f>
        <v>0</v>
      </c>
      <c r="G155" s="37" t="n">
        <f aca="false">'May 2027'!J155</f>
        <v>0</v>
      </c>
      <c r="H155" s="37" t="n">
        <f aca="false">IF(B155="",0,N(Students!F144))</f>
        <v>0</v>
      </c>
      <c r="I155" s="23"/>
      <c r="J155" s="26" t="n">
        <f aca="false">N(G155)+N(H155)-N(I155)</f>
        <v>0</v>
      </c>
      <c r="K155" s="37" t="n">
        <f aca="false">'May 2027'!N155</f>
        <v>0</v>
      </c>
      <c r="L155" s="37" t="n">
        <f aca="false">IF(B155="",0,N(Students!G144))</f>
        <v>0</v>
      </c>
      <c r="M155" s="23"/>
      <c r="N155" s="26" t="n">
        <f aca="false">N(K155)+N(L155)-N(M155)</f>
        <v>0</v>
      </c>
      <c r="O155" s="37" t="n">
        <f aca="false">'May 2027'!R155</f>
        <v>0</v>
      </c>
      <c r="P155" s="37" t="n">
        <f aca="false">IF(B155="",0,N(Students!H144))</f>
        <v>0</v>
      </c>
      <c r="Q155" s="23"/>
      <c r="R155" s="26" t="n">
        <f aca="false">N(O155)+N(P155)-N(Q155)</f>
        <v>0</v>
      </c>
      <c r="S155" s="37" t="n">
        <f aca="false">'May 2027'!V155</f>
        <v>0</v>
      </c>
      <c r="T155" s="37" t="n">
        <f aca="false">IF(B155="",0,N(Students!I144))</f>
        <v>0</v>
      </c>
      <c r="U155" s="23"/>
      <c r="V155" s="26" t="n">
        <f aca="false">N(S155)+N(T155)-N(U155)</f>
        <v>0</v>
      </c>
      <c r="W155" s="37" t="n">
        <f aca="false">'May 2027'!Z155</f>
        <v>0</v>
      </c>
      <c r="X155" s="37" t="n">
        <f aca="false">IF(B155="",0,N(Students!J144))</f>
        <v>0</v>
      </c>
      <c r="Y155" s="23"/>
      <c r="Z155" s="26" t="n">
        <f aca="false">N(W155)+N(X155)-N(Y155)</f>
        <v>0</v>
      </c>
      <c r="AA155" s="37" t="n">
        <f aca="false">N(E155)+N(I155)+N(M155)+N(Q155)+N(U155)+N(Y155)</f>
        <v>0</v>
      </c>
      <c r="AB155" s="26" t="n">
        <f aca="false">F155+J155+N155+R155+V155+Z155</f>
        <v>0</v>
      </c>
      <c r="AC155" s="83" t="str">
        <f aca="false">IF(B155="","",IF(AB155&lt;=0,"Clear",IF(AA155&gt;0,"Partial","Due")))</f>
        <v/>
      </c>
    </row>
    <row r="156" customFormat="false" ht="15" hidden="false" customHeight="false" outlineLevel="0" collapsed="false">
      <c r="A156" s="21" t="n">
        <v>141</v>
      </c>
      <c r="B156" s="46" t="str">
        <f aca="false">IF(Students!B145="","",Students!B145)</f>
        <v/>
      </c>
      <c r="C156" s="33" t="n">
        <f aca="false">'May 2027'!F156</f>
        <v>0</v>
      </c>
      <c r="D156" s="33" t="n">
        <f aca="false">IF(B156="",0,N(Students!E145))</f>
        <v>0</v>
      </c>
      <c r="E156" s="23"/>
      <c r="F156" s="24" t="n">
        <f aca="false">N(C156)+N(D156)-N(E156)</f>
        <v>0</v>
      </c>
      <c r="G156" s="33" t="n">
        <f aca="false">'May 2027'!J156</f>
        <v>0</v>
      </c>
      <c r="H156" s="33" t="n">
        <f aca="false">IF(B156="",0,N(Students!F145))</f>
        <v>0</v>
      </c>
      <c r="I156" s="23"/>
      <c r="J156" s="24" t="n">
        <f aca="false">N(G156)+N(H156)-N(I156)</f>
        <v>0</v>
      </c>
      <c r="K156" s="33" t="n">
        <f aca="false">'May 2027'!N156</f>
        <v>0</v>
      </c>
      <c r="L156" s="33" t="n">
        <f aca="false">IF(B156="",0,N(Students!G145))</f>
        <v>0</v>
      </c>
      <c r="M156" s="23"/>
      <c r="N156" s="24" t="n">
        <f aca="false">N(K156)+N(L156)-N(M156)</f>
        <v>0</v>
      </c>
      <c r="O156" s="33" t="n">
        <f aca="false">'May 2027'!R156</f>
        <v>0</v>
      </c>
      <c r="P156" s="33" t="n">
        <f aca="false">IF(B156="",0,N(Students!H145))</f>
        <v>0</v>
      </c>
      <c r="Q156" s="23"/>
      <c r="R156" s="24" t="n">
        <f aca="false">N(O156)+N(P156)-N(Q156)</f>
        <v>0</v>
      </c>
      <c r="S156" s="33" t="n">
        <f aca="false">'May 2027'!V156</f>
        <v>0</v>
      </c>
      <c r="T156" s="33" t="n">
        <f aca="false">IF(B156="",0,N(Students!I145))</f>
        <v>0</v>
      </c>
      <c r="U156" s="23"/>
      <c r="V156" s="24" t="n">
        <f aca="false">N(S156)+N(T156)-N(U156)</f>
        <v>0</v>
      </c>
      <c r="W156" s="33" t="n">
        <f aca="false">'May 2027'!Z156</f>
        <v>0</v>
      </c>
      <c r="X156" s="33" t="n">
        <f aca="false">IF(B156="",0,N(Students!J145))</f>
        <v>0</v>
      </c>
      <c r="Y156" s="23"/>
      <c r="Z156" s="24" t="n">
        <f aca="false">N(W156)+N(X156)-N(Y156)</f>
        <v>0</v>
      </c>
      <c r="AA156" s="33" t="n">
        <f aca="false">N(E156)+N(I156)+N(M156)+N(Q156)+N(U156)+N(Y156)</f>
        <v>0</v>
      </c>
      <c r="AB156" s="24" t="n">
        <f aca="false">F156+J156+N156+R156+V156+Z156</f>
        <v>0</v>
      </c>
      <c r="AC156" s="81" t="str">
        <f aca="false">IF(B156="","",IF(AB156&lt;=0,"Clear",IF(AA156&gt;0,"Partial","Due")))</f>
        <v/>
      </c>
    </row>
    <row r="157" customFormat="false" ht="15" hidden="false" customHeight="false" outlineLevel="0" collapsed="false">
      <c r="A157" s="25" t="n">
        <v>142</v>
      </c>
      <c r="B157" s="82" t="str">
        <f aca="false">IF(Students!B146="","",Students!B146)</f>
        <v/>
      </c>
      <c r="C157" s="37" t="n">
        <f aca="false">'May 2027'!F157</f>
        <v>0</v>
      </c>
      <c r="D157" s="37" t="n">
        <f aca="false">IF(B157="",0,N(Students!E146))</f>
        <v>0</v>
      </c>
      <c r="E157" s="23"/>
      <c r="F157" s="26" t="n">
        <f aca="false">N(C157)+N(D157)-N(E157)</f>
        <v>0</v>
      </c>
      <c r="G157" s="37" t="n">
        <f aca="false">'May 2027'!J157</f>
        <v>0</v>
      </c>
      <c r="H157" s="37" t="n">
        <f aca="false">IF(B157="",0,N(Students!F146))</f>
        <v>0</v>
      </c>
      <c r="I157" s="23"/>
      <c r="J157" s="26" t="n">
        <f aca="false">N(G157)+N(H157)-N(I157)</f>
        <v>0</v>
      </c>
      <c r="K157" s="37" t="n">
        <f aca="false">'May 2027'!N157</f>
        <v>0</v>
      </c>
      <c r="L157" s="37" t="n">
        <f aca="false">IF(B157="",0,N(Students!G146))</f>
        <v>0</v>
      </c>
      <c r="M157" s="23"/>
      <c r="N157" s="26" t="n">
        <f aca="false">N(K157)+N(L157)-N(M157)</f>
        <v>0</v>
      </c>
      <c r="O157" s="37" t="n">
        <f aca="false">'May 2027'!R157</f>
        <v>0</v>
      </c>
      <c r="P157" s="37" t="n">
        <f aca="false">IF(B157="",0,N(Students!H146))</f>
        <v>0</v>
      </c>
      <c r="Q157" s="23"/>
      <c r="R157" s="26" t="n">
        <f aca="false">N(O157)+N(P157)-N(Q157)</f>
        <v>0</v>
      </c>
      <c r="S157" s="37" t="n">
        <f aca="false">'May 2027'!V157</f>
        <v>0</v>
      </c>
      <c r="T157" s="37" t="n">
        <f aca="false">IF(B157="",0,N(Students!I146))</f>
        <v>0</v>
      </c>
      <c r="U157" s="23"/>
      <c r="V157" s="26" t="n">
        <f aca="false">N(S157)+N(T157)-N(U157)</f>
        <v>0</v>
      </c>
      <c r="W157" s="37" t="n">
        <f aca="false">'May 2027'!Z157</f>
        <v>0</v>
      </c>
      <c r="X157" s="37" t="n">
        <f aca="false">IF(B157="",0,N(Students!J146))</f>
        <v>0</v>
      </c>
      <c r="Y157" s="23"/>
      <c r="Z157" s="26" t="n">
        <f aca="false">N(W157)+N(X157)-N(Y157)</f>
        <v>0</v>
      </c>
      <c r="AA157" s="37" t="n">
        <f aca="false">N(E157)+N(I157)+N(M157)+N(Q157)+N(U157)+N(Y157)</f>
        <v>0</v>
      </c>
      <c r="AB157" s="26" t="n">
        <f aca="false">F157+J157+N157+R157+V157+Z157</f>
        <v>0</v>
      </c>
      <c r="AC157" s="83" t="str">
        <f aca="false">IF(B157="","",IF(AB157&lt;=0,"Clear",IF(AA157&gt;0,"Partial","Due")))</f>
        <v/>
      </c>
    </row>
    <row r="158" customFormat="false" ht="15" hidden="false" customHeight="false" outlineLevel="0" collapsed="false">
      <c r="A158" s="21" t="n">
        <v>143</v>
      </c>
      <c r="B158" s="46" t="str">
        <f aca="false">IF(Students!B147="","",Students!B147)</f>
        <v/>
      </c>
      <c r="C158" s="33" t="n">
        <f aca="false">'May 2027'!F158</f>
        <v>0</v>
      </c>
      <c r="D158" s="33" t="n">
        <f aca="false">IF(B158="",0,N(Students!E147))</f>
        <v>0</v>
      </c>
      <c r="E158" s="23"/>
      <c r="F158" s="24" t="n">
        <f aca="false">N(C158)+N(D158)-N(E158)</f>
        <v>0</v>
      </c>
      <c r="G158" s="33" t="n">
        <f aca="false">'May 2027'!J158</f>
        <v>0</v>
      </c>
      <c r="H158" s="33" t="n">
        <f aca="false">IF(B158="",0,N(Students!F147))</f>
        <v>0</v>
      </c>
      <c r="I158" s="23"/>
      <c r="J158" s="24" t="n">
        <f aca="false">N(G158)+N(H158)-N(I158)</f>
        <v>0</v>
      </c>
      <c r="K158" s="33" t="n">
        <f aca="false">'May 2027'!N158</f>
        <v>0</v>
      </c>
      <c r="L158" s="33" t="n">
        <f aca="false">IF(B158="",0,N(Students!G147))</f>
        <v>0</v>
      </c>
      <c r="M158" s="23"/>
      <c r="N158" s="24" t="n">
        <f aca="false">N(K158)+N(L158)-N(M158)</f>
        <v>0</v>
      </c>
      <c r="O158" s="33" t="n">
        <f aca="false">'May 2027'!R158</f>
        <v>0</v>
      </c>
      <c r="P158" s="33" t="n">
        <f aca="false">IF(B158="",0,N(Students!H147))</f>
        <v>0</v>
      </c>
      <c r="Q158" s="23"/>
      <c r="R158" s="24" t="n">
        <f aca="false">N(O158)+N(P158)-N(Q158)</f>
        <v>0</v>
      </c>
      <c r="S158" s="33" t="n">
        <f aca="false">'May 2027'!V158</f>
        <v>0</v>
      </c>
      <c r="T158" s="33" t="n">
        <f aca="false">IF(B158="",0,N(Students!I147))</f>
        <v>0</v>
      </c>
      <c r="U158" s="23"/>
      <c r="V158" s="24" t="n">
        <f aca="false">N(S158)+N(T158)-N(U158)</f>
        <v>0</v>
      </c>
      <c r="W158" s="33" t="n">
        <f aca="false">'May 2027'!Z158</f>
        <v>0</v>
      </c>
      <c r="X158" s="33" t="n">
        <f aca="false">IF(B158="",0,N(Students!J147))</f>
        <v>0</v>
      </c>
      <c r="Y158" s="23"/>
      <c r="Z158" s="24" t="n">
        <f aca="false">N(W158)+N(X158)-N(Y158)</f>
        <v>0</v>
      </c>
      <c r="AA158" s="33" t="n">
        <f aca="false">N(E158)+N(I158)+N(M158)+N(Q158)+N(U158)+N(Y158)</f>
        <v>0</v>
      </c>
      <c r="AB158" s="24" t="n">
        <f aca="false">F158+J158+N158+R158+V158+Z158</f>
        <v>0</v>
      </c>
      <c r="AC158" s="81" t="str">
        <f aca="false">IF(B158="","",IF(AB158&lt;=0,"Clear",IF(AA158&gt;0,"Partial","Due")))</f>
        <v/>
      </c>
    </row>
    <row r="159" customFormat="false" ht="15" hidden="false" customHeight="false" outlineLevel="0" collapsed="false">
      <c r="A159" s="25" t="n">
        <v>144</v>
      </c>
      <c r="B159" s="82" t="str">
        <f aca="false">IF(Students!B148="","",Students!B148)</f>
        <v/>
      </c>
      <c r="C159" s="37" t="n">
        <f aca="false">'May 2027'!F159</f>
        <v>0</v>
      </c>
      <c r="D159" s="37" t="n">
        <f aca="false">IF(B159="",0,N(Students!E148))</f>
        <v>0</v>
      </c>
      <c r="E159" s="23"/>
      <c r="F159" s="26" t="n">
        <f aca="false">N(C159)+N(D159)-N(E159)</f>
        <v>0</v>
      </c>
      <c r="G159" s="37" t="n">
        <f aca="false">'May 2027'!J159</f>
        <v>0</v>
      </c>
      <c r="H159" s="37" t="n">
        <f aca="false">IF(B159="",0,N(Students!F148))</f>
        <v>0</v>
      </c>
      <c r="I159" s="23"/>
      <c r="J159" s="26" t="n">
        <f aca="false">N(G159)+N(H159)-N(I159)</f>
        <v>0</v>
      </c>
      <c r="K159" s="37" t="n">
        <f aca="false">'May 2027'!N159</f>
        <v>0</v>
      </c>
      <c r="L159" s="37" t="n">
        <f aca="false">IF(B159="",0,N(Students!G148))</f>
        <v>0</v>
      </c>
      <c r="M159" s="23"/>
      <c r="N159" s="26" t="n">
        <f aca="false">N(K159)+N(L159)-N(M159)</f>
        <v>0</v>
      </c>
      <c r="O159" s="37" t="n">
        <f aca="false">'May 2027'!R159</f>
        <v>0</v>
      </c>
      <c r="P159" s="37" t="n">
        <f aca="false">IF(B159="",0,N(Students!H148))</f>
        <v>0</v>
      </c>
      <c r="Q159" s="23"/>
      <c r="R159" s="26" t="n">
        <f aca="false">N(O159)+N(P159)-N(Q159)</f>
        <v>0</v>
      </c>
      <c r="S159" s="37" t="n">
        <f aca="false">'May 2027'!V159</f>
        <v>0</v>
      </c>
      <c r="T159" s="37" t="n">
        <f aca="false">IF(B159="",0,N(Students!I148))</f>
        <v>0</v>
      </c>
      <c r="U159" s="23"/>
      <c r="V159" s="26" t="n">
        <f aca="false">N(S159)+N(T159)-N(U159)</f>
        <v>0</v>
      </c>
      <c r="W159" s="37" t="n">
        <f aca="false">'May 2027'!Z159</f>
        <v>0</v>
      </c>
      <c r="X159" s="37" t="n">
        <f aca="false">IF(B159="",0,N(Students!J148))</f>
        <v>0</v>
      </c>
      <c r="Y159" s="23"/>
      <c r="Z159" s="26" t="n">
        <f aca="false">N(W159)+N(X159)-N(Y159)</f>
        <v>0</v>
      </c>
      <c r="AA159" s="37" t="n">
        <f aca="false">N(E159)+N(I159)+N(M159)+N(Q159)+N(U159)+N(Y159)</f>
        <v>0</v>
      </c>
      <c r="AB159" s="26" t="n">
        <f aca="false">F159+J159+N159+R159+V159+Z159</f>
        <v>0</v>
      </c>
      <c r="AC159" s="83" t="str">
        <f aca="false">IF(B159="","",IF(AB159&lt;=0,"Clear",IF(AA159&gt;0,"Partial","Due")))</f>
        <v/>
      </c>
    </row>
    <row r="160" customFormat="false" ht="15" hidden="false" customHeight="false" outlineLevel="0" collapsed="false">
      <c r="A160" s="21" t="n">
        <v>145</v>
      </c>
      <c r="B160" s="46" t="str">
        <f aca="false">IF(Students!B149="","",Students!B149)</f>
        <v/>
      </c>
      <c r="C160" s="33" t="n">
        <f aca="false">'May 2027'!F160</f>
        <v>0</v>
      </c>
      <c r="D160" s="33" t="n">
        <f aca="false">IF(B160="",0,N(Students!E149))</f>
        <v>0</v>
      </c>
      <c r="E160" s="23"/>
      <c r="F160" s="24" t="n">
        <f aca="false">N(C160)+N(D160)-N(E160)</f>
        <v>0</v>
      </c>
      <c r="G160" s="33" t="n">
        <f aca="false">'May 2027'!J160</f>
        <v>0</v>
      </c>
      <c r="H160" s="33" t="n">
        <f aca="false">IF(B160="",0,N(Students!F149))</f>
        <v>0</v>
      </c>
      <c r="I160" s="23"/>
      <c r="J160" s="24" t="n">
        <f aca="false">N(G160)+N(H160)-N(I160)</f>
        <v>0</v>
      </c>
      <c r="K160" s="33" t="n">
        <f aca="false">'May 2027'!N160</f>
        <v>0</v>
      </c>
      <c r="L160" s="33" t="n">
        <f aca="false">IF(B160="",0,N(Students!G149))</f>
        <v>0</v>
      </c>
      <c r="M160" s="23"/>
      <c r="N160" s="24" t="n">
        <f aca="false">N(K160)+N(L160)-N(M160)</f>
        <v>0</v>
      </c>
      <c r="O160" s="33" t="n">
        <f aca="false">'May 2027'!R160</f>
        <v>0</v>
      </c>
      <c r="P160" s="33" t="n">
        <f aca="false">IF(B160="",0,N(Students!H149))</f>
        <v>0</v>
      </c>
      <c r="Q160" s="23"/>
      <c r="R160" s="24" t="n">
        <f aca="false">N(O160)+N(P160)-N(Q160)</f>
        <v>0</v>
      </c>
      <c r="S160" s="33" t="n">
        <f aca="false">'May 2027'!V160</f>
        <v>0</v>
      </c>
      <c r="T160" s="33" t="n">
        <f aca="false">IF(B160="",0,N(Students!I149))</f>
        <v>0</v>
      </c>
      <c r="U160" s="23"/>
      <c r="V160" s="24" t="n">
        <f aca="false">N(S160)+N(T160)-N(U160)</f>
        <v>0</v>
      </c>
      <c r="W160" s="33" t="n">
        <f aca="false">'May 2027'!Z160</f>
        <v>0</v>
      </c>
      <c r="X160" s="33" t="n">
        <f aca="false">IF(B160="",0,N(Students!J149))</f>
        <v>0</v>
      </c>
      <c r="Y160" s="23"/>
      <c r="Z160" s="24" t="n">
        <f aca="false">N(W160)+N(X160)-N(Y160)</f>
        <v>0</v>
      </c>
      <c r="AA160" s="33" t="n">
        <f aca="false">N(E160)+N(I160)+N(M160)+N(Q160)+N(U160)+N(Y160)</f>
        <v>0</v>
      </c>
      <c r="AB160" s="24" t="n">
        <f aca="false">F160+J160+N160+R160+V160+Z160</f>
        <v>0</v>
      </c>
      <c r="AC160" s="81" t="str">
        <f aca="false">IF(B160="","",IF(AB160&lt;=0,"Clear",IF(AA160&gt;0,"Partial","Due")))</f>
        <v/>
      </c>
    </row>
    <row r="161" customFormat="false" ht="15" hidden="false" customHeight="false" outlineLevel="0" collapsed="false">
      <c r="A161" s="25" t="n">
        <v>146</v>
      </c>
      <c r="B161" s="82" t="str">
        <f aca="false">IF(Students!B150="","",Students!B150)</f>
        <v/>
      </c>
      <c r="C161" s="37" t="n">
        <f aca="false">'May 2027'!F161</f>
        <v>0</v>
      </c>
      <c r="D161" s="37" t="n">
        <f aca="false">IF(B161="",0,N(Students!E150))</f>
        <v>0</v>
      </c>
      <c r="E161" s="23"/>
      <c r="F161" s="26" t="n">
        <f aca="false">N(C161)+N(D161)-N(E161)</f>
        <v>0</v>
      </c>
      <c r="G161" s="37" t="n">
        <f aca="false">'May 2027'!J161</f>
        <v>0</v>
      </c>
      <c r="H161" s="37" t="n">
        <f aca="false">IF(B161="",0,N(Students!F150))</f>
        <v>0</v>
      </c>
      <c r="I161" s="23"/>
      <c r="J161" s="26" t="n">
        <f aca="false">N(G161)+N(H161)-N(I161)</f>
        <v>0</v>
      </c>
      <c r="K161" s="37" t="n">
        <f aca="false">'May 2027'!N161</f>
        <v>0</v>
      </c>
      <c r="L161" s="37" t="n">
        <f aca="false">IF(B161="",0,N(Students!G150))</f>
        <v>0</v>
      </c>
      <c r="M161" s="23"/>
      <c r="N161" s="26" t="n">
        <f aca="false">N(K161)+N(L161)-N(M161)</f>
        <v>0</v>
      </c>
      <c r="O161" s="37" t="n">
        <f aca="false">'May 2027'!R161</f>
        <v>0</v>
      </c>
      <c r="P161" s="37" t="n">
        <f aca="false">IF(B161="",0,N(Students!H150))</f>
        <v>0</v>
      </c>
      <c r="Q161" s="23"/>
      <c r="R161" s="26" t="n">
        <f aca="false">N(O161)+N(P161)-N(Q161)</f>
        <v>0</v>
      </c>
      <c r="S161" s="37" t="n">
        <f aca="false">'May 2027'!V161</f>
        <v>0</v>
      </c>
      <c r="T161" s="37" t="n">
        <f aca="false">IF(B161="",0,N(Students!I150))</f>
        <v>0</v>
      </c>
      <c r="U161" s="23"/>
      <c r="V161" s="26" t="n">
        <f aca="false">N(S161)+N(T161)-N(U161)</f>
        <v>0</v>
      </c>
      <c r="W161" s="37" t="n">
        <f aca="false">'May 2027'!Z161</f>
        <v>0</v>
      </c>
      <c r="X161" s="37" t="n">
        <f aca="false">IF(B161="",0,N(Students!J150))</f>
        <v>0</v>
      </c>
      <c r="Y161" s="23"/>
      <c r="Z161" s="26" t="n">
        <f aca="false">N(W161)+N(X161)-N(Y161)</f>
        <v>0</v>
      </c>
      <c r="AA161" s="37" t="n">
        <f aca="false">N(E161)+N(I161)+N(M161)+N(Q161)+N(U161)+N(Y161)</f>
        <v>0</v>
      </c>
      <c r="AB161" s="26" t="n">
        <f aca="false">F161+J161+N161+R161+V161+Z161</f>
        <v>0</v>
      </c>
      <c r="AC161" s="83" t="str">
        <f aca="false">IF(B161="","",IF(AB161&lt;=0,"Clear",IF(AA161&gt;0,"Partial","Due")))</f>
        <v/>
      </c>
    </row>
    <row r="162" customFormat="false" ht="15" hidden="false" customHeight="false" outlineLevel="0" collapsed="false">
      <c r="A162" s="21" t="n">
        <v>147</v>
      </c>
      <c r="B162" s="46" t="str">
        <f aca="false">IF(Students!B151="","",Students!B151)</f>
        <v/>
      </c>
      <c r="C162" s="33" t="n">
        <f aca="false">'May 2027'!F162</f>
        <v>0</v>
      </c>
      <c r="D162" s="33" t="n">
        <f aca="false">IF(B162="",0,N(Students!E151))</f>
        <v>0</v>
      </c>
      <c r="E162" s="23"/>
      <c r="F162" s="24" t="n">
        <f aca="false">N(C162)+N(D162)-N(E162)</f>
        <v>0</v>
      </c>
      <c r="G162" s="33" t="n">
        <f aca="false">'May 2027'!J162</f>
        <v>0</v>
      </c>
      <c r="H162" s="33" t="n">
        <f aca="false">IF(B162="",0,N(Students!F151))</f>
        <v>0</v>
      </c>
      <c r="I162" s="23"/>
      <c r="J162" s="24" t="n">
        <f aca="false">N(G162)+N(H162)-N(I162)</f>
        <v>0</v>
      </c>
      <c r="K162" s="33" t="n">
        <f aca="false">'May 2027'!N162</f>
        <v>0</v>
      </c>
      <c r="L162" s="33" t="n">
        <f aca="false">IF(B162="",0,N(Students!G151))</f>
        <v>0</v>
      </c>
      <c r="M162" s="23"/>
      <c r="N162" s="24" t="n">
        <f aca="false">N(K162)+N(L162)-N(M162)</f>
        <v>0</v>
      </c>
      <c r="O162" s="33" t="n">
        <f aca="false">'May 2027'!R162</f>
        <v>0</v>
      </c>
      <c r="P162" s="33" t="n">
        <f aca="false">IF(B162="",0,N(Students!H151))</f>
        <v>0</v>
      </c>
      <c r="Q162" s="23"/>
      <c r="R162" s="24" t="n">
        <f aca="false">N(O162)+N(P162)-N(Q162)</f>
        <v>0</v>
      </c>
      <c r="S162" s="33" t="n">
        <f aca="false">'May 2027'!V162</f>
        <v>0</v>
      </c>
      <c r="T162" s="33" t="n">
        <f aca="false">IF(B162="",0,N(Students!I151))</f>
        <v>0</v>
      </c>
      <c r="U162" s="23"/>
      <c r="V162" s="24" t="n">
        <f aca="false">N(S162)+N(T162)-N(U162)</f>
        <v>0</v>
      </c>
      <c r="W162" s="33" t="n">
        <f aca="false">'May 2027'!Z162</f>
        <v>0</v>
      </c>
      <c r="X162" s="33" t="n">
        <f aca="false">IF(B162="",0,N(Students!J151))</f>
        <v>0</v>
      </c>
      <c r="Y162" s="23"/>
      <c r="Z162" s="24" t="n">
        <f aca="false">N(W162)+N(X162)-N(Y162)</f>
        <v>0</v>
      </c>
      <c r="AA162" s="33" t="n">
        <f aca="false">N(E162)+N(I162)+N(M162)+N(Q162)+N(U162)+N(Y162)</f>
        <v>0</v>
      </c>
      <c r="AB162" s="24" t="n">
        <f aca="false">F162+J162+N162+R162+V162+Z162</f>
        <v>0</v>
      </c>
      <c r="AC162" s="81" t="str">
        <f aca="false">IF(B162="","",IF(AB162&lt;=0,"Clear",IF(AA162&gt;0,"Partial","Due")))</f>
        <v/>
      </c>
    </row>
    <row r="163" customFormat="false" ht="15" hidden="false" customHeight="false" outlineLevel="0" collapsed="false">
      <c r="A163" s="25" t="n">
        <v>148</v>
      </c>
      <c r="B163" s="82" t="str">
        <f aca="false">IF(Students!B152="","",Students!B152)</f>
        <v/>
      </c>
      <c r="C163" s="37" t="n">
        <f aca="false">'May 2027'!F163</f>
        <v>0</v>
      </c>
      <c r="D163" s="37" t="n">
        <f aca="false">IF(B163="",0,N(Students!E152))</f>
        <v>0</v>
      </c>
      <c r="E163" s="23"/>
      <c r="F163" s="26" t="n">
        <f aca="false">N(C163)+N(D163)-N(E163)</f>
        <v>0</v>
      </c>
      <c r="G163" s="37" t="n">
        <f aca="false">'May 2027'!J163</f>
        <v>0</v>
      </c>
      <c r="H163" s="37" t="n">
        <f aca="false">IF(B163="",0,N(Students!F152))</f>
        <v>0</v>
      </c>
      <c r="I163" s="23"/>
      <c r="J163" s="26" t="n">
        <f aca="false">N(G163)+N(H163)-N(I163)</f>
        <v>0</v>
      </c>
      <c r="K163" s="37" t="n">
        <f aca="false">'May 2027'!N163</f>
        <v>0</v>
      </c>
      <c r="L163" s="37" t="n">
        <f aca="false">IF(B163="",0,N(Students!G152))</f>
        <v>0</v>
      </c>
      <c r="M163" s="23"/>
      <c r="N163" s="26" t="n">
        <f aca="false">N(K163)+N(L163)-N(M163)</f>
        <v>0</v>
      </c>
      <c r="O163" s="37" t="n">
        <f aca="false">'May 2027'!R163</f>
        <v>0</v>
      </c>
      <c r="P163" s="37" t="n">
        <f aca="false">IF(B163="",0,N(Students!H152))</f>
        <v>0</v>
      </c>
      <c r="Q163" s="23"/>
      <c r="R163" s="26" t="n">
        <f aca="false">N(O163)+N(P163)-N(Q163)</f>
        <v>0</v>
      </c>
      <c r="S163" s="37" t="n">
        <f aca="false">'May 2027'!V163</f>
        <v>0</v>
      </c>
      <c r="T163" s="37" t="n">
        <f aca="false">IF(B163="",0,N(Students!I152))</f>
        <v>0</v>
      </c>
      <c r="U163" s="23"/>
      <c r="V163" s="26" t="n">
        <f aca="false">N(S163)+N(T163)-N(U163)</f>
        <v>0</v>
      </c>
      <c r="W163" s="37" t="n">
        <f aca="false">'May 2027'!Z163</f>
        <v>0</v>
      </c>
      <c r="X163" s="37" t="n">
        <f aca="false">IF(B163="",0,N(Students!J152))</f>
        <v>0</v>
      </c>
      <c r="Y163" s="23"/>
      <c r="Z163" s="26" t="n">
        <f aca="false">N(W163)+N(X163)-N(Y163)</f>
        <v>0</v>
      </c>
      <c r="AA163" s="37" t="n">
        <f aca="false">N(E163)+N(I163)+N(M163)+N(Q163)+N(U163)+N(Y163)</f>
        <v>0</v>
      </c>
      <c r="AB163" s="26" t="n">
        <f aca="false">F163+J163+N163+R163+V163+Z163</f>
        <v>0</v>
      </c>
      <c r="AC163" s="83" t="str">
        <f aca="false">IF(B163="","",IF(AB163&lt;=0,"Clear",IF(AA163&gt;0,"Partial","Due")))</f>
        <v/>
      </c>
    </row>
    <row r="164" customFormat="false" ht="15" hidden="false" customHeight="false" outlineLevel="0" collapsed="false">
      <c r="A164" s="21" t="n">
        <v>149</v>
      </c>
      <c r="B164" s="46" t="str">
        <f aca="false">IF(Students!B153="","",Students!B153)</f>
        <v/>
      </c>
      <c r="C164" s="33" t="n">
        <f aca="false">'May 2027'!F164</f>
        <v>0</v>
      </c>
      <c r="D164" s="33" t="n">
        <f aca="false">IF(B164="",0,N(Students!E153))</f>
        <v>0</v>
      </c>
      <c r="E164" s="23"/>
      <c r="F164" s="24" t="n">
        <f aca="false">N(C164)+N(D164)-N(E164)</f>
        <v>0</v>
      </c>
      <c r="G164" s="33" t="n">
        <f aca="false">'May 2027'!J164</f>
        <v>0</v>
      </c>
      <c r="H164" s="33" t="n">
        <f aca="false">IF(B164="",0,N(Students!F153))</f>
        <v>0</v>
      </c>
      <c r="I164" s="23"/>
      <c r="J164" s="24" t="n">
        <f aca="false">N(G164)+N(H164)-N(I164)</f>
        <v>0</v>
      </c>
      <c r="K164" s="33" t="n">
        <f aca="false">'May 2027'!N164</f>
        <v>0</v>
      </c>
      <c r="L164" s="33" t="n">
        <f aca="false">IF(B164="",0,N(Students!G153))</f>
        <v>0</v>
      </c>
      <c r="M164" s="23"/>
      <c r="N164" s="24" t="n">
        <f aca="false">N(K164)+N(L164)-N(M164)</f>
        <v>0</v>
      </c>
      <c r="O164" s="33" t="n">
        <f aca="false">'May 2027'!R164</f>
        <v>0</v>
      </c>
      <c r="P164" s="33" t="n">
        <f aca="false">IF(B164="",0,N(Students!H153))</f>
        <v>0</v>
      </c>
      <c r="Q164" s="23"/>
      <c r="R164" s="24" t="n">
        <f aca="false">N(O164)+N(P164)-N(Q164)</f>
        <v>0</v>
      </c>
      <c r="S164" s="33" t="n">
        <f aca="false">'May 2027'!V164</f>
        <v>0</v>
      </c>
      <c r="T164" s="33" t="n">
        <f aca="false">IF(B164="",0,N(Students!I153))</f>
        <v>0</v>
      </c>
      <c r="U164" s="23"/>
      <c r="V164" s="24" t="n">
        <f aca="false">N(S164)+N(T164)-N(U164)</f>
        <v>0</v>
      </c>
      <c r="W164" s="33" t="n">
        <f aca="false">'May 2027'!Z164</f>
        <v>0</v>
      </c>
      <c r="X164" s="33" t="n">
        <f aca="false">IF(B164="",0,N(Students!J153))</f>
        <v>0</v>
      </c>
      <c r="Y164" s="23"/>
      <c r="Z164" s="24" t="n">
        <f aca="false">N(W164)+N(X164)-N(Y164)</f>
        <v>0</v>
      </c>
      <c r="AA164" s="33" t="n">
        <f aca="false">N(E164)+N(I164)+N(M164)+N(Q164)+N(U164)+N(Y164)</f>
        <v>0</v>
      </c>
      <c r="AB164" s="24" t="n">
        <f aca="false">F164+J164+N164+R164+V164+Z164</f>
        <v>0</v>
      </c>
      <c r="AC164" s="81" t="str">
        <f aca="false">IF(B164="","",IF(AB164&lt;=0,"Clear",IF(AA164&gt;0,"Partial","Due")))</f>
        <v/>
      </c>
    </row>
    <row r="165" customFormat="false" ht="15" hidden="false" customHeight="false" outlineLevel="0" collapsed="false">
      <c r="A165" s="25" t="n">
        <v>150</v>
      </c>
      <c r="B165" s="82" t="str">
        <f aca="false">IF(Students!B154="","",Students!B154)</f>
        <v/>
      </c>
      <c r="C165" s="37" t="n">
        <f aca="false">'May 2027'!F165</f>
        <v>0</v>
      </c>
      <c r="D165" s="37" t="n">
        <f aca="false">IF(B165="",0,N(Students!E154))</f>
        <v>0</v>
      </c>
      <c r="E165" s="23"/>
      <c r="F165" s="26" t="n">
        <f aca="false">N(C165)+N(D165)-N(E165)</f>
        <v>0</v>
      </c>
      <c r="G165" s="37" t="n">
        <f aca="false">'May 2027'!J165</f>
        <v>0</v>
      </c>
      <c r="H165" s="37" t="n">
        <f aca="false">IF(B165="",0,N(Students!F154))</f>
        <v>0</v>
      </c>
      <c r="I165" s="23"/>
      <c r="J165" s="26" t="n">
        <f aca="false">N(G165)+N(H165)-N(I165)</f>
        <v>0</v>
      </c>
      <c r="K165" s="37" t="n">
        <f aca="false">'May 2027'!N165</f>
        <v>0</v>
      </c>
      <c r="L165" s="37" t="n">
        <f aca="false">IF(B165="",0,N(Students!G154))</f>
        <v>0</v>
      </c>
      <c r="M165" s="23"/>
      <c r="N165" s="26" t="n">
        <f aca="false">N(K165)+N(L165)-N(M165)</f>
        <v>0</v>
      </c>
      <c r="O165" s="37" t="n">
        <f aca="false">'May 2027'!R165</f>
        <v>0</v>
      </c>
      <c r="P165" s="37" t="n">
        <f aca="false">IF(B165="",0,N(Students!H154))</f>
        <v>0</v>
      </c>
      <c r="Q165" s="23"/>
      <c r="R165" s="26" t="n">
        <f aca="false">N(O165)+N(P165)-N(Q165)</f>
        <v>0</v>
      </c>
      <c r="S165" s="37" t="n">
        <f aca="false">'May 2027'!V165</f>
        <v>0</v>
      </c>
      <c r="T165" s="37" t="n">
        <f aca="false">IF(B165="",0,N(Students!I154))</f>
        <v>0</v>
      </c>
      <c r="U165" s="23"/>
      <c r="V165" s="26" t="n">
        <f aca="false">N(S165)+N(T165)-N(U165)</f>
        <v>0</v>
      </c>
      <c r="W165" s="37" t="n">
        <f aca="false">'May 2027'!Z165</f>
        <v>0</v>
      </c>
      <c r="X165" s="37" t="n">
        <f aca="false">IF(B165="",0,N(Students!J154))</f>
        <v>0</v>
      </c>
      <c r="Y165" s="23"/>
      <c r="Z165" s="26" t="n">
        <f aca="false">N(W165)+N(X165)-N(Y165)</f>
        <v>0</v>
      </c>
      <c r="AA165" s="37" t="n">
        <f aca="false">N(E165)+N(I165)+N(M165)+N(Q165)+N(U165)+N(Y165)</f>
        <v>0</v>
      </c>
      <c r="AB165" s="26" t="n">
        <f aca="false">F165+J165+N165+R165+V165+Z165</f>
        <v>0</v>
      </c>
      <c r="AC165" s="83" t="str">
        <f aca="false">IF(B165="","",IF(AB165&lt;=0,"Clear",IF(AA165&gt;0,"Partial","Due")))</f>
        <v/>
      </c>
    </row>
    <row r="166" customFormat="false" ht="15" hidden="false" customHeight="true" outlineLevel="0" collapsed="false">
      <c r="A166" s="4" t="s">
        <v>79</v>
      </c>
      <c r="B166" s="4"/>
      <c r="C166" s="41" t="n">
        <f aca="false">SUM(C16:C165)</f>
        <v>0</v>
      </c>
      <c r="D166" s="41" t="n">
        <f aca="false">SUM(D16:D165)</f>
        <v>0</v>
      </c>
      <c r="E166" s="41" t="n">
        <f aca="false">SUM(E16:E165)</f>
        <v>0</v>
      </c>
      <c r="F166" s="41" t="n">
        <f aca="false">SUM(F16:F165)</f>
        <v>0</v>
      </c>
      <c r="G166" s="41" t="n">
        <f aca="false">SUM(G16:G165)</f>
        <v>14000</v>
      </c>
      <c r="H166" s="41" t="n">
        <f aca="false">SUM(H16:H165)</f>
        <v>2000</v>
      </c>
      <c r="I166" s="41" t="n">
        <f aca="false">SUM(I16:I165)</f>
        <v>0</v>
      </c>
      <c r="J166" s="41" t="n">
        <f aca="false">SUM(J16:J165)</f>
        <v>16000</v>
      </c>
      <c r="K166" s="41" t="n">
        <f aca="false">SUM(K16:K165)</f>
        <v>0</v>
      </c>
      <c r="L166" s="41" t="n">
        <f aca="false">SUM(L16:L165)</f>
        <v>0</v>
      </c>
      <c r="M166" s="41" t="n">
        <f aca="false">SUM(M16:M165)</f>
        <v>0</v>
      </c>
      <c r="N166" s="41" t="n">
        <f aca="false">SUM(N16:N165)</f>
        <v>0</v>
      </c>
      <c r="O166" s="41" t="n">
        <f aca="false">SUM(O16:O165)</f>
        <v>11000</v>
      </c>
      <c r="P166" s="41" t="n">
        <f aca="false">SUM(P16:P165)</f>
        <v>1500</v>
      </c>
      <c r="Q166" s="41" t="n">
        <f aca="false">SUM(Q16:Q165)</f>
        <v>0</v>
      </c>
      <c r="R166" s="41" t="n">
        <f aca="false">SUM(R16:R165)</f>
        <v>12500</v>
      </c>
      <c r="S166" s="41" t="n">
        <f aca="false">SUM(S16:S165)</f>
        <v>0</v>
      </c>
      <c r="T166" s="41" t="n">
        <f aca="false">SUM(T16:T165)</f>
        <v>0</v>
      </c>
      <c r="U166" s="41" t="n">
        <f aca="false">SUM(U16:U165)</f>
        <v>0</v>
      </c>
      <c r="V166" s="41" t="n">
        <f aca="false">SUM(V16:V165)</f>
        <v>0</v>
      </c>
      <c r="W166" s="41" t="n">
        <f aca="false">SUM(W16:W165)</f>
        <v>0</v>
      </c>
      <c r="X166" s="41" t="n">
        <f aca="false">SUM(X16:X165)</f>
        <v>0</v>
      </c>
      <c r="Y166" s="41" t="n">
        <f aca="false">SUM(Y16:Y165)</f>
        <v>0</v>
      </c>
      <c r="Z166" s="41" t="n">
        <f aca="false">SUM(Z16:Z165)</f>
        <v>0</v>
      </c>
      <c r="AA166" s="41" t="n">
        <f aca="false">SUM(AA16:AA165)</f>
        <v>0</v>
      </c>
      <c r="AB166" s="41" t="n">
        <f aca="false">SUM(AB16:AB165)</f>
        <v>28500</v>
      </c>
      <c r="AC166" s="43"/>
    </row>
  </sheetData>
  <mergeCells count="34">
    <mergeCell ref="A1:AC1"/>
    <mergeCell ref="A2:AC2"/>
    <mergeCell ref="B4:I4"/>
    <mergeCell ref="K4:N4"/>
    <mergeCell ref="C5:D5"/>
    <mergeCell ref="K5:M5"/>
    <mergeCell ref="P5:R5"/>
    <mergeCell ref="T5:V5"/>
    <mergeCell ref="X5:Z5"/>
    <mergeCell ref="C6:D6"/>
    <mergeCell ref="K6:M6"/>
    <mergeCell ref="P6:R7"/>
    <mergeCell ref="T6:V7"/>
    <mergeCell ref="X6:Z7"/>
    <mergeCell ref="C7:D7"/>
    <mergeCell ref="K7:M7"/>
    <mergeCell ref="C8:D8"/>
    <mergeCell ref="K8:M8"/>
    <mergeCell ref="C9:D9"/>
    <mergeCell ref="P9:Z9"/>
    <mergeCell ref="C10:D10"/>
    <mergeCell ref="K10:M10"/>
    <mergeCell ref="C11:D11"/>
    <mergeCell ref="K11:N11"/>
    <mergeCell ref="C12:D12"/>
    <mergeCell ref="A14:B14"/>
    <mergeCell ref="C14:F14"/>
    <mergeCell ref="G14:J14"/>
    <mergeCell ref="K14:N14"/>
    <mergeCell ref="O14:R14"/>
    <mergeCell ref="S14:V14"/>
    <mergeCell ref="W14:Z14"/>
    <mergeCell ref="AA14:AC14"/>
    <mergeCell ref="A166:B166"/>
  </mergeCells>
  <conditionalFormatting sqref="AC16:AC165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F16:F165 J16:J165 N16:N165 R16:R165 V16:V165 Z16:Z165 AB16:AB165">
    <cfRule type="cellIs" priority="5" operator="greaterThan" aboveAverage="0" equalAverage="0" bottom="0" percent="0" rank="0" text="" dxfId="0">
      <formula>0</formula>
    </cfRule>
  </conditionalFormatting>
  <conditionalFormatting sqref="N10"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AC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29" min="5" style="0" width="11.5"/>
  </cols>
  <sheetData>
    <row r="1" customFormat="false" ht="31.5" hidden="false" customHeight="true" outlineLevel="0" collapsed="false">
      <c r="A1" s="54" t="str">
        <f aca="false">UPPER(Setup!B3)</f>
        <v>FUTURE TALENT ACADEMY JAMSHORO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customFormat="false" ht="21.75" hidden="false" customHeight="true" outlineLevel="0" collapsed="false">
      <c r="A2" s="55" t="s">
        <v>111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customFormat="false" ht="15" hidden="false" customHeight="true" outlineLevel="0" collapsed="false">
      <c r="B4" s="4" t="s">
        <v>82</v>
      </c>
      <c r="C4" s="4"/>
      <c r="D4" s="4"/>
      <c r="E4" s="4"/>
      <c r="F4" s="4"/>
      <c r="G4" s="4"/>
      <c r="H4" s="4"/>
      <c r="I4" s="4"/>
      <c r="K4" s="28" t="s">
        <v>83</v>
      </c>
      <c r="L4" s="28"/>
      <c r="M4" s="28"/>
      <c r="N4" s="28"/>
    </row>
    <row r="5" customFormat="false" ht="22.35" hidden="false" customHeight="true" outlineLevel="0" collapsed="false">
      <c r="B5" s="56" t="s">
        <v>76</v>
      </c>
      <c r="C5" s="56" t="s">
        <v>77</v>
      </c>
      <c r="D5" s="56"/>
      <c r="E5" s="56" t="s">
        <v>84</v>
      </c>
      <c r="F5" s="56" t="s">
        <v>85</v>
      </c>
      <c r="G5" s="56" t="s">
        <v>5</v>
      </c>
      <c r="H5" s="56" t="s">
        <v>6</v>
      </c>
      <c r="I5" s="56" t="s">
        <v>86</v>
      </c>
      <c r="K5" s="57" t="s">
        <v>87</v>
      </c>
      <c r="L5" s="57"/>
      <c r="M5" s="57"/>
      <c r="N5" s="58" t="n">
        <f aca="false">H12</f>
        <v>0</v>
      </c>
      <c r="P5" s="59" t="s">
        <v>88</v>
      </c>
      <c r="Q5" s="59"/>
      <c r="R5" s="59"/>
      <c r="T5" s="60" t="s">
        <v>89</v>
      </c>
      <c r="U5" s="60"/>
      <c r="V5" s="60"/>
      <c r="X5" s="61" t="s">
        <v>90</v>
      </c>
      <c r="Y5" s="61"/>
      <c r="Z5" s="61"/>
    </row>
    <row r="6" customFormat="false" ht="15" hidden="false" customHeight="true" outlineLevel="0" collapsed="false">
      <c r="B6" s="62" t="str">
        <f aca="false">Setup!A6</f>
        <v>English</v>
      </c>
      <c r="C6" s="63" t="str">
        <f aca="false">Setup!B6</f>
        <v>Sir Sajjad Ali Birhmani</v>
      </c>
      <c r="D6" s="63"/>
      <c r="E6" s="64" t="n">
        <f aca="false">D166</f>
        <v>0</v>
      </c>
      <c r="F6" s="58" t="n">
        <f aca="false">E166</f>
        <v>0</v>
      </c>
      <c r="G6" s="65" t="n">
        <f aca="false">F6*Setup!C6</f>
        <v>0</v>
      </c>
      <c r="H6" s="66" t="n">
        <f aca="false">F6-G6</f>
        <v>0</v>
      </c>
      <c r="I6" s="67" t="n">
        <f aca="false">F166</f>
        <v>0</v>
      </c>
      <c r="K6" s="57" t="s">
        <v>91</v>
      </c>
      <c r="L6" s="57"/>
      <c r="M6" s="57"/>
      <c r="N6" s="65" t="n">
        <f aca="false">SUMIFS(Administration!$G$5:$G$304,Administration!$C$5:$C$304,"Jul 2027",Administration!$D$5:$D$304,"Other Income")</f>
        <v>0</v>
      </c>
      <c r="P6" s="68" t="n">
        <f aca="false">F12</f>
        <v>0</v>
      </c>
      <c r="Q6" s="68"/>
      <c r="R6" s="68"/>
      <c r="T6" s="69" t="n">
        <f aca="false">G12</f>
        <v>0</v>
      </c>
      <c r="U6" s="69"/>
      <c r="V6" s="69"/>
      <c r="X6" s="70" t="n">
        <f aca="false">I12</f>
        <v>32000</v>
      </c>
      <c r="Y6" s="70"/>
      <c r="Z6" s="70"/>
    </row>
    <row r="7" customFormat="false" ht="15" hidden="false" customHeight="true" outlineLevel="0" collapsed="false">
      <c r="B7" s="71" t="str">
        <f aca="false">Setup!A7</f>
        <v>Computer</v>
      </c>
      <c r="C7" s="63" t="str">
        <f aca="false">Setup!B7</f>
        <v>Sir Nazeer Ahmed Jamali</v>
      </c>
      <c r="D7" s="63"/>
      <c r="E7" s="64" t="n">
        <f aca="false">H166</f>
        <v>2000</v>
      </c>
      <c r="F7" s="58" t="n">
        <f aca="false">I166</f>
        <v>0</v>
      </c>
      <c r="G7" s="65" t="n">
        <f aca="false">F7*Setup!C7</f>
        <v>0</v>
      </c>
      <c r="H7" s="66" t="n">
        <f aca="false">F7-G7</f>
        <v>0</v>
      </c>
      <c r="I7" s="67" t="n">
        <f aca="false">J166</f>
        <v>18000</v>
      </c>
      <c r="K7" s="57" t="s">
        <v>92</v>
      </c>
      <c r="L7" s="57"/>
      <c r="M7" s="57"/>
      <c r="N7" s="72" t="n">
        <f aca="false">SUMIFS(Administration!$G$5:$G$304,Administration!$C$5:$C$304,"Jul 2027",Administration!$D$5:$D$304,"Expense")</f>
        <v>0</v>
      </c>
      <c r="P7" s="68"/>
      <c r="Q7" s="68"/>
      <c r="R7" s="68"/>
      <c r="T7" s="69"/>
      <c r="U7" s="69"/>
      <c r="V7" s="69"/>
      <c r="X7" s="70"/>
      <c r="Y7" s="70"/>
      <c r="Z7" s="70"/>
    </row>
    <row r="8" customFormat="false" ht="15" hidden="false" customHeight="true" outlineLevel="0" collapsed="false">
      <c r="B8" s="73" t="str">
        <f aca="false">Setup!A8</f>
        <v>Biology</v>
      </c>
      <c r="C8" s="63" t="str">
        <f aca="false">Setup!B8</f>
        <v>Sir Azhar Ali Chandio</v>
      </c>
      <c r="D8" s="63"/>
      <c r="E8" s="64" t="n">
        <f aca="false">L166</f>
        <v>0</v>
      </c>
      <c r="F8" s="58" t="n">
        <f aca="false">M166</f>
        <v>0</v>
      </c>
      <c r="G8" s="65" t="n">
        <f aca="false">F8*Setup!C8</f>
        <v>0</v>
      </c>
      <c r="H8" s="66" t="n">
        <f aca="false">F8-G8</f>
        <v>0</v>
      </c>
      <c r="I8" s="67" t="n">
        <f aca="false">N166</f>
        <v>0</v>
      </c>
      <c r="K8" s="57" t="s">
        <v>93</v>
      </c>
      <c r="L8" s="57"/>
      <c r="M8" s="57"/>
      <c r="N8" s="72" t="n">
        <f aca="false">SUMIFS(Administration!$G$5:$G$304,Administration!$C$5:$C$304,"Jul 2027",Administration!$D$5:$D$304,"Investment")</f>
        <v>0</v>
      </c>
    </row>
    <row r="9" customFormat="false" ht="15" hidden="false" customHeight="false" outlineLevel="0" collapsed="false">
      <c r="B9" s="74" t="str">
        <f aca="false">Setup!A9</f>
        <v>Math</v>
      </c>
      <c r="C9" s="63" t="str">
        <f aca="false">Setup!B9</f>
        <v>Sir M. Faheem</v>
      </c>
      <c r="D9" s="63"/>
      <c r="E9" s="64" t="n">
        <f aca="false">P166</f>
        <v>1500</v>
      </c>
      <c r="F9" s="58" t="n">
        <f aca="false">Q166</f>
        <v>0</v>
      </c>
      <c r="G9" s="65" t="n">
        <f aca="false">F9*Setup!C9</f>
        <v>0</v>
      </c>
      <c r="H9" s="66" t="n">
        <f aca="false">F9-G9</f>
        <v>0</v>
      </c>
      <c r="I9" s="67" t="n">
        <f aca="false">R166</f>
        <v>14000</v>
      </c>
      <c r="P9" s="75" t="str">
        <f aca="false">COUNTIF(AC16:AC165,"Clear")&amp;" students fully paid   •   "&amp;(COUNTIF(AC16:AC165,"Due")+COUNTIF(AC16:AC165,"Partial"))&amp;" students with dues"</f>
        <v>0 students fully paid   •   1 students with dues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15" hidden="false" customHeight="true" outlineLevel="0" collapsed="false">
      <c r="B10" s="76" t="str">
        <f aca="false">Setup!A10</f>
        <v>Kids Coaching (Class 1)</v>
      </c>
      <c r="C10" s="63" t="str">
        <f aca="false">Setup!B10</f>
        <v>Miss Farzana</v>
      </c>
      <c r="D10" s="63"/>
      <c r="E10" s="64" t="n">
        <f aca="false">T166</f>
        <v>0</v>
      </c>
      <c r="F10" s="58" t="n">
        <f aca="false">U166</f>
        <v>0</v>
      </c>
      <c r="G10" s="65" t="n">
        <f aca="false">F10*Setup!C10</f>
        <v>0</v>
      </c>
      <c r="H10" s="66" t="n">
        <f aca="false">F10-G10</f>
        <v>0</v>
      </c>
      <c r="I10" s="67" t="n">
        <f aca="false">V166</f>
        <v>0</v>
      </c>
      <c r="K10" s="77" t="s">
        <v>59</v>
      </c>
      <c r="L10" s="77"/>
      <c r="M10" s="77"/>
      <c r="N10" s="78" t="n">
        <f aca="false">N5+N6-N7-N8</f>
        <v>0</v>
      </c>
    </row>
    <row r="11" customFormat="false" ht="15" hidden="false" customHeight="true" outlineLevel="0" collapsed="false">
      <c r="B11" s="79" t="str">
        <f aca="false">Setup!A11</f>
        <v>Kids Coaching (Class 2)</v>
      </c>
      <c r="C11" s="63" t="str">
        <f aca="false">Setup!B11</f>
        <v>Miss Fozia</v>
      </c>
      <c r="D11" s="63"/>
      <c r="E11" s="64" t="n">
        <f aca="false">X166</f>
        <v>0</v>
      </c>
      <c r="F11" s="58" t="n">
        <f aca="false">Y166</f>
        <v>0</v>
      </c>
      <c r="G11" s="65" t="n">
        <f aca="false">F11*Setup!C11</f>
        <v>0</v>
      </c>
      <c r="H11" s="66" t="n">
        <f aca="false">F11-G11</f>
        <v>0</v>
      </c>
      <c r="I11" s="67" t="n">
        <f aca="false">Z166</f>
        <v>0</v>
      </c>
      <c r="K11" s="53" t="s">
        <v>94</v>
      </c>
      <c r="L11" s="53"/>
      <c r="M11" s="53"/>
      <c r="N11" s="53"/>
    </row>
    <row r="12" customFormat="false" ht="15" hidden="false" customHeight="false" outlineLevel="0" collapsed="false">
      <c r="B12" s="40" t="s">
        <v>79</v>
      </c>
      <c r="C12" s="43"/>
      <c r="D12" s="43"/>
      <c r="E12" s="41" t="n">
        <f aca="false">SUM(E6:E11)</f>
        <v>3500</v>
      </c>
      <c r="F12" s="41" t="n">
        <f aca="false">SUM(F6:F11)</f>
        <v>0</v>
      </c>
      <c r="G12" s="41" t="n">
        <f aca="false">SUM(G6:G11)</f>
        <v>0</v>
      </c>
      <c r="H12" s="41" t="n">
        <f aca="false">SUM(H6:H11)</f>
        <v>0</v>
      </c>
      <c r="I12" s="41" t="n">
        <f aca="false">SUM(I6:I11)</f>
        <v>32000</v>
      </c>
    </row>
    <row r="14" customFormat="false" ht="25.5" hidden="false" customHeight="true" outlineLevel="0" collapsed="false">
      <c r="A14" s="4" t="s">
        <v>28</v>
      </c>
      <c r="B14" s="4"/>
      <c r="C14" s="14" t="str">
        <f aca="false">Setup!A6&amp;" — "&amp;Setup!B6</f>
        <v>English — Sir Sajjad Ali Birhmani</v>
      </c>
      <c r="D14" s="14"/>
      <c r="E14" s="14"/>
      <c r="F14" s="14"/>
      <c r="G14" s="15" t="str">
        <f aca="false">Setup!A7&amp;" — "&amp;Setup!B7</f>
        <v>Computer — Sir Nazeer Ahmed Jamali</v>
      </c>
      <c r="H14" s="15"/>
      <c r="I14" s="15"/>
      <c r="J14" s="15"/>
      <c r="K14" s="16" t="str">
        <f aca="false">Setup!A8&amp;" — "&amp;Setup!B8</f>
        <v>Biology — Sir Azhar Ali Chandio</v>
      </c>
      <c r="L14" s="16"/>
      <c r="M14" s="16"/>
      <c r="N14" s="16"/>
      <c r="O14" s="17" t="str">
        <f aca="false">Setup!A9&amp;" — "&amp;Setup!B9</f>
        <v>Math — Sir M. Faheem</v>
      </c>
      <c r="P14" s="17"/>
      <c r="Q14" s="17"/>
      <c r="R14" s="17"/>
      <c r="S14" s="18" t="str">
        <f aca="false">Setup!A10&amp;" — "&amp;Setup!B10</f>
        <v>Kids Coaching (Class 1) — Miss Farzana</v>
      </c>
      <c r="T14" s="18"/>
      <c r="U14" s="18"/>
      <c r="V14" s="18"/>
      <c r="W14" s="19" t="str">
        <f aca="false">Setup!A11&amp;" — "&amp;Setup!B11</f>
        <v>Kids Coaching (Class 2) — Miss Fozia</v>
      </c>
      <c r="X14" s="19"/>
      <c r="Y14" s="19"/>
      <c r="Z14" s="19"/>
      <c r="AA14" s="80" t="s">
        <v>95</v>
      </c>
      <c r="AB14" s="80"/>
      <c r="AC14" s="80"/>
    </row>
    <row r="15" customFormat="false" ht="30" hidden="false" customHeight="true" outlineLevel="0" collapsed="false">
      <c r="A15" s="13" t="s">
        <v>30</v>
      </c>
      <c r="B15" s="13" t="s">
        <v>31</v>
      </c>
      <c r="C15" s="14" t="s">
        <v>96</v>
      </c>
      <c r="D15" s="14" t="s">
        <v>97</v>
      </c>
      <c r="E15" s="14" t="s">
        <v>98</v>
      </c>
      <c r="F15" s="14" t="s">
        <v>99</v>
      </c>
      <c r="G15" s="15" t="s">
        <v>96</v>
      </c>
      <c r="H15" s="15" t="s">
        <v>97</v>
      </c>
      <c r="I15" s="15" t="s">
        <v>98</v>
      </c>
      <c r="J15" s="15" t="s">
        <v>99</v>
      </c>
      <c r="K15" s="16" t="s">
        <v>96</v>
      </c>
      <c r="L15" s="16" t="s">
        <v>97</v>
      </c>
      <c r="M15" s="16" t="s">
        <v>98</v>
      </c>
      <c r="N15" s="16" t="s">
        <v>99</v>
      </c>
      <c r="O15" s="17" t="s">
        <v>96</v>
      </c>
      <c r="P15" s="17" t="s">
        <v>97</v>
      </c>
      <c r="Q15" s="17" t="s">
        <v>98</v>
      </c>
      <c r="R15" s="17" t="s">
        <v>99</v>
      </c>
      <c r="S15" s="18" t="s">
        <v>96</v>
      </c>
      <c r="T15" s="18" t="s">
        <v>97</v>
      </c>
      <c r="U15" s="18" t="s">
        <v>98</v>
      </c>
      <c r="V15" s="18" t="s">
        <v>99</v>
      </c>
      <c r="W15" s="19" t="s">
        <v>96</v>
      </c>
      <c r="X15" s="19" t="s">
        <v>97</v>
      </c>
      <c r="Y15" s="19" t="s">
        <v>98</v>
      </c>
      <c r="Z15" s="19" t="s">
        <v>99</v>
      </c>
      <c r="AA15" s="20" t="s">
        <v>100</v>
      </c>
      <c r="AB15" s="20" t="s">
        <v>101</v>
      </c>
      <c r="AC15" s="20" t="s">
        <v>102</v>
      </c>
    </row>
    <row r="16" customFormat="false" ht="15" hidden="false" customHeight="false" outlineLevel="0" collapsed="false">
      <c r="A16" s="21" t="n">
        <v>1</v>
      </c>
      <c r="B16" s="46" t="str">
        <f aca="false">IF(Students!B5="","",Students!B5)</f>
        <v>Ali (example)</v>
      </c>
      <c r="C16" s="33" t="n">
        <f aca="false">'Jun 2027'!F16</f>
        <v>0</v>
      </c>
      <c r="D16" s="33" t="n">
        <f aca="false">IF(B16="",0,N(Students!E5))</f>
        <v>0</v>
      </c>
      <c r="E16" s="23"/>
      <c r="F16" s="24" t="n">
        <f aca="false">N(C16)+N(D16)-N(E16)</f>
        <v>0</v>
      </c>
      <c r="G16" s="33" t="n">
        <f aca="false">'Jun 2027'!J16</f>
        <v>16000</v>
      </c>
      <c r="H16" s="33" t="n">
        <f aca="false">IF(B16="",0,N(Students!F5))</f>
        <v>2000</v>
      </c>
      <c r="I16" s="23"/>
      <c r="J16" s="24" t="n">
        <f aca="false">N(G16)+N(H16)-N(I16)</f>
        <v>18000</v>
      </c>
      <c r="K16" s="33" t="n">
        <f aca="false">'Jun 2027'!N16</f>
        <v>0</v>
      </c>
      <c r="L16" s="33" t="n">
        <f aca="false">IF(B16="",0,N(Students!G5))</f>
        <v>0</v>
      </c>
      <c r="M16" s="23"/>
      <c r="N16" s="24" t="n">
        <f aca="false">N(K16)+N(L16)-N(M16)</f>
        <v>0</v>
      </c>
      <c r="O16" s="33" t="n">
        <f aca="false">'Jun 2027'!R16</f>
        <v>12500</v>
      </c>
      <c r="P16" s="33" t="n">
        <f aca="false">IF(B16="",0,N(Students!H5))</f>
        <v>1500</v>
      </c>
      <c r="Q16" s="23"/>
      <c r="R16" s="24" t="n">
        <f aca="false">N(O16)+N(P16)-N(Q16)</f>
        <v>14000</v>
      </c>
      <c r="S16" s="33" t="n">
        <f aca="false">'Jun 2027'!V16</f>
        <v>0</v>
      </c>
      <c r="T16" s="33" t="n">
        <f aca="false">IF(B16="",0,N(Students!I5))</f>
        <v>0</v>
      </c>
      <c r="U16" s="23"/>
      <c r="V16" s="24" t="n">
        <f aca="false">N(S16)+N(T16)-N(U16)</f>
        <v>0</v>
      </c>
      <c r="W16" s="33" t="n">
        <f aca="false">'Jun 2027'!Z16</f>
        <v>0</v>
      </c>
      <c r="X16" s="33" t="n">
        <f aca="false">IF(B16="",0,N(Students!J5))</f>
        <v>0</v>
      </c>
      <c r="Y16" s="23"/>
      <c r="Z16" s="24" t="n">
        <f aca="false">N(W16)+N(X16)-N(Y16)</f>
        <v>0</v>
      </c>
      <c r="AA16" s="33" t="n">
        <f aca="false">N(E16)+N(I16)+N(M16)+N(Q16)+N(U16)+N(Y16)</f>
        <v>0</v>
      </c>
      <c r="AB16" s="24" t="n">
        <f aca="false">F16+J16+N16+R16+V16+Z16</f>
        <v>32000</v>
      </c>
      <c r="AC16" s="81" t="str">
        <f aca="false">IF(B16="","",IF(AB16&lt;=0,"Clear",IF(AA16&gt;0,"Partial","Due")))</f>
        <v>Due</v>
      </c>
    </row>
    <row r="17" customFormat="false" ht="15" hidden="false" customHeight="false" outlineLevel="0" collapsed="false">
      <c r="A17" s="25" t="n">
        <v>2</v>
      </c>
      <c r="B17" s="82" t="str">
        <f aca="false">IF(Students!B6="","",Students!B6)</f>
        <v/>
      </c>
      <c r="C17" s="37" t="n">
        <f aca="false">'Jun 2027'!F17</f>
        <v>0</v>
      </c>
      <c r="D17" s="37" t="n">
        <f aca="false">IF(B17="",0,N(Students!E6))</f>
        <v>0</v>
      </c>
      <c r="E17" s="23"/>
      <c r="F17" s="26" t="n">
        <f aca="false">N(C17)+N(D17)-N(E17)</f>
        <v>0</v>
      </c>
      <c r="G17" s="37" t="n">
        <f aca="false">'Jun 2027'!J17</f>
        <v>0</v>
      </c>
      <c r="H17" s="37" t="n">
        <f aca="false">IF(B17="",0,N(Students!F6))</f>
        <v>0</v>
      </c>
      <c r="I17" s="23"/>
      <c r="J17" s="26" t="n">
        <f aca="false">N(G17)+N(H17)-N(I17)</f>
        <v>0</v>
      </c>
      <c r="K17" s="37" t="n">
        <f aca="false">'Jun 2027'!N17</f>
        <v>0</v>
      </c>
      <c r="L17" s="37" t="n">
        <f aca="false">IF(B17="",0,N(Students!G6))</f>
        <v>0</v>
      </c>
      <c r="M17" s="23"/>
      <c r="N17" s="26" t="n">
        <f aca="false">N(K17)+N(L17)-N(M17)</f>
        <v>0</v>
      </c>
      <c r="O17" s="37" t="n">
        <f aca="false">'Jun 2027'!R17</f>
        <v>0</v>
      </c>
      <c r="P17" s="37" t="n">
        <f aca="false">IF(B17="",0,N(Students!H6))</f>
        <v>0</v>
      </c>
      <c r="Q17" s="23"/>
      <c r="R17" s="26" t="n">
        <f aca="false">N(O17)+N(P17)-N(Q17)</f>
        <v>0</v>
      </c>
      <c r="S17" s="37" t="n">
        <f aca="false">'Jun 2027'!V17</f>
        <v>0</v>
      </c>
      <c r="T17" s="37" t="n">
        <f aca="false">IF(B17="",0,N(Students!I6))</f>
        <v>0</v>
      </c>
      <c r="U17" s="23"/>
      <c r="V17" s="26" t="n">
        <f aca="false">N(S17)+N(T17)-N(U17)</f>
        <v>0</v>
      </c>
      <c r="W17" s="37" t="n">
        <f aca="false">'Jun 2027'!Z17</f>
        <v>0</v>
      </c>
      <c r="X17" s="37" t="n">
        <f aca="false">IF(B17="",0,N(Students!J6))</f>
        <v>0</v>
      </c>
      <c r="Y17" s="23"/>
      <c r="Z17" s="26" t="n">
        <f aca="false">N(W17)+N(X17)-N(Y17)</f>
        <v>0</v>
      </c>
      <c r="AA17" s="37" t="n">
        <f aca="false">N(E17)+N(I17)+N(M17)+N(Q17)+N(U17)+N(Y17)</f>
        <v>0</v>
      </c>
      <c r="AB17" s="26" t="n">
        <f aca="false">F17+J17+N17+R17+V17+Z17</f>
        <v>0</v>
      </c>
      <c r="AC17" s="83" t="str">
        <f aca="false">IF(B17="","",IF(AB17&lt;=0,"Clear",IF(AA17&gt;0,"Partial","Due")))</f>
        <v/>
      </c>
    </row>
    <row r="18" customFormat="false" ht="15" hidden="false" customHeight="false" outlineLevel="0" collapsed="false">
      <c r="A18" s="21" t="n">
        <v>3</v>
      </c>
      <c r="B18" s="46" t="str">
        <f aca="false">IF(Students!B7="","",Students!B7)</f>
        <v/>
      </c>
      <c r="C18" s="33" t="n">
        <f aca="false">'Jun 2027'!F18</f>
        <v>0</v>
      </c>
      <c r="D18" s="33" t="n">
        <f aca="false">IF(B18="",0,N(Students!E7))</f>
        <v>0</v>
      </c>
      <c r="E18" s="23"/>
      <c r="F18" s="24" t="n">
        <f aca="false">N(C18)+N(D18)-N(E18)</f>
        <v>0</v>
      </c>
      <c r="G18" s="33" t="n">
        <f aca="false">'Jun 2027'!J18</f>
        <v>0</v>
      </c>
      <c r="H18" s="33" t="n">
        <f aca="false">IF(B18="",0,N(Students!F7))</f>
        <v>0</v>
      </c>
      <c r="I18" s="23"/>
      <c r="J18" s="24" t="n">
        <f aca="false">N(G18)+N(H18)-N(I18)</f>
        <v>0</v>
      </c>
      <c r="K18" s="33" t="n">
        <f aca="false">'Jun 2027'!N18</f>
        <v>0</v>
      </c>
      <c r="L18" s="33" t="n">
        <f aca="false">IF(B18="",0,N(Students!G7))</f>
        <v>0</v>
      </c>
      <c r="M18" s="23"/>
      <c r="N18" s="24" t="n">
        <f aca="false">N(K18)+N(L18)-N(M18)</f>
        <v>0</v>
      </c>
      <c r="O18" s="33" t="n">
        <f aca="false">'Jun 2027'!R18</f>
        <v>0</v>
      </c>
      <c r="P18" s="33" t="n">
        <f aca="false">IF(B18="",0,N(Students!H7))</f>
        <v>0</v>
      </c>
      <c r="Q18" s="23"/>
      <c r="R18" s="24" t="n">
        <f aca="false">N(O18)+N(P18)-N(Q18)</f>
        <v>0</v>
      </c>
      <c r="S18" s="33" t="n">
        <f aca="false">'Jun 2027'!V18</f>
        <v>0</v>
      </c>
      <c r="T18" s="33" t="n">
        <f aca="false">IF(B18="",0,N(Students!I7))</f>
        <v>0</v>
      </c>
      <c r="U18" s="23"/>
      <c r="V18" s="24" t="n">
        <f aca="false">N(S18)+N(T18)-N(U18)</f>
        <v>0</v>
      </c>
      <c r="W18" s="33" t="n">
        <f aca="false">'Jun 2027'!Z18</f>
        <v>0</v>
      </c>
      <c r="X18" s="33" t="n">
        <f aca="false">IF(B18="",0,N(Students!J7))</f>
        <v>0</v>
      </c>
      <c r="Y18" s="23"/>
      <c r="Z18" s="24" t="n">
        <f aca="false">N(W18)+N(X18)-N(Y18)</f>
        <v>0</v>
      </c>
      <c r="AA18" s="33" t="n">
        <f aca="false">N(E18)+N(I18)+N(M18)+N(Q18)+N(U18)+N(Y18)</f>
        <v>0</v>
      </c>
      <c r="AB18" s="24" t="n">
        <f aca="false">F18+J18+N18+R18+V18+Z18</f>
        <v>0</v>
      </c>
      <c r="AC18" s="81" t="str">
        <f aca="false">IF(B18="","",IF(AB18&lt;=0,"Clear",IF(AA18&gt;0,"Partial","Due")))</f>
        <v/>
      </c>
    </row>
    <row r="19" customFormat="false" ht="15" hidden="false" customHeight="false" outlineLevel="0" collapsed="false">
      <c r="A19" s="25" t="n">
        <v>4</v>
      </c>
      <c r="B19" s="82" t="str">
        <f aca="false">IF(Students!B8="","",Students!B8)</f>
        <v/>
      </c>
      <c r="C19" s="37" t="n">
        <f aca="false">'Jun 2027'!F19</f>
        <v>0</v>
      </c>
      <c r="D19" s="37" t="n">
        <f aca="false">IF(B19="",0,N(Students!E8))</f>
        <v>0</v>
      </c>
      <c r="E19" s="23"/>
      <c r="F19" s="26" t="n">
        <f aca="false">N(C19)+N(D19)-N(E19)</f>
        <v>0</v>
      </c>
      <c r="G19" s="37" t="n">
        <f aca="false">'Jun 2027'!J19</f>
        <v>0</v>
      </c>
      <c r="H19" s="37" t="n">
        <f aca="false">IF(B19="",0,N(Students!F8))</f>
        <v>0</v>
      </c>
      <c r="I19" s="23"/>
      <c r="J19" s="26" t="n">
        <f aca="false">N(G19)+N(H19)-N(I19)</f>
        <v>0</v>
      </c>
      <c r="K19" s="37" t="n">
        <f aca="false">'Jun 2027'!N19</f>
        <v>0</v>
      </c>
      <c r="L19" s="37" t="n">
        <f aca="false">IF(B19="",0,N(Students!G8))</f>
        <v>0</v>
      </c>
      <c r="M19" s="23"/>
      <c r="N19" s="26" t="n">
        <f aca="false">N(K19)+N(L19)-N(M19)</f>
        <v>0</v>
      </c>
      <c r="O19" s="37" t="n">
        <f aca="false">'Jun 2027'!R19</f>
        <v>0</v>
      </c>
      <c r="P19" s="37" t="n">
        <f aca="false">IF(B19="",0,N(Students!H8))</f>
        <v>0</v>
      </c>
      <c r="Q19" s="23"/>
      <c r="R19" s="26" t="n">
        <f aca="false">N(O19)+N(P19)-N(Q19)</f>
        <v>0</v>
      </c>
      <c r="S19" s="37" t="n">
        <f aca="false">'Jun 2027'!V19</f>
        <v>0</v>
      </c>
      <c r="T19" s="37" t="n">
        <f aca="false">IF(B19="",0,N(Students!I8))</f>
        <v>0</v>
      </c>
      <c r="U19" s="23"/>
      <c r="V19" s="26" t="n">
        <f aca="false">N(S19)+N(T19)-N(U19)</f>
        <v>0</v>
      </c>
      <c r="W19" s="37" t="n">
        <f aca="false">'Jun 2027'!Z19</f>
        <v>0</v>
      </c>
      <c r="X19" s="37" t="n">
        <f aca="false">IF(B19="",0,N(Students!J8))</f>
        <v>0</v>
      </c>
      <c r="Y19" s="23"/>
      <c r="Z19" s="26" t="n">
        <f aca="false">N(W19)+N(X19)-N(Y19)</f>
        <v>0</v>
      </c>
      <c r="AA19" s="37" t="n">
        <f aca="false">N(E19)+N(I19)+N(M19)+N(Q19)+N(U19)+N(Y19)</f>
        <v>0</v>
      </c>
      <c r="AB19" s="26" t="n">
        <f aca="false">F19+J19+N19+R19+V19+Z19</f>
        <v>0</v>
      </c>
      <c r="AC19" s="83" t="str">
        <f aca="false">IF(B19="","",IF(AB19&lt;=0,"Clear",IF(AA19&gt;0,"Partial","Due")))</f>
        <v/>
      </c>
    </row>
    <row r="20" customFormat="false" ht="15" hidden="false" customHeight="false" outlineLevel="0" collapsed="false">
      <c r="A20" s="21" t="n">
        <v>5</v>
      </c>
      <c r="B20" s="46" t="str">
        <f aca="false">IF(Students!B9="","",Students!B9)</f>
        <v/>
      </c>
      <c r="C20" s="33" t="n">
        <f aca="false">'Jun 2027'!F20</f>
        <v>0</v>
      </c>
      <c r="D20" s="33" t="n">
        <f aca="false">IF(B20="",0,N(Students!E9))</f>
        <v>0</v>
      </c>
      <c r="E20" s="23"/>
      <c r="F20" s="24" t="n">
        <f aca="false">N(C20)+N(D20)-N(E20)</f>
        <v>0</v>
      </c>
      <c r="G20" s="33" t="n">
        <f aca="false">'Jun 2027'!J20</f>
        <v>0</v>
      </c>
      <c r="H20" s="33" t="n">
        <f aca="false">IF(B20="",0,N(Students!F9))</f>
        <v>0</v>
      </c>
      <c r="I20" s="23"/>
      <c r="J20" s="24" t="n">
        <f aca="false">N(G20)+N(H20)-N(I20)</f>
        <v>0</v>
      </c>
      <c r="K20" s="33" t="n">
        <f aca="false">'Jun 2027'!N20</f>
        <v>0</v>
      </c>
      <c r="L20" s="33" t="n">
        <f aca="false">IF(B20="",0,N(Students!G9))</f>
        <v>0</v>
      </c>
      <c r="M20" s="23"/>
      <c r="N20" s="24" t="n">
        <f aca="false">N(K20)+N(L20)-N(M20)</f>
        <v>0</v>
      </c>
      <c r="O20" s="33" t="n">
        <f aca="false">'Jun 2027'!R20</f>
        <v>0</v>
      </c>
      <c r="P20" s="33" t="n">
        <f aca="false">IF(B20="",0,N(Students!H9))</f>
        <v>0</v>
      </c>
      <c r="Q20" s="23"/>
      <c r="R20" s="24" t="n">
        <f aca="false">N(O20)+N(P20)-N(Q20)</f>
        <v>0</v>
      </c>
      <c r="S20" s="33" t="n">
        <f aca="false">'Jun 2027'!V20</f>
        <v>0</v>
      </c>
      <c r="T20" s="33" t="n">
        <f aca="false">IF(B20="",0,N(Students!I9))</f>
        <v>0</v>
      </c>
      <c r="U20" s="23"/>
      <c r="V20" s="24" t="n">
        <f aca="false">N(S20)+N(T20)-N(U20)</f>
        <v>0</v>
      </c>
      <c r="W20" s="33" t="n">
        <f aca="false">'Jun 2027'!Z20</f>
        <v>0</v>
      </c>
      <c r="X20" s="33" t="n">
        <f aca="false">IF(B20="",0,N(Students!J9))</f>
        <v>0</v>
      </c>
      <c r="Y20" s="23"/>
      <c r="Z20" s="24" t="n">
        <f aca="false">N(W20)+N(X20)-N(Y20)</f>
        <v>0</v>
      </c>
      <c r="AA20" s="33" t="n">
        <f aca="false">N(E20)+N(I20)+N(M20)+N(Q20)+N(U20)+N(Y20)</f>
        <v>0</v>
      </c>
      <c r="AB20" s="24" t="n">
        <f aca="false">F20+J20+N20+R20+V20+Z20</f>
        <v>0</v>
      </c>
      <c r="AC20" s="81" t="str">
        <f aca="false">IF(B20="","",IF(AB20&lt;=0,"Clear",IF(AA20&gt;0,"Partial","Due")))</f>
        <v/>
      </c>
    </row>
    <row r="21" customFormat="false" ht="15" hidden="false" customHeight="false" outlineLevel="0" collapsed="false">
      <c r="A21" s="25" t="n">
        <v>6</v>
      </c>
      <c r="B21" s="82" t="str">
        <f aca="false">IF(Students!B10="","",Students!B10)</f>
        <v/>
      </c>
      <c r="C21" s="37" t="n">
        <f aca="false">'Jun 2027'!F21</f>
        <v>0</v>
      </c>
      <c r="D21" s="37" t="n">
        <f aca="false">IF(B21="",0,N(Students!E10))</f>
        <v>0</v>
      </c>
      <c r="E21" s="23"/>
      <c r="F21" s="26" t="n">
        <f aca="false">N(C21)+N(D21)-N(E21)</f>
        <v>0</v>
      </c>
      <c r="G21" s="37" t="n">
        <f aca="false">'Jun 2027'!J21</f>
        <v>0</v>
      </c>
      <c r="H21" s="37" t="n">
        <f aca="false">IF(B21="",0,N(Students!F10))</f>
        <v>0</v>
      </c>
      <c r="I21" s="23"/>
      <c r="J21" s="26" t="n">
        <f aca="false">N(G21)+N(H21)-N(I21)</f>
        <v>0</v>
      </c>
      <c r="K21" s="37" t="n">
        <f aca="false">'Jun 2027'!N21</f>
        <v>0</v>
      </c>
      <c r="L21" s="37" t="n">
        <f aca="false">IF(B21="",0,N(Students!G10))</f>
        <v>0</v>
      </c>
      <c r="M21" s="23"/>
      <c r="N21" s="26" t="n">
        <f aca="false">N(K21)+N(L21)-N(M21)</f>
        <v>0</v>
      </c>
      <c r="O21" s="37" t="n">
        <f aca="false">'Jun 2027'!R21</f>
        <v>0</v>
      </c>
      <c r="P21" s="37" t="n">
        <f aca="false">IF(B21="",0,N(Students!H10))</f>
        <v>0</v>
      </c>
      <c r="Q21" s="23"/>
      <c r="R21" s="26" t="n">
        <f aca="false">N(O21)+N(P21)-N(Q21)</f>
        <v>0</v>
      </c>
      <c r="S21" s="37" t="n">
        <f aca="false">'Jun 2027'!V21</f>
        <v>0</v>
      </c>
      <c r="T21" s="37" t="n">
        <f aca="false">IF(B21="",0,N(Students!I10))</f>
        <v>0</v>
      </c>
      <c r="U21" s="23"/>
      <c r="V21" s="26" t="n">
        <f aca="false">N(S21)+N(T21)-N(U21)</f>
        <v>0</v>
      </c>
      <c r="W21" s="37" t="n">
        <f aca="false">'Jun 2027'!Z21</f>
        <v>0</v>
      </c>
      <c r="X21" s="37" t="n">
        <f aca="false">IF(B21="",0,N(Students!J10))</f>
        <v>0</v>
      </c>
      <c r="Y21" s="23"/>
      <c r="Z21" s="26" t="n">
        <f aca="false">N(W21)+N(X21)-N(Y21)</f>
        <v>0</v>
      </c>
      <c r="AA21" s="37" t="n">
        <f aca="false">N(E21)+N(I21)+N(M21)+N(Q21)+N(U21)+N(Y21)</f>
        <v>0</v>
      </c>
      <c r="AB21" s="26" t="n">
        <f aca="false">F21+J21+N21+R21+V21+Z21</f>
        <v>0</v>
      </c>
      <c r="AC21" s="83" t="str">
        <f aca="false">IF(B21="","",IF(AB21&lt;=0,"Clear",IF(AA21&gt;0,"Partial","Due")))</f>
        <v/>
      </c>
    </row>
    <row r="22" customFormat="false" ht="15" hidden="false" customHeight="false" outlineLevel="0" collapsed="false">
      <c r="A22" s="21" t="n">
        <v>7</v>
      </c>
      <c r="B22" s="46" t="str">
        <f aca="false">IF(Students!B11="","",Students!B11)</f>
        <v/>
      </c>
      <c r="C22" s="33" t="n">
        <f aca="false">'Jun 2027'!F22</f>
        <v>0</v>
      </c>
      <c r="D22" s="33" t="n">
        <f aca="false">IF(B22="",0,N(Students!E11))</f>
        <v>0</v>
      </c>
      <c r="E22" s="23"/>
      <c r="F22" s="24" t="n">
        <f aca="false">N(C22)+N(D22)-N(E22)</f>
        <v>0</v>
      </c>
      <c r="G22" s="33" t="n">
        <f aca="false">'Jun 2027'!J22</f>
        <v>0</v>
      </c>
      <c r="H22" s="33" t="n">
        <f aca="false">IF(B22="",0,N(Students!F11))</f>
        <v>0</v>
      </c>
      <c r="I22" s="23"/>
      <c r="J22" s="24" t="n">
        <f aca="false">N(G22)+N(H22)-N(I22)</f>
        <v>0</v>
      </c>
      <c r="K22" s="33" t="n">
        <f aca="false">'Jun 2027'!N22</f>
        <v>0</v>
      </c>
      <c r="L22" s="33" t="n">
        <f aca="false">IF(B22="",0,N(Students!G11))</f>
        <v>0</v>
      </c>
      <c r="M22" s="23"/>
      <c r="N22" s="24" t="n">
        <f aca="false">N(K22)+N(L22)-N(M22)</f>
        <v>0</v>
      </c>
      <c r="O22" s="33" t="n">
        <f aca="false">'Jun 2027'!R22</f>
        <v>0</v>
      </c>
      <c r="P22" s="33" t="n">
        <f aca="false">IF(B22="",0,N(Students!H11))</f>
        <v>0</v>
      </c>
      <c r="Q22" s="23"/>
      <c r="R22" s="24" t="n">
        <f aca="false">N(O22)+N(P22)-N(Q22)</f>
        <v>0</v>
      </c>
      <c r="S22" s="33" t="n">
        <f aca="false">'Jun 2027'!V22</f>
        <v>0</v>
      </c>
      <c r="T22" s="33" t="n">
        <f aca="false">IF(B22="",0,N(Students!I11))</f>
        <v>0</v>
      </c>
      <c r="U22" s="23"/>
      <c r="V22" s="24" t="n">
        <f aca="false">N(S22)+N(T22)-N(U22)</f>
        <v>0</v>
      </c>
      <c r="W22" s="33" t="n">
        <f aca="false">'Jun 2027'!Z22</f>
        <v>0</v>
      </c>
      <c r="X22" s="33" t="n">
        <f aca="false">IF(B22="",0,N(Students!J11))</f>
        <v>0</v>
      </c>
      <c r="Y22" s="23"/>
      <c r="Z22" s="24" t="n">
        <f aca="false">N(W22)+N(X22)-N(Y22)</f>
        <v>0</v>
      </c>
      <c r="AA22" s="33" t="n">
        <f aca="false">N(E22)+N(I22)+N(M22)+N(Q22)+N(U22)+N(Y22)</f>
        <v>0</v>
      </c>
      <c r="AB22" s="24" t="n">
        <f aca="false">F22+J22+N22+R22+V22+Z22</f>
        <v>0</v>
      </c>
      <c r="AC22" s="81" t="str">
        <f aca="false">IF(B22="","",IF(AB22&lt;=0,"Clear",IF(AA22&gt;0,"Partial","Due")))</f>
        <v/>
      </c>
    </row>
    <row r="23" customFormat="false" ht="15" hidden="false" customHeight="false" outlineLevel="0" collapsed="false">
      <c r="A23" s="25" t="n">
        <v>8</v>
      </c>
      <c r="B23" s="82" t="str">
        <f aca="false">IF(Students!B12="","",Students!B12)</f>
        <v/>
      </c>
      <c r="C23" s="37" t="n">
        <f aca="false">'Jun 2027'!F23</f>
        <v>0</v>
      </c>
      <c r="D23" s="37" t="n">
        <f aca="false">IF(B23="",0,N(Students!E12))</f>
        <v>0</v>
      </c>
      <c r="E23" s="23"/>
      <c r="F23" s="26" t="n">
        <f aca="false">N(C23)+N(D23)-N(E23)</f>
        <v>0</v>
      </c>
      <c r="G23" s="37" t="n">
        <f aca="false">'Jun 2027'!J23</f>
        <v>0</v>
      </c>
      <c r="H23" s="37" t="n">
        <f aca="false">IF(B23="",0,N(Students!F12))</f>
        <v>0</v>
      </c>
      <c r="I23" s="23"/>
      <c r="J23" s="26" t="n">
        <f aca="false">N(G23)+N(H23)-N(I23)</f>
        <v>0</v>
      </c>
      <c r="K23" s="37" t="n">
        <f aca="false">'Jun 2027'!N23</f>
        <v>0</v>
      </c>
      <c r="L23" s="37" t="n">
        <f aca="false">IF(B23="",0,N(Students!G12))</f>
        <v>0</v>
      </c>
      <c r="M23" s="23"/>
      <c r="N23" s="26" t="n">
        <f aca="false">N(K23)+N(L23)-N(M23)</f>
        <v>0</v>
      </c>
      <c r="O23" s="37" t="n">
        <f aca="false">'Jun 2027'!R23</f>
        <v>0</v>
      </c>
      <c r="P23" s="37" t="n">
        <f aca="false">IF(B23="",0,N(Students!H12))</f>
        <v>0</v>
      </c>
      <c r="Q23" s="23"/>
      <c r="R23" s="26" t="n">
        <f aca="false">N(O23)+N(P23)-N(Q23)</f>
        <v>0</v>
      </c>
      <c r="S23" s="37" t="n">
        <f aca="false">'Jun 2027'!V23</f>
        <v>0</v>
      </c>
      <c r="T23" s="37" t="n">
        <f aca="false">IF(B23="",0,N(Students!I12))</f>
        <v>0</v>
      </c>
      <c r="U23" s="23"/>
      <c r="V23" s="26" t="n">
        <f aca="false">N(S23)+N(T23)-N(U23)</f>
        <v>0</v>
      </c>
      <c r="W23" s="37" t="n">
        <f aca="false">'Jun 2027'!Z23</f>
        <v>0</v>
      </c>
      <c r="X23" s="37" t="n">
        <f aca="false">IF(B23="",0,N(Students!J12))</f>
        <v>0</v>
      </c>
      <c r="Y23" s="23"/>
      <c r="Z23" s="26" t="n">
        <f aca="false">N(W23)+N(X23)-N(Y23)</f>
        <v>0</v>
      </c>
      <c r="AA23" s="37" t="n">
        <f aca="false">N(E23)+N(I23)+N(M23)+N(Q23)+N(U23)+N(Y23)</f>
        <v>0</v>
      </c>
      <c r="AB23" s="26" t="n">
        <f aca="false">F23+J23+N23+R23+V23+Z23</f>
        <v>0</v>
      </c>
      <c r="AC23" s="83" t="str">
        <f aca="false">IF(B23="","",IF(AB23&lt;=0,"Clear",IF(AA23&gt;0,"Partial","Due")))</f>
        <v/>
      </c>
    </row>
    <row r="24" customFormat="false" ht="15" hidden="false" customHeight="false" outlineLevel="0" collapsed="false">
      <c r="A24" s="21" t="n">
        <v>9</v>
      </c>
      <c r="B24" s="46" t="str">
        <f aca="false">IF(Students!B13="","",Students!B13)</f>
        <v/>
      </c>
      <c r="C24" s="33" t="n">
        <f aca="false">'Jun 2027'!F24</f>
        <v>0</v>
      </c>
      <c r="D24" s="33" t="n">
        <f aca="false">IF(B24="",0,N(Students!E13))</f>
        <v>0</v>
      </c>
      <c r="E24" s="23"/>
      <c r="F24" s="24" t="n">
        <f aca="false">N(C24)+N(D24)-N(E24)</f>
        <v>0</v>
      </c>
      <c r="G24" s="33" t="n">
        <f aca="false">'Jun 2027'!J24</f>
        <v>0</v>
      </c>
      <c r="H24" s="33" t="n">
        <f aca="false">IF(B24="",0,N(Students!F13))</f>
        <v>0</v>
      </c>
      <c r="I24" s="23"/>
      <c r="J24" s="24" t="n">
        <f aca="false">N(G24)+N(H24)-N(I24)</f>
        <v>0</v>
      </c>
      <c r="K24" s="33" t="n">
        <f aca="false">'Jun 2027'!N24</f>
        <v>0</v>
      </c>
      <c r="L24" s="33" t="n">
        <f aca="false">IF(B24="",0,N(Students!G13))</f>
        <v>0</v>
      </c>
      <c r="M24" s="23"/>
      <c r="N24" s="24" t="n">
        <f aca="false">N(K24)+N(L24)-N(M24)</f>
        <v>0</v>
      </c>
      <c r="O24" s="33" t="n">
        <f aca="false">'Jun 2027'!R24</f>
        <v>0</v>
      </c>
      <c r="P24" s="33" t="n">
        <f aca="false">IF(B24="",0,N(Students!H13))</f>
        <v>0</v>
      </c>
      <c r="Q24" s="23"/>
      <c r="R24" s="24" t="n">
        <f aca="false">N(O24)+N(P24)-N(Q24)</f>
        <v>0</v>
      </c>
      <c r="S24" s="33" t="n">
        <f aca="false">'Jun 2027'!V24</f>
        <v>0</v>
      </c>
      <c r="T24" s="33" t="n">
        <f aca="false">IF(B24="",0,N(Students!I13))</f>
        <v>0</v>
      </c>
      <c r="U24" s="23"/>
      <c r="V24" s="24" t="n">
        <f aca="false">N(S24)+N(T24)-N(U24)</f>
        <v>0</v>
      </c>
      <c r="W24" s="33" t="n">
        <f aca="false">'Jun 2027'!Z24</f>
        <v>0</v>
      </c>
      <c r="X24" s="33" t="n">
        <f aca="false">IF(B24="",0,N(Students!J13))</f>
        <v>0</v>
      </c>
      <c r="Y24" s="23"/>
      <c r="Z24" s="24" t="n">
        <f aca="false">N(W24)+N(X24)-N(Y24)</f>
        <v>0</v>
      </c>
      <c r="AA24" s="33" t="n">
        <f aca="false">N(E24)+N(I24)+N(M24)+N(Q24)+N(U24)+N(Y24)</f>
        <v>0</v>
      </c>
      <c r="AB24" s="24" t="n">
        <f aca="false">F24+J24+N24+R24+V24+Z24</f>
        <v>0</v>
      </c>
      <c r="AC24" s="81" t="str">
        <f aca="false">IF(B24="","",IF(AB24&lt;=0,"Clear",IF(AA24&gt;0,"Partial","Due")))</f>
        <v/>
      </c>
    </row>
    <row r="25" customFormat="false" ht="15" hidden="false" customHeight="false" outlineLevel="0" collapsed="false">
      <c r="A25" s="25" t="n">
        <v>10</v>
      </c>
      <c r="B25" s="82" t="str">
        <f aca="false">IF(Students!B14="","",Students!B14)</f>
        <v/>
      </c>
      <c r="C25" s="37" t="n">
        <f aca="false">'Jun 2027'!F25</f>
        <v>0</v>
      </c>
      <c r="D25" s="37" t="n">
        <f aca="false">IF(B25="",0,N(Students!E14))</f>
        <v>0</v>
      </c>
      <c r="E25" s="23"/>
      <c r="F25" s="26" t="n">
        <f aca="false">N(C25)+N(D25)-N(E25)</f>
        <v>0</v>
      </c>
      <c r="G25" s="37" t="n">
        <f aca="false">'Jun 2027'!J25</f>
        <v>0</v>
      </c>
      <c r="H25" s="37" t="n">
        <f aca="false">IF(B25="",0,N(Students!F14))</f>
        <v>0</v>
      </c>
      <c r="I25" s="23"/>
      <c r="J25" s="26" t="n">
        <f aca="false">N(G25)+N(H25)-N(I25)</f>
        <v>0</v>
      </c>
      <c r="K25" s="37" t="n">
        <f aca="false">'Jun 2027'!N25</f>
        <v>0</v>
      </c>
      <c r="L25" s="37" t="n">
        <f aca="false">IF(B25="",0,N(Students!G14))</f>
        <v>0</v>
      </c>
      <c r="M25" s="23"/>
      <c r="N25" s="26" t="n">
        <f aca="false">N(K25)+N(L25)-N(M25)</f>
        <v>0</v>
      </c>
      <c r="O25" s="37" t="n">
        <f aca="false">'Jun 2027'!R25</f>
        <v>0</v>
      </c>
      <c r="P25" s="37" t="n">
        <f aca="false">IF(B25="",0,N(Students!H14))</f>
        <v>0</v>
      </c>
      <c r="Q25" s="23"/>
      <c r="R25" s="26" t="n">
        <f aca="false">N(O25)+N(P25)-N(Q25)</f>
        <v>0</v>
      </c>
      <c r="S25" s="37" t="n">
        <f aca="false">'Jun 2027'!V25</f>
        <v>0</v>
      </c>
      <c r="T25" s="37" t="n">
        <f aca="false">IF(B25="",0,N(Students!I14))</f>
        <v>0</v>
      </c>
      <c r="U25" s="23"/>
      <c r="V25" s="26" t="n">
        <f aca="false">N(S25)+N(T25)-N(U25)</f>
        <v>0</v>
      </c>
      <c r="W25" s="37" t="n">
        <f aca="false">'Jun 2027'!Z25</f>
        <v>0</v>
      </c>
      <c r="X25" s="37" t="n">
        <f aca="false">IF(B25="",0,N(Students!J14))</f>
        <v>0</v>
      </c>
      <c r="Y25" s="23"/>
      <c r="Z25" s="26" t="n">
        <f aca="false">N(W25)+N(X25)-N(Y25)</f>
        <v>0</v>
      </c>
      <c r="AA25" s="37" t="n">
        <f aca="false">N(E25)+N(I25)+N(M25)+N(Q25)+N(U25)+N(Y25)</f>
        <v>0</v>
      </c>
      <c r="AB25" s="26" t="n">
        <f aca="false">F25+J25+N25+R25+V25+Z25</f>
        <v>0</v>
      </c>
      <c r="AC25" s="83" t="str">
        <f aca="false">IF(B25="","",IF(AB25&lt;=0,"Clear",IF(AA25&gt;0,"Partial","Due")))</f>
        <v/>
      </c>
    </row>
    <row r="26" customFormat="false" ht="15" hidden="false" customHeight="false" outlineLevel="0" collapsed="false">
      <c r="A26" s="21" t="n">
        <v>11</v>
      </c>
      <c r="B26" s="46" t="str">
        <f aca="false">IF(Students!B15="","",Students!B15)</f>
        <v/>
      </c>
      <c r="C26" s="33" t="n">
        <f aca="false">'Jun 2027'!F26</f>
        <v>0</v>
      </c>
      <c r="D26" s="33" t="n">
        <f aca="false">IF(B26="",0,N(Students!E15))</f>
        <v>0</v>
      </c>
      <c r="E26" s="23"/>
      <c r="F26" s="24" t="n">
        <f aca="false">N(C26)+N(D26)-N(E26)</f>
        <v>0</v>
      </c>
      <c r="G26" s="33" t="n">
        <f aca="false">'Jun 2027'!J26</f>
        <v>0</v>
      </c>
      <c r="H26" s="33" t="n">
        <f aca="false">IF(B26="",0,N(Students!F15))</f>
        <v>0</v>
      </c>
      <c r="I26" s="23"/>
      <c r="J26" s="24" t="n">
        <f aca="false">N(G26)+N(H26)-N(I26)</f>
        <v>0</v>
      </c>
      <c r="K26" s="33" t="n">
        <f aca="false">'Jun 2027'!N26</f>
        <v>0</v>
      </c>
      <c r="L26" s="33" t="n">
        <f aca="false">IF(B26="",0,N(Students!G15))</f>
        <v>0</v>
      </c>
      <c r="M26" s="23"/>
      <c r="N26" s="24" t="n">
        <f aca="false">N(K26)+N(L26)-N(M26)</f>
        <v>0</v>
      </c>
      <c r="O26" s="33" t="n">
        <f aca="false">'Jun 2027'!R26</f>
        <v>0</v>
      </c>
      <c r="P26" s="33" t="n">
        <f aca="false">IF(B26="",0,N(Students!H15))</f>
        <v>0</v>
      </c>
      <c r="Q26" s="23"/>
      <c r="R26" s="24" t="n">
        <f aca="false">N(O26)+N(P26)-N(Q26)</f>
        <v>0</v>
      </c>
      <c r="S26" s="33" t="n">
        <f aca="false">'Jun 2027'!V26</f>
        <v>0</v>
      </c>
      <c r="T26" s="33" t="n">
        <f aca="false">IF(B26="",0,N(Students!I15))</f>
        <v>0</v>
      </c>
      <c r="U26" s="23"/>
      <c r="V26" s="24" t="n">
        <f aca="false">N(S26)+N(T26)-N(U26)</f>
        <v>0</v>
      </c>
      <c r="W26" s="33" t="n">
        <f aca="false">'Jun 2027'!Z26</f>
        <v>0</v>
      </c>
      <c r="X26" s="33" t="n">
        <f aca="false">IF(B26="",0,N(Students!J15))</f>
        <v>0</v>
      </c>
      <c r="Y26" s="23"/>
      <c r="Z26" s="24" t="n">
        <f aca="false">N(W26)+N(X26)-N(Y26)</f>
        <v>0</v>
      </c>
      <c r="AA26" s="33" t="n">
        <f aca="false">N(E26)+N(I26)+N(M26)+N(Q26)+N(U26)+N(Y26)</f>
        <v>0</v>
      </c>
      <c r="AB26" s="24" t="n">
        <f aca="false">F26+J26+N26+R26+V26+Z26</f>
        <v>0</v>
      </c>
      <c r="AC26" s="81" t="str">
        <f aca="false">IF(B26="","",IF(AB26&lt;=0,"Clear",IF(AA26&gt;0,"Partial","Due")))</f>
        <v/>
      </c>
    </row>
    <row r="27" customFormat="false" ht="15" hidden="false" customHeight="false" outlineLevel="0" collapsed="false">
      <c r="A27" s="25" t="n">
        <v>12</v>
      </c>
      <c r="B27" s="82" t="str">
        <f aca="false">IF(Students!B16="","",Students!B16)</f>
        <v/>
      </c>
      <c r="C27" s="37" t="n">
        <f aca="false">'Jun 2027'!F27</f>
        <v>0</v>
      </c>
      <c r="D27" s="37" t="n">
        <f aca="false">IF(B27="",0,N(Students!E16))</f>
        <v>0</v>
      </c>
      <c r="E27" s="23"/>
      <c r="F27" s="26" t="n">
        <f aca="false">N(C27)+N(D27)-N(E27)</f>
        <v>0</v>
      </c>
      <c r="G27" s="37" t="n">
        <f aca="false">'Jun 2027'!J27</f>
        <v>0</v>
      </c>
      <c r="H27" s="37" t="n">
        <f aca="false">IF(B27="",0,N(Students!F16))</f>
        <v>0</v>
      </c>
      <c r="I27" s="23"/>
      <c r="J27" s="26" t="n">
        <f aca="false">N(G27)+N(H27)-N(I27)</f>
        <v>0</v>
      </c>
      <c r="K27" s="37" t="n">
        <f aca="false">'Jun 2027'!N27</f>
        <v>0</v>
      </c>
      <c r="L27" s="37" t="n">
        <f aca="false">IF(B27="",0,N(Students!G16))</f>
        <v>0</v>
      </c>
      <c r="M27" s="23"/>
      <c r="N27" s="26" t="n">
        <f aca="false">N(K27)+N(L27)-N(M27)</f>
        <v>0</v>
      </c>
      <c r="O27" s="37" t="n">
        <f aca="false">'Jun 2027'!R27</f>
        <v>0</v>
      </c>
      <c r="P27" s="37" t="n">
        <f aca="false">IF(B27="",0,N(Students!H16))</f>
        <v>0</v>
      </c>
      <c r="Q27" s="23"/>
      <c r="R27" s="26" t="n">
        <f aca="false">N(O27)+N(P27)-N(Q27)</f>
        <v>0</v>
      </c>
      <c r="S27" s="37" t="n">
        <f aca="false">'Jun 2027'!V27</f>
        <v>0</v>
      </c>
      <c r="T27" s="37" t="n">
        <f aca="false">IF(B27="",0,N(Students!I16))</f>
        <v>0</v>
      </c>
      <c r="U27" s="23"/>
      <c r="V27" s="26" t="n">
        <f aca="false">N(S27)+N(T27)-N(U27)</f>
        <v>0</v>
      </c>
      <c r="W27" s="37" t="n">
        <f aca="false">'Jun 2027'!Z27</f>
        <v>0</v>
      </c>
      <c r="X27" s="37" t="n">
        <f aca="false">IF(B27="",0,N(Students!J16))</f>
        <v>0</v>
      </c>
      <c r="Y27" s="23"/>
      <c r="Z27" s="26" t="n">
        <f aca="false">N(W27)+N(X27)-N(Y27)</f>
        <v>0</v>
      </c>
      <c r="AA27" s="37" t="n">
        <f aca="false">N(E27)+N(I27)+N(M27)+N(Q27)+N(U27)+N(Y27)</f>
        <v>0</v>
      </c>
      <c r="AB27" s="26" t="n">
        <f aca="false">F27+J27+N27+R27+V27+Z27</f>
        <v>0</v>
      </c>
      <c r="AC27" s="83" t="str">
        <f aca="false">IF(B27="","",IF(AB27&lt;=0,"Clear",IF(AA27&gt;0,"Partial","Due")))</f>
        <v/>
      </c>
    </row>
    <row r="28" customFormat="false" ht="15" hidden="false" customHeight="false" outlineLevel="0" collapsed="false">
      <c r="A28" s="21" t="n">
        <v>13</v>
      </c>
      <c r="B28" s="46" t="str">
        <f aca="false">IF(Students!B17="","",Students!B17)</f>
        <v/>
      </c>
      <c r="C28" s="33" t="n">
        <f aca="false">'Jun 2027'!F28</f>
        <v>0</v>
      </c>
      <c r="D28" s="33" t="n">
        <f aca="false">IF(B28="",0,N(Students!E17))</f>
        <v>0</v>
      </c>
      <c r="E28" s="23"/>
      <c r="F28" s="24" t="n">
        <f aca="false">N(C28)+N(D28)-N(E28)</f>
        <v>0</v>
      </c>
      <c r="G28" s="33" t="n">
        <f aca="false">'Jun 2027'!J28</f>
        <v>0</v>
      </c>
      <c r="H28" s="33" t="n">
        <f aca="false">IF(B28="",0,N(Students!F17))</f>
        <v>0</v>
      </c>
      <c r="I28" s="23"/>
      <c r="J28" s="24" t="n">
        <f aca="false">N(G28)+N(H28)-N(I28)</f>
        <v>0</v>
      </c>
      <c r="K28" s="33" t="n">
        <f aca="false">'Jun 2027'!N28</f>
        <v>0</v>
      </c>
      <c r="L28" s="33" t="n">
        <f aca="false">IF(B28="",0,N(Students!G17))</f>
        <v>0</v>
      </c>
      <c r="M28" s="23"/>
      <c r="N28" s="24" t="n">
        <f aca="false">N(K28)+N(L28)-N(M28)</f>
        <v>0</v>
      </c>
      <c r="O28" s="33" t="n">
        <f aca="false">'Jun 2027'!R28</f>
        <v>0</v>
      </c>
      <c r="P28" s="33" t="n">
        <f aca="false">IF(B28="",0,N(Students!H17))</f>
        <v>0</v>
      </c>
      <c r="Q28" s="23"/>
      <c r="R28" s="24" t="n">
        <f aca="false">N(O28)+N(P28)-N(Q28)</f>
        <v>0</v>
      </c>
      <c r="S28" s="33" t="n">
        <f aca="false">'Jun 2027'!V28</f>
        <v>0</v>
      </c>
      <c r="T28" s="33" t="n">
        <f aca="false">IF(B28="",0,N(Students!I17))</f>
        <v>0</v>
      </c>
      <c r="U28" s="23"/>
      <c r="V28" s="24" t="n">
        <f aca="false">N(S28)+N(T28)-N(U28)</f>
        <v>0</v>
      </c>
      <c r="W28" s="33" t="n">
        <f aca="false">'Jun 2027'!Z28</f>
        <v>0</v>
      </c>
      <c r="X28" s="33" t="n">
        <f aca="false">IF(B28="",0,N(Students!J17))</f>
        <v>0</v>
      </c>
      <c r="Y28" s="23"/>
      <c r="Z28" s="24" t="n">
        <f aca="false">N(W28)+N(X28)-N(Y28)</f>
        <v>0</v>
      </c>
      <c r="AA28" s="33" t="n">
        <f aca="false">N(E28)+N(I28)+N(M28)+N(Q28)+N(U28)+N(Y28)</f>
        <v>0</v>
      </c>
      <c r="AB28" s="24" t="n">
        <f aca="false">F28+J28+N28+R28+V28+Z28</f>
        <v>0</v>
      </c>
      <c r="AC28" s="81" t="str">
        <f aca="false">IF(B28="","",IF(AB28&lt;=0,"Clear",IF(AA28&gt;0,"Partial","Due")))</f>
        <v/>
      </c>
    </row>
    <row r="29" customFormat="false" ht="15" hidden="false" customHeight="false" outlineLevel="0" collapsed="false">
      <c r="A29" s="25" t="n">
        <v>14</v>
      </c>
      <c r="B29" s="82" t="str">
        <f aca="false">IF(Students!B18="","",Students!B18)</f>
        <v/>
      </c>
      <c r="C29" s="37" t="n">
        <f aca="false">'Jun 2027'!F29</f>
        <v>0</v>
      </c>
      <c r="D29" s="37" t="n">
        <f aca="false">IF(B29="",0,N(Students!E18))</f>
        <v>0</v>
      </c>
      <c r="E29" s="23"/>
      <c r="F29" s="26" t="n">
        <f aca="false">N(C29)+N(D29)-N(E29)</f>
        <v>0</v>
      </c>
      <c r="G29" s="37" t="n">
        <f aca="false">'Jun 2027'!J29</f>
        <v>0</v>
      </c>
      <c r="H29" s="37" t="n">
        <f aca="false">IF(B29="",0,N(Students!F18))</f>
        <v>0</v>
      </c>
      <c r="I29" s="23"/>
      <c r="J29" s="26" t="n">
        <f aca="false">N(G29)+N(H29)-N(I29)</f>
        <v>0</v>
      </c>
      <c r="K29" s="37" t="n">
        <f aca="false">'Jun 2027'!N29</f>
        <v>0</v>
      </c>
      <c r="L29" s="37" t="n">
        <f aca="false">IF(B29="",0,N(Students!G18))</f>
        <v>0</v>
      </c>
      <c r="M29" s="23"/>
      <c r="N29" s="26" t="n">
        <f aca="false">N(K29)+N(L29)-N(M29)</f>
        <v>0</v>
      </c>
      <c r="O29" s="37" t="n">
        <f aca="false">'Jun 2027'!R29</f>
        <v>0</v>
      </c>
      <c r="P29" s="37" t="n">
        <f aca="false">IF(B29="",0,N(Students!H18))</f>
        <v>0</v>
      </c>
      <c r="Q29" s="23"/>
      <c r="R29" s="26" t="n">
        <f aca="false">N(O29)+N(P29)-N(Q29)</f>
        <v>0</v>
      </c>
      <c r="S29" s="37" t="n">
        <f aca="false">'Jun 2027'!V29</f>
        <v>0</v>
      </c>
      <c r="T29" s="37" t="n">
        <f aca="false">IF(B29="",0,N(Students!I18))</f>
        <v>0</v>
      </c>
      <c r="U29" s="23"/>
      <c r="V29" s="26" t="n">
        <f aca="false">N(S29)+N(T29)-N(U29)</f>
        <v>0</v>
      </c>
      <c r="W29" s="37" t="n">
        <f aca="false">'Jun 2027'!Z29</f>
        <v>0</v>
      </c>
      <c r="X29" s="37" t="n">
        <f aca="false">IF(B29="",0,N(Students!J18))</f>
        <v>0</v>
      </c>
      <c r="Y29" s="23"/>
      <c r="Z29" s="26" t="n">
        <f aca="false">N(W29)+N(X29)-N(Y29)</f>
        <v>0</v>
      </c>
      <c r="AA29" s="37" t="n">
        <f aca="false">N(E29)+N(I29)+N(M29)+N(Q29)+N(U29)+N(Y29)</f>
        <v>0</v>
      </c>
      <c r="AB29" s="26" t="n">
        <f aca="false">F29+J29+N29+R29+V29+Z29</f>
        <v>0</v>
      </c>
      <c r="AC29" s="83" t="str">
        <f aca="false">IF(B29="","",IF(AB29&lt;=0,"Clear",IF(AA29&gt;0,"Partial","Due")))</f>
        <v/>
      </c>
    </row>
    <row r="30" customFormat="false" ht="15" hidden="false" customHeight="false" outlineLevel="0" collapsed="false">
      <c r="A30" s="21" t="n">
        <v>15</v>
      </c>
      <c r="B30" s="46" t="str">
        <f aca="false">IF(Students!B19="","",Students!B19)</f>
        <v/>
      </c>
      <c r="C30" s="33" t="n">
        <f aca="false">'Jun 2027'!F30</f>
        <v>0</v>
      </c>
      <c r="D30" s="33" t="n">
        <f aca="false">IF(B30="",0,N(Students!E19))</f>
        <v>0</v>
      </c>
      <c r="E30" s="23"/>
      <c r="F30" s="24" t="n">
        <f aca="false">N(C30)+N(D30)-N(E30)</f>
        <v>0</v>
      </c>
      <c r="G30" s="33" t="n">
        <f aca="false">'Jun 2027'!J30</f>
        <v>0</v>
      </c>
      <c r="H30" s="33" t="n">
        <f aca="false">IF(B30="",0,N(Students!F19))</f>
        <v>0</v>
      </c>
      <c r="I30" s="23"/>
      <c r="J30" s="24" t="n">
        <f aca="false">N(G30)+N(H30)-N(I30)</f>
        <v>0</v>
      </c>
      <c r="K30" s="33" t="n">
        <f aca="false">'Jun 2027'!N30</f>
        <v>0</v>
      </c>
      <c r="L30" s="33" t="n">
        <f aca="false">IF(B30="",0,N(Students!G19))</f>
        <v>0</v>
      </c>
      <c r="M30" s="23"/>
      <c r="N30" s="24" t="n">
        <f aca="false">N(K30)+N(L30)-N(M30)</f>
        <v>0</v>
      </c>
      <c r="O30" s="33" t="n">
        <f aca="false">'Jun 2027'!R30</f>
        <v>0</v>
      </c>
      <c r="P30" s="33" t="n">
        <f aca="false">IF(B30="",0,N(Students!H19))</f>
        <v>0</v>
      </c>
      <c r="Q30" s="23"/>
      <c r="R30" s="24" t="n">
        <f aca="false">N(O30)+N(P30)-N(Q30)</f>
        <v>0</v>
      </c>
      <c r="S30" s="33" t="n">
        <f aca="false">'Jun 2027'!V30</f>
        <v>0</v>
      </c>
      <c r="T30" s="33" t="n">
        <f aca="false">IF(B30="",0,N(Students!I19))</f>
        <v>0</v>
      </c>
      <c r="U30" s="23"/>
      <c r="V30" s="24" t="n">
        <f aca="false">N(S30)+N(T30)-N(U30)</f>
        <v>0</v>
      </c>
      <c r="W30" s="33" t="n">
        <f aca="false">'Jun 2027'!Z30</f>
        <v>0</v>
      </c>
      <c r="X30" s="33" t="n">
        <f aca="false">IF(B30="",0,N(Students!J19))</f>
        <v>0</v>
      </c>
      <c r="Y30" s="23"/>
      <c r="Z30" s="24" t="n">
        <f aca="false">N(W30)+N(X30)-N(Y30)</f>
        <v>0</v>
      </c>
      <c r="AA30" s="33" t="n">
        <f aca="false">N(E30)+N(I30)+N(M30)+N(Q30)+N(U30)+N(Y30)</f>
        <v>0</v>
      </c>
      <c r="AB30" s="24" t="n">
        <f aca="false">F30+J30+N30+R30+V30+Z30</f>
        <v>0</v>
      </c>
      <c r="AC30" s="81" t="str">
        <f aca="false">IF(B30="","",IF(AB30&lt;=0,"Clear",IF(AA30&gt;0,"Partial","Due")))</f>
        <v/>
      </c>
    </row>
    <row r="31" customFormat="false" ht="15" hidden="false" customHeight="false" outlineLevel="0" collapsed="false">
      <c r="A31" s="25" t="n">
        <v>16</v>
      </c>
      <c r="B31" s="82" t="str">
        <f aca="false">IF(Students!B20="","",Students!B20)</f>
        <v/>
      </c>
      <c r="C31" s="37" t="n">
        <f aca="false">'Jun 2027'!F31</f>
        <v>0</v>
      </c>
      <c r="D31" s="37" t="n">
        <f aca="false">IF(B31="",0,N(Students!E20))</f>
        <v>0</v>
      </c>
      <c r="E31" s="23"/>
      <c r="F31" s="26" t="n">
        <f aca="false">N(C31)+N(D31)-N(E31)</f>
        <v>0</v>
      </c>
      <c r="G31" s="37" t="n">
        <f aca="false">'Jun 2027'!J31</f>
        <v>0</v>
      </c>
      <c r="H31" s="37" t="n">
        <f aca="false">IF(B31="",0,N(Students!F20))</f>
        <v>0</v>
      </c>
      <c r="I31" s="23"/>
      <c r="J31" s="26" t="n">
        <f aca="false">N(G31)+N(H31)-N(I31)</f>
        <v>0</v>
      </c>
      <c r="K31" s="37" t="n">
        <f aca="false">'Jun 2027'!N31</f>
        <v>0</v>
      </c>
      <c r="L31" s="37" t="n">
        <f aca="false">IF(B31="",0,N(Students!G20))</f>
        <v>0</v>
      </c>
      <c r="M31" s="23"/>
      <c r="N31" s="26" t="n">
        <f aca="false">N(K31)+N(L31)-N(M31)</f>
        <v>0</v>
      </c>
      <c r="O31" s="37" t="n">
        <f aca="false">'Jun 2027'!R31</f>
        <v>0</v>
      </c>
      <c r="P31" s="37" t="n">
        <f aca="false">IF(B31="",0,N(Students!H20))</f>
        <v>0</v>
      </c>
      <c r="Q31" s="23"/>
      <c r="R31" s="26" t="n">
        <f aca="false">N(O31)+N(P31)-N(Q31)</f>
        <v>0</v>
      </c>
      <c r="S31" s="37" t="n">
        <f aca="false">'Jun 2027'!V31</f>
        <v>0</v>
      </c>
      <c r="T31" s="37" t="n">
        <f aca="false">IF(B31="",0,N(Students!I20))</f>
        <v>0</v>
      </c>
      <c r="U31" s="23"/>
      <c r="V31" s="26" t="n">
        <f aca="false">N(S31)+N(T31)-N(U31)</f>
        <v>0</v>
      </c>
      <c r="W31" s="37" t="n">
        <f aca="false">'Jun 2027'!Z31</f>
        <v>0</v>
      </c>
      <c r="X31" s="37" t="n">
        <f aca="false">IF(B31="",0,N(Students!J20))</f>
        <v>0</v>
      </c>
      <c r="Y31" s="23"/>
      <c r="Z31" s="26" t="n">
        <f aca="false">N(W31)+N(X31)-N(Y31)</f>
        <v>0</v>
      </c>
      <c r="AA31" s="37" t="n">
        <f aca="false">N(E31)+N(I31)+N(M31)+N(Q31)+N(U31)+N(Y31)</f>
        <v>0</v>
      </c>
      <c r="AB31" s="26" t="n">
        <f aca="false">F31+J31+N31+R31+V31+Z31</f>
        <v>0</v>
      </c>
      <c r="AC31" s="83" t="str">
        <f aca="false">IF(B31="","",IF(AB31&lt;=0,"Clear",IF(AA31&gt;0,"Partial","Due")))</f>
        <v/>
      </c>
    </row>
    <row r="32" customFormat="false" ht="15" hidden="false" customHeight="false" outlineLevel="0" collapsed="false">
      <c r="A32" s="21" t="n">
        <v>17</v>
      </c>
      <c r="B32" s="46" t="str">
        <f aca="false">IF(Students!B21="","",Students!B21)</f>
        <v/>
      </c>
      <c r="C32" s="33" t="n">
        <f aca="false">'Jun 2027'!F32</f>
        <v>0</v>
      </c>
      <c r="D32" s="33" t="n">
        <f aca="false">IF(B32="",0,N(Students!E21))</f>
        <v>0</v>
      </c>
      <c r="E32" s="23"/>
      <c r="F32" s="24" t="n">
        <f aca="false">N(C32)+N(D32)-N(E32)</f>
        <v>0</v>
      </c>
      <c r="G32" s="33" t="n">
        <f aca="false">'Jun 2027'!J32</f>
        <v>0</v>
      </c>
      <c r="H32" s="33" t="n">
        <f aca="false">IF(B32="",0,N(Students!F21))</f>
        <v>0</v>
      </c>
      <c r="I32" s="23"/>
      <c r="J32" s="24" t="n">
        <f aca="false">N(G32)+N(H32)-N(I32)</f>
        <v>0</v>
      </c>
      <c r="K32" s="33" t="n">
        <f aca="false">'Jun 2027'!N32</f>
        <v>0</v>
      </c>
      <c r="L32" s="33" t="n">
        <f aca="false">IF(B32="",0,N(Students!G21))</f>
        <v>0</v>
      </c>
      <c r="M32" s="23"/>
      <c r="N32" s="24" t="n">
        <f aca="false">N(K32)+N(L32)-N(M32)</f>
        <v>0</v>
      </c>
      <c r="O32" s="33" t="n">
        <f aca="false">'Jun 2027'!R32</f>
        <v>0</v>
      </c>
      <c r="P32" s="33" t="n">
        <f aca="false">IF(B32="",0,N(Students!H21))</f>
        <v>0</v>
      </c>
      <c r="Q32" s="23"/>
      <c r="R32" s="24" t="n">
        <f aca="false">N(O32)+N(P32)-N(Q32)</f>
        <v>0</v>
      </c>
      <c r="S32" s="33" t="n">
        <f aca="false">'Jun 2027'!V32</f>
        <v>0</v>
      </c>
      <c r="T32" s="33" t="n">
        <f aca="false">IF(B32="",0,N(Students!I21))</f>
        <v>0</v>
      </c>
      <c r="U32" s="23"/>
      <c r="V32" s="24" t="n">
        <f aca="false">N(S32)+N(T32)-N(U32)</f>
        <v>0</v>
      </c>
      <c r="W32" s="33" t="n">
        <f aca="false">'Jun 2027'!Z32</f>
        <v>0</v>
      </c>
      <c r="X32" s="33" t="n">
        <f aca="false">IF(B32="",0,N(Students!J21))</f>
        <v>0</v>
      </c>
      <c r="Y32" s="23"/>
      <c r="Z32" s="24" t="n">
        <f aca="false">N(W32)+N(X32)-N(Y32)</f>
        <v>0</v>
      </c>
      <c r="AA32" s="33" t="n">
        <f aca="false">N(E32)+N(I32)+N(M32)+N(Q32)+N(U32)+N(Y32)</f>
        <v>0</v>
      </c>
      <c r="AB32" s="24" t="n">
        <f aca="false">F32+J32+N32+R32+V32+Z32</f>
        <v>0</v>
      </c>
      <c r="AC32" s="81" t="str">
        <f aca="false">IF(B32="","",IF(AB32&lt;=0,"Clear",IF(AA32&gt;0,"Partial","Due")))</f>
        <v/>
      </c>
    </row>
    <row r="33" customFormat="false" ht="15" hidden="false" customHeight="false" outlineLevel="0" collapsed="false">
      <c r="A33" s="25" t="n">
        <v>18</v>
      </c>
      <c r="B33" s="82" t="str">
        <f aca="false">IF(Students!B22="","",Students!B22)</f>
        <v/>
      </c>
      <c r="C33" s="37" t="n">
        <f aca="false">'Jun 2027'!F33</f>
        <v>0</v>
      </c>
      <c r="D33" s="37" t="n">
        <f aca="false">IF(B33="",0,N(Students!E22))</f>
        <v>0</v>
      </c>
      <c r="E33" s="23"/>
      <c r="F33" s="26" t="n">
        <f aca="false">N(C33)+N(D33)-N(E33)</f>
        <v>0</v>
      </c>
      <c r="G33" s="37" t="n">
        <f aca="false">'Jun 2027'!J33</f>
        <v>0</v>
      </c>
      <c r="H33" s="37" t="n">
        <f aca="false">IF(B33="",0,N(Students!F22))</f>
        <v>0</v>
      </c>
      <c r="I33" s="23"/>
      <c r="J33" s="26" t="n">
        <f aca="false">N(G33)+N(H33)-N(I33)</f>
        <v>0</v>
      </c>
      <c r="K33" s="37" t="n">
        <f aca="false">'Jun 2027'!N33</f>
        <v>0</v>
      </c>
      <c r="L33" s="37" t="n">
        <f aca="false">IF(B33="",0,N(Students!G22))</f>
        <v>0</v>
      </c>
      <c r="M33" s="23"/>
      <c r="N33" s="26" t="n">
        <f aca="false">N(K33)+N(L33)-N(M33)</f>
        <v>0</v>
      </c>
      <c r="O33" s="37" t="n">
        <f aca="false">'Jun 2027'!R33</f>
        <v>0</v>
      </c>
      <c r="P33" s="37" t="n">
        <f aca="false">IF(B33="",0,N(Students!H22))</f>
        <v>0</v>
      </c>
      <c r="Q33" s="23"/>
      <c r="R33" s="26" t="n">
        <f aca="false">N(O33)+N(P33)-N(Q33)</f>
        <v>0</v>
      </c>
      <c r="S33" s="37" t="n">
        <f aca="false">'Jun 2027'!V33</f>
        <v>0</v>
      </c>
      <c r="T33" s="37" t="n">
        <f aca="false">IF(B33="",0,N(Students!I22))</f>
        <v>0</v>
      </c>
      <c r="U33" s="23"/>
      <c r="V33" s="26" t="n">
        <f aca="false">N(S33)+N(T33)-N(U33)</f>
        <v>0</v>
      </c>
      <c r="W33" s="37" t="n">
        <f aca="false">'Jun 2027'!Z33</f>
        <v>0</v>
      </c>
      <c r="X33" s="37" t="n">
        <f aca="false">IF(B33="",0,N(Students!J22))</f>
        <v>0</v>
      </c>
      <c r="Y33" s="23"/>
      <c r="Z33" s="26" t="n">
        <f aca="false">N(W33)+N(X33)-N(Y33)</f>
        <v>0</v>
      </c>
      <c r="AA33" s="37" t="n">
        <f aca="false">N(E33)+N(I33)+N(M33)+N(Q33)+N(U33)+N(Y33)</f>
        <v>0</v>
      </c>
      <c r="AB33" s="26" t="n">
        <f aca="false">F33+J33+N33+R33+V33+Z33</f>
        <v>0</v>
      </c>
      <c r="AC33" s="83" t="str">
        <f aca="false">IF(B33="","",IF(AB33&lt;=0,"Clear",IF(AA33&gt;0,"Partial","Due")))</f>
        <v/>
      </c>
    </row>
    <row r="34" customFormat="false" ht="15" hidden="false" customHeight="false" outlineLevel="0" collapsed="false">
      <c r="A34" s="21" t="n">
        <v>19</v>
      </c>
      <c r="B34" s="46" t="str">
        <f aca="false">IF(Students!B23="","",Students!B23)</f>
        <v/>
      </c>
      <c r="C34" s="33" t="n">
        <f aca="false">'Jun 2027'!F34</f>
        <v>0</v>
      </c>
      <c r="D34" s="33" t="n">
        <f aca="false">IF(B34="",0,N(Students!E23))</f>
        <v>0</v>
      </c>
      <c r="E34" s="23"/>
      <c r="F34" s="24" t="n">
        <f aca="false">N(C34)+N(D34)-N(E34)</f>
        <v>0</v>
      </c>
      <c r="G34" s="33" t="n">
        <f aca="false">'Jun 2027'!J34</f>
        <v>0</v>
      </c>
      <c r="H34" s="33" t="n">
        <f aca="false">IF(B34="",0,N(Students!F23))</f>
        <v>0</v>
      </c>
      <c r="I34" s="23"/>
      <c r="J34" s="24" t="n">
        <f aca="false">N(G34)+N(H34)-N(I34)</f>
        <v>0</v>
      </c>
      <c r="K34" s="33" t="n">
        <f aca="false">'Jun 2027'!N34</f>
        <v>0</v>
      </c>
      <c r="L34" s="33" t="n">
        <f aca="false">IF(B34="",0,N(Students!G23))</f>
        <v>0</v>
      </c>
      <c r="M34" s="23"/>
      <c r="N34" s="24" t="n">
        <f aca="false">N(K34)+N(L34)-N(M34)</f>
        <v>0</v>
      </c>
      <c r="O34" s="33" t="n">
        <f aca="false">'Jun 2027'!R34</f>
        <v>0</v>
      </c>
      <c r="P34" s="33" t="n">
        <f aca="false">IF(B34="",0,N(Students!H23))</f>
        <v>0</v>
      </c>
      <c r="Q34" s="23"/>
      <c r="R34" s="24" t="n">
        <f aca="false">N(O34)+N(P34)-N(Q34)</f>
        <v>0</v>
      </c>
      <c r="S34" s="33" t="n">
        <f aca="false">'Jun 2027'!V34</f>
        <v>0</v>
      </c>
      <c r="T34" s="33" t="n">
        <f aca="false">IF(B34="",0,N(Students!I23))</f>
        <v>0</v>
      </c>
      <c r="U34" s="23"/>
      <c r="V34" s="24" t="n">
        <f aca="false">N(S34)+N(T34)-N(U34)</f>
        <v>0</v>
      </c>
      <c r="W34" s="33" t="n">
        <f aca="false">'Jun 2027'!Z34</f>
        <v>0</v>
      </c>
      <c r="X34" s="33" t="n">
        <f aca="false">IF(B34="",0,N(Students!J23))</f>
        <v>0</v>
      </c>
      <c r="Y34" s="23"/>
      <c r="Z34" s="24" t="n">
        <f aca="false">N(W34)+N(X34)-N(Y34)</f>
        <v>0</v>
      </c>
      <c r="AA34" s="33" t="n">
        <f aca="false">N(E34)+N(I34)+N(M34)+N(Q34)+N(U34)+N(Y34)</f>
        <v>0</v>
      </c>
      <c r="AB34" s="24" t="n">
        <f aca="false">F34+J34+N34+R34+V34+Z34</f>
        <v>0</v>
      </c>
      <c r="AC34" s="81" t="str">
        <f aca="false">IF(B34="","",IF(AB34&lt;=0,"Clear",IF(AA34&gt;0,"Partial","Due")))</f>
        <v/>
      </c>
    </row>
    <row r="35" customFormat="false" ht="15" hidden="false" customHeight="false" outlineLevel="0" collapsed="false">
      <c r="A35" s="25" t="n">
        <v>20</v>
      </c>
      <c r="B35" s="82" t="str">
        <f aca="false">IF(Students!B24="","",Students!B24)</f>
        <v/>
      </c>
      <c r="C35" s="37" t="n">
        <f aca="false">'Jun 2027'!F35</f>
        <v>0</v>
      </c>
      <c r="D35" s="37" t="n">
        <f aca="false">IF(B35="",0,N(Students!E24))</f>
        <v>0</v>
      </c>
      <c r="E35" s="23"/>
      <c r="F35" s="26" t="n">
        <f aca="false">N(C35)+N(D35)-N(E35)</f>
        <v>0</v>
      </c>
      <c r="G35" s="37" t="n">
        <f aca="false">'Jun 2027'!J35</f>
        <v>0</v>
      </c>
      <c r="H35" s="37" t="n">
        <f aca="false">IF(B35="",0,N(Students!F24))</f>
        <v>0</v>
      </c>
      <c r="I35" s="23"/>
      <c r="J35" s="26" t="n">
        <f aca="false">N(G35)+N(H35)-N(I35)</f>
        <v>0</v>
      </c>
      <c r="K35" s="37" t="n">
        <f aca="false">'Jun 2027'!N35</f>
        <v>0</v>
      </c>
      <c r="L35" s="37" t="n">
        <f aca="false">IF(B35="",0,N(Students!G24))</f>
        <v>0</v>
      </c>
      <c r="M35" s="23"/>
      <c r="N35" s="26" t="n">
        <f aca="false">N(K35)+N(L35)-N(M35)</f>
        <v>0</v>
      </c>
      <c r="O35" s="37" t="n">
        <f aca="false">'Jun 2027'!R35</f>
        <v>0</v>
      </c>
      <c r="P35" s="37" t="n">
        <f aca="false">IF(B35="",0,N(Students!H24))</f>
        <v>0</v>
      </c>
      <c r="Q35" s="23"/>
      <c r="R35" s="26" t="n">
        <f aca="false">N(O35)+N(P35)-N(Q35)</f>
        <v>0</v>
      </c>
      <c r="S35" s="37" t="n">
        <f aca="false">'Jun 2027'!V35</f>
        <v>0</v>
      </c>
      <c r="T35" s="37" t="n">
        <f aca="false">IF(B35="",0,N(Students!I24))</f>
        <v>0</v>
      </c>
      <c r="U35" s="23"/>
      <c r="V35" s="26" t="n">
        <f aca="false">N(S35)+N(T35)-N(U35)</f>
        <v>0</v>
      </c>
      <c r="W35" s="37" t="n">
        <f aca="false">'Jun 2027'!Z35</f>
        <v>0</v>
      </c>
      <c r="X35" s="37" t="n">
        <f aca="false">IF(B35="",0,N(Students!J24))</f>
        <v>0</v>
      </c>
      <c r="Y35" s="23"/>
      <c r="Z35" s="26" t="n">
        <f aca="false">N(W35)+N(X35)-N(Y35)</f>
        <v>0</v>
      </c>
      <c r="AA35" s="37" t="n">
        <f aca="false">N(E35)+N(I35)+N(M35)+N(Q35)+N(U35)+N(Y35)</f>
        <v>0</v>
      </c>
      <c r="AB35" s="26" t="n">
        <f aca="false">F35+J35+N35+R35+V35+Z35</f>
        <v>0</v>
      </c>
      <c r="AC35" s="83" t="str">
        <f aca="false">IF(B35="","",IF(AB35&lt;=0,"Clear",IF(AA35&gt;0,"Partial","Due")))</f>
        <v/>
      </c>
    </row>
    <row r="36" customFormat="false" ht="15" hidden="false" customHeight="false" outlineLevel="0" collapsed="false">
      <c r="A36" s="21" t="n">
        <v>21</v>
      </c>
      <c r="B36" s="46" t="str">
        <f aca="false">IF(Students!B25="","",Students!B25)</f>
        <v/>
      </c>
      <c r="C36" s="33" t="n">
        <f aca="false">'Jun 2027'!F36</f>
        <v>0</v>
      </c>
      <c r="D36" s="33" t="n">
        <f aca="false">IF(B36="",0,N(Students!E25))</f>
        <v>0</v>
      </c>
      <c r="E36" s="23"/>
      <c r="F36" s="24" t="n">
        <f aca="false">N(C36)+N(D36)-N(E36)</f>
        <v>0</v>
      </c>
      <c r="G36" s="33" t="n">
        <f aca="false">'Jun 2027'!J36</f>
        <v>0</v>
      </c>
      <c r="H36" s="33" t="n">
        <f aca="false">IF(B36="",0,N(Students!F25))</f>
        <v>0</v>
      </c>
      <c r="I36" s="23"/>
      <c r="J36" s="24" t="n">
        <f aca="false">N(G36)+N(H36)-N(I36)</f>
        <v>0</v>
      </c>
      <c r="K36" s="33" t="n">
        <f aca="false">'Jun 2027'!N36</f>
        <v>0</v>
      </c>
      <c r="L36" s="33" t="n">
        <f aca="false">IF(B36="",0,N(Students!G25))</f>
        <v>0</v>
      </c>
      <c r="M36" s="23"/>
      <c r="N36" s="24" t="n">
        <f aca="false">N(K36)+N(L36)-N(M36)</f>
        <v>0</v>
      </c>
      <c r="O36" s="33" t="n">
        <f aca="false">'Jun 2027'!R36</f>
        <v>0</v>
      </c>
      <c r="P36" s="33" t="n">
        <f aca="false">IF(B36="",0,N(Students!H25))</f>
        <v>0</v>
      </c>
      <c r="Q36" s="23"/>
      <c r="R36" s="24" t="n">
        <f aca="false">N(O36)+N(P36)-N(Q36)</f>
        <v>0</v>
      </c>
      <c r="S36" s="33" t="n">
        <f aca="false">'Jun 2027'!V36</f>
        <v>0</v>
      </c>
      <c r="T36" s="33" t="n">
        <f aca="false">IF(B36="",0,N(Students!I25))</f>
        <v>0</v>
      </c>
      <c r="U36" s="23"/>
      <c r="V36" s="24" t="n">
        <f aca="false">N(S36)+N(T36)-N(U36)</f>
        <v>0</v>
      </c>
      <c r="W36" s="33" t="n">
        <f aca="false">'Jun 2027'!Z36</f>
        <v>0</v>
      </c>
      <c r="X36" s="33" t="n">
        <f aca="false">IF(B36="",0,N(Students!J25))</f>
        <v>0</v>
      </c>
      <c r="Y36" s="23"/>
      <c r="Z36" s="24" t="n">
        <f aca="false">N(W36)+N(X36)-N(Y36)</f>
        <v>0</v>
      </c>
      <c r="AA36" s="33" t="n">
        <f aca="false">N(E36)+N(I36)+N(M36)+N(Q36)+N(U36)+N(Y36)</f>
        <v>0</v>
      </c>
      <c r="AB36" s="24" t="n">
        <f aca="false">F36+J36+N36+R36+V36+Z36</f>
        <v>0</v>
      </c>
      <c r="AC36" s="81" t="str">
        <f aca="false">IF(B36="","",IF(AB36&lt;=0,"Clear",IF(AA36&gt;0,"Partial","Due")))</f>
        <v/>
      </c>
    </row>
    <row r="37" customFormat="false" ht="15" hidden="false" customHeight="false" outlineLevel="0" collapsed="false">
      <c r="A37" s="25" t="n">
        <v>22</v>
      </c>
      <c r="B37" s="82" t="str">
        <f aca="false">IF(Students!B26="","",Students!B26)</f>
        <v/>
      </c>
      <c r="C37" s="37" t="n">
        <f aca="false">'Jun 2027'!F37</f>
        <v>0</v>
      </c>
      <c r="D37" s="37" t="n">
        <f aca="false">IF(B37="",0,N(Students!E26))</f>
        <v>0</v>
      </c>
      <c r="E37" s="23"/>
      <c r="F37" s="26" t="n">
        <f aca="false">N(C37)+N(D37)-N(E37)</f>
        <v>0</v>
      </c>
      <c r="G37" s="37" t="n">
        <f aca="false">'Jun 2027'!J37</f>
        <v>0</v>
      </c>
      <c r="H37" s="37" t="n">
        <f aca="false">IF(B37="",0,N(Students!F26))</f>
        <v>0</v>
      </c>
      <c r="I37" s="23"/>
      <c r="J37" s="26" t="n">
        <f aca="false">N(G37)+N(H37)-N(I37)</f>
        <v>0</v>
      </c>
      <c r="K37" s="37" t="n">
        <f aca="false">'Jun 2027'!N37</f>
        <v>0</v>
      </c>
      <c r="L37" s="37" t="n">
        <f aca="false">IF(B37="",0,N(Students!G26))</f>
        <v>0</v>
      </c>
      <c r="M37" s="23"/>
      <c r="N37" s="26" t="n">
        <f aca="false">N(K37)+N(L37)-N(M37)</f>
        <v>0</v>
      </c>
      <c r="O37" s="37" t="n">
        <f aca="false">'Jun 2027'!R37</f>
        <v>0</v>
      </c>
      <c r="P37" s="37" t="n">
        <f aca="false">IF(B37="",0,N(Students!H26))</f>
        <v>0</v>
      </c>
      <c r="Q37" s="23"/>
      <c r="R37" s="26" t="n">
        <f aca="false">N(O37)+N(P37)-N(Q37)</f>
        <v>0</v>
      </c>
      <c r="S37" s="37" t="n">
        <f aca="false">'Jun 2027'!V37</f>
        <v>0</v>
      </c>
      <c r="T37" s="37" t="n">
        <f aca="false">IF(B37="",0,N(Students!I26))</f>
        <v>0</v>
      </c>
      <c r="U37" s="23"/>
      <c r="V37" s="26" t="n">
        <f aca="false">N(S37)+N(T37)-N(U37)</f>
        <v>0</v>
      </c>
      <c r="W37" s="37" t="n">
        <f aca="false">'Jun 2027'!Z37</f>
        <v>0</v>
      </c>
      <c r="X37" s="37" t="n">
        <f aca="false">IF(B37="",0,N(Students!J26))</f>
        <v>0</v>
      </c>
      <c r="Y37" s="23"/>
      <c r="Z37" s="26" t="n">
        <f aca="false">N(W37)+N(X37)-N(Y37)</f>
        <v>0</v>
      </c>
      <c r="AA37" s="37" t="n">
        <f aca="false">N(E37)+N(I37)+N(M37)+N(Q37)+N(U37)+N(Y37)</f>
        <v>0</v>
      </c>
      <c r="AB37" s="26" t="n">
        <f aca="false">F37+J37+N37+R37+V37+Z37</f>
        <v>0</v>
      </c>
      <c r="AC37" s="83" t="str">
        <f aca="false">IF(B37="","",IF(AB37&lt;=0,"Clear",IF(AA37&gt;0,"Partial","Due")))</f>
        <v/>
      </c>
    </row>
    <row r="38" customFormat="false" ht="15" hidden="false" customHeight="false" outlineLevel="0" collapsed="false">
      <c r="A38" s="21" t="n">
        <v>23</v>
      </c>
      <c r="B38" s="46" t="str">
        <f aca="false">IF(Students!B27="","",Students!B27)</f>
        <v/>
      </c>
      <c r="C38" s="33" t="n">
        <f aca="false">'Jun 2027'!F38</f>
        <v>0</v>
      </c>
      <c r="D38" s="33" t="n">
        <f aca="false">IF(B38="",0,N(Students!E27))</f>
        <v>0</v>
      </c>
      <c r="E38" s="23"/>
      <c r="F38" s="24" t="n">
        <f aca="false">N(C38)+N(D38)-N(E38)</f>
        <v>0</v>
      </c>
      <c r="G38" s="33" t="n">
        <f aca="false">'Jun 2027'!J38</f>
        <v>0</v>
      </c>
      <c r="H38" s="33" t="n">
        <f aca="false">IF(B38="",0,N(Students!F27))</f>
        <v>0</v>
      </c>
      <c r="I38" s="23"/>
      <c r="J38" s="24" t="n">
        <f aca="false">N(G38)+N(H38)-N(I38)</f>
        <v>0</v>
      </c>
      <c r="K38" s="33" t="n">
        <f aca="false">'Jun 2027'!N38</f>
        <v>0</v>
      </c>
      <c r="L38" s="33" t="n">
        <f aca="false">IF(B38="",0,N(Students!G27))</f>
        <v>0</v>
      </c>
      <c r="M38" s="23"/>
      <c r="N38" s="24" t="n">
        <f aca="false">N(K38)+N(L38)-N(M38)</f>
        <v>0</v>
      </c>
      <c r="O38" s="33" t="n">
        <f aca="false">'Jun 2027'!R38</f>
        <v>0</v>
      </c>
      <c r="P38" s="33" t="n">
        <f aca="false">IF(B38="",0,N(Students!H27))</f>
        <v>0</v>
      </c>
      <c r="Q38" s="23"/>
      <c r="R38" s="24" t="n">
        <f aca="false">N(O38)+N(P38)-N(Q38)</f>
        <v>0</v>
      </c>
      <c r="S38" s="33" t="n">
        <f aca="false">'Jun 2027'!V38</f>
        <v>0</v>
      </c>
      <c r="T38" s="33" t="n">
        <f aca="false">IF(B38="",0,N(Students!I27))</f>
        <v>0</v>
      </c>
      <c r="U38" s="23"/>
      <c r="V38" s="24" t="n">
        <f aca="false">N(S38)+N(T38)-N(U38)</f>
        <v>0</v>
      </c>
      <c r="W38" s="33" t="n">
        <f aca="false">'Jun 2027'!Z38</f>
        <v>0</v>
      </c>
      <c r="X38" s="33" t="n">
        <f aca="false">IF(B38="",0,N(Students!J27))</f>
        <v>0</v>
      </c>
      <c r="Y38" s="23"/>
      <c r="Z38" s="24" t="n">
        <f aca="false">N(W38)+N(X38)-N(Y38)</f>
        <v>0</v>
      </c>
      <c r="AA38" s="33" t="n">
        <f aca="false">N(E38)+N(I38)+N(M38)+N(Q38)+N(U38)+N(Y38)</f>
        <v>0</v>
      </c>
      <c r="AB38" s="24" t="n">
        <f aca="false">F38+J38+N38+R38+V38+Z38</f>
        <v>0</v>
      </c>
      <c r="AC38" s="81" t="str">
        <f aca="false">IF(B38="","",IF(AB38&lt;=0,"Clear",IF(AA38&gt;0,"Partial","Due")))</f>
        <v/>
      </c>
    </row>
    <row r="39" customFormat="false" ht="15" hidden="false" customHeight="false" outlineLevel="0" collapsed="false">
      <c r="A39" s="25" t="n">
        <v>24</v>
      </c>
      <c r="B39" s="82" t="str">
        <f aca="false">IF(Students!B28="","",Students!B28)</f>
        <v/>
      </c>
      <c r="C39" s="37" t="n">
        <f aca="false">'Jun 2027'!F39</f>
        <v>0</v>
      </c>
      <c r="D39" s="37" t="n">
        <f aca="false">IF(B39="",0,N(Students!E28))</f>
        <v>0</v>
      </c>
      <c r="E39" s="23"/>
      <c r="F39" s="26" t="n">
        <f aca="false">N(C39)+N(D39)-N(E39)</f>
        <v>0</v>
      </c>
      <c r="G39" s="37" t="n">
        <f aca="false">'Jun 2027'!J39</f>
        <v>0</v>
      </c>
      <c r="H39" s="37" t="n">
        <f aca="false">IF(B39="",0,N(Students!F28))</f>
        <v>0</v>
      </c>
      <c r="I39" s="23"/>
      <c r="J39" s="26" t="n">
        <f aca="false">N(G39)+N(H39)-N(I39)</f>
        <v>0</v>
      </c>
      <c r="K39" s="37" t="n">
        <f aca="false">'Jun 2027'!N39</f>
        <v>0</v>
      </c>
      <c r="L39" s="37" t="n">
        <f aca="false">IF(B39="",0,N(Students!G28))</f>
        <v>0</v>
      </c>
      <c r="M39" s="23"/>
      <c r="N39" s="26" t="n">
        <f aca="false">N(K39)+N(L39)-N(M39)</f>
        <v>0</v>
      </c>
      <c r="O39" s="37" t="n">
        <f aca="false">'Jun 2027'!R39</f>
        <v>0</v>
      </c>
      <c r="P39" s="37" t="n">
        <f aca="false">IF(B39="",0,N(Students!H28))</f>
        <v>0</v>
      </c>
      <c r="Q39" s="23"/>
      <c r="R39" s="26" t="n">
        <f aca="false">N(O39)+N(P39)-N(Q39)</f>
        <v>0</v>
      </c>
      <c r="S39" s="37" t="n">
        <f aca="false">'Jun 2027'!V39</f>
        <v>0</v>
      </c>
      <c r="T39" s="37" t="n">
        <f aca="false">IF(B39="",0,N(Students!I28))</f>
        <v>0</v>
      </c>
      <c r="U39" s="23"/>
      <c r="V39" s="26" t="n">
        <f aca="false">N(S39)+N(T39)-N(U39)</f>
        <v>0</v>
      </c>
      <c r="W39" s="37" t="n">
        <f aca="false">'Jun 2027'!Z39</f>
        <v>0</v>
      </c>
      <c r="X39" s="37" t="n">
        <f aca="false">IF(B39="",0,N(Students!J28))</f>
        <v>0</v>
      </c>
      <c r="Y39" s="23"/>
      <c r="Z39" s="26" t="n">
        <f aca="false">N(W39)+N(X39)-N(Y39)</f>
        <v>0</v>
      </c>
      <c r="AA39" s="37" t="n">
        <f aca="false">N(E39)+N(I39)+N(M39)+N(Q39)+N(U39)+N(Y39)</f>
        <v>0</v>
      </c>
      <c r="AB39" s="26" t="n">
        <f aca="false">F39+J39+N39+R39+V39+Z39</f>
        <v>0</v>
      </c>
      <c r="AC39" s="83" t="str">
        <f aca="false">IF(B39="","",IF(AB39&lt;=0,"Clear",IF(AA39&gt;0,"Partial","Due")))</f>
        <v/>
      </c>
    </row>
    <row r="40" customFormat="false" ht="15" hidden="false" customHeight="false" outlineLevel="0" collapsed="false">
      <c r="A40" s="21" t="n">
        <v>25</v>
      </c>
      <c r="B40" s="46" t="str">
        <f aca="false">IF(Students!B29="","",Students!B29)</f>
        <v/>
      </c>
      <c r="C40" s="33" t="n">
        <f aca="false">'Jun 2027'!F40</f>
        <v>0</v>
      </c>
      <c r="D40" s="33" t="n">
        <f aca="false">IF(B40="",0,N(Students!E29))</f>
        <v>0</v>
      </c>
      <c r="E40" s="23"/>
      <c r="F40" s="24" t="n">
        <f aca="false">N(C40)+N(D40)-N(E40)</f>
        <v>0</v>
      </c>
      <c r="G40" s="33" t="n">
        <f aca="false">'Jun 2027'!J40</f>
        <v>0</v>
      </c>
      <c r="H40" s="33" t="n">
        <f aca="false">IF(B40="",0,N(Students!F29))</f>
        <v>0</v>
      </c>
      <c r="I40" s="23"/>
      <c r="J40" s="24" t="n">
        <f aca="false">N(G40)+N(H40)-N(I40)</f>
        <v>0</v>
      </c>
      <c r="K40" s="33" t="n">
        <f aca="false">'Jun 2027'!N40</f>
        <v>0</v>
      </c>
      <c r="L40" s="33" t="n">
        <f aca="false">IF(B40="",0,N(Students!G29))</f>
        <v>0</v>
      </c>
      <c r="M40" s="23"/>
      <c r="N40" s="24" t="n">
        <f aca="false">N(K40)+N(L40)-N(M40)</f>
        <v>0</v>
      </c>
      <c r="O40" s="33" t="n">
        <f aca="false">'Jun 2027'!R40</f>
        <v>0</v>
      </c>
      <c r="P40" s="33" t="n">
        <f aca="false">IF(B40="",0,N(Students!H29))</f>
        <v>0</v>
      </c>
      <c r="Q40" s="23"/>
      <c r="R40" s="24" t="n">
        <f aca="false">N(O40)+N(P40)-N(Q40)</f>
        <v>0</v>
      </c>
      <c r="S40" s="33" t="n">
        <f aca="false">'Jun 2027'!V40</f>
        <v>0</v>
      </c>
      <c r="T40" s="33" t="n">
        <f aca="false">IF(B40="",0,N(Students!I29))</f>
        <v>0</v>
      </c>
      <c r="U40" s="23"/>
      <c r="V40" s="24" t="n">
        <f aca="false">N(S40)+N(T40)-N(U40)</f>
        <v>0</v>
      </c>
      <c r="W40" s="33" t="n">
        <f aca="false">'Jun 2027'!Z40</f>
        <v>0</v>
      </c>
      <c r="X40" s="33" t="n">
        <f aca="false">IF(B40="",0,N(Students!J29))</f>
        <v>0</v>
      </c>
      <c r="Y40" s="23"/>
      <c r="Z40" s="24" t="n">
        <f aca="false">N(W40)+N(X40)-N(Y40)</f>
        <v>0</v>
      </c>
      <c r="AA40" s="33" t="n">
        <f aca="false">N(E40)+N(I40)+N(M40)+N(Q40)+N(U40)+N(Y40)</f>
        <v>0</v>
      </c>
      <c r="AB40" s="24" t="n">
        <f aca="false">F40+J40+N40+R40+V40+Z40</f>
        <v>0</v>
      </c>
      <c r="AC40" s="81" t="str">
        <f aca="false">IF(B40="","",IF(AB40&lt;=0,"Clear",IF(AA40&gt;0,"Partial","Due")))</f>
        <v/>
      </c>
    </row>
    <row r="41" customFormat="false" ht="15" hidden="false" customHeight="false" outlineLevel="0" collapsed="false">
      <c r="A41" s="25" t="n">
        <v>26</v>
      </c>
      <c r="B41" s="82" t="str">
        <f aca="false">IF(Students!B30="","",Students!B30)</f>
        <v/>
      </c>
      <c r="C41" s="37" t="n">
        <f aca="false">'Jun 2027'!F41</f>
        <v>0</v>
      </c>
      <c r="D41" s="37" t="n">
        <f aca="false">IF(B41="",0,N(Students!E30))</f>
        <v>0</v>
      </c>
      <c r="E41" s="23"/>
      <c r="F41" s="26" t="n">
        <f aca="false">N(C41)+N(D41)-N(E41)</f>
        <v>0</v>
      </c>
      <c r="G41" s="37" t="n">
        <f aca="false">'Jun 2027'!J41</f>
        <v>0</v>
      </c>
      <c r="H41" s="37" t="n">
        <f aca="false">IF(B41="",0,N(Students!F30))</f>
        <v>0</v>
      </c>
      <c r="I41" s="23"/>
      <c r="J41" s="26" t="n">
        <f aca="false">N(G41)+N(H41)-N(I41)</f>
        <v>0</v>
      </c>
      <c r="K41" s="37" t="n">
        <f aca="false">'Jun 2027'!N41</f>
        <v>0</v>
      </c>
      <c r="L41" s="37" t="n">
        <f aca="false">IF(B41="",0,N(Students!G30))</f>
        <v>0</v>
      </c>
      <c r="M41" s="23"/>
      <c r="N41" s="26" t="n">
        <f aca="false">N(K41)+N(L41)-N(M41)</f>
        <v>0</v>
      </c>
      <c r="O41" s="37" t="n">
        <f aca="false">'Jun 2027'!R41</f>
        <v>0</v>
      </c>
      <c r="P41" s="37" t="n">
        <f aca="false">IF(B41="",0,N(Students!H30))</f>
        <v>0</v>
      </c>
      <c r="Q41" s="23"/>
      <c r="R41" s="26" t="n">
        <f aca="false">N(O41)+N(P41)-N(Q41)</f>
        <v>0</v>
      </c>
      <c r="S41" s="37" t="n">
        <f aca="false">'Jun 2027'!V41</f>
        <v>0</v>
      </c>
      <c r="T41" s="37" t="n">
        <f aca="false">IF(B41="",0,N(Students!I30))</f>
        <v>0</v>
      </c>
      <c r="U41" s="23"/>
      <c r="V41" s="26" t="n">
        <f aca="false">N(S41)+N(T41)-N(U41)</f>
        <v>0</v>
      </c>
      <c r="W41" s="37" t="n">
        <f aca="false">'Jun 2027'!Z41</f>
        <v>0</v>
      </c>
      <c r="X41" s="37" t="n">
        <f aca="false">IF(B41="",0,N(Students!J30))</f>
        <v>0</v>
      </c>
      <c r="Y41" s="23"/>
      <c r="Z41" s="26" t="n">
        <f aca="false">N(W41)+N(X41)-N(Y41)</f>
        <v>0</v>
      </c>
      <c r="AA41" s="37" t="n">
        <f aca="false">N(E41)+N(I41)+N(M41)+N(Q41)+N(U41)+N(Y41)</f>
        <v>0</v>
      </c>
      <c r="AB41" s="26" t="n">
        <f aca="false">F41+J41+N41+R41+V41+Z41</f>
        <v>0</v>
      </c>
      <c r="AC41" s="83" t="str">
        <f aca="false">IF(B41="","",IF(AB41&lt;=0,"Clear",IF(AA41&gt;0,"Partial","Due")))</f>
        <v/>
      </c>
    </row>
    <row r="42" customFormat="false" ht="15" hidden="false" customHeight="false" outlineLevel="0" collapsed="false">
      <c r="A42" s="21" t="n">
        <v>27</v>
      </c>
      <c r="B42" s="46" t="str">
        <f aca="false">IF(Students!B31="","",Students!B31)</f>
        <v/>
      </c>
      <c r="C42" s="33" t="n">
        <f aca="false">'Jun 2027'!F42</f>
        <v>0</v>
      </c>
      <c r="D42" s="33" t="n">
        <f aca="false">IF(B42="",0,N(Students!E31))</f>
        <v>0</v>
      </c>
      <c r="E42" s="23"/>
      <c r="F42" s="24" t="n">
        <f aca="false">N(C42)+N(D42)-N(E42)</f>
        <v>0</v>
      </c>
      <c r="G42" s="33" t="n">
        <f aca="false">'Jun 2027'!J42</f>
        <v>0</v>
      </c>
      <c r="H42" s="33" t="n">
        <f aca="false">IF(B42="",0,N(Students!F31))</f>
        <v>0</v>
      </c>
      <c r="I42" s="23"/>
      <c r="J42" s="24" t="n">
        <f aca="false">N(G42)+N(H42)-N(I42)</f>
        <v>0</v>
      </c>
      <c r="K42" s="33" t="n">
        <f aca="false">'Jun 2027'!N42</f>
        <v>0</v>
      </c>
      <c r="L42" s="33" t="n">
        <f aca="false">IF(B42="",0,N(Students!G31))</f>
        <v>0</v>
      </c>
      <c r="M42" s="23"/>
      <c r="N42" s="24" t="n">
        <f aca="false">N(K42)+N(L42)-N(M42)</f>
        <v>0</v>
      </c>
      <c r="O42" s="33" t="n">
        <f aca="false">'Jun 2027'!R42</f>
        <v>0</v>
      </c>
      <c r="P42" s="33" t="n">
        <f aca="false">IF(B42="",0,N(Students!H31))</f>
        <v>0</v>
      </c>
      <c r="Q42" s="23"/>
      <c r="R42" s="24" t="n">
        <f aca="false">N(O42)+N(P42)-N(Q42)</f>
        <v>0</v>
      </c>
      <c r="S42" s="33" t="n">
        <f aca="false">'Jun 2027'!V42</f>
        <v>0</v>
      </c>
      <c r="T42" s="33" t="n">
        <f aca="false">IF(B42="",0,N(Students!I31))</f>
        <v>0</v>
      </c>
      <c r="U42" s="23"/>
      <c r="V42" s="24" t="n">
        <f aca="false">N(S42)+N(T42)-N(U42)</f>
        <v>0</v>
      </c>
      <c r="W42" s="33" t="n">
        <f aca="false">'Jun 2027'!Z42</f>
        <v>0</v>
      </c>
      <c r="X42" s="33" t="n">
        <f aca="false">IF(B42="",0,N(Students!J31))</f>
        <v>0</v>
      </c>
      <c r="Y42" s="23"/>
      <c r="Z42" s="24" t="n">
        <f aca="false">N(W42)+N(X42)-N(Y42)</f>
        <v>0</v>
      </c>
      <c r="AA42" s="33" t="n">
        <f aca="false">N(E42)+N(I42)+N(M42)+N(Q42)+N(U42)+N(Y42)</f>
        <v>0</v>
      </c>
      <c r="AB42" s="24" t="n">
        <f aca="false">F42+J42+N42+R42+V42+Z42</f>
        <v>0</v>
      </c>
      <c r="AC42" s="81" t="str">
        <f aca="false">IF(B42="","",IF(AB42&lt;=0,"Clear",IF(AA42&gt;0,"Partial","Due")))</f>
        <v/>
      </c>
    </row>
    <row r="43" customFormat="false" ht="15" hidden="false" customHeight="false" outlineLevel="0" collapsed="false">
      <c r="A43" s="25" t="n">
        <v>28</v>
      </c>
      <c r="B43" s="82" t="str">
        <f aca="false">IF(Students!B32="","",Students!B32)</f>
        <v/>
      </c>
      <c r="C43" s="37" t="n">
        <f aca="false">'Jun 2027'!F43</f>
        <v>0</v>
      </c>
      <c r="D43" s="37" t="n">
        <f aca="false">IF(B43="",0,N(Students!E32))</f>
        <v>0</v>
      </c>
      <c r="E43" s="23"/>
      <c r="F43" s="26" t="n">
        <f aca="false">N(C43)+N(D43)-N(E43)</f>
        <v>0</v>
      </c>
      <c r="G43" s="37" t="n">
        <f aca="false">'Jun 2027'!J43</f>
        <v>0</v>
      </c>
      <c r="H43" s="37" t="n">
        <f aca="false">IF(B43="",0,N(Students!F32))</f>
        <v>0</v>
      </c>
      <c r="I43" s="23"/>
      <c r="J43" s="26" t="n">
        <f aca="false">N(G43)+N(H43)-N(I43)</f>
        <v>0</v>
      </c>
      <c r="K43" s="37" t="n">
        <f aca="false">'Jun 2027'!N43</f>
        <v>0</v>
      </c>
      <c r="L43" s="37" t="n">
        <f aca="false">IF(B43="",0,N(Students!G32))</f>
        <v>0</v>
      </c>
      <c r="M43" s="23"/>
      <c r="N43" s="26" t="n">
        <f aca="false">N(K43)+N(L43)-N(M43)</f>
        <v>0</v>
      </c>
      <c r="O43" s="37" t="n">
        <f aca="false">'Jun 2027'!R43</f>
        <v>0</v>
      </c>
      <c r="P43" s="37" t="n">
        <f aca="false">IF(B43="",0,N(Students!H32))</f>
        <v>0</v>
      </c>
      <c r="Q43" s="23"/>
      <c r="R43" s="26" t="n">
        <f aca="false">N(O43)+N(P43)-N(Q43)</f>
        <v>0</v>
      </c>
      <c r="S43" s="37" t="n">
        <f aca="false">'Jun 2027'!V43</f>
        <v>0</v>
      </c>
      <c r="T43" s="37" t="n">
        <f aca="false">IF(B43="",0,N(Students!I32))</f>
        <v>0</v>
      </c>
      <c r="U43" s="23"/>
      <c r="V43" s="26" t="n">
        <f aca="false">N(S43)+N(T43)-N(U43)</f>
        <v>0</v>
      </c>
      <c r="W43" s="37" t="n">
        <f aca="false">'Jun 2027'!Z43</f>
        <v>0</v>
      </c>
      <c r="X43" s="37" t="n">
        <f aca="false">IF(B43="",0,N(Students!J32))</f>
        <v>0</v>
      </c>
      <c r="Y43" s="23"/>
      <c r="Z43" s="26" t="n">
        <f aca="false">N(W43)+N(X43)-N(Y43)</f>
        <v>0</v>
      </c>
      <c r="AA43" s="37" t="n">
        <f aca="false">N(E43)+N(I43)+N(M43)+N(Q43)+N(U43)+N(Y43)</f>
        <v>0</v>
      </c>
      <c r="AB43" s="26" t="n">
        <f aca="false">F43+J43+N43+R43+V43+Z43</f>
        <v>0</v>
      </c>
      <c r="AC43" s="83" t="str">
        <f aca="false">IF(B43="","",IF(AB43&lt;=0,"Clear",IF(AA43&gt;0,"Partial","Due")))</f>
        <v/>
      </c>
    </row>
    <row r="44" customFormat="false" ht="15" hidden="false" customHeight="false" outlineLevel="0" collapsed="false">
      <c r="A44" s="21" t="n">
        <v>29</v>
      </c>
      <c r="B44" s="46" t="str">
        <f aca="false">IF(Students!B33="","",Students!B33)</f>
        <v/>
      </c>
      <c r="C44" s="33" t="n">
        <f aca="false">'Jun 2027'!F44</f>
        <v>0</v>
      </c>
      <c r="D44" s="33" t="n">
        <f aca="false">IF(B44="",0,N(Students!E33))</f>
        <v>0</v>
      </c>
      <c r="E44" s="23"/>
      <c r="F44" s="24" t="n">
        <f aca="false">N(C44)+N(D44)-N(E44)</f>
        <v>0</v>
      </c>
      <c r="G44" s="33" t="n">
        <f aca="false">'Jun 2027'!J44</f>
        <v>0</v>
      </c>
      <c r="H44" s="33" t="n">
        <f aca="false">IF(B44="",0,N(Students!F33))</f>
        <v>0</v>
      </c>
      <c r="I44" s="23"/>
      <c r="J44" s="24" t="n">
        <f aca="false">N(G44)+N(H44)-N(I44)</f>
        <v>0</v>
      </c>
      <c r="K44" s="33" t="n">
        <f aca="false">'Jun 2027'!N44</f>
        <v>0</v>
      </c>
      <c r="L44" s="33" t="n">
        <f aca="false">IF(B44="",0,N(Students!G33))</f>
        <v>0</v>
      </c>
      <c r="M44" s="23"/>
      <c r="N44" s="24" t="n">
        <f aca="false">N(K44)+N(L44)-N(M44)</f>
        <v>0</v>
      </c>
      <c r="O44" s="33" t="n">
        <f aca="false">'Jun 2027'!R44</f>
        <v>0</v>
      </c>
      <c r="P44" s="33" t="n">
        <f aca="false">IF(B44="",0,N(Students!H33))</f>
        <v>0</v>
      </c>
      <c r="Q44" s="23"/>
      <c r="R44" s="24" t="n">
        <f aca="false">N(O44)+N(P44)-N(Q44)</f>
        <v>0</v>
      </c>
      <c r="S44" s="33" t="n">
        <f aca="false">'Jun 2027'!V44</f>
        <v>0</v>
      </c>
      <c r="T44" s="33" t="n">
        <f aca="false">IF(B44="",0,N(Students!I33))</f>
        <v>0</v>
      </c>
      <c r="U44" s="23"/>
      <c r="V44" s="24" t="n">
        <f aca="false">N(S44)+N(T44)-N(U44)</f>
        <v>0</v>
      </c>
      <c r="W44" s="33" t="n">
        <f aca="false">'Jun 2027'!Z44</f>
        <v>0</v>
      </c>
      <c r="X44" s="33" t="n">
        <f aca="false">IF(B44="",0,N(Students!J33))</f>
        <v>0</v>
      </c>
      <c r="Y44" s="23"/>
      <c r="Z44" s="24" t="n">
        <f aca="false">N(W44)+N(X44)-N(Y44)</f>
        <v>0</v>
      </c>
      <c r="AA44" s="33" t="n">
        <f aca="false">N(E44)+N(I44)+N(M44)+N(Q44)+N(U44)+N(Y44)</f>
        <v>0</v>
      </c>
      <c r="AB44" s="24" t="n">
        <f aca="false">F44+J44+N44+R44+V44+Z44</f>
        <v>0</v>
      </c>
      <c r="AC44" s="81" t="str">
        <f aca="false">IF(B44="","",IF(AB44&lt;=0,"Clear",IF(AA44&gt;0,"Partial","Due")))</f>
        <v/>
      </c>
    </row>
    <row r="45" customFormat="false" ht="15" hidden="false" customHeight="false" outlineLevel="0" collapsed="false">
      <c r="A45" s="25" t="n">
        <v>30</v>
      </c>
      <c r="B45" s="82" t="str">
        <f aca="false">IF(Students!B34="","",Students!B34)</f>
        <v/>
      </c>
      <c r="C45" s="37" t="n">
        <f aca="false">'Jun 2027'!F45</f>
        <v>0</v>
      </c>
      <c r="D45" s="37" t="n">
        <f aca="false">IF(B45="",0,N(Students!E34))</f>
        <v>0</v>
      </c>
      <c r="E45" s="23"/>
      <c r="F45" s="26" t="n">
        <f aca="false">N(C45)+N(D45)-N(E45)</f>
        <v>0</v>
      </c>
      <c r="G45" s="37" t="n">
        <f aca="false">'Jun 2027'!J45</f>
        <v>0</v>
      </c>
      <c r="H45" s="37" t="n">
        <f aca="false">IF(B45="",0,N(Students!F34))</f>
        <v>0</v>
      </c>
      <c r="I45" s="23"/>
      <c r="J45" s="26" t="n">
        <f aca="false">N(G45)+N(H45)-N(I45)</f>
        <v>0</v>
      </c>
      <c r="K45" s="37" t="n">
        <f aca="false">'Jun 2027'!N45</f>
        <v>0</v>
      </c>
      <c r="L45" s="37" t="n">
        <f aca="false">IF(B45="",0,N(Students!G34))</f>
        <v>0</v>
      </c>
      <c r="M45" s="23"/>
      <c r="N45" s="26" t="n">
        <f aca="false">N(K45)+N(L45)-N(M45)</f>
        <v>0</v>
      </c>
      <c r="O45" s="37" t="n">
        <f aca="false">'Jun 2027'!R45</f>
        <v>0</v>
      </c>
      <c r="P45" s="37" t="n">
        <f aca="false">IF(B45="",0,N(Students!H34))</f>
        <v>0</v>
      </c>
      <c r="Q45" s="23"/>
      <c r="R45" s="26" t="n">
        <f aca="false">N(O45)+N(P45)-N(Q45)</f>
        <v>0</v>
      </c>
      <c r="S45" s="37" t="n">
        <f aca="false">'Jun 2027'!V45</f>
        <v>0</v>
      </c>
      <c r="T45" s="37" t="n">
        <f aca="false">IF(B45="",0,N(Students!I34))</f>
        <v>0</v>
      </c>
      <c r="U45" s="23"/>
      <c r="V45" s="26" t="n">
        <f aca="false">N(S45)+N(T45)-N(U45)</f>
        <v>0</v>
      </c>
      <c r="W45" s="37" t="n">
        <f aca="false">'Jun 2027'!Z45</f>
        <v>0</v>
      </c>
      <c r="X45" s="37" t="n">
        <f aca="false">IF(B45="",0,N(Students!J34))</f>
        <v>0</v>
      </c>
      <c r="Y45" s="23"/>
      <c r="Z45" s="26" t="n">
        <f aca="false">N(W45)+N(X45)-N(Y45)</f>
        <v>0</v>
      </c>
      <c r="AA45" s="37" t="n">
        <f aca="false">N(E45)+N(I45)+N(M45)+N(Q45)+N(U45)+N(Y45)</f>
        <v>0</v>
      </c>
      <c r="AB45" s="26" t="n">
        <f aca="false">F45+J45+N45+R45+V45+Z45</f>
        <v>0</v>
      </c>
      <c r="AC45" s="83" t="str">
        <f aca="false">IF(B45="","",IF(AB45&lt;=0,"Clear",IF(AA45&gt;0,"Partial","Due")))</f>
        <v/>
      </c>
    </row>
    <row r="46" customFormat="false" ht="15" hidden="false" customHeight="false" outlineLevel="0" collapsed="false">
      <c r="A46" s="21" t="n">
        <v>31</v>
      </c>
      <c r="B46" s="46" t="str">
        <f aca="false">IF(Students!B35="","",Students!B35)</f>
        <v/>
      </c>
      <c r="C46" s="33" t="n">
        <f aca="false">'Jun 2027'!F46</f>
        <v>0</v>
      </c>
      <c r="D46" s="33" t="n">
        <f aca="false">IF(B46="",0,N(Students!E35))</f>
        <v>0</v>
      </c>
      <c r="E46" s="23"/>
      <c r="F46" s="24" t="n">
        <f aca="false">N(C46)+N(D46)-N(E46)</f>
        <v>0</v>
      </c>
      <c r="G46" s="33" t="n">
        <f aca="false">'Jun 2027'!J46</f>
        <v>0</v>
      </c>
      <c r="H46" s="33" t="n">
        <f aca="false">IF(B46="",0,N(Students!F35))</f>
        <v>0</v>
      </c>
      <c r="I46" s="23"/>
      <c r="J46" s="24" t="n">
        <f aca="false">N(G46)+N(H46)-N(I46)</f>
        <v>0</v>
      </c>
      <c r="K46" s="33" t="n">
        <f aca="false">'Jun 2027'!N46</f>
        <v>0</v>
      </c>
      <c r="L46" s="33" t="n">
        <f aca="false">IF(B46="",0,N(Students!G35))</f>
        <v>0</v>
      </c>
      <c r="M46" s="23"/>
      <c r="N46" s="24" t="n">
        <f aca="false">N(K46)+N(L46)-N(M46)</f>
        <v>0</v>
      </c>
      <c r="O46" s="33" t="n">
        <f aca="false">'Jun 2027'!R46</f>
        <v>0</v>
      </c>
      <c r="P46" s="33" t="n">
        <f aca="false">IF(B46="",0,N(Students!H35))</f>
        <v>0</v>
      </c>
      <c r="Q46" s="23"/>
      <c r="R46" s="24" t="n">
        <f aca="false">N(O46)+N(P46)-N(Q46)</f>
        <v>0</v>
      </c>
      <c r="S46" s="33" t="n">
        <f aca="false">'Jun 2027'!V46</f>
        <v>0</v>
      </c>
      <c r="T46" s="33" t="n">
        <f aca="false">IF(B46="",0,N(Students!I35))</f>
        <v>0</v>
      </c>
      <c r="U46" s="23"/>
      <c r="V46" s="24" t="n">
        <f aca="false">N(S46)+N(T46)-N(U46)</f>
        <v>0</v>
      </c>
      <c r="W46" s="33" t="n">
        <f aca="false">'Jun 2027'!Z46</f>
        <v>0</v>
      </c>
      <c r="X46" s="33" t="n">
        <f aca="false">IF(B46="",0,N(Students!J35))</f>
        <v>0</v>
      </c>
      <c r="Y46" s="23"/>
      <c r="Z46" s="24" t="n">
        <f aca="false">N(W46)+N(X46)-N(Y46)</f>
        <v>0</v>
      </c>
      <c r="AA46" s="33" t="n">
        <f aca="false">N(E46)+N(I46)+N(M46)+N(Q46)+N(U46)+N(Y46)</f>
        <v>0</v>
      </c>
      <c r="AB46" s="24" t="n">
        <f aca="false">F46+J46+N46+R46+V46+Z46</f>
        <v>0</v>
      </c>
      <c r="AC46" s="81" t="str">
        <f aca="false">IF(B46="","",IF(AB46&lt;=0,"Clear",IF(AA46&gt;0,"Partial","Due")))</f>
        <v/>
      </c>
    </row>
    <row r="47" customFormat="false" ht="15" hidden="false" customHeight="false" outlineLevel="0" collapsed="false">
      <c r="A47" s="25" t="n">
        <v>32</v>
      </c>
      <c r="B47" s="82" t="str">
        <f aca="false">IF(Students!B36="","",Students!B36)</f>
        <v/>
      </c>
      <c r="C47" s="37" t="n">
        <f aca="false">'Jun 2027'!F47</f>
        <v>0</v>
      </c>
      <c r="D47" s="37" t="n">
        <f aca="false">IF(B47="",0,N(Students!E36))</f>
        <v>0</v>
      </c>
      <c r="E47" s="23"/>
      <c r="F47" s="26" t="n">
        <f aca="false">N(C47)+N(D47)-N(E47)</f>
        <v>0</v>
      </c>
      <c r="G47" s="37" t="n">
        <f aca="false">'Jun 2027'!J47</f>
        <v>0</v>
      </c>
      <c r="H47" s="37" t="n">
        <f aca="false">IF(B47="",0,N(Students!F36))</f>
        <v>0</v>
      </c>
      <c r="I47" s="23"/>
      <c r="J47" s="26" t="n">
        <f aca="false">N(G47)+N(H47)-N(I47)</f>
        <v>0</v>
      </c>
      <c r="K47" s="37" t="n">
        <f aca="false">'Jun 2027'!N47</f>
        <v>0</v>
      </c>
      <c r="L47" s="37" t="n">
        <f aca="false">IF(B47="",0,N(Students!G36))</f>
        <v>0</v>
      </c>
      <c r="M47" s="23"/>
      <c r="N47" s="26" t="n">
        <f aca="false">N(K47)+N(L47)-N(M47)</f>
        <v>0</v>
      </c>
      <c r="O47" s="37" t="n">
        <f aca="false">'Jun 2027'!R47</f>
        <v>0</v>
      </c>
      <c r="P47" s="37" t="n">
        <f aca="false">IF(B47="",0,N(Students!H36))</f>
        <v>0</v>
      </c>
      <c r="Q47" s="23"/>
      <c r="R47" s="26" t="n">
        <f aca="false">N(O47)+N(P47)-N(Q47)</f>
        <v>0</v>
      </c>
      <c r="S47" s="37" t="n">
        <f aca="false">'Jun 2027'!V47</f>
        <v>0</v>
      </c>
      <c r="T47" s="37" t="n">
        <f aca="false">IF(B47="",0,N(Students!I36))</f>
        <v>0</v>
      </c>
      <c r="U47" s="23"/>
      <c r="V47" s="26" t="n">
        <f aca="false">N(S47)+N(T47)-N(U47)</f>
        <v>0</v>
      </c>
      <c r="W47" s="37" t="n">
        <f aca="false">'Jun 2027'!Z47</f>
        <v>0</v>
      </c>
      <c r="X47" s="37" t="n">
        <f aca="false">IF(B47="",0,N(Students!J36))</f>
        <v>0</v>
      </c>
      <c r="Y47" s="23"/>
      <c r="Z47" s="26" t="n">
        <f aca="false">N(W47)+N(X47)-N(Y47)</f>
        <v>0</v>
      </c>
      <c r="AA47" s="37" t="n">
        <f aca="false">N(E47)+N(I47)+N(M47)+N(Q47)+N(U47)+N(Y47)</f>
        <v>0</v>
      </c>
      <c r="AB47" s="26" t="n">
        <f aca="false">F47+J47+N47+R47+V47+Z47</f>
        <v>0</v>
      </c>
      <c r="AC47" s="83" t="str">
        <f aca="false">IF(B47="","",IF(AB47&lt;=0,"Clear",IF(AA47&gt;0,"Partial","Due")))</f>
        <v/>
      </c>
    </row>
    <row r="48" customFormat="false" ht="15" hidden="false" customHeight="false" outlineLevel="0" collapsed="false">
      <c r="A48" s="21" t="n">
        <v>33</v>
      </c>
      <c r="B48" s="46" t="str">
        <f aca="false">IF(Students!B37="","",Students!B37)</f>
        <v/>
      </c>
      <c r="C48" s="33" t="n">
        <f aca="false">'Jun 2027'!F48</f>
        <v>0</v>
      </c>
      <c r="D48" s="33" t="n">
        <f aca="false">IF(B48="",0,N(Students!E37))</f>
        <v>0</v>
      </c>
      <c r="E48" s="23"/>
      <c r="F48" s="24" t="n">
        <f aca="false">N(C48)+N(D48)-N(E48)</f>
        <v>0</v>
      </c>
      <c r="G48" s="33" t="n">
        <f aca="false">'Jun 2027'!J48</f>
        <v>0</v>
      </c>
      <c r="H48" s="33" t="n">
        <f aca="false">IF(B48="",0,N(Students!F37))</f>
        <v>0</v>
      </c>
      <c r="I48" s="23"/>
      <c r="J48" s="24" t="n">
        <f aca="false">N(G48)+N(H48)-N(I48)</f>
        <v>0</v>
      </c>
      <c r="K48" s="33" t="n">
        <f aca="false">'Jun 2027'!N48</f>
        <v>0</v>
      </c>
      <c r="L48" s="33" t="n">
        <f aca="false">IF(B48="",0,N(Students!G37))</f>
        <v>0</v>
      </c>
      <c r="M48" s="23"/>
      <c r="N48" s="24" t="n">
        <f aca="false">N(K48)+N(L48)-N(M48)</f>
        <v>0</v>
      </c>
      <c r="O48" s="33" t="n">
        <f aca="false">'Jun 2027'!R48</f>
        <v>0</v>
      </c>
      <c r="P48" s="33" t="n">
        <f aca="false">IF(B48="",0,N(Students!H37))</f>
        <v>0</v>
      </c>
      <c r="Q48" s="23"/>
      <c r="R48" s="24" t="n">
        <f aca="false">N(O48)+N(P48)-N(Q48)</f>
        <v>0</v>
      </c>
      <c r="S48" s="33" t="n">
        <f aca="false">'Jun 2027'!V48</f>
        <v>0</v>
      </c>
      <c r="T48" s="33" t="n">
        <f aca="false">IF(B48="",0,N(Students!I37))</f>
        <v>0</v>
      </c>
      <c r="U48" s="23"/>
      <c r="V48" s="24" t="n">
        <f aca="false">N(S48)+N(T48)-N(U48)</f>
        <v>0</v>
      </c>
      <c r="W48" s="33" t="n">
        <f aca="false">'Jun 2027'!Z48</f>
        <v>0</v>
      </c>
      <c r="X48" s="33" t="n">
        <f aca="false">IF(B48="",0,N(Students!J37))</f>
        <v>0</v>
      </c>
      <c r="Y48" s="23"/>
      <c r="Z48" s="24" t="n">
        <f aca="false">N(W48)+N(X48)-N(Y48)</f>
        <v>0</v>
      </c>
      <c r="AA48" s="33" t="n">
        <f aca="false">N(E48)+N(I48)+N(M48)+N(Q48)+N(U48)+N(Y48)</f>
        <v>0</v>
      </c>
      <c r="AB48" s="24" t="n">
        <f aca="false">F48+J48+N48+R48+V48+Z48</f>
        <v>0</v>
      </c>
      <c r="AC48" s="81" t="str">
        <f aca="false">IF(B48="","",IF(AB48&lt;=0,"Clear",IF(AA48&gt;0,"Partial","Due")))</f>
        <v/>
      </c>
    </row>
    <row r="49" customFormat="false" ht="15" hidden="false" customHeight="false" outlineLevel="0" collapsed="false">
      <c r="A49" s="25" t="n">
        <v>34</v>
      </c>
      <c r="B49" s="82" t="str">
        <f aca="false">IF(Students!B38="","",Students!B38)</f>
        <v/>
      </c>
      <c r="C49" s="37" t="n">
        <f aca="false">'Jun 2027'!F49</f>
        <v>0</v>
      </c>
      <c r="D49" s="37" t="n">
        <f aca="false">IF(B49="",0,N(Students!E38))</f>
        <v>0</v>
      </c>
      <c r="E49" s="23"/>
      <c r="F49" s="26" t="n">
        <f aca="false">N(C49)+N(D49)-N(E49)</f>
        <v>0</v>
      </c>
      <c r="G49" s="37" t="n">
        <f aca="false">'Jun 2027'!J49</f>
        <v>0</v>
      </c>
      <c r="H49" s="37" t="n">
        <f aca="false">IF(B49="",0,N(Students!F38))</f>
        <v>0</v>
      </c>
      <c r="I49" s="23"/>
      <c r="J49" s="26" t="n">
        <f aca="false">N(G49)+N(H49)-N(I49)</f>
        <v>0</v>
      </c>
      <c r="K49" s="37" t="n">
        <f aca="false">'Jun 2027'!N49</f>
        <v>0</v>
      </c>
      <c r="L49" s="37" t="n">
        <f aca="false">IF(B49="",0,N(Students!G38))</f>
        <v>0</v>
      </c>
      <c r="M49" s="23"/>
      <c r="N49" s="26" t="n">
        <f aca="false">N(K49)+N(L49)-N(M49)</f>
        <v>0</v>
      </c>
      <c r="O49" s="37" t="n">
        <f aca="false">'Jun 2027'!R49</f>
        <v>0</v>
      </c>
      <c r="P49" s="37" t="n">
        <f aca="false">IF(B49="",0,N(Students!H38))</f>
        <v>0</v>
      </c>
      <c r="Q49" s="23"/>
      <c r="R49" s="26" t="n">
        <f aca="false">N(O49)+N(P49)-N(Q49)</f>
        <v>0</v>
      </c>
      <c r="S49" s="37" t="n">
        <f aca="false">'Jun 2027'!V49</f>
        <v>0</v>
      </c>
      <c r="T49" s="37" t="n">
        <f aca="false">IF(B49="",0,N(Students!I38))</f>
        <v>0</v>
      </c>
      <c r="U49" s="23"/>
      <c r="V49" s="26" t="n">
        <f aca="false">N(S49)+N(T49)-N(U49)</f>
        <v>0</v>
      </c>
      <c r="W49" s="37" t="n">
        <f aca="false">'Jun 2027'!Z49</f>
        <v>0</v>
      </c>
      <c r="X49" s="37" t="n">
        <f aca="false">IF(B49="",0,N(Students!J38))</f>
        <v>0</v>
      </c>
      <c r="Y49" s="23"/>
      <c r="Z49" s="26" t="n">
        <f aca="false">N(W49)+N(X49)-N(Y49)</f>
        <v>0</v>
      </c>
      <c r="AA49" s="37" t="n">
        <f aca="false">N(E49)+N(I49)+N(M49)+N(Q49)+N(U49)+N(Y49)</f>
        <v>0</v>
      </c>
      <c r="AB49" s="26" t="n">
        <f aca="false">F49+J49+N49+R49+V49+Z49</f>
        <v>0</v>
      </c>
      <c r="AC49" s="83" t="str">
        <f aca="false">IF(B49="","",IF(AB49&lt;=0,"Clear",IF(AA49&gt;0,"Partial","Due")))</f>
        <v/>
      </c>
    </row>
    <row r="50" customFormat="false" ht="15" hidden="false" customHeight="false" outlineLevel="0" collapsed="false">
      <c r="A50" s="21" t="n">
        <v>35</v>
      </c>
      <c r="B50" s="46" t="str">
        <f aca="false">IF(Students!B39="","",Students!B39)</f>
        <v/>
      </c>
      <c r="C50" s="33" t="n">
        <f aca="false">'Jun 2027'!F50</f>
        <v>0</v>
      </c>
      <c r="D50" s="33" t="n">
        <f aca="false">IF(B50="",0,N(Students!E39))</f>
        <v>0</v>
      </c>
      <c r="E50" s="23"/>
      <c r="F50" s="24" t="n">
        <f aca="false">N(C50)+N(D50)-N(E50)</f>
        <v>0</v>
      </c>
      <c r="G50" s="33" t="n">
        <f aca="false">'Jun 2027'!J50</f>
        <v>0</v>
      </c>
      <c r="H50" s="33" t="n">
        <f aca="false">IF(B50="",0,N(Students!F39))</f>
        <v>0</v>
      </c>
      <c r="I50" s="23"/>
      <c r="J50" s="24" t="n">
        <f aca="false">N(G50)+N(H50)-N(I50)</f>
        <v>0</v>
      </c>
      <c r="K50" s="33" t="n">
        <f aca="false">'Jun 2027'!N50</f>
        <v>0</v>
      </c>
      <c r="L50" s="33" t="n">
        <f aca="false">IF(B50="",0,N(Students!G39))</f>
        <v>0</v>
      </c>
      <c r="M50" s="23"/>
      <c r="N50" s="24" t="n">
        <f aca="false">N(K50)+N(L50)-N(M50)</f>
        <v>0</v>
      </c>
      <c r="O50" s="33" t="n">
        <f aca="false">'Jun 2027'!R50</f>
        <v>0</v>
      </c>
      <c r="P50" s="33" t="n">
        <f aca="false">IF(B50="",0,N(Students!H39))</f>
        <v>0</v>
      </c>
      <c r="Q50" s="23"/>
      <c r="R50" s="24" t="n">
        <f aca="false">N(O50)+N(P50)-N(Q50)</f>
        <v>0</v>
      </c>
      <c r="S50" s="33" t="n">
        <f aca="false">'Jun 2027'!V50</f>
        <v>0</v>
      </c>
      <c r="T50" s="33" t="n">
        <f aca="false">IF(B50="",0,N(Students!I39))</f>
        <v>0</v>
      </c>
      <c r="U50" s="23"/>
      <c r="V50" s="24" t="n">
        <f aca="false">N(S50)+N(T50)-N(U50)</f>
        <v>0</v>
      </c>
      <c r="W50" s="33" t="n">
        <f aca="false">'Jun 2027'!Z50</f>
        <v>0</v>
      </c>
      <c r="X50" s="33" t="n">
        <f aca="false">IF(B50="",0,N(Students!J39))</f>
        <v>0</v>
      </c>
      <c r="Y50" s="23"/>
      <c r="Z50" s="24" t="n">
        <f aca="false">N(W50)+N(X50)-N(Y50)</f>
        <v>0</v>
      </c>
      <c r="AA50" s="33" t="n">
        <f aca="false">N(E50)+N(I50)+N(M50)+N(Q50)+N(U50)+N(Y50)</f>
        <v>0</v>
      </c>
      <c r="AB50" s="24" t="n">
        <f aca="false">F50+J50+N50+R50+V50+Z50</f>
        <v>0</v>
      </c>
      <c r="AC50" s="81" t="str">
        <f aca="false">IF(B50="","",IF(AB50&lt;=0,"Clear",IF(AA50&gt;0,"Partial","Due")))</f>
        <v/>
      </c>
    </row>
    <row r="51" customFormat="false" ht="15" hidden="false" customHeight="false" outlineLevel="0" collapsed="false">
      <c r="A51" s="25" t="n">
        <v>36</v>
      </c>
      <c r="B51" s="82" t="str">
        <f aca="false">IF(Students!B40="","",Students!B40)</f>
        <v/>
      </c>
      <c r="C51" s="37" t="n">
        <f aca="false">'Jun 2027'!F51</f>
        <v>0</v>
      </c>
      <c r="D51" s="37" t="n">
        <f aca="false">IF(B51="",0,N(Students!E40))</f>
        <v>0</v>
      </c>
      <c r="E51" s="23"/>
      <c r="F51" s="26" t="n">
        <f aca="false">N(C51)+N(D51)-N(E51)</f>
        <v>0</v>
      </c>
      <c r="G51" s="37" t="n">
        <f aca="false">'Jun 2027'!J51</f>
        <v>0</v>
      </c>
      <c r="H51" s="37" t="n">
        <f aca="false">IF(B51="",0,N(Students!F40))</f>
        <v>0</v>
      </c>
      <c r="I51" s="23"/>
      <c r="J51" s="26" t="n">
        <f aca="false">N(G51)+N(H51)-N(I51)</f>
        <v>0</v>
      </c>
      <c r="K51" s="37" t="n">
        <f aca="false">'Jun 2027'!N51</f>
        <v>0</v>
      </c>
      <c r="L51" s="37" t="n">
        <f aca="false">IF(B51="",0,N(Students!G40))</f>
        <v>0</v>
      </c>
      <c r="M51" s="23"/>
      <c r="N51" s="26" t="n">
        <f aca="false">N(K51)+N(L51)-N(M51)</f>
        <v>0</v>
      </c>
      <c r="O51" s="37" t="n">
        <f aca="false">'Jun 2027'!R51</f>
        <v>0</v>
      </c>
      <c r="P51" s="37" t="n">
        <f aca="false">IF(B51="",0,N(Students!H40))</f>
        <v>0</v>
      </c>
      <c r="Q51" s="23"/>
      <c r="R51" s="26" t="n">
        <f aca="false">N(O51)+N(P51)-N(Q51)</f>
        <v>0</v>
      </c>
      <c r="S51" s="37" t="n">
        <f aca="false">'Jun 2027'!V51</f>
        <v>0</v>
      </c>
      <c r="T51" s="37" t="n">
        <f aca="false">IF(B51="",0,N(Students!I40))</f>
        <v>0</v>
      </c>
      <c r="U51" s="23"/>
      <c r="V51" s="26" t="n">
        <f aca="false">N(S51)+N(T51)-N(U51)</f>
        <v>0</v>
      </c>
      <c r="W51" s="37" t="n">
        <f aca="false">'Jun 2027'!Z51</f>
        <v>0</v>
      </c>
      <c r="X51" s="37" t="n">
        <f aca="false">IF(B51="",0,N(Students!J40))</f>
        <v>0</v>
      </c>
      <c r="Y51" s="23"/>
      <c r="Z51" s="26" t="n">
        <f aca="false">N(W51)+N(X51)-N(Y51)</f>
        <v>0</v>
      </c>
      <c r="AA51" s="37" t="n">
        <f aca="false">N(E51)+N(I51)+N(M51)+N(Q51)+N(U51)+N(Y51)</f>
        <v>0</v>
      </c>
      <c r="AB51" s="26" t="n">
        <f aca="false">F51+J51+N51+R51+V51+Z51</f>
        <v>0</v>
      </c>
      <c r="AC51" s="83" t="str">
        <f aca="false">IF(B51="","",IF(AB51&lt;=0,"Clear",IF(AA51&gt;0,"Partial","Due")))</f>
        <v/>
      </c>
    </row>
    <row r="52" customFormat="false" ht="15" hidden="false" customHeight="false" outlineLevel="0" collapsed="false">
      <c r="A52" s="21" t="n">
        <v>37</v>
      </c>
      <c r="B52" s="46" t="str">
        <f aca="false">IF(Students!B41="","",Students!B41)</f>
        <v/>
      </c>
      <c r="C52" s="33" t="n">
        <f aca="false">'Jun 2027'!F52</f>
        <v>0</v>
      </c>
      <c r="D52" s="33" t="n">
        <f aca="false">IF(B52="",0,N(Students!E41))</f>
        <v>0</v>
      </c>
      <c r="E52" s="23"/>
      <c r="F52" s="24" t="n">
        <f aca="false">N(C52)+N(D52)-N(E52)</f>
        <v>0</v>
      </c>
      <c r="G52" s="33" t="n">
        <f aca="false">'Jun 2027'!J52</f>
        <v>0</v>
      </c>
      <c r="H52" s="33" t="n">
        <f aca="false">IF(B52="",0,N(Students!F41))</f>
        <v>0</v>
      </c>
      <c r="I52" s="23"/>
      <c r="J52" s="24" t="n">
        <f aca="false">N(G52)+N(H52)-N(I52)</f>
        <v>0</v>
      </c>
      <c r="K52" s="33" t="n">
        <f aca="false">'Jun 2027'!N52</f>
        <v>0</v>
      </c>
      <c r="L52" s="33" t="n">
        <f aca="false">IF(B52="",0,N(Students!G41))</f>
        <v>0</v>
      </c>
      <c r="M52" s="23"/>
      <c r="N52" s="24" t="n">
        <f aca="false">N(K52)+N(L52)-N(M52)</f>
        <v>0</v>
      </c>
      <c r="O52" s="33" t="n">
        <f aca="false">'Jun 2027'!R52</f>
        <v>0</v>
      </c>
      <c r="P52" s="33" t="n">
        <f aca="false">IF(B52="",0,N(Students!H41))</f>
        <v>0</v>
      </c>
      <c r="Q52" s="23"/>
      <c r="R52" s="24" t="n">
        <f aca="false">N(O52)+N(P52)-N(Q52)</f>
        <v>0</v>
      </c>
      <c r="S52" s="33" t="n">
        <f aca="false">'Jun 2027'!V52</f>
        <v>0</v>
      </c>
      <c r="T52" s="33" t="n">
        <f aca="false">IF(B52="",0,N(Students!I41))</f>
        <v>0</v>
      </c>
      <c r="U52" s="23"/>
      <c r="V52" s="24" t="n">
        <f aca="false">N(S52)+N(T52)-N(U52)</f>
        <v>0</v>
      </c>
      <c r="W52" s="33" t="n">
        <f aca="false">'Jun 2027'!Z52</f>
        <v>0</v>
      </c>
      <c r="X52" s="33" t="n">
        <f aca="false">IF(B52="",0,N(Students!J41))</f>
        <v>0</v>
      </c>
      <c r="Y52" s="23"/>
      <c r="Z52" s="24" t="n">
        <f aca="false">N(W52)+N(X52)-N(Y52)</f>
        <v>0</v>
      </c>
      <c r="AA52" s="33" t="n">
        <f aca="false">N(E52)+N(I52)+N(M52)+N(Q52)+N(U52)+N(Y52)</f>
        <v>0</v>
      </c>
      <c r="AB52" s="24" t="n">
        <f aca="false">F52+J52+N52+R52+V52+Z52</f>
        <v>0</v>
      </c>
      <c r="AC52" s="81" t="str">
        <f aca="false">IF(B52="","",IF(AB52&lt;=0,"Clear",IF(AA52&gt;0,"Partial","Due")))</f>
        <v/>
      </c>
    </row>
    <row r="53" customFormat="false" ht="15" hidden="false" customHeight="false" outlineLevel="0" collapsed="false">
      <c r="A53" s="25" t="n">
        <v>38</v>
      </c>
      <c r="B53" s="82" t="str">
        <f aca="false">IF(Students!B42="","",Students!B42)</f>
        <v/>
      </c>
      <c r="C53" s="37" t="n">
        <f aca="false">'Jun 2027'!F53</f>
        <v>0</v>
      </c>
      <c r="D53" s="37" t="n">
        <f aca="false">IF(B53="",0,N(Students!E42))</f>
        <v>0</v>
      </c>
      <c r="E53" s="23"/>
      <c r="F53" s="26" t="n">
        <f aca="false">N(C53)+N(D53)-N(E53)</f>
        <v>0</v>
      </c>
      <c r="G53" s="37" t="n">
        <f aca="false">'Jun 2027'!J53</f>
        <v>0</v>
      </c>
      <c r="H53" s="37" t="n">
        <f aca="false">IF(B53="",0,N(Students!F42))</f>
        <v>0</v>
      </c>
      <c r="I53" s="23"/>
      <c r="J53" s="26" t="n">
        <f aca="false">N(G53)+N(H53)-N(I53)</f>
        <v>0</v>
      </c>
      <c r="K53" s="37" t="n">
        <f aca="false">'Jun 2027'!N53</f>
        <v>0</v>
      </c>
      <c r="L53" s="37" t="n">
        <f aca="false">IF(B53="",0,N(Students!G42))</f>
        <v>0</v>
      </c>
      <c r="M53" s="23"/>
      <c r="N53" s="26" t="n">
        <f aca="false">N(K53)+N(L53)-N(M53)</f>
        <v>0</v>
      </c>
      <c r="O53" s="37" t="n">
        <f aca="false">'Jun 2027'!R53</f>
        <v>0</v>
      </c>
      <c r="P53" s="37" t="n">
        <f aca="false">IF(B53="",0,N(Students!H42))</f>
        <v>0</v>
      </c>
      <c r="Q53" s="23"/>
      <c r="R53" s="26" t="n">
        <f aca="false">N(O53)+N(P53)-N(Q53)</f>
        <v>0</v>
      </c>
      <c r="S53" s="37" t="n">
        <f aca="false">'Jun 2027'!V53</f>
        <v>0</v>
      </c>
      <c r="T53" s="37" t="n">
        <f aca="false">IF(B53="",0,N(Students!I42))</f>
        <v>0</v>
      </c>
      <c r="U53" s="23"/>
      <c r="V53" s="26" t="n">
        <f aca="false">N(S53)+N(T53)-N(U53)</f>
        <v>0</v>
      </c>
      <c r="W53" s="37" t="n">
        <f aca="false">'Jun 2027'!Z53</f>
        <v>0</v>
      </c>
      <c r="X53" s="37" t="n">
        <f aca="false">IF(B53="",0,N(Students!J42))</f>
        <v>0</v>
      </c>
      <c r="Y53" s="23"/>
      <c r="Z53" s="26" t="n">
        <f aca="false">N(W53)+N(X53)-N(Y53)</f>
        <v>0</v>
      </c>
      <c r="AA53" s="37" t="n">
        <f aca="false">N(E53)+N(I53)+N(M53)+N(Q53)+N(U53)+N(Y53)</f>
        <v>0</v>
      </c>
      <c r="AB53" s="26" t="n">
        <f aca="false">F53+J53+N53+R53+V53+Z53</f>
        <v>0</v>
      </c>
      <c r="AC53" s="83" t="str">
        <f aca="false">IF(B53="","",IF(AB53&lt;=0,"Clear",IF(AA53&gt;0,"Partial","Due")))</f>
        <v/>
      </c>
    </row>
    <row r="54" customFormat="false" ht="15" hidden="false" customHeight="false" outlineLevel="0" collapsed="false">
      <c r="A54" s="21" t="n">
        <v>39</v>
      </c>
      <c r="B54" s="46" t="str">
        <f aca="false">IF(Students!B43="","",Students!B43)</f>
        <v/>
      </c>
      <c r="C54" s="33" t="n">
        <f aca="false">'Jun 2027'!F54</f>
        <v>0</v>
      </c>
      <c r="D54" s="33" t="n">
        <f aca="false">IF(B54="",0,N(Students!E43))</f>
        <v>0</v>
      </c>
      <c r="E54" s="23"/>
      <c r="F54" s="24" t="n">
        <f aca="false">N(C54)+N(D54)-N(E54)</f>
        <v>0</v>
      </c>
      <c r="G54" s="33" t="n">
        <f aca="false">'Jun 2027'!J54</f>
        <v>0</v>
      </c>
      <c r="H54" s="33" t="n">
        <f aca="false">IF(B54="",0,N(Students!F43))</f>
        <v>0</v>
      </c>
      <c r="I54" s="23"/>
      <c r="J54" s="24" t="n">
        <f aca="false">N(G54)+N(H54)-N(I54)</f>
        <v>0</v>
      </c>
      <c r="K54" s="33" t="n">
        <f aca="false">'Jun 2027'!N54</f>
        <v>0</v>
      </c>
      <c r="L54" s="33" t="n">
        <f aca="false">IF(B54="",0,N(Students!G43))</f>
        <v>0</v>
      </c>
      <c r="M54" s="23"/>
      <c r="N54" s="24" t="n">
        <f aca="false">N(K54)+N(L54)-N(M54)</f>
        <v>0</v>
      </c>
      <c r="O54" s="33" t="n">
        <f aca="false">'Jun 2027'!R54</f>
        <v>0</v>
      </c>
      <c r="P54" s="33" t="n">
        <f aca="false">IF(B54="",0,N(Students!H43))</f>
        <v>0</v>
      </c>
      <c r="Q54" s="23"/>
      <c r="R54" s="24" t="n">
        <f aca="false">N(O54)+N(P54)-N(Q54)</f>
        <v>0</v>
      </c>
      <c r="S54" s="33" t="n">
        <f aca="false">'Jun 2027'!V54</f>
        <v>0</v>
      </c>
      <c r="T54" s="33" t="n">
        <f aca="false">IF(B54="",0,N(Students!I43))</f>
        <v>0</v>
      </c>
      <c r="U54" s="23"/>
      <c r="V54" s="24" t="n">
        <f aca="false">N(S54)+N(T54)-N(U54)</f>
        <v>0</v>
      </c>
      <c r="W54" s="33" t="n">
        <f aca="false">'Jun 2027'!Z54</f>
        <v>0</v>
      </c>
      <c r="X54" s="33" t="n">
        <f aca="false">IF(B54="",0,N(Students!J43))</f>
        <v>0</v>
      </c>
      <c r="Y54" s="23"/>
      <c r="Z54" s="24" t="n">
        <f aca="false">N(W54)+N(X54)-N(Y54)</f>
        <v>0</v>
      </c>
      <c r="AA54" s="33" t="n">
        <f aca="false">N(E54)+N(I54)+N(M54)+N(Q54)+N(U54)+N(Y54)</f>
        <v>0</v>
      </c>
      <c r="AB54" s="24" t="n">
        <f aca="false">F54+J54+N54+R54+V54+Z54</f>
        <v>0</v>
      </c>
      <c r="AC54" s="81" t="str">
        <f aca="false">IF(B54="","",IF(AB54&lt;=0,"Clear",IF(AA54&gt;0,"Partial","Due")))</f>
        <v/>
      </c>
    </row>
    <row r="55" customFormat="false" ht="15" hidden="false" customHeight="false" outlineLevel="0" collapsed="false">
      <c r="A55" s="25" t="n">
        <v>40</v>
      </c>
      <c r="B55" s="82" t="str">
        <f aca="false">IF(Students!B44="","",Students!B44)</f>
        <v/>
      </c>
      <c r="C55" s="37" t="n">
        <f aca="false">'Jun 2027'!F55</f>
        <v>0</v>
      </c>
      <c r="D55" s="37" t="n">
        <f aca="false">IF(B55="",0,N(Students!E44))</f>
        <v>0</v>
      </c>
      <c r="E55" s="23"/>
      <c r="F55" s="26" t="n">
        <f aca="false">N(C55)+N(D55)-N(E55)</f>
        <v>0</v>
      </c>
      <c r="G55" s="37" t="n">
        <f aca="false">'Jun 2027'!J55</f>
        <v>0</v>
      </c>
      <c r="H55" s="37" t="n">
        <f aca="false">IF(B55="",0,N(Students!F44))</f>
        <v>0</v>
      </c>
      <c r="I55" s="23"/>
      <c r="J55" s="26" t="n">
        <f aca="false">N(G55)+N(H55)-N(I55)</f>
        <v>0</v>
      </c>
      <c r="K55" s="37" t="n">
        <f aca="false">'Jun 2027'!N55</f>
        <v>0</v>
      </c>
      <c r="L55" s="37" t="n">
        <f aca="false">IF(B55="",0,N(Students!G44))</f>
        <v>0</v>
      </c>
      <c r="M55" s="23"/>
      <c r="N55" s="26" t="n">
        <f aca="false">N(K55)+N(L55)-N(M55)</f>
        <v>0</v>
      </c>
      <c r="O55" s="37" t="n">
        <f aca="false">'Jun 2027'!R55</f>
        <v>0</v>
      </c>
      <c r="P55" s="37" t="n">
        <f aca="false">IF(B55="",0,N(Students!H44))</f>
        <v>0</v>
      </c>
      <c r="Q55" s="23"/>
      <c r="R55" s="26" t="n">
        <f aca="false">N(O55)+N(P55)-N(Q55)</f>
        <v>0</v>
      </c>
      <c r="S55" s="37" t="n">
        <f aca="false">'Jun 2027'!V55</f>
        <v>0</v>
      </c>
      <c r="T55" s="37" t="n">
        <f aca="false">IF(B55="",0,N(Students!I44))</f>
        <v>0</v>
      </c>
      <c r="U55" s="23"/>
      <c r="V55" s="26" t="n">
        <f aca="false">N(S55)+N(T55)-N(U55)</f>
        <v>0</v>
      </c>
      <c r="W55" s="37" t="n">
        <f aca="false">'Jun 2027'!Z55</f>
        <v>0</v>
      </c>
      <c r="X55" s="37" t="n">
        <f aca="false">IF(B55="",0,N(Students!J44))</f>
        <v>0</v>
      </c>
      <c r="Y55" s="23"/>
      <c r="Z55" s="26" t="n">
        <f aca="false">N(W55)+N(X55)-N(Y55)</f>
        <v>0</v>
      </c>
      <c r="AA55" s="37" t="n">
        <f aca="false">N(E55)+N(I55)+N(M55)+N(Q55)+N(U55)+N(Y55)</f>
        <v>0</v>
      </c>
      <c r="AB55" s="26" t="n">
        <f aca="false">F55+J55+N55+R55+V55+Z55</f>
        <v>0</v>
      </c>
      <c r="AC55" s="83" t="str">
        <f aca="false">IF(B55="","",IF(AB55&lt;=0,"Clear",IF(AA55&gt;0,"Partial","Due")))</f>
        <v/>
      </c>
    </row>
    <row r="56" customFormat="false" ht="15" hidden="false" customHeight="false" outlineLevel="0" collapsed="false">
      <c r="A56" s="21" t="n">
        <v>41</v>
      </c>
      <c r="B56" s="46" t="str">
        <f aca="false">IF(Students!B45="","",Students!B45)</f>
        <v/>
      </c>
      <c r="C56" s="33" t="n">
        <f aca="false">'Jun 2027'!F56</f>
        <v>0</v>
      </c>
      <c r="D56" s="33" t="n">
        <f aca="false">IF(B56="",0,N(Students!E45))</f>
        <v>0</v>
      </c>
      <c r="E56" s="23"/>
      <c r="F56" s="24" t="n">
        <f aca="false">N(C56)+N(D56)-N(E56)</f>
        <v>0</v>
      </c>
      <c r="G56" s="33" t="n">
        <f aca="false">'Jun 2027'!J56</f>
        <v>0</v>
      </c>
      <c r="H56" s="33" t="n">
        <f aca="false">IF(B56="",0,N(Students!F45))</f>
        <v>0</v>
      </c>
      <c r="I56" s="23"/>
      <c r="J56" s="24" t="n">
        <f aca="false">N(G56)+N(H56)-N(I56)</f>
        <v>0</v>
      </c>
      <c r="K56" s="33" t="n">
        <f aca="false">'Jun 2027'!N56</f>
        <v>0</v>
      </c>
      <c r="L56" s="33" t="n">
        <f aca="false">IF(B56="",0,N(Students!G45))</f>
        <v>0</v>
      </c>
      <c r="M56" s="23"/>
      <c r="N56" s="24" t="n">
        <f aca="false">N(K56)+N(L56)-N(M56)</f>
        <v>0</v>
      </c>
      <c r="O56" s="33" t="n">
        <f aca="false">'Jun 2027'!R56</f>
        <v>0</v>
      </c>
      <c r="P56" s="33" t="n">
        <f aca="false">IF(B56="",0,N(Students!H45))</f>
        <v>0</v>
      </c>
      <c r="Q56" s="23"/>
      <c r="R56" s="24" t="n">
        <f aca="false">N(O56)+N(P56)-N(Q56)</f>
        <v>0</v>
      </c>
      <c r="S56" s="33" t="n">
        <f aca="false">'Jun 2027'!V56</f>
        <v>0</v>
      </c>
      <c r="T56" s="33" t="n">
        <f aca="false">IF(B56="",0,N(Students!I45))</f>
        <v>0</v>
      </c>
      <c r="U56" s="23"/>
      <c r="V56" s="24" t="n">
        <f aca="false">N(S56)+N(T56)-N(U56)</f>
        <v>0</v>
      </c>
      <c r="W56" s="33" t="n">
        <f aca="false">'Jun 2027'!Z56</f>
        <v>0</v>
      </c>
      <c r="X56" s="33" t="n">
        <f aca="false">IF(B56="",0,N(Students!J45))</f>
        <v>0</v>
      </c>
      <c r="Y56" s="23"/>
      <c r="Z56" s="24" t="n">
        <f aca="false">N(W56)+N(X56)-N(Y56)</f>
        <v>0</v>
      </c>
      <c r="AA56" s="33" t="n">
        <f aca="false">N(E56)+N(I56)+N(M56)+N(Q56)+N(U56)+N(Y56)</f>
        <v>0</v>
      </c>
      <c r="AB56" s="24" t="n">
        <f aca="false">F56+J56+N56+R56+V56+Z56</f>
        <v>0</v>
      </c>
      <c r="AC56" s="81" t="str">
        <f aca="false">IF(B56="","",IF(AB56&lt;=0,"Clear",IF(AA56&gt;0,"Partial","Due")))</f>
        <v/>
      </c>
    </row>
    <row r="57" customFormat="false" ht="15" hidden="false" customHeight="false" outlineLevel="0" collapsed="false">
      <c r="A57" s="25" t="n">
        <v>42</v>
      </c>
      <c r="B57" s="82" t="str">
        <f aca="false">IF(Students!B46="","",Students!B46)</f>
        <v/>
      </c>
      <c r="C57" s="37" t="n">
        <f aca="false">'Jun 2027'!F57</f>
        <v>0</v>
      </c>
      <c r="D57" s="37" t="n">
        <f aca="false">IF(B57="",0,N(Students!E46))</f>
        <v>0</v>
      </c>
      <c r="E57" s="23"/>
      <c r="F57" s="26" t="n">
        <f aca="false">N(C57)+N(D57)-N(E57)</f>
        <v>0</v>
      </c>
      <c r="G57" s="37" t="n">
        <f aca="false">'Jun 2027'!J57</f>
        <v>0</v>
      </c>
      <c r="H57" s="37" t="n">
        <f aca="false">IF(B57="",0,N(Students!F46))</f>
        <v>0</v>
      </c>
      <c r="I57" s="23"/>
      <c r="J57" s="26" t="n">
        <f aca="false">N(G57)+N(H57)-N(I57)</f>
        <v>0</v>
      </c>
      <c r="K57" s="37" t="n">
        <f aca="false">'Jun 2027'!N57</f>
        <v>0</v>
      </c>
      <c r="L57" s="37" t="n">
        <f aca="false">IF(B57="",0,N(Students!G46))</f>
        <v>0</v>
      </c>
      <c r="M57" s="23"/>
      <c r="N57" s="26" t="n">
        <f aca="false">N(K57)+N(L57)-N(M57)</f>
        <v>0</v>
      </c>
      <c r="O57" s="37" t="n">
        <f aca="false">'Jun 2027'!R57</f>
        <v>0</v>
      </c>
      <c r="P57" s="37" t="n">
        <f aca="false">IF(B57="",0,N(Students!H46))</f>
        <v>0</v>
      </c>
      <c r="Q57" s="23"/>
      <c r="R57" s="26" t="n">
        <f aca="false">N(O57)+N(P57)-N(Q57)</f>
        <v>0</v>
      </c>
      <c r="S57" s="37" t="n">
        <f aca="false">'Jun 2027'!V57</f>
        <v>0</v>
      </c>
      <c r="T57" s="37" t="n">
        <f aca="false">IF(B57="",0,N(Students!I46))</f>
        <v>0</v>
      </c>
      <c r="U57" s="23"/>
      <c r="V57" s="26" t="n">
        <f aca="false">N(S57)+N(T57)-N(U57)</f>
        <v>0</v>
      </c>
      <c r="W57" s="37" t="n">
        <f aca="false">'Jun 2027'!Z57</f>
        <v>0</v>
      </c>
      <c r="X57" s="37" t="n">
        <f aca="false">IF(B57="",0,N(Students!J46))</f>
        <v>0</v>
      </c>
      <c r="Y57" s="23"/>
      <c r="Z57" s="26" t="n">
        <f aca="false">N(W57)+N(X57)-N(Y57)</f>
        <v>0</v>
      </c>
      <c r="AA57" s="37" t="n">
        <f aca="false">N(E57)+N(I57)+N(M57)+N(Q57)+N(U57)+N(Y57)</f>
        <v>0</v>
      </c>
      <c r="AB57" s="26" t="n">
        <f aca="false">F57+J57+N57+R57+V57+Z57</f>
        <v>0</v>
      </c>
      <c r="AC57" s="83" t="str">
        <f aca="false">IF(B57="","",IF(AB57&lt;=0,"Clear",IF(AA57&gt;0,"Partial","Due")))</f>
        <v/>
      </c>
    </row>
    <row r="58" customFormat="false" ht="15" hidden="false" customHeight="false" outlineLevel="0" collapsed="false">
      <c r="A58" s="21" t="n">
        <v>43</v>
      </c>
      <c r="B58" s="46" t="str">
        <f aca="false">IF(Students!B47="","",Students!B47)</f>
        <v/>
      </c>
      <c r="C58" s="33" t="n">
        <f aca="false">'Jun 2027'!F58</f>
        <v>0</v>
      </c>
      <c r="D58" s="33" t="n">
        <f aca="false">IF(B58="",0,N(Students!E47))</f>
        <v>0</v>
      </c>
      <c r="E58" s="23"/>
      <c r="F58" s="24" t="n">
        <f aca="false">N(C58)+N(D58)-N(E58)</f>
        <v>0</v>
      </c>
      <c r="G58" s="33" t="n">
        <f aca="false">'Jun 2027'!J58</f>
        <v>0</v>
      </c>
      <c r="H58" s="33" t="n">
        <f aca="false">IF(B58="",0,N(Students!F47))</f>
        <v>0</v>
      </c>
      <c r="I58" s="23"/>
      <c r="J58" s="24" t="n">
        <f aca="false">N(G58)+N(H58)-N(I58)</f>
        <v>0</v>
      </c>
      <c r="K58" s="33" t="n">
        <f aca="false">'Jun 2027'!N58</f>
        <v>0</v>
      </c>
      <c r="L58" s="33" t="n">
        <f aca="false">IF(B58="",0,N(Students!G47))</f>
        <v>0</v>
      </c>
      <c r="M58" s="23"/>
      <c r="N58" s="24" t="n">
        <f aca="false">N(K58)+N(L58)-N(M58)</f>
        <v>0</v>
      </c>
      <c r="O58" s="33" t="n">
        <f aca="false">'Jun 2027'!R58</f>
        <v>0</v>
      </c>
      <c r="P58" s="33" t="n">
        <f aca="false">IF(B58="",0,N(Students!H47))</f>
        <v>0</v>
      </c>
      <c r="Q58" s="23"/>
      <c r="R58" s="24" t="n">
        <f aca="false">N(O58)+N(P58)-N(Q58)</f>
        <v>0</v>
      </c>
      <c r="S58" s="33" t="n">
        <f aca="false">'Jun 2027'!V58</f>
        <v>0</v>
      </c>
      <c r="T58" s="33" t="n">
        <f aca="false">IF(B58="",0,N(Students!I47))</f>
        <v>0</v>
      </c>
      <c r="U58" s="23"/>
      <c r="V58" s="24" t="n">
        <f aca="false">N(S58)+N(T58)-N(U58)</f>
        <v>0</v>
      </c>
      <c r="W58" s="33" t="n">
        <f aca="false">'Jun 2027'!Z58</f>
        <v>0</v>
      </c>
      <c r="X58" s="33" t="n">
        <f aca="false">IF(B58="",0,N(Students!J47))</f>
        <v>0</v>
      </c>
      <c r="Y58" s="23"/>
      <c r="Z58" s="24" t="n">
        <f aca="false">N(W58)+N(X58)-N(Y58)</f>
        <v>0</v>
      </c>
      <c r="AA58" s="33" t="n">
        <f aca="false">N(E58)+N(I58)+N(M58)+N(Q58)+N(U58)+N(Y58)</f>
        <v>0</v>
      </c>
      <c r="AB58" s="24" t="n">
        <f aca="false">F58+J58+N58+R58+V58+Z58</f>
        <v>0</v>
      </c>
      <c r="AC58" s="81" t="str">
        <f aca="false">IF(B58="","",IF(AB58&lt;=0,"Clear",IF(AA58&gt;0,"Partial","Due")))</f>
        <v/>
      </c>
    </row>
    <row r="59" customFormat="false" ht="15" hidden="false" customHeight="false" outlineLevel="0" collapsed="false">
      <c r="A59" s="25" t="n">
        <v>44</v>
      </c>
      <c r="B59" s="82" t="str">
        <f aca="false">IF(Students!B48="","",Students!B48)</f>
        <v/>
      </c>
      <c r="C59" s="37" t="n">
        <f aca="false">'Jun 2027'!F59</f>
        <v>0</v>
      </c>
      <c r="D59" s="37" t="n">
        <f aca="false">IF(B59="",0,N(Students!E48))</f>
        <v>0</v>
      </c>
      <c r="E59" s="23"/>
      <c r="F59" s="26" t="n">
        <f aca="false">N(C59)+N(D59)-N(E59)</f>
        <v>0</v>
      </c>
      <c r="G59" s="37" t="n">
        <f aca="false">'Jun 2027'!J59</f>
        <v>0</v>
      </c>
      <c r="H59" s="37" t="n">
        <f aca="false">IF(B59="",0,N(Students!F48))</f>
        <v>0</v>
      </c>
      <c r="I59" s="23"/>
      <c r="J59" s="26" t="n">
        <f aca="false">N(G59)+N(H59)-N(I59)</f>
        <v>0</v>
      </c>
      <c r="K59" s="37" t="n">
        <f aca="false">'Jun 2027'!N59</f>
        <v>0</v>
      </c>
      <c r="L59" s="37" t="n">
        <f aca="false">IF(B59="",0,N(Students!G48))</f>
        <v>0</v>
      </c>
      <c r="M59" s="23"/>
      <c r="N59" s="26" t="n">
        <f aca="false">N(K59)+N(L59)-N(M59)</f>
        <v>0</v>
      </c>
      <c r="O59" s="37" t="n">
        <f aca="false">'Jun 2027'!R59</f>
        <v>0</v>
      </c>
      <c r="P59" s="37" t="n">
        <f aca="false">IF(B59="",0,N(Students!H48))</f>
        <v>0</v>
      </c>
      <c r="Q59" s="23"/>
      <c r="R59" s="26" t="n">
        <f aca="false">N(O59)+N(P59)-N(Q59)</f>
        <v>0</v>
      </c>
      <c r="S59" s="37" t="n">
        <f aca="false">'Jun 2027'!V59</f>
        <v>0</v>
      </c>
      <c r="T59" s="37" t="n">
        <f aca="false">IF(B59="",0,N(Students!I48))</f>
        <v>0</v>
      </c>
      <c r="U59" s="23"/>
      <c r="V59" s="26" t="n">
        <f aca="false">N(S59)+N(T59)-N(U59)</f>
        <v>0</v>
      </c>
      <c r="W59" s="37" t="n">
        <f aca="false">'Jun 2027'!Z59</f>
        <v>0</v>
      </c>
      <c r="X59" s="37" t="n">
        <f aca="false">IF(B59="",0,N(Students!J48))</f>
        <v>0</v>
      </c>
      <c r="Y59" s="23"/>
      <c r="Z59" s="26" t="n">
        <f aca="false">N(W59)+N(X59)-N(Y59)</f>
        <v>0</v>
      </c>
      <c r="AA59" s="37" t="n">
        <f aca="false">N(E59)+N(I59)+N(M59)+N(Q59)+N(U59)+N(Y59)</f>
        <v>0</v>
      </c>
      <c r="AB59" s="26" t="n">
        <f aca="false">F59+J59+N59+R59+V59+Z59</f>
        <v>0</v>
      </c>
      <c r="AC59" s="83" t="str">
        <f aca="false">IF(B59="","",IF(AB59&lt;=0,"Clear",IF(AA59&gt;0,"Partial","Due")))</f>
        <v/>
      </c>
    </row>
    <row r="60" customFormat="false" ht="15" hidden="false" customHeight="false" outlineLevel="0" collapsed="false">
      <c r="A60" s="21" t="n">
        <v>45</v>
      </c>
      <c r="B60" s="46" t="str">
        <f aca="false">IF(Students!B49="","",Students!B49)</f>
        <v/>
      </c>
      <c r="C60" s="33" t="n">
        <f aca="false">'Jun 2027'!F60</f>
        <v>0</v>
      </c>
      <c r="D60" s="33" t="n">
        <f aca="false">IF(B60="",0,N(Students!E49))</f>
        <v>0</v>
      </c>
      <c r="E60" s="23"/>
      <c r="F60" s="24" t="n">
        <f aca="false">N(C60)+N(D60)-N(E60)</f>
        <v>0</v>
      </c>
      <c r="G60" s="33" t="n">
        <f aca="false">'Jun 2027'!J60</f>
        <v>0</v>
      </c>
      <c r="H60" s="33" t="n">
        <f aca="false">IF(B60="",0,N(Students!F49))</f>
        <v>0</v>
      </c>
      <c r="I60" s="23"/>
      <c r="J60" s="24" t="n">
        <f aca="false">N(G60)+N(H60)-N(I60)</f>
        <v>0</v>
      </c>
      <c r="K60" s="33" t="n">
        <f aca="false">'Jun 2027'!N60</f>
        <v>0</v>
      </c>
      <c r="L60" s="33" t="n">
        <f aca="false">IF(B60="",0,N(Students!G49))</f>
        <v>0</v>
      </c>
      <c r="M60" s="23"/>
      <c r="N60" s="24" t="n">
        <f aca="false">N(K60)+N(L60)-N(M60)</f>
        <v>0</v>
      </c>
      <c r="O60" s="33" t="n">
        <f aca="false">'Jun 2027'!R60</f>
        <v>0</v>
      </c>
      <c r="P60" s="33" t="n">
        <f aca="false">IF(B60="",0,N(Students!H49))</f>
        <v>0</v>
      </c>
      <c r="Q60" s="23"/>
      <c r="R60" s="24" t="n">
        <f aca="false">N(O60)+N(P60)-N(Q60)</f>
        <v>0</v>
      </c>
      <c r="S60" s="33" t="n">
        <f aca="false">'Jun 2027'!V60</f>
        <v>0</v>
      </c>
      <c r="T60" s="33" t="n">
        <f aca="false">IF(B60="",0,N(Students!I49))</f>
        <v>0</v>
      </c>
      <c r="U60" s="23"/>
      <c r="V60" s="24" t="n">
        <f aca="false">N(S60)+N(T60)-N(U60)</f>
        <v>0</v>
      </c>
      <c r="W60" s="33" t="n">
        <f aca="false">'Jun 2027'!Z60</f>
        <v>0</v>
      </c>
      <c r="X60" s="33" t="n">
        <f aca="false">IF(B60="",0,N(Students!J49))</f>
        <v>0</v>
      </c>
      <c r="Y60" s="23"/>
      <c r="Z60" s="24" t="n">
        <f aca="false">N(W60)+N(X60)-N(Y60)</f>
        <v>0</v>
      </c>
      <c r="AA60" s="33" t="n">
        <f aca="false">N(E60)+N(I60)+N(M60)+N(Q60)+N(U60)+N(Y60)</f>
        <v>0</v>
      </c>
      <c r="AB60" s="24" t="n">
        <f aca="false">F60+J60+N60+R60+V60+Z60</f>
        <v>0</v>
      </c>
      <c r="AC60" s="81" t="str">
        <f aca="false">IF(B60="","",IF(AB60&lt;=0,"Clear",IF(AA60&gt;0,"Partial","Due")))</f>
        <v/>
      </c>
    </row>
    <row r="61" customFormat="false" ht="15" hidden="false" customHeight="false" outlineLevel="0" collapsed="false">
      <c r="A61" s="25" t="n">
        <v>46</v>
      </c>
      <c r="B61" s="82" t="str">
        <f aca="false">IF(Students!B50="","",Students!B50)</f>
        <v/>
      </c>
      <c r="C61" s="37" t="n">
        <f aca="false">'Jun 2027'!F61</f>
        <v>0</v>
      </c>
      <c r="D61" s="37" t="n">
        <f aca="false">IF(B61="",0,N(Students!E50))</f>
        <v>0</v>
      </c>
      <c r="E61" s="23"/>
      <c r="F61" s="26" t="n">
        <f aca="false">N(C61)+N(D61)-N(E61)</f>
        <v>0</v>
      </c>
      <c r="G61" s="37" t="n">
        <f aca="false">'Jun 2027'!J61</f>
        <v>0</v>
      </c>
      <c r="H61" s="37" t="n">
        <f aca="false">IF(B61="",0,N(Students!F50))</f>
        <v>0</v>
      </c>
      <c r="I61" s="23"/>
      <c r="J61" s="26" t="n">
        <f aca="false">N(G61)+N(H61)-N(I61)</f>
        <v>0</v>
      </c>
      <c r="K61" s="37" t="n">
        <f aca="false">'Jun 2027'!N61</f>
        <v>0</v>
      </c>
      <c r="L61" s="37" t="n">
        <f aca="false">IF(B61="",0,N(Students!G50))</f>
        <v>0</v>
      </c>
      <c r="M61" s="23"/>
      <c r="N61" s="26" t="n">
        <f aca="false">N(K61)+N(L61)-N(M61)</f>
        <v>0</v>
      </c>
      <c r="O61" s="37" t="n">
        <f aca="false">'Jun 2027'!R61</f>
        <v>0</v>
      </c>
      <c r="P61" s="37" t="n">
        <f aca="false">IF(B61="",0,N(Students!H50))</f>
        <v>0</v>
      </c>
      <c r="Q61" s="23"/>
      <c r="R61" s="26" t="n">
        <f aca="false">N(O61)+N(P61)-N(Q61)</f>
        <v>0</v>
      </c>
      <c r="S61" s="37" t="n">
        <f aca="false">'Jun 2027'!V61</f>
        <v>0</v>
      </c>
      <c r="T61" s="37" t="n">
        <f aca="false">IF(B61="",0,N(Students!I50))</f>
        <v>0</v>
      </c>
      <c r="U61" s="23"/>
      <c r="V61" s="26" t="n">
        <f aca="false">N(S61)+N(T61)-N(U61)</f>
        <v>0</v>
      </c>
      <c r="W61" s="37" t="n">
        <f aca="false">'Jun 2027'!Z61</f>
        <v>0</v>
      </c>
      <c r="X61" s="37" t="n">
        <f aca="false">IF(B61="",0,N(Students!J50))</f>
        <v>0</v>
      </c>
      <c r="Y61" s="23"/>
      <c r="Z61" s="26" t="n">
        <f aca="false">N(W61)+N(X61)-N(Y61)</f>
        <v>0</v>
      </c>
      <c r="AA61" s="37" t="n">
        <f aca="false">N(E61)+N(I61)+N(M61)+N(Q61)+N(U61)+N(Y61)</f>
        <v>0</v>
      </c>
      <c r="AB61" s="26" t="n">
        <f aca="false">F61+J61+N61+R61+V61+Z61</f>
        <v>0</v>
      </c>
      <c r="AC61" s="83" t="str">
        <f aca="false">IF(B61="","",IF(AB61&lt;=0,"Clear",IF(AA61&gt;0,"Partial","Due")))</f>
        <v/>
      </c>
    </row>
    <row r="62" customFormat="false" ht="15" hidden="false" customHeight="false" outlineLevel="0" collapsed="false">
      <c r="A62" s="21" t="n">
        <v>47</v>
      </c>
      <c r="B62" s="46" t="str">
        <f aca="false">IF(Students!B51="","",Students!B51)</f>
        <v/>
      </c>
      <c r="C62" s="33" t="n">
        <f aca="false">'Jun 2027'!F62</f>
        <v>0</v>
      </c>
      <c r="D62" s="33" t="n">
        <f aca="false">IF(B62="",0,N(Students!E51))</f>
        <v>0</v>
      </c>
      <c r="E62" s="23"/>
      <c r="F62" s="24" t="n">
        <f aca="false">N(C62)+N(D62)-N(E62)</f>
        <v>0</v>
      </c>
      <c r="G62" s="33" t="n">
        <f aca="false">'Jun 2027'!J62</f>
        <v>0</v>
      </c>
      <c r="H62" s="33" t="n">
        <f aca="false">IF(B62="",0,N(Students!F51))</f>
        <v>0</v>
      </c>
      <c r="I62" s="23"/>
      <c r="J62" s="24" t="n">
        <f aca="false">N(G62)+N(H62)-N(I62)</f>
        <v>0</v>
      </c>
      <c r="K62" s="33" t="n">
        <f aca="false">'Jun 2027'!N62</f>
        <v>0</v>
      </c>
      <c r="L62" s="33" t="n">
        <f aca="false">IF(B62="",0,N(Students!G51))</f>
        <v>0</v>
      </c>
      <c r="M62" s="23"/>
      <c r="N62" s="24" t="n">
        <f aca="false">N(K62)+N(L62)-N(M62)</f>
        <v>0</v>
      </c>
      <c r="O62" s="33" t="n">
        <f aca="false">'Jun 2027'!R62</f>
        <v>0</v>
      </c>
      <c r="P62" s="33" t="n">
        <f aca="false">IF(B62="",0,N(Students!H51))</f>
        <v>0</v>
      </c>
      <c r="Q62" s="23"/>
      <c r="R62" s="24" t="n">
        <f aca="false">N(O62)+N(P62)-N(Q62)</f>
        <v>0</v>
      </c>
      <c r="S62" s="33" t="n">
        <f aca="false">'Jun 2027'!V62</f>
        <v>0</v>
      </c>
      <c r="T62" s="33" t="n">
        <f aca="false">IF(B62="",0,N(Students!I51))</f>
        <v>0</v>
      </c>
      <c r="U62" s="23"/>
      <c r="V62" s="24" t="n">
        <f aca="false">N(S62)+N(T62)-N(U62)</f>
        <v>0</v>
      </c>
      <c r="W62" s="33" t="n">
        <f aca="false">'Jun 2027'!Z62</f>
        <v>0</v>
      </c>
      <c r="X62" s="33" t="n">
        <f aca="false">IF(B62="",0,N(Students!J51))</f>
        <v>0</v>
      </c>
      <c r="Y62" s="23"/>
      <c r="Z62" s="24" t="n">
        <f aca="false">N(W62)+N(X62)-N(Y62)</f>
        <v>0</v>
      </c>
      <c r="AA62" s="33" t="n">
        <f aca="false">N(E62)+N(I62)+N(M62)+N(Q62)+N(U62)+N(Y62)</f>
        <v>0</v>
      </c>
      <c r="AB62" s="24" t="n">
        <f aca="false">F62+J62+N62+R62+V62+Z62</f>
        <v>0</v>
      </c>
      <c r="AC62" s="81" t="str">
        <f aca="false">IF(B62="","",IF(AB62&lt;=0,"Clear",IF(AA62&gt;0,"Partial","Due")))</f>
        <v/>
      </c>
    </row>
    <row r="63" customFormat="false" ht="15" hidden="false" customHeight="false" outlineLevel="0" collapsed="false">
      <c r="A63" s="25" t="n">
        <v>48</v>
      </c>
      <c r="B63" s="82" t="str">
        <f aca="false">IF(Students!B52="","",Students!B52)</f>
        <v/>
      </c>
      <c r="C63" s="37" t="n">
        <f aca="false">'Jun 2027'!F63</f>
        <v>0</v>
      </c>
      <c r="D63" s="37" t="n">
        <f aca="false">IF(B63="",0,N(Students!E52))</f>
        <v>0</v>
      </c>
      <c r="E63" s="23"/>
      <c r="F63" s="26" t="n">
        <f aca="false">N(C63)+N(D63)-N(E63)</f>
        <v>0</v>
      </c>
      <c r="G63" s="37" t="n">
        <f aca="false">'Jun 2027'!J63</f>
        <v>0</v>
      </c>
      <c r="H63" s="37" t="n">
        <f aca="false">IF(B63="",0,N(Students!F52))</f>
        <v>0</v>
      </c>
      <c r="I63" s="23"/>
      <c r="J63" s="26" t="n">
        <f aca="false">N(G63)+N(H63)-N(I63)</f>
        <v>0</v>
      </c>
      <c r="K63" s="37" t="n">
        <f aca="false">'Jun 2027'!N63</f>
        <v>0</v>
      </c>
      <c r="L63" s="37" t="n">
        <f aca="false">IF(B63="",0,N(Students!G52))</f>
        <v>0</v>
      </c>
      <c r="M63" s="23"/>
      <c r="N63" s="26" t="n">
        <f aca="false">N(K63)+N(L63)-N(M63)</f>
        <v>0</v>
      </c>
      <c r="O63" s="37" t="n">
        <f aca="false">'Jun 2027'!R63</f>
        <v>0</v>
      </c>
      <c r="P63" s="37" t="n">
        <f aca="false">IF(B63="",0,N(Students!H52))</f>
        <v>0</v>
      </c>
      <c r="Q63" s="23"/>
      <c r="R63" s="26" t="n">
        <f aca="false">N(O63)+N(P63)-N(Q63)</f>
        <v>0</v>
      </c>
      <c r="S63" s="37" t="n">
        <f aca="false">'Jun 2027'!V63</f>
        <v>0</v>
      </c>
      <c r="T63" s="37" t="n">
        <f aca="false">IF(B63="",0,N(Students!I52))</f>
        <v>0</v>
      </c>
      <c r="U63" s="23"/>
      <c r="V63" s="26" t="n">
        <f aca="false">N(S63)+N(T63)-N(U63)</f>
        <v>0</v>
      </c>
      <c r="W63" s="37" t="n">
        <f aca="false">'Jun 2027'!Z63</f>
        <v>0</v>
      </c>
      <c r="X63" s="37" t="n">
        <f aca="false">IF(B63="",0,N(Students!J52))</f>
        <v>0</v>
      </c>
      <c r="Y63" s="23"/>
      <c r="Z63" s="26" t="n">
        <f aca="false">N(W63)+N(X63)-N(Y63)</f>
        <v>0</v>
      </c>
      <c r="AA63" s="37" t="n">
        <f aca="false">N(E63)+N(I63)+N(M63)+N(Q63)+N(U63)+N(Y63)</f>
        <v>0</v>
      </c>
      <c r="AB63" s="26" t="n">
        <f aca="false">F63+J63+N63+R63+V63+Z63</f>
        <v>0</v>
      </c>
      <c r="AC63" s="83" t="str">
        <f aca="false">IF(B63="","",IF(AB63&lt;=0,"Clear",IF(AA63&gt;0,"Partial","Due")))</f>
        <v/>
      </c>
    </row>
    <row r="64" customFormat="false" ht="15" hidden="false" customHeight="false" outlineLevel="0" collapsed="false">
      <c r="A64" s="21" t="n">
        <v>49</v>
      </c>
      <c r="B64" s="46" t="str">
        <f aca="false">IF(Students!B53="","",Students!B53)</f>
        <v/>
      </c>
      <c r="C64" s="33" t="n">
        <f aca="false">'Jun 2027'!F64</f>
        <v>0</v>
      </c>
      <c r="D64" s="33" t="n">
        <f aca="false">IF(B64="",0,N(Students!E53))</f>
        <v>0</v>
      </c>
      <c r="E64" s="23"/>
      <c r="F64" s="24" t="n">
        <f aca="false">N(C64)+N(D64)-N(E64)</f>
        <v>0</v>
      </c>
      <c r="G64" s="33" t="n">
        <f aca="false">'Jun 2027'!J64</f>
        <v>0</v>
      </c>
      <c r="H64" s="33" t="n">
        <f aca="false">IF(B64="",0,N(Students!F53))</f>
        <v>0</v>
      </c>
      <c r="I64" s="23"/>
      <c r="J64" s="24" t="n">
        <f aca="false">N(G64)+N(H64)-N(I64)</f>
        <v>0</v>
      </c>
      <c r="K64" s="33" t="n">
        <f aca="false">'Jun 2027'!N64</f>
        <v>0</v>
      </c>
      <c r="L64" s="33" t="n">
        <f aca="false">IF(B64="",0,N(Students!G53))</f>
        <v>0</v>
      </c>
      <c r="M64" s="23"/>
      <c r="N64" s="24" t="n">
        <f aca="false">N(K64)+N(L64)-N(M64)</f>
        <v>0</v>
      </c>
      <c r="O64" s="33" t="n">
        <f aca="false">'Jun 2027'!R64</f>
        <v>0</v>
      </c>
      <c r="P64" s="33" t="n">
        <f aca="false">IF(B64="",0,N(Students!H53))</f>
        <v>0</v>
      </c>
      <c r="Q64" s="23"/>
      <c r="R64" s="24" t="n">
        <f aca="false">N(O64)+N(P64)-N(Q64)</f>
        <v>0</v>
      </c>
      <c r="S64" s="33" t="n">
        <f aca="false">'Jun 2027'!V64</f>
        <v>0</v>
      </c>
      <c r="T64" s="33" t="n">
        <f aca="false">IF(B64="",0,N(Students!I53))</f>
        <v>0</v>
      </c>
      <c r="U64" s="23"/>
      <c r="V64" s="24" t="n">
        <f aca="false">N(S64)+N(T64)-N(U64)</f>
        <v>0</v>
      </c>
      <c r="W64" s="33" t="n">
        <f aca="false">'Jun 2027'!Z64</f>
        <v>0</v>
      </c>
      <c r="X64" s="33" t="n">
        <f aca="false">IF(B64="",0,N(Students!J53))</f>
        <v>0</v>
      </c>
      <c r="Y64" s="23"/>
      <c r="Z64" s="24" t="n">
        <f aca="false">N(W64)+N(X64)-N(Y64)</f>
        <v>0</v>
      </c>
      <c r="AA64" s="33" t="n">
        <f aca="false">N(E64)+N(I64)+N(M64)+N(Q64)+N(U64)+N(Y64)</f>
        <v>0</v>
      </c>
      <c r="AB64" s="24" t="n">
        <f aca="false">F64+J64+N64+R64+V64+Z64</f>
        <v>0</v>
      </c>
      <c r="AC64" s="81" t="str">
        <f aca="false">IF(B64="","",IF(AB64&lt;=0,"Clear",IF(AA64&gt;0,"Partial","Due")))</f>
        <v/>
      </c>
    </row>
    <row r="65" customFormat="false" ht="15" hidden="false" customHeight="false" outlineLevel="0" collapsed="false">
      <c r="A65" s="25" t="n">
        <v>50</v>
      </c>
      <c r="B65" s="82" t="str">
        <f aca="false">IF(Students!B54="","",Students!B54)</f>
        <v/>
      </c>
      <c r="C65" s="37" t="n">
        <f aca="false">'Jun 2027'!F65</f>
        <v>0</v>
      </c>
      <c r="D65" s="37" t="n">
        <f aca="false">IF(B65="",0,N(Students!E54))</f>
        <v>0</v>
      </c>
      <c r="E65" s="23"/>
      <c r="F65" s="26" t="n">
        <f aca="false">N(C65)+N(D65)-N(E65)</f>
        <v>0</v>
      </c>
      <c r="G65" s="37" t="n">
        <f aca="false">'Jun 2027'!J65</f>
        <v>0</v>
      </c>
      <c r="H65" s="37" t="n">
        <f aca="false">IF(B65="",0,N(Students!F54))</f>
        <v>0</v>
      </c>
      <c r="I65" s="23"/>
      <c r="J65" s="26" t="n">
        <f aca="false">N(G65)+N(H65)-N(I65)</f>
        <v>0</v>
      </c>
      <c r="K65" s="37" t="n">
        <f aca="false">'Jun 2027'!N65</f>
        <v>0</v>
      </c>
      <c r="L65" s="37" t="n">
        <f aca="false">IF(B65="",0,N(Students!G54))</f>
        <v>0</v>
      </c>
      <c r="M65" s="23"/>
      <c r="N65" s="26" t="n">
        <f aca="false">N(K65)+N(L65)-N(M65)</f>
        <v>0</v>
      </c>
      <c r="O65" s="37" t="n">
        <f aca="false">'Jun 2027'!R65</f>
        <v>0</v>
      </c>
      <c r="P65" s="37" t="n">
        <f aca="false">IF(B65="",0,N(Students!H54))</f>
        <v>0</v>
      </c>
      <c r="Q65" s="23"/>
      <c r="R65" s="26" t="n">
        <f aca="false">N(O65)+N(P65)-N(Q65)</f>
        <v>0</v>
      </c>
      <c r="S65" s="37" t="n">
        <f aca="false">'Jun 2027'!V65</f>
        <v>0</v>
      </c>
      <c r="T65" s="37" t="n">
        <f aca="false">IF(B65="",0,N(Students!I54))</f>
        <v>0</v>
      </c>
      <c r="U65" s="23"/>
      <c r="V65" s="26" t="n">
        <f aca="false">N(S65)+N(T65)-N(U65)</f>
        <v>0</v>
      </c>
      <c r="W65" s="37" t="n">
        <f aca="false">'Jun 2027'!Z65</f>
        <v>0</v>
      </c>
      <c r="X65" s="37" t="n">
        <f aca="false">IF(B65="",0,N(Students!J54))</f>
        <v>0</v>
      </c>
      <c r="Y65" s="23"/>
      <c r="Z65" s="26" t="n">
        <f aca="false">N(W65)+N(X65)-N(Y65)</f>
        <v>0</v>
      </c>
      <c r="AA65" s="37" t="n">
        <f aca="false">N(E65)+N(I65)+N(M65)+N(Q65)+N(U65)+N(Y65)</f>
        <v>0</v>
      </c>
      <c r="AB65" s="26" t="n">
        <f aca="false">F65+J65+N65+R65+V65+Z65</f>
        <v>0</v>
      </c>
      <c r="AC65" s="83" t="str">
        <f aca="false">IF(B65="","",IF(AB65&lt;=0,"Clear",IF(AA65&gt;0,"Partial","Due")))</f>
        <v/>
      </c>
    </row>
    <row r="66" customFormat="false" ht="15" hidden="false" customHeight="false" outlineLevel="0" collapsed="false">
      <c r="A66" s="21" t="n">
        <v>51</v>
      </c>
      <c r="B66" s="46" t="str">
        <f aca="false">IF(Students!B55="","",Students!B55)</f>
        <v/>
      </c>
      <c r="C66" s="33" t="n">
        <f aca="false">'Jun 2027'!F66</f>
        <v>0</v>
      </c>
      <c r="D66" s="33" t="n">
        <f aca="false">IF(B66="",0,N(Students!E55))</f>
        <v>0</v>
      </c>
      <c r="E66" s="23"/>
      <c r="F66" s="24" t="n">
        <f aca="false">N(C66)+N(D66)-N(E66)</f>
        <v>0</v>
      </c>
      <c r="G66" s="33" t="n">
        <f aca="false">'Jun 2027'!J66</f>
        <v>0</v>
      </c>
      <c r="H66" s="33" t="n">
        <f aca="false">IF(B66="",0,N(Students!F55))</f>
        <v>0</v>
      </c>
      <c r="I66" s="23"/>
      <c r="J66" s="24" t="n">
        <f aca="false">N(G66)+N(H66)-N(I66)</f>
        <v>0</v>
      </c>
      <c r="K66" s="33" t="n">
        <f aca="false">'Jun 2027'!N66</f>
        <v>0</v>
      </c>
      <c r="L66" s="33" t="n">
        <f aca="false">IF(B66="",0,N(Students!G55))</f>
        <v>0</v>
      </c>
      <c r="M66" s="23"/>
      <c r="N66" s="24" t="n">
        <f aca="false">N(K66)+N(L66)-N(M66)</f>
        <v>0</v>
      </c>
      <c r="O66" s="33" t="n">
        <f aca="false">'Jun 2027'!R66</f>
        <v>0</v>
      </c>
      <c r="P66" s="33" t="n">
        <f aca="false">IF(B66="",0,N(Students!H55))</f>
        <v>0</v>
      </c>
      <c r="Q66" s="23"/>
      <c r="R66" s="24" t="n">
        <f aca="false">N(O66)+N(P66)-N(Q66)</f>
        <v>0</v>
      </c>
      <c r="S66" s="33" t="n">
        <f aca="false">'Jun 2027'!V66</f>
        <v>0</v>
      </c>
      <c r="T66" s="33" t="n">
        <f aca="false">IF(B66="",0,N(Students!I55))</f>
        <v>0</v>
      </c>
      <c r="U66" s="23"/>
      <c r="V66" s="24" t="n">
        <f aca="false">N(S66)+N(T66)-N(U66)</f>
        <v>0</v>
      </c>
      <c r="W66" s="33" t="n">
        <f aca="false">'Jun 2027'!Z66</f>
        <v>0</v>
      </c>
      <c r="X66" s="33" t="n">
        <f aca="false">IF(B66="",0,N(Students!J55))</f>
        <v>0</v>
      </c>
      <c r="Y66" s="23"/>
      <c r="Z66" s="24" t="n">
        <f aca="false">N(W66)+N(X66)-N(Y66)</f>
        <v>0</v>
      </c>
      <c r="AA66" s="33" t="n">
        <f aca="false">N(E66)+N(I66)+N(M66)+N(Q66)+N(U66)+N(Y66)</f>
        <v>0</v>
      </c>
      <c r="AB66" s="24" t="n">
        <f aca="false">F66+J66+N66+R66+V66+Z66</f>
        <v>0</v>
      </c>
      <c r="AC66" s="81" t="str">
        <f aca="false">IF(B66="","",IF(AB66&lt;=0,"Clear",IF(AA66&gt;0,"Partial","Due")))</f>
        <v/>
      </c>
    </row>
    <row r="67" customFormat="false" ht="15" hidden="false" customHeight="false" outlineLevel="0" collapsed="false">
      <c r="A67" s="25" t="n">
        <v>52</v>
      </c>
      <c r="B67" s="82" t="str">
        <f aca="false">IF(Students!B56="","",Students!B56)</f>
        <v/>
      </c>
      <c r="C67" s="37" t="n">
        <f aca="false">'Jun 2027'!F67</f>
        <v>0</v>
      </c>
      <c r="D67" s="37" t="n">
        <f aca="false">IF(B67="",0,N(Students!E56))</f>
        <v>0</v>
      </c>
      <c r="E67" s="23"/>
      <c r="F67" s="26" t="n">
        <f aca="false">N(C67)+N(D67)-N(E67)</f>
        <v>0</v>
      </c>
      <c r="G67" s="37" t="n">
        <f aca="false">'Jun 2027'!J67</f>
        <v>0</v>
      </c>
      <c r="H67" s="37" t="n">
        <f aca="false">IF(B67="",0,N(Students!F56))</f>
        <v>0</v>
      </c>
      <c r="I67" s="23"/>
      <c r="J67" s="26" t="n">
        <f aca="false">N(G67)+N(H67)-N(I67)</f>
        <v>0</v>
      </c>
      <c r="K67" s="37" t="n">
        <f aca="false">'Jun 2027'!N67</f>
        <v>0</v>
      </c>
      <c r="L67" s="37" t="n">
        <f aca="false">IF(B67="",0,N(Students!G56))</f>
        <v>0</v>
      </c>
      <c r="M67" s="23"/>
      <c r="N67" s="26" t="n">
        <f aca="false">N(K67)+N(L67)-N(M67)</f>
        <v>0</v>
      </c>
      <c r="O67" s="37" t="n">
        <f aca="false">'Jun 2027'!R67</f>
        <v>0</v>
      </c>
      <c r="P67" s="37" t="n">
        <f aca="false">IF(B67="",0,N(Students!H56))</f>
        <v>0</v>
      </c>
      <c r="Q67" s="23"/>
      <c r="R67" s="26" t="n">
        <f aca="false">N(O67)+N(P67)-N(Q67)</f>
        <v>0</v>
      </c>
      <c r="S67" s="37" t="n">
        <f aca="false">'Jun 2027'!V67</f>
        <v>0</v>
      </c>
      <c r="T67" s="37" t="n">
        <f aca="false">IF(B67="",0,N(Students!I56))</f>
        <v>0</v>
      </c>
      <c r="U67" s="23"/>
      <c r="V67" s="26" t="n">
        <f aca="false">N(S67)+N(T67)-N(U67)</f>
        <v>0</v>
      </c>
      <c r="W67" s="37" t="n">
        <f aca="false">'Jun 2027'!Z67</f>
        <v>0</v>
      </c>
      <c r="X67" s="37" t="n">
        <f aca="false">IF(B67="",0,N(Students!J56))</f>
        <v>0</v>
      </c>
      <c r="Y67" s="23"/>
      <c r="Z67" s="26" t="n">
        <f aca="false">N(W67)+N(X67)-N(Y67)</f>
        <v>0</v>
      </c>
      <c r="AA67" s="37" t="n">
        <f aca="false">N(E67)+N(I67)+N(M67)+N(Q67)+N(U67)+N(Y67)</f>
        <v>0</v>
      </c>
      <c r="AB67" s="26" t="n">
        <f aca="false">F67+J67+N67+R67+V67+Z67</f>
        <v>0</v>
      </c>
      <c r="AC67" s="83" t="str">
        <f aca="false">IF(B67="","",IF(AB67&lt;=0,"Clear",IF(AA67&gt;0,"Partial","Due")))</f>
        <v/>
      </c>
    </row>
    <row r="68" customFormat="false" ht="15" hidden="false" customHeight="false" outlineLevel="0" collapsed="false">
      <c r="A68" s="21" t="n">
        <v>53</v>
      </c>
      <c r="B68" s="46" t="str">
        <f aca="false">IF(Students!B57="","",Students!B57)</f>
        <v/>
      </c>
      <c r="C68" s="33" t="n">
        <f aca="false">'Jun 2027'!F68</f>
        <v>0</v>
      </c>
      <c r="D68" s="33" t="n">
        <f aca="false">IF(B68="",0,N(Students!E57))</f>
        <v>0</v>
      </c>
      <c r="E68" s="23"/>
      <c r="F68" s="24" t="n">
        <f aca="false">N(C68)+N(D68)-N(E68)</f>
        <v>0</v>
      </c>
      <c r="G68" s="33" t="n">
        <f aca="false">'Jun 2027'!J68</f>
        <v>0</v>
      </c>
      <c r="H68" s="33" t="n">
        <f aca="false">IF(B68="",0,N(Students!F57))</f>
        <v>0</v>
      </c>
      <c r="I68" s="23"/>
      <c r="J68" s="24" t="n">
        <f aca="false">N(G68)+N(H68)-N(I68)</f>
        <v>0</v>
      </c>
      <c r="K68" s="33" t="n">
        <f aca="false">'Jun 2027'!N68</f>
        <v>0</v>
      </c>
      <c r="L68" s="33" t="n">
        <f aca="false">IF(B68="",0,N(Students!G57))</f>
        <v>0</v>
      </c>
      <c r="M68" s="23"/>
      <c r="N68" s="24" t="n">
        <f aca="false">N(K68)+N(L68)-N(M68)</f>
        <v>0</v>
      </c>
      <c r="O68" s="33" t="n">
        <f aca="false">'Jun 2027'!R68</f>
        <v>0</v>
      </c>
      <c r="P68" s="33" t="n">
        <f aca="false">IF(B68="",0,N(Students!H57))</f>
        <v>0</v>
      </c>
      <c r="Q68" s="23"/>
      <c r="R68" s="24" t="n">
        <f aca="false">N(O68)+N(P68)-N(Q68)</f>
        <v>0</v>
      </c>
      <c r="S68" s="33" t="n">
        <f aca="false">'Jun 2027'!V68</f>
        <v>0</v>
      </c>
      <c r="T68" s="33" t="n">
        <f aca="false">IF(B68="",0,N(Students!I57))</f>
        <v>0</v>
      </c>
      <c r="U68" s="23"/>
      <c r="V68" s="24" t="n">
        <f aca="false">N(S68)+N(T68)-N(U68)</f>
        <v>0</v>
      </c>
      <c r="W68" s="33" t="n">
        <f aca="false">'Jun 2027'!Z68</f>
        <v>0</v>
      </c>
      <c r="X68" s="33" t="n">
        <f aca="false">IF(B68="",0,N(Students!J57))</f>
        <v>0</v>
      </c>
      <c r="Y68" s="23"/>
      <c r="Z68" s="24" t="n">
        <f aca="false">N(W68)+N(X68)-N(Y68)</f>
        <v>0</v>
      </c>
      <c r="AA68" s="33" t="n">
        <f aca="false">N(E68)+N(I68)+N(M68)+N(Q68)+N(U68)+N(Y68)</f>
        <v>0</v>
      </c>
      <c r="AB68" s="24" t="n">
        <f aca="false">F68+J68+N68+R68+V68+Z68</f>
        <v>0</v>
      </c>
      <c r="AC68" s="81" t="str">
        <f aca="false">IF(B68="","",IF(AB68&lt;=0,"Clear",IF(AA68&gt;0,"Partial","Due")))</f>
        <v/>
      </c>
    </row>
    <row r="69" customFormat="false" ht="15" hidden="false" customHeight="false" outlineLevel="0" collapsed="false">
      <c r="A69" s="25" t="n">
        <v>54</v>
      </c>
      <c r="B69" s="82" t="str">
        <f aca="false">IF(Students!B58="","",Students!B58)</f>
        <v/>
      </c>
      <c r="C69" s="37" t="n">
        <f aca="false">'Jun 2027'!F69</f>
        <v>0</v>
      </c>
      <c r="D69" s="37" t="n">
        <f aca="false">IF(B69="",0,N(Students!E58))</f>
        <v>0</v>
      </c>
      <c r="E69" s="23"/>
      <c r="F69" s="26" t="n">
        <f aca="false">N(C69)+N(D69)-N(E69)</f>
        <v>0</v>
      </c>
      <c r="G69" s="37" t="n">
        <f aca="false">'Jun 2027'!J69</f>
        <v>0</v>
      </c>
      <c r="H69" s="37" t="n">
        <f aca="false">IF(B69="",0,N(Students!F58))</f>
        <v>0</v>
      </c>
      <c r="I69" s="23"/>
      <c r="J69" s="26" t="n">
        <f aca="false">N(G69)+N(H69)-N(I69)</f>
        <v>0</v>
      </c>
      <c r="K69" s="37" t="n">
        <f aca="false">'Jun 2027'!N69</f>
        <v>0</v>
      </c>
      <c r="L69" s="37" t="n">
        <f aca="false">IF(B69="",0,N(Students!G58))</f>
        <v>0</v>
      </c>
      <c r="M69" s="23"/>
      <c r="N69" s="26" t="n">
        <f aca="false">N(K69)+N(L69)-N(M69)</f>
        <v>0</v>
      </c>
      <c r="O69" s="37" t="n">
        <f aca="false">'Jun 2027'!R69</f>
        <v>0</v>
      </c>
      <c r="P69" s="37" t="n">
        <f aca="false">IF(B69="",0,N(Students!H58))</f>
        <v>0</v>
      </c>
      <c r="Q69" s="23"/>
      <c r="R69" s="26" t="n">
        <f aca="false">N(O69)+N(P69)-N(Q69)</f>
        <v>0</v>
      </c>
      <c r="S69" s="37" t="n">
        <f aca="false">'Jun 2027'!V69</f>
        <v>0</v>
      </c>
      <c r="T69" s="37" t="n">
        <f aca="false">IF(B69="",0,N(Students!I58))</f>
        <v>0</v>
      </c>
      <c r="U69" s="23"/>
      <c r="V69" s="26" t="n">
        <f aca="false">N(S69)+N(T69)-N(U69)</f>
        <v>0</v>
      </c>
      <c r="W69" s="37" t="n">
        <f aca="false">'Jun 2027'!Z69</f>
        <v>0</v>
      </c>
      <c r="X69" s="37" t="n">
        <f aca="false">IF(B69="",0,N(Students!J58))</f>
        <v>0</v>
      </c>
      <c r="Y69" s="23"/>
      <c r="Z69" s="26" t="n">
        <f aca="false">N(W69)+N(X69)-N(Y69)</f>
        <v>0</v>
      </c>
      <c r="AA69" s="37" t="n">
        <f aca="false">N(E69)+N(I69)+N(M69)+N(Q69)+N(U69)+N(Y69)</f>
        <v>0</v>
      </c>
      <c r="AB69" s="26" t="n">
        <f aca="false">F69+J69+N69+R69+V69+Z69</f>
        <v>0</v>
      </c>
      <c r="AC69" s="83" t="str">
        <f aca="false">IF(B69="","",IF(AB69&lt;=0,"Clear",IF(AA69&gt;0,"Partial","Due")))</f>
        <v/>
      </c>
    </row>
    <row r="70" customFormat="false" ht="15" hidden="false" customHeight="false" outlineLevel="0" collapsed="false">
      <c r="A70" s="21" t="n">
        <v>55</v>
      </c>
      <c r="B70" s="46" t="str">
        <f aca="false">IF(Students!B59="","",Students!B59)</f>
        <v/>
      </c>
      <c r="C70" s="33" t="n">
        <f aca="false">'Jun 2027'!F70</f>
        <v>0</v>
      </c>
      <c r="D70" s="33" t="n">
        <f aca="false">IF(B70="",0,N(Students!E59))</f>
        <v>0</v>
      </c>
      <c r="E70" s="23"/>
      <c r="F70" s="24" t="n">
        <f aca="false">N(C70)+N(D70)-N(E70)</f>
        <v>0</v>
      </c>
      <c r="G70" s="33" t="n">
        <f aca="false">'Jun 2027'!J70</f>
        <v>0</v>
      </c>
      <c r="H70" s="33" t="n">
        <f aca="false">IF(B70="",0,N(Students!F59))</f>
        <v>0</v>
      </c>
      <c r="I70" s="23"/>
      <c r="J70" s="24" t="n">
        <f aca="false">N(G70)+N(H70)-N(I70)</f>
        <v>0</v>
      </c>
      <c r="K70" s="33" t="n">
        <f aca="false">'Jun 2027'!N70</f>
        <v>0</v>
      </c>
      <c r="L70" s="33" t="n">
        <f aca="false">IF(B70="",0,N(Students!G59))</f>
        <v>0</v>
      </c>
      <c r="M70" s="23"/>
      <c r="N70" s="24" t="n">
        <f aca="false">N(K70)+N(L70)-N(M70)</f>
        <v>0</v>
      </c>
      <c r="O70" s="33" t="n">
        <f aca="false">'Jun 2027'!R70</f>
        <v>0</v>
      </c>
      <c r="P70" s="33" t="n">
        <f aca="false">IF(B70="",0,N(Students!H59))</f>
        <v>0</v>
      </c>
      <c r="Q70" s="23"/>
      <c r="R70" s="24" t="n">
        <f aca="false">N(O70)+N(P70)-N(Q70)</f>
        <v>0</v>
      </c>
      <c r="S70" s="33" t="n">
        <f aca="false">'Jun 2027'!V70</f>
        <v>0</v>
      </c>
      <c r="T70" s="33" t="n">
        <f aca="false">IF(B70="",0,N(Students!I59))</f>
        <v>0</v>
      </c>
      <c r="U70" s="23"/>
      <c r="V70" s="24" t="n">
        <f aca="false">N(S70)+N(T70)-N(U70)</f>
        <v>0</v>
      </c>
      <c r="W70" s="33" t="n">
        <f aca="false">'Jun 2027'!Z70</f>
        <v>0</v>
      </c>
      <c r="X70" s="33" t="n">
        <f aca="false">IF(B70="",0,N(Students!J59))</f>
        <v>0</v>
      </c>
      <c r="Y70" s="23"/>
      <c r="Z70" s="24" t="n">
        <f aca="false">N(W70)+N(X70)-N(Y70)</f>
        <v>0</v>
      </c>
      <c r="AA70" s="33" t="n">
        <f aca="false">N(E70)+N(I70)+N(M70)+N(Q70)+N(U70)+N(Y70)</f>
        <v>0</v>
      </c>
      <c r="AB70" s="24" t="n">
        <f aca="false">F70+J70+N70+R70+V70+Z70</f>
        <v>0</v>
      </c>
      <c r="AC70" s="81" t="str">
        <f aca="false">IF(B70="","",IF(AB70&lt;=0,"Clear",IF(AA70&gt;0,"Partial","Due")))</f>
        <v/>
      </c>
    </row>
    <row r="71" customFormat="false" ht="15" hidden="false" customHeight="false" outlineLevel="0" collapsed="false">
      <c r="A71" s="25" t="n">
        <v>56</v>
      </c>
      <c r="B71" s="82" t="str">
        <f aca="false">IF(Students!B60="","",Students!B60)</f>
        <v/>
      </c>
      <c r="C71" s="37" t="n">
        <f aca="false">'Jun 2027'!F71</f>
        <v>0</v>
      </c>
      <c r="D71" s="37" t="n">
        <f aca="false">IF(B71="",0,N(Students!E60))</f>
        <v>0</v>
      </c>
      <c r="E71" s="23"/>
      <c r="F71" s="26" t="n">
        <f aca="false">N(C71)+N(D71)-N(E71)</f>
        <v>0</v>
      </c>
      <c r="G71" s="37" t="n">
        <f aca="false">'Jun 2027'!J71</f>
        <v>0</v>
      </c>
      <c r="H71" s="37" t="n">
        <f aca="false">IF(B71="",0,N(Students!F60))</f>
        <v>0</v>
      </c>
      <c r="I71" s="23"/>
      <c r="J71" s="26" t="n">
        <f aca="false">N(G71)+N(H71)-N(I71)</f>
        <v>0</v>
      </c>
      <c r="K71" s="37" t="n">
        <f aca="false">'Jun 2027'!N71</f>
        <v>0</v>
      </c>
      <c r="L71" s="37" t="n">
        <f aca="false">IF(B71="",0,N(Students!G60))</f>
        <v>0</v>
      </c>
      <c r="M71" s="23"/>
      <c r="N71" s="26" t="n">
        <f aca="false">N(K71)+N(L71)-N(M71)</f>
        <v>0</v>
      </c>
      <c r="O71" s="37" t="n">
        <f aca="false">'Jun 2027'!R71</f>
        <v>0</v>
      </c>
      <c r="P71" s="37" t="n">
        <f aca="false">IF(B71="",0,N(Students!H60))</f>
        <v>0</v>
      </c>
      <c r="Q71" s="23"/>
      <c r="R71" s="26" t="n">
        <f aca="false">N(O71)+N(P71)-N(Q71)</f>
        <v>0</v>
      </c>
      <c r="S71" s="37" t="n">
        <f aca="false">'Jun 2027'!V71</f>
        <v>0</v>
      </c>
      <c r="T71" s="37" t="n">
        <f aca="false">IF(B71="",0,N(Students!I60))</f>
        <v>0</v>
      </c>
      <c r="U71" s="23"/>
      <c r="V71" s="26" t="n">
        <f aca="false">N(S71)+N(T71)-N(U71)</f>
        <v>0</v>
      </c>
      <c r="W71" s="37" t="n">
        <f aca="false">'Jun 2027'!Z71</f>
        <v>0</v>
      </c>
      <c r="X71" s="37" t="n">
        <f aca="false">IF(B71="",0,N(Students!J60))</f>
        <v>0</v>
      </c>
      <c r="Y71" s="23"/>
      <c r="Z71" s="26" t="n">
        <f aca="false">N(W71)+N(X71)-N(Y71)</f>
        <v>0</v>
      </c>
      <c r="AA71" s="37" t="n">
        <f aca="false">N(E71)+N(I71)+N(M71)+N(Q71)+N(U71)+N(Y71)</f>
        <v>0</v>
      </c>
      <c r="AB71" s="26" t="n">
        <f aca="false">F71+J71+N71+R71+V71+Z71</f>
        <v>0</v>
      </c>
      <c r="AC71" s="83" t="str">
        <f aca="false">IF(B71="","",IF(AB71&lt;=0,"Clear",IF(AA71&gt;0,"Partial","Due")))</f>
        <v/>
      </c>
    </row>
    <row r="72" customFormat="false" ht="15" hidden="false" customHeight="false" outlineLevel="0" collapsed="false">
      <c r="A72" s="21" t="n">
        <v>57</v>
      </c>
      <c r="B72" s="46" t="str">
        <f aca="false">IF(Students!B61="","",Students!B61)</f>
        <v/>
      </c>
      <c r="C72" s="33" t="n">
        <f aca="false">'Jun 2027'!F72</f>
        <v>0</v>
      </c>
      <c r="D72" s="33" t="n">
        <f aca="false">IF(B72="",0,N(Students!E61))</f>
        <v>0</v>
      </c>
      <c r="E72" s="23"/>
      <c r="F72" s="24" t="n">
        <f aca="false">N(C72)+N(D72)-N(E72)</f>
        <v>0</v>
      </c>
      <c r="G72" s="33" t="n">
        <f aca="false">'Jun 2027'!J72</f>
        <v>0</v>
      </c>
      <c r="H72" s="33" t="n">
        <f aca="false">IF(B72="",0,N(Students!F61))</f>
        <v>0</v>
      </c>
      <c r="I72" s="23"/>
      <c r="J72" s="24" t="n">
        <f aca="false">N(G72)+N(H72)-N(I72)</f>
        <v>0</v>
      </c>
      <c r="K72" s="33" t="n">
        <f aca="false">'Jun 2027'!N72</f>
        <v>0</v>
      </c>
      <c r="L72" s="33" t="n">
        <f aca="false">IF(B72="",0,N(Students!G61))</f>
        <v>0</v>
      </c>
      <c r="M72" s="23"/>
      <c r="N72" s="24" t="n">
        <f aca="false">N(K72)+N(L72)-N(M72)</f>
        <v>0</v>
      </c>
      <c r="O72" s="33" t="n">
        <f aca="false">'Jun 2027'!R72</f>
        <v>0</v>
      </c>
      <c r="P72" s="33" t="n">
        <f aca="false">IF(B72="",0,N(Students!H61))</f>
        <v>0</v>
      </c>
      <c r="Q72" s="23"/>
      <c r="R72" s="24" t="n">
        <f aca="false">N(O72)+N(P72)-N(Q72)</f>
        <v>0</v>
      </c>
      <c r="S72" s="33" t="n">
        <f aca="false">'Jun 2027'!V72</f>
        <v>0</v>
      </c>
      <c r="T72" s="33" t="n">
        <f aca="false">IF(B72="",0,N(Students!I61))</f>
        <v>0</v>
      </c>
      <c r="U72" s="23"/>
      <c r="V72" s="24" t="n">
        <f aca="false">N(S72)+N(T72)-N(U72)</f>
        <v>0</v>
      </c>
      <c r="W72" s="33" t="n">
        <f aca="false">'Jun 2027'!Z72</f>
        <v>0</v>
      </c>
      <c r="X72" s="33" t="n">
        <f aca="false">IF(B72="",0,N(Students!J61))</f>
        <v>0</v>
      </c>
      <c r="Y72" s="23"/>
      <c r="Z72" s="24" t="n">
        <f aca="false">N(W72)+N(X72)-N(Y72)</f>
        <v>0</v>
      </c>
      <c r="AA72" s="33" t="n">
        <f aca="false">N(E72)+N(I72)+N(M72)+N(Q72)+N(U72)+N(Y72)</f>
        <v>0</v>
      </c>
      <c r="AB72" s="24" t="n">
        <f aca="false">F72+J72+N72+R72+V72+Z72</f>
        <v>0</v>
      </c>
      <c r="AC72" s="81" t="str">
        <f aca="false">IF(B72="","",IF(AB72&lt;=0,"Clear",IF(AA72&gt;0,"Partial","Due")))</f>
        <v/>
      </c>
    </row>
    <row r="73" customFormat="false" ht="15" hidden="false" customHeight="false" outlineLevel="0" collapsed="false">
      <c r="A73" s="25" t="n">
        <v>58</v>
      </c>
      <c r="B73" s="82" t="str">
        <f aca="false">IF(Students!B62="","",Students!B62)</f>
        <v/>
      </c>
      <c r="C73" s="37" t="n">
        <f aca="false">'Jun 2027'!F73</f>
        <v>0</v>
      </c>
      <c r="D73" s="37" t="n">
        <f aca="false">IF(B73="",0,N(Students!E62))</f>
        <v>0</v>
      </c>
      <c r="E73" s="23"/>
      <c r="F73" s="26" t="n">
        <f aca="false">N(C73)+N(D73)-N(E73)</f>
        <v>0</v>
      </c>
      <c r="G73" s="37" t="n">
        <f aca="false">'Jun 2027'!J73</f>
        <v>0</v>
      </c>
      <c r="H73" s="37" t="n">
        <f aca="false">IF(B73="",0,N(Students!F62))</f>
        <v>0</v>
      </c>
      <c r="I73" s="23"/>
      <c r="J73" s="26" t="n">
        <f aca="false">N(G73)+N(H73)-N(I73)</f>
        <v>0</v>
      </c>
      <c r="K73" s="37" t="n">
        <f aca="false">'Jun 2027'!N73</f>
        <v>0</v>
      </c>
      <c r="L73" s="37" t="n">
        <f aca="false">IF(B73="",0,N(Students!G62))</f>
        <v>0</v>
      </c>
      <c r="M73" s="23"/>
      <c r="N73" s="26" t="n">
        <f aca="false">N(K73)+N(L73)-N(M73)</f>
        <v>0</v>
      </c>
      <c r="O73" s="37" t="n">
        <f aca="false">'Jun 2027'!R73</f>
        <v>0</v>
      </c>
      <c r="P73" s="37" t="n">
        <f aca="false">IF(B73="",0,N(Students!H62))</f>
        <v>0</v>
      </c>
      <c r="Q73" s="23"/>
      <c r="R73" s="26" t="n">
        <f aca="false">N(O73)+N(P73)-N(Q73)</f>
        <v>0</v>
      </c>
      <c r="S73" s="37" t="n">
        <f aca="false">'Jun 2027'!V73</f>
        <v>0</v>
      </c>
      <c r="T73" s="37" t="n">
        <f aca="false">IF(B73="",0,N(Students!I62))</f>
        <v>0</v>
      </c>
      <c r="U73" s="23"/>
      <c r="V73" s="26" t="n">
        <f aca="false">N(S73)+N(T73)-N(U73)</f>
        <v>0</v>
      </c>
      <c r="W73" s="37" t="n">
        <f aca="false">'Jun 2027'!Z73</f>
        <v>0</v>
      </c>
      <c r="X73" s="37" t="n">
        <f aca="false">IF(B73="",0,N(Students!J62))</f>
        <v>0</v>
      </c>
      <c r="Y73" s="23"/>
      <c r="Z73" s="26" t="n">
        <f aca="false">N(W73)+N(X73)-N(Y73)</f>
        <v>0</v>
      </c>
      <c r="AA73" s="37" t="n">
        <f aca="false">N(E73)+N(I73)+N(M73)+N(Q73)+N(U73)+N(Y73)</f>
        <v>0</v>
      </c>
      <c r="AB73" s="26" t="n">
        <f aca="false">F73+J73+N73+R73+V73+Z73</f>
        <v>0</v>
      </c>
      <c r="AC73" s="83" t="str">
        <f aca="false">IF(B73="","",IF(AB73&lt;=0,"Clear",IF(AA73&gt;0,"Partial","Due")))</f>
        <v/>
      </c>
    </row>
    <row r="74" customFormat="false" ht="15" hidden="false" customHeight="false" outlineLevel="0" collapsed="false">
      <c r="A74" s="21" t="n">
        <v>59</v>
      </c>
      <c r="B74" s="46" t="str">
        <f aca="false">IF(Students!B63="","",Students!B63)</f>
        <v/>
      </c>
      <c r="C74" s="33" t="n">
        <f aca="false">'Jun 2027'!F74</f>
        <v>0</v>
      </c>
      <c r="D74" s="33" t="n">
        <f aca="false">IF(B74="",0,N(Students!E63))</f>
        <v>0</v>
      </c>
      <c r="E74" s="23"/>
      <c r="F74" s="24" t="n">
        <f aca="false">N(C74)+N(D74)-N(E74)</f>
        <v>0</v>
      </c>
      <c r="G74" s="33" t="n">
        <f aca="false">'Jun 2027'!J74</f>
        <v>0</v>
      </c>
      <c r="H74" s="33" t="n">
        <f aca="false">IF(B74="",0,N(Students!F63))</f>
        <v>0</v>
      </c>
      <c r="I74" s="23"/>
      <c r="J74" s="24" t="n">
        <f aca="false">N(G74)+N(H74)-N(I74)</f>
        <v>0</v>
      </c>
      <c r="K74" s="33" t="n">
        <f aca="false">'Jun 2027'!N74</f>
        <v>0</v>
      </c>
      <c r="L74" s="33" t="n">
        <f aca="false">IF(B74="",0,N(Students!G63))</f>
        <v>0</v>
      </c>
      <c r="M74" s="23"/>
      <c r="N74" s="24" t="n">
        <f aca="false">N(K74)+N(L74)-N(M74)</f>
        <v>0</v>
      </c>
      <c r="O74" s="33" t="n">
        <f aca="false">'Jun 2027'!R74</f>
        <v>0</v>
      </c>
      <c r="P74" s="33" t="n">
        <f aca="false">IF(B74="",0,N(Students!H63))</f>
        <v>0</v>
      </c>
      <c r="Q74" s="23"/>
      <c r="R74" s="24" t="n">
        <f aca="false">N(O74)+N(P74)-N(Q74)</f>
        <v>0</v>
      </c>
      <c r="S74" s="33" t="n">
        <f aca="false">'Jun 2027'!V74</f>
        <v>0</v>
      </c>
      <c r="T74" s="33" t="n">
        <f aca="false">IF(B74="",0,N(Students!I63))</f>
        <v>0</v>
      </c>
      <c r="U74" s="23"/>
      <c r="V74" s="24" t="n">
        <f aca="false">N(S74)+N(T74)-N(U74)</f>
        <v>0</v>
      </c>
      <c r="W74" s="33" t="n">
        <f aca="false">'Jun 2027'!Z74</f>
        <v>0</v>
      </c>
      <c r="X74" s="33" t="n">
        <f aca="false">IF(B74="",0,N(Students!J63))</f>
        <v>0</v>
      </c>
      <c r="Y74" s="23"/>
      <c r="Z74" s="24" t="n">
        <f aca="false">N(W74)+N(X74)-N(Y74)</f>
        <v>0</v>
      </c>
      <c r="AA74" s="33" t="n">
        <f aca="false">N(E74)+N(I74)+N(M74)+N(Q74)+N(U74)+N(Y74)</f>
        <v>0</v>
      </c>
      <c r="AB74" s="24" t="n">
        <f aca="false">F74+J74+N74+R74+V74+Z74</f>
        <v>0</v>
      </c>
      <c r="AC74" s="81" t="str">
        <f aca="false">IF(B74="","",IF(AB74&lt;=0,"Clear",IF(AA74&gt;0,"Partial","Due")))</f>
        <v/>
      </c>
    </row>
    <row r="75" customFormat="false" ht="15" hidden="false" customHeight="false" outlineLevel="0" collapsed="false">
      <c r="A75" s="25" t="n">
        <v>60</v>
      </c>
      <c r="B75" s="82" t="str">
        <f aca="false">IF(Students!B64="","",Students!B64)</f>
        <v/>
      </c>
      <c r="C75" s="37" t="n">
        <f aca="false">'Jun 2027'!F75</f>
        <v>0</v>
      </c>
      <c r="D75" s="37" t="n">
        <f aca="false">IF(B75="",0,N(Students!E64))</f>
        <v>0</v>
      </c>
      <c r="E75" s="23"/>
      <c r="F75" s="26" t="n">
        <f aca="false">N(C75)+N(D75)-N(E75)</f>
        <v>0</v>
      </c>
      <c r="G75" s="37" t="n">
        <f aca="false">'Jun 2027'!J75</f>
        <v>0</v>
      </c>
      <c r="H75" s="37" t="n">
        <f aca="false">IF(B75="",0,N(Students!F64))</f>
        <v>0</v>
      </c>
      <c r="I75" s="23"/>
      <c r="J75" s="26" t="n">
        <f aca="false">N(G75)+N(H75)-N(I75)</f>
        <v>0</v>
      </c>
      <c r="K75" s="37" t="n">
        <f aca="false">'Jun 2027'!N75</f>
        <v>0</v>
      </c>
      <c r="L75" s="37" t="n">
        <f aca="false">IF(B75="",0,N(Students!G64))</f>
        <v>0</v>
      </c>
      <c r="M75" s="23"/>
      <c r="N75" s="26" t="n">
        <f aca="false">N(K75)+N(L75)-N(M75)</f>
        <v>0</v>
      </c>
      <c r="O75" s="37" t="n">
        <f aca="false">'Jun 2027'!R75</f>
        <v>0</v>
      </c>
      <c r="P75" s="37" t="n">
        <f aca="false">IF(B75="",0,N(Students!H64))</f>
        <v>0</v>
      </c>
      <c r="Q75" s="23"/>
      <c r="R75" s="26" t="n">
        <f aca="false">N(O75)+N(P75)-N(Q75)</f>
        <v>0</v>
      </c>
      <c r="S75" s="37" t="n">
        <f aca="false">'Jun 2027'!V75</f>
        <v>0</v>
      </c>
      <c r="T75" s="37" t="n">
        <f aca="false">IF(B75="",0,N(Students!I64))</f>
        <v>0</v>
      </c>
      <c r="U75" s="23"/>
      <c r="V75" s="26" t="n">
        <f aca="false">N(S75)+N(T75)-N(U75)</f>
        <v>0</v>
      </c>
      <c r="W75" s="37" t="n">
        <f aca="false">'Jun 2027'!Z75</f>
        <v>0</v>
      </c>
      <c r="X75" s="37" t="n">
        <f aca="false">IF(B75="",0,N(Students!J64))</f>
        <v>0</v>
      </c>
      <c r="Y75" s="23"/>
      <c r="Z75" s="26" t="n">
        <f aca="false">N(W75)+N(X75)-N(Y75)</f>
        <v>0</v>
      </c>
      <c r="AA75" s="37" t="n">
        <f aca="false">N(E75)+N(I75)+N(M75)+N(Q75)+N(U75)+N(Y75)</f>
        <v>0</v>
      </c>
      <c r="AB75" s="26" t="n">
        <f aca="false">F75+J75+N75+R75+V75+Z75</f>
        <v>0</v>
      </c>
      <c r="AC75" s="83" t="str">
        <f aca="false">IF(B75="","",IF(AB75&lt;=0,"Clear",IF(AA75&gt;0,"Partial","Due")))</f>
        <v/>
      </c>
    </row>
    <row r="76" customFormat="false" ht="15" hidden="false" customHeight="false" outlineLevel="0" collapsed="false">
      <c r="A76" s="21" t="n">
        <v>61</v>
      </c>
      <c r="B76" s="46" t="str">
        <f aca="false">IF(Students!B65="","",Students!B65)</f>
        <v/>
      </c>
      <c r="C76" s="33" t="n">
        <f aca="false">'Jun 2027'!F76</f>
        <v>0</v>
      </c>
      <c r="D76" s="33" t="n">
        <f aca="false">IF(B76="",0,N(Students!E65))</f>
        <v>0</v>
      </c>
      <c r="E76" s="23"/>
      <c r="F76" s="24" t="n">
        <f aca="false">N(C76)+N(D76)-N(E76)</f>
        <v>0</v>
      </c>
      <c r="G76" s="33" t="n">
        <f aca="false">'Jun 2027'!J76</f>
        <v>0</v>
      </c>
      <c r="H76" s="33" t="n">
        <f aca="false">IF(B76="",0,N(Students!F65))</f>
        <v>0</v>
      </c>
      <c r="I76" s="23"/>
      <c r="J76" s="24" t="n">
        <f aca="false">N(G76)+N(H76)-N(I76)</f>
        <v>0</v>
      </c>
      <c r="K76" s="33" t="n">
        <f aca="false">'Jun 2027'!N76</f>
        <v>0</v>
      </c>
      <c r="L76" s="33" t="n">
        <f aca="false">IF(B76="",0,N(Students!G65))</f>
        <v>0</v>
      </c>
      <c r="M76" s="23"/>
      <c r="N76" s="24" t="n">
        <f aca="false">N(K76)+N(L76)-N(M76)</f>
        <v>0</v>
      </c>
      <c r="O76" s="33" t="n">
        <f aca="false">'Jun 2027'!R76</f>
        <v>0</v>
      </c>
      <c r="P76" s="33" t="n">
        <f aca="false">IF(B76="",0,N(Students!H65))</f>
        <v>0</v>
      </c>
      <c r="Q76" s="23"/>
      <c r="R76" s="24" t="n">
        <f aca="false">N(O76)+N(P76)-N(Q76)</f>
        <v>0</v>
      </c>
      <c r="S76" s="33" t="n">
        <f aca="false">'Jun 2027'!V76</f>
        <v>0</v>
      </c>
      <c r="T76" s="33" t="n">
        <f aca="false">IF(B76="",0,N(Students!I65))</f>
        <v>0</v>
      </c>
      <c r="U76" s="23"/>
      <c r="V76" s="24" t="n">
        <f aca="false">N(S76)+N(T76)-N(U76)</f>
        <v>0</v>
      </c>
      <c r="W76" s="33" t="n">
        <f aca="false">'Jun 2027'!Z76</f>
        <v>0</v>
      </c>
      <c r="X76" s="33" t="n">
        <f aca="false">IF(B76="",0,N(Students!J65))</f>
        <v>0</v>
      </c>
      <c r="Y76" s="23"/>
      <c r="Z76" s="24" t="n">
        <f aca="false">N(W76)+N(X76)-N(Y76)</f>
        <v>0</v>
      </c>
      <c r="AA76" s="33" t="n">
        <f aca="false">N(E76)+N(I76)+N(M76)+N(Q76)+N(U76)+N(Y76)</f>
        <v>0</v>
      </c>
      <c r="AB76" s="24" t="n">
        <f aca="false">F76+J76+N76+R76+V76+Z76</f>
        <v>0</v>
      </c>
      <c r="AC76" s="81" t="str">
        <f aca="false">IF(B76="","",IF(AB76&lt;=0,"Clear",IF(AA76&gt;0,"Partial","Due")))</f>
        <v/>
      </c>
    </row>
    <row r="77" customFormat="false" ht="15" hidden="false" customHeight="false" outlineLevel="0" collapsed="false">
      <c r="A77" s="25" t="n">
        <v>62</v>
      </c>
      <c r="B77" s="82" t="str">
        <f aca="false">IF(Students!B66="","",Students!B66)</f>
        <v/>
      </c>
      <c r="C77" s="37" t="n">
        <f aca="false">'Jun 2027'!F77</f>
        <v>0</v>
      </c>
      <c r="D77" s="37" t="n">
        <f aca="false">IF(B77="",0,N(Students!E66))</f>
        <v>0</v>
      </c>
      <c r="E77" s="23"/>
      <c r="F77" s="26" t="n">
        <f aca="false">N(C77)+N(D77)-N(E77)</f>
        <v>0</v>
      </c>
      <c r="G77" s="37" t="n">
        <f aca="false">'Jun 2027'!J77</f>
        <v>0</v>
      </c>
      <c r="H77" s="37" t="n">
        <f aca="false">IF(B77="",0,N(Students!F66))</f>
        <v>0</v>
      </c>
      <c r="I77" s="23"/>
      <c r="J77" s="26" t="n">
        <f aca="false">N(G77)+N(H77)-N(I77)</f>
        <v>0</v>
      </c>
      <c r="K77" s="37" t="n">
        <f aca="false">'Jun 2027'!N77</f>
        <v>0</v>
      </c>
      <c r="L77" s="37" t="n">
        <f aca="false">IF(B77="",0,N(Students!G66))</f>
        <v>0</v>
      </c>
      <c r="M77" s="23"/>
      <c r="N77" s="26" t="n">
        <f aca="false">N(K77)+N(L77)-N(M77)</f>
        <v>0</v>
      </c>
      <c r="O77" s="37" t="n">
        <f aca="false">'Jun 2027'!R77</f>
        <v>0</v>
      </c>
      <c r="P77" s="37" t="n">
        <f aca="false">IF(B77="",0,N(Students!H66))</f>
        <v>0</v>
      </c>
      <c r="Q77" s="23"/>
      <c r="R77" s="26" t="n">
        <f aca="false">N(O77)+N(P77)-N(Q77)</f>
        <v>0</v>
      </c>
      <c r="S77" s="37" t="n">
        <f aca="false">'Jun 2027'!V77</f>
        <v>0</v>
      </c>
      <c r="T77" s="37" t="n">
        <f aca="false">IF(B77="",0,N(Students!I66))</f>
        <v>0</v>
      </c>
      <c r="U77" s="23"/>
      <c r="V77" s="26" t="n">
        <f aca="false">N(S77)+N(T77)-N(U77)</f>
        <v>0</v>
      </c>
      <c r="W77" s="37" t="n">
        <f aca="false">'Jun 2027'!Z77</f>
        <v>0</v>
      </c>
      <c r="X77" s="37" t="n">
        <f aca="false">IF(B77="",0,N(Students!J66))</f>
        <v>0</v>
      </c>
      <c r="Y77" s="23"/>
      <c r="Z77" s="26" t="n">
        <f aca="false">N(W77)+N(X77)-N(Y77)</f>
        <v>0</v>
      </c>
      <c r="AA77" s="37" t="n">
        <f aca="false">N(E77)+N(I77)+N(M77)+N(Q77)+N(U77)+N(Y77)</f>
        <v>0</v>
      </c>
      <c r="AB77" s="26" t="n">
        <f aca="false">F77+J77+N77+R77+V77+Z77</f>
        <v>0</v>
      </c>
      <c r="AC77" s="83" t="str">
        <f aca="false">IF(B77="","",IF(AB77&lt;=0,"Clear",IF(AA77&gt;0,"Partial","Due")))</f>
        <v/>
      </c>
    </row>
    <row r="78" customFormat="false" ht="15" hidden="false" customHeight="false" outlineLevel="0" collapsed="false">
      <c r="A78" s="21" t="n">
        <v>63</v>
      </c>
      <c r="B78" s="46" t="str">
        <f aca="false">IF(Students!B67="","",Students!B67)</f>
        <v/>
      </c>
      <c r="C78" s="33" t="n">
        <f aca="false">'Jun 2027'!F78</f>
        <v>0</v>
      </c>
      <c r="D78" s="33" t="n">
        <f aca="false">IF(B78="",0,N(Students!E67))</f>
        <v>0</v>
      </c>
      <c r="E78" s="23"/>
      <c r="F78" s="24" t="n">
        <f aca="false">N(C78)+N(D78)-N(E78)</f>
        <v>0</v>
      </c>
      <c r="G78" s="33" t="n">
        <f aca="false">'Jun 2027'!J78</f>
        <v>0</v>
      </c>
      <c r="H78" s="33" t="n">
        <f aca="false">IF(B78="",0,N(Students!F67))</f>
        <v>0</v>
      </c>
      <c r="I78" s="23"/>
      <c r="J78" s="24" t="n">
        <f aca="false">N(G78)+N(H78)-N(I78)</f>
        <v>0</v>
      </c>
      <c r="K78" s="33" t="n">
        <f aca="false">'Jun 2027'!N78</f>
        <v>0</v>
      </c>
      <c r="L78" s="33" t="n">
        <f aca="false">IF(B78="",0,N(Students!G67))</f>
        <v>0</v>
      </c>
      <c r="M78" s="23"/>
      <c r="N78" s="24" t="n">
        <f aca="false">N(K78)+N(L78)-N(M78)</f>
        <v>0</v>
      </c>
      <c r="O78" s="33" t="n">
        <f aca="false">'Jun 2027'!R78</f>
        <v>0</v>
      </c>
      <c r="P78" s="33" t="n">
        <f aca="false">IF(B78="",0,N(Students!H67))</f>
        <v>0</v>
      </c>
      <c r="Q78" s="23"/>
      <c r="R78" s="24" t="n">
        <f aca="false">N(O78)+N(P78)-N(Q78)</f>
        <v>0</v>
      </c>
      <c r="S78" s="33" t="n">
        <f aca="false">'Jun 2027'!V78</f>
        <v>0</v>
      </c>
      <c r="T78" s="33" t="n">
        <f aca="false">IF(B78="",0,N(Students!I67))</f>
        <v>0</v>
      </c>
      <c r="U78" s="23"/>
      <c r="V78" s="24" t="n">
        <f aca="false">N(S78)+N(T78)-N(U78)</f>
        <v>0</v>
      </c>
      <c r="W78" s="33" t="n">
        <f aca="false">'Jun 2027'!Z78</f>
        <v>0</v>
      </c>
      <c r="X78" s="33" t="n">
        <f aca="false">IF(B78="",0,N(Students!J67))</f>
        <v>0</v>
      </c>
      <c r="Y78" s="23"/>
      <c r="Z78" s="24" t="n">
        <f aca="false">N(W78)+N(X78)-N(Y78)</f>
        <v>0</v>
      </c>
      <c r="AA78" s="33" t="n">
        <f aca="false">N(E78)+N(I78)+N(M78)+N(Q78)+N(U78)+N(Y78)</f>
        <v>0</v>
      </c>
      <c r="AB78" s="24" t="n">
        <f aca="false">F78+J78+N78+R78+V78+Z78</f>
        <v>0</v>
      </c>
      <c r="AC78" s="81" t="str">
        <f aca="false">IF(B78="","",IF(AB78&lt;=0,"Clear",IF(AA78&gt;0,"Partial","Due")))</f>
        <v/>
      </c>
    </row>
    <row r="79" customFormat="false" ht="15" hidden="false" customHeight="false" outlineLevel="0" collapsed="false">
      <c r="A79" s="25" t="n">
        <v>64</v>
      </c>
      <c r="B79" s="82" t="str">
        <f aca="false">IF(Students!B68="","",Students!B68)</f>
        <v/>
      </c>
      <c r="C79" s="37" t="n">
        <f aca="false">'Jun 2027'!F79</f>
        <v>0</v>
      </c>
      <c r="D79" s="37" t="n">
        <f aca="false">IF(B79="",0,N(Students!E68))</f>
        <v>0</v>
      </c>
      <c r="E79" s="23"/>
      <c r="F79" s="26" t="n">
        <f aca="false">N(C79)+N(D79)-N(E79)</f>
        <v>0</v>
      </c>
      <c r="G79" s="37" t="n">
        <f aca="false">'Jun 2027'!J79</f>
        <v>0</v>
      </c>
      <c r="H79" s="37" t="n">
        <f aca="false">IF(B79="",0,N(Students!F68))</f>
        <v>0</v>
      </c>
      <c r="I79" s="23"/>
      <c r="J79" s="26" t="n">
        <f aca="false">N(G79)+N(H79)-N(I79)</f>
        <v>0</v>
      </c>
      <c r="K79" s="37" t="n">
        <f aca="false">'Jun 2027'!N79</f>
        <v>0</v>
      </c>
      <c r="L79" s="37" t="n">
        <f aca="false">IF(B79="",0,N(Students!G68))</f>
        <v>0</v>
      </c>
      <c r="M79" s="23"/>
      <c r="N79" s="26" t="n">
        <f aca="false">N(K79)+N(L79)-N(M79)</f>
        <v>0</v>
      </c>
      <c r="O79" s="37" t="n">
        <f aca="false">'Jun 2027'!R79</f>
        <v>0</v>
      </c>
      <c r="P79" s="37" t="n">
        <f aca="false">IF(B79="",0,N(Students!H68))</f>
        <v>0</v>
      </c>
      <c r="Q79" s="23"/>
      <c r="R79" s="26" t="n">
        <f aca="false">N(O79)+N(P79)-N(Q79)</f>
        <v>0</v>
      </c>
      <c r="S79" s="37" t="n">
        <f aca="false">'Jun 2027'!V79</f>
        <v>0</v>
      </c>
      <c r="T79" s="37" t="n">
        <f aca="false">IF(B79="",0,N(Students!I68))</f>
        <v>0</v>
      </c>
      <c r="U79" s="23"/>
      <c r="V79" s="26" t="n">
        <f aca="false">N(S79)+N(T79)-N(U79)</f>
        <v>0</v>
      </c>
      <c r="W79" s="37" t="n">
        <f aca="false">'Jun 2027'!Z79</f>
        <v>0</v>
      </c>
      <c r="X79" s="37" t="n">
        <f aca="false">IF(B79="",0,N(Students!J68))</f>
        <v>0</v>
      </c>
      <c r="Y79" s="23"/>
      <c r="Z79" s="26" t="n">
        <f aca="false">N(W79)+N(X79)-N(Y79)</f>
        <v>0</v>
      </c>
      <c r="AA79" s="37" t="n">
        <f aca="false">N(E79)+N(I79)+N(M79)+N(Q79)+N(U79)+N(Y79)</f>
        <v>0</v>
      </c>
      <c r="AB79" s="26" t="n">
        <f aca="false">F79+J79+N79+R79+V79+Z79</f>
        <v>0</v>
      </c>
      <c r="AC79" s="83" t="str">
        <f aca="false">IF(B79="","",IF(AB79&lt;=0,"Clear",IF(AA79&gt;0,"Partial","Due")))</f>
        <v/>
      </c>
    </row>
    <row r="80" customFormat="false" ht="15" hidden="false" customHeight="false" outlineLevel="0" collapsed="false">
      <c r="A80" s="21" t="n">
        <v>65</v>
      </c>
      <c r="B80" s="46" t="str">
        <f aca="false">IF(Students!B69="","",Students!B69)</f>
        <v/>
      </c>
      <c r="C80" s="33" t="n">
        <f aca="false">'Jun 2027'!F80</f>
        <v>0</v>
      </c>
      <c r="D80" s="33" t="n">
        <f aca="false">IF(B80="",0,N(Students!E69))</f>
        <v>0</v>
      </c>
      <c r="E80" s="23"/>
      <c r="F80" s="24" t="n">
        <f aca="false">N(C80)+N(D80)-N(E80)</f>
        <v>0</v>
      </c>
      <c r="G80" s="33" t="n">
        <f aca="false">'Jun 2027'!J80</f>
        <v>0</v>
      </c>
      <c r="H80" s="33" t="n">
        <f aca="false">IF(B80="",0,N(Students!F69))</f>
        <v>0</v>
      </c>
      <c r="I80" s="23"/>
      <c r="J80" s="24" t="n">
        <f aca="false">N(G80)+N(H80)-N(I80)</f>
        <v>0</v>
      </c>
      <c r="K80" s="33" t="n">
        <f aca="false">'Jun 2027'!N80</f>
        <v>0</v>
      </c>
      <c r="L80" s="33" t="n">
        <f aca="false">IF(B80="",0,N(Students!G69))</f>
        <v>0</v>
      </c>
      <c r="M80" s="23"/>
      <c r="N80" s="24" t="n">
        <f aca="false">N(K80)+N(L80)-N(M80)</f>
        <v>0</v>
      </c>
      <c r="O80" s="33" t="n">
        <f aca="false">'Jun 2027'!R80</f>
        <v>0</v>
      </c>
      <c r="P80" s="33" t="n">
        <f aca="false">IF(B80="",0,N(Students!H69))</f>
        <v>0</v>
      </c>
      <c r="Q80" s="23"/>
      <c r="R80" s="24" t="n">
        <f aca="false">N(O80)+N(P80)-N(Q80)</f>
        <v>0</v>
      </c>
      <c r="S80" s="33" t="n">
        <f aca="false">'Jun 2027'!V80</f>
        <v>0</v>
      </c>
      <c r="T80" s="33" t="n">
        <f aca="false">IF(B80="",0,N(Students!I69))</f>
        <v>0</v>
      </c>
      <c r="U80" s="23"/>
      <c r="V80" s="24" t="n">
        <f aca="false">N(S80)+N(T80)-N(U80)</f>
        <v>0</v>
      </c>
      <c r="W80" s="33" t="n">
        <f aca="false">'Jun 2027'!Z80</f>
        <v>0</v>
      </c>
      <c r="X80" s="33" t="n">
        <f aca="false">IF(B80="",0,N(Students!J69))</f>
        <v>0</v>
      </c>
      <c r="Y80" s="23"/>
      <c r="Z80" s="24" t="n">
        <f aca="false">N(W80)+N(X80)-N(Y80)</f>
        <v>0</v>
      </c>
      <c r="AA80" s="33" t="n">
        <f aca="false">N(E80)+N(I80)+N(M80)+N(Q80)+N(U80)+N(Y80)</f>
        <v>0</v>
      </c>
      <c r="AB80" s="24" t="n">
        <f aca="false">F80+J80+N80+R80+V80+Z80</f>
        <v>0</v>
      </c>
      <c r="AC80" s="81" t="str">
        <f aca="false">IF(B80="","",IF(AB80&lt;=0,"Clear",IF(AA80&gt;0,"Partial","Due")))</f>
        <v/>
      </c>
    </row>
    <row r="81" customFormat="false" ht="15" hidden="false" customHeight="false" outlineLevel="0" collapsed="false">
      <c r="A81" s="25" t="n">
        <v>66</v>
      </c>
      <c r="B81" s="82" t="str">
        <f aca="false">IF(Students!B70="","",Students!B70)</f>
        <v/>
      </c>
      <c r="C81" s="37" t="n">
        <f aca="false">'Jun 2027'!F81</f>
        <v>0</v>
      </c>
      <c r="D81" s="37" t="n">
        <f aca="false">IF(B81="",0,N(Students!E70))</f>
        <v>0</v>
      </c>
      <c r="E81" s="23"/>
      <c r="F81" s="26" t="n">
        <f aca="false">N(C81)+N(D81)-N(E81)</f>
        <v>0</v>
      </c>
      <c r="G81" s="37" t="n">
        <f aca="false">'Jun 2027'!J81</f>
        <v>0</v>
      </c>
      <c r="H81" s="37" t="n">
        <f aca="false">IF(B81="",0,N(Students!F70))</f>
        <v>0</v>
      </c>
      <c r="I81" s="23"/>
      <c r="J81" s="26" t="n">
        <f aca="false">N(G81)+N(H81)-N(I81)</f>
        <v>0</v>
      </c>
      <c r="K81" s="37" t="n">
        <f aca="false">'Jun 2027'!N81</f>
        <v>0</v>
      </c>
      <c r="L81" s="37" t="n">
        <f aca="false">IF(B81="",0,N(Students!G70))</f>
        <v>0</v>
      </c>
      <c r="M81" s="23"/>
      <c r="N81" s="26" t="n">
        <f aca="false">N(K81)+N(L81)-N(M81)</f>
        <v>0</v>
      </c>
      <c r="O81" s="37" t="n">
        <f aca="false">'Jun 2027'!R81</f>
        <v>0</v>
      </c>
      <c r="P81" s="37" t="n">
        <f aca="false">IF(B81="",0,N(Students!H70))</f>
        <v>0</v>
      </c>
      <c r="Q81" s="23"/>
      <c r="R81" s="26" t="n">
        <f aca="false">N(O81)+N(P81)-N(Q81)</f>
        <v>0</v>
      </c>
      <c r="S81" s="37" t="n">
        <f aca="false">'Jun 2027'!V81</f>
        <v>0</v>
      </c>
      <c r="T81" s="37" t="n">
        <f aca="false">IF(B81="",0,N(Students!I70))</f>
        <v>0</v>
      </c>
      <c r="U81" s="23"/>
      <c r="V81" s="26" t="n">
        <f aca="false">N(S81)+N(T81)-N(U81)</f>
        <v>0</v>
      </c>
      <c r="W81" s="37" t="n">
        <f aca="false">'Jun 2027'!Z81</f>
        <v>0</v>
      </c>
      <c r="X81" s="37" t="n">
        <f aca="false">IF(B81="",0,N(Students!J70))</f>
        <v>0</v>
      </c>
      <c r="Y81" s="23"/>
      <c r="Z81" s="26" t="n">
        <f aca="false">N(W81)+N(X81)-N(Y81)</f>
        <v>0</v>
      </c>
      <c r="AA81" s="37" t="n">
        <f aca="false">N(E81)+N(I81)+N(M81)+N(Q81)+N(U81)+N(Y81)</f>
        <v>0</v>
      </c>
      <c r="AB81" s="26" t="n">
        <f aca="false">F81+J81+N81+R81+V81+Z81</f>
        <v>0</v>
      </c>
      <c r="AC81" s="83" t="str">
        <f aca="false">IF(B81="","",IF(AB81&lt;=0,"Clear",IF(AA81&gt;0,"Partial","Due")))</f>
        <v/>
      </c>
    </row>
    <row r="82" customFormat="false" ht="15" hidden="false" customHeight="false" outlineLevel="0" collapsed="false">
      <c r="A82" s="21" t="n">
        <v>67</v>
      </c>
      <c r="B82" s="46" t="str">
        <f aca="false">IF(Students!B71="","",Students!B71)</f>
        <v/>
      </c>
      <c r="C82" s="33" t="n">
        <f aca="false">'Jun 2027'!F82</f>
        <v>0</v>
      </c>
      <c r="D82" s="33" t="n">
        <f aca="false">IF(B82="",0,N(Students!E71))</f>
        <v>0</v>
      </c>
      <c r="E82" s="23"/>
      <c r="F82" s="24" t="n">
        <f aca="false">N(C82)+N(D82)-N(E82)</f>
        <v>0</v>
      </c>
      <c r="G82" s="33" t="n">
        <f aca="false">'Jun 2027'!J82</f>
        <v>0</v>
      </c>
      <c r="H82" s="33" t="n">
        <f aca="false">IF(B82="",0,N(Students!F71))</f>
        <v>0</v>
      </c>
      <c r="I82" s="23"/>
      <c r="J82" s="24" t="n">
        <f aca="false">N(G82)+N(H82)-N(I82)</f>
        <v>0</v>
      </c>
      <c r="K82" s="33" t="n">
        <f aca="false">'Jun 2027'!N82</f>
        <v>0</v>
      </c>
      <c r="L82" s="33" t="n">
        <f aca="false">IF(B82="",0,N(Students!G71))</f>
        <v>0</v>
      </c>
      <c r="M82" s="23"/>
      <c r="N82" s="24" t="n">
        <f aca="false">N(K82)+N(L82)-N(M82)</f>
        <v>0</v>
      </c>
      <c r="O82" s="33" t="n">
        <f aca="false">'Jun 2027'!R82</f>
        <v>0</v>
      </c>
      <c r="P82" s="33" t="n">
        <f aca="false">IF(B82="",0,N(Students!H71))</f>
        <v>0</v>
      </c>
      <c r="Q82" s="23"/>
      <c r="R82" s="24" t="n">
        <f aca="false">N(O82)+N(P82)-N(Q82)</f>
        <v>0</v>
      </c>
      <c r="S82" s="33" t="n">
        <f aca="false">'Jun 2027'!V82</f>
        <v>0</v>
      </c>
      <c r="T82" s="33" t="n">
        <f aca="false">IF(B82="",0,N(Students!I71))</f>
        <v>0</v>
      </c>
      <c r="U82" s="23"/>
      <c r="V82" s="24" t="n">
        <f aca="false">N(S82)+N(T82)-N(U82)</f>
        <v>0</v>
      </c>
      <c r="W82" s="33" t="n">
        <f aca="false">'Jun 2027'!Z82</f>
        <v>0</v>
      </c>
      <c r="X82" s="33" t="n">
        <f aca="false">IF(B82="",0,N(Students!J71))</f>
        <v>0</v>
      </c>
      <c r="Y82" s="23"/>
      <c r="Z82" s="24" t="n">
        <f aca="false">N(W82)+N(X82)-N(Y82)</f>
        <v>0</v>
      </c>
      <c r="AA82" s="33" t="n">
        <f aca="false">N(E82)+N(I82)+N(M82)+N(Q82)+N(U82)+N(Y82)</f>
        <v>0</v>
      </c>
      <c r="AB82" s="24" t="n">
        <f aca="false">F82+J82+N82+R82+V82+Z82</f>
        <v>0</v>
      </c>
      <c r="AC82" s="81" t="str">
        <f aca="false">IF(B82="","",IF(AB82&lt;=0,"Clear",IF(AA82&gt;0,"Partial","Due")))</f>
        <v/>
      </c>
    </row>
    <row r="83" customFormat="false" ht="15" hidden="false" customHeight="false" outlineLevel="0" collapsed="false">
      <c r="A83" s="25" t="n">
        <v>68</v>
      </c>
      <c r="B83" s="82" t="str">
        <f aca="false">IF(Students!B72="","",Students!B72)</f>
        <v/>
      </c>
      <c r="C83" s="37" t="n">
        <f aca="false">'Jun 2027'!F83</f>
        <v>0</v>
      </c>
      <c r="D83" s="37" t="n">
        <f aca="false">IF(B83="",0,N(Students!E72))</f>
        <v>0</v>
      </c>
      <c r="E83" s="23"/>
      <c r="F83" s="26" t="n">
        <f aca="false">N(C83)+N(D83)-N(E83)</f>
        <v>0</v>
      </c>
      <c r="G83" s="37" t="n">
        <f aca="false">'Jun 2027'!J83</f>
        <v>0</v>
      </c>
      <c r="H83" s="37" t="n">
        <f aca="false">IF(B83="",0,N(Students!F72))</f>
        <v>0</v>
      </c>
      <c r="I83" s="23"/>
      <c r="J83" s="26" t="n">
        <f aca="false">N(G83)+N(H83)-N(I83)</f>
        <v>0</v>
      </c>
      <c r="K83" s="37" t="n">
        <f aca="false">'Jun 2027'!N83</f>
        <v>0</v>
      </c>
      <c r="L83" s="37" t="n">
        <f aca="false">IF(B83="",0,N(Students!G72))</f>
        <v>0</v>
      </c>
      <c r="M83" s="23"/>
      <c r="N83" s="26" t="n">
        <f aca="false">N(K83)+N(L83)-N(M83)</f>
        <v>0</v>
      </c>
      <c r="O83" s="37" t="n">
        <f aca="false">'Jun 2027'!R83</f>
        <v>0</v>
      </c>
      <c r="P83" s="37" t="n">
        <f aca="false">IF(B83="",0,N(Students!H72))</f>
        <v>0</v>
      </c>
      <c r="Q83" s="23"/>
      <c r="R83" s="26" t="n">
        <f aca="false">N(O83)+N(P83)-N(Q83)</f>
        <v>0</v>
      </c>
      <c r="S83" s="37" t="n">
        <f aca="false">'Jun 2027'!V83</f>
        <v>0</v>
      </c>
      <c r="T83" s="37" t="n">
        <f aca="false">IF(B83="",0,N(Students!I72))</f>
        <v>0</v>
      </c>
      <c r="U83" s="23"/>
      <c r="V83" s="26" t="n">
        <f aca="false">N(S83)+N(T83)-N(U83)</f>
        <v>0</v>
      </c>
      <c r="W83" s="37" t="n">
        <f aca="false">'Jun 2027'!Z83</f>
        <v>0</v>
      </c>
      <c r="X83" s="37" t="n">
        <f aca="false">IF(B83="",0,N(Students!J72))</f>
        <v>0</v>
      </c>
      <c r="Y83" s="23"/>
      <c r="Z83" s="26" t="n">
        <f aca="false">N(W83)+N(X83)-N(Y83)</f>
        <v>0</v>
      </c>
      <c r="AA83" s="37" t="n">
        <f aca="false">N(E83)+N(I83)+N(M83)+N(Q83)+N(U83)+N(Y83)</f>
        <v>0</v>
      </c>
      <c r="AB83" s="26" t="n">
        <f aca="false">F83+J83+N83+R83+V83+Z83</f>
        <v>0</v>
      </c>
      <c r="AC83" s="83" t="str">
        <f aca="false">IF(B83="","",IF(AB83&lt;=0,"Clear",IF(AA83&gt;0,"Partial","Due")))</f>
        <v/>
      </c>
    </row>
    <row r="84" customFormat="false" ht="15" hidden="false" customHeight="false" outlineLevel="0" collapsed="false">
      <c r="A84" s="21" t="n">
        <v>69</v>
      </c>
      <c r="B84" s="46" t="str">
        <f aca="false">IF(Students!B73="","",Students!B73)</f>
        <v/>
      </c>
      <c r="C84" s="33" t="n">
        <f aca="false">'Jun 2027'!F84</f>
        <v>0</v>
      </c>
      <c r="D84" s="33" t="n">
        <f aca="false">IF(B84="",0,N(Students!E73))</f>
        <v>0</v>
      </c>
      <c r="E84" s="23"/>
      <c r="F84" s="24" t="n">
        <f aca="false">N(C84)+N(D84)-N(E84)</f>
        <v>0</v>
      </c>
      <c r="G84" s="33" t="n">
        <f aca="false">'Jun 2027'!J84</f>
        <v>0</v>
      </c>
      <c r="H84" s="33" t="n">
        <f aca="false">IF(B84="",0,N(Students!F73))</f>
        <v>0</v>
      </c>
      <c r="I84" s="23"/>
      <c r="J84" s="24" t="n">
        <f aca="false">N(G84)+N(H84)-N(I84)</f>
        <v>0</v>
      </c>
      <c r="K84" s="33" t="n">
        <f aca="false">'Jun 2027'!N84</f>
        <v>0</v>
      </c>
      <c r="L84" s="33" t="n">
        <f aca="false">IF(B84="",0,N(Students!G73))</f>
        <v>0</v>
      </c>
      <c r="M84" s="23"/>
      <c r="N84" s="24" t="n">
        <f aca="false">N(K84)+N(L84)-N(M84)</f>
        <v>0</v>
      </c>
      <c r="O84" s="33" t="n">
        <f aca="false">'Jun 2027'!R84</f>
        <v>0</v>
      </c>
      <c r="P84" s="33" t="n">
        <f aca="false">IF(B84="",0,N(Students!H73))</f>
        <v>0</v>
      </c>
      <c r="Q84" s="23"/>
      <c r="R84" s="24" t="n">
        <f aca="false">N(O84)+N(P84)-N(Q84)</f>
        <v>0</v>
      </c>
      <c r="S84" s="33" t="n">
        <f aca="false">'Jun 2027'!V84</f>
        <v>0</v>
      </c>
      <c r="T84" s="33" t="n">
        <f aca="false">IF(B84="",0,N(Students!I73))</f>
        <v>0</v>
      </c>
      <c r="U84" s="23"/>
      <c r="V84" s="24" t="n">
        <f aca="false">N(S84)+N(T84)-N(U84)</f>
        <v>0</v>
      </c>
      <c r="W84" s="33" t="n">
        <f aca="false">'Jun 2027'!Z84</f>
        <v>0</v>
      </c>
      <c r="X84" s="33" t="n">
        <f aca="false">IF(B84="",0,N(Students!J73))</f>
        <v>0</v>
      </c>
      <c r="Y84" s="23"/>
      <c r="Z84" s="24" t="n">
        <f aca="false">N(W84)+N(X84)-N(Y84)</f>
        <v>0</v>
      </c>
      <c r="AA84" s="33" t="n">
        <f aca="false">N(E84)+N(I84)+N(M84)+N(Q84)+N(U84)+N(Y84)</f>
        <v>0</v>
      </c>
      <c r="AB84" s="24" t="n">
        <f aca="false">F84+J84+N84+R84+V84+Z84</f>
        <v>0</v>
      </c>
      <c r="AC84" s="81" t="str">
        <f aca="false">IF(B84="","",IF(AB84&lt;=0,"Clear",IF(AA84&gt;0,"Partial","Due")))</f>
        <v/>
      </c>
    </row>
    <row r="85" customFormat="false" ht="15" hidden="false" customHeight="false" outlineLevel="0" collapsed="false">
      <c r="A85" s="25" t="n">
        <v>70</v>
      </c>
      <c r="B85" s="82" t="str">
        <f aca="false">IF(Students!B74="","",Students!B74)</f>
        <v/>
      </c>
      <c r="C85" s="37" t="n">
        <f aca="false">'Jun 2027'!F85</f>
        <v>0</v>
      </c>
      <c r="D85" s="37" t="n">
        <f aca="false">IF(B85="",0,N(Students!E74))</f>
        <v>0</v>
      </c>
      <c r="E85" s="23"/>
      <c r="F85" s="26" t="n">
        <f aca="false">N(C85)+N(D85)-N(E85)</f>
        <v>0</v>
      </c>
      <c r="G85" s="37" t="n">
        <f aca="false">'Jun 2027'!J85</f>
        <v>0</v>
      </c>
      <c r="H85" s="37" t="n">
        <f aca="false">IF(B85="",0,N(Students!F74))</f>
        <v>0</v>
      </c>
      <c r="I85" s="23"/>
      <c r="J85" s="26" t="n">
        <f aca="false">N(G85)+N(H85)-N(I85)</f>
        <v>0</v>
      </c>
      <c r="K85" s="37" t="n">
        <f aca="false">'Jun 2027'!N85</f>
        <v>0</v>
      </c>
      <c r="L85" s="37" t="n">
        <f aca="false">IF(B85="",0,N(Students!G74))</f>
        <v>0</v>
      </c>
      <c r="M85" s="23"/>
      <c r="N85" s="26" t="n">
        <f aca="false">N(K85)+N(L85)-N(M85)</f>
        <v>0</v>
      </c>
      <c r="O85" s="37" t="n">
        <f aca="false">'Jun 2027'!R85</f>
        <v>0</v>
      </c>
      <c r="P85" s="37" t="n">
        <f aca="false">IF(B85="",0,N(Students!H74))</f>
        <v>0</v>
      </c>
      <c r="Q85" s="23"/>
      <c r="R85" s="26" t="n">
        <f aca="false">N(O85)+N(P85)-N(Q85)</f>
        <v>0</v>
      </c>
      <c r="S85" s="37" t="n">
        <f aca="false">'Jun 2027'!V85</f>
        <v>0</v>
      </c>
      <c r="T85" s="37" t="n">
        <f aca="false">IF(B85="",0,N(Students!I74))</f>
        <v>0</v>
      </c>
      <c r="U85" s="23"/>
      <c r="V85" s="26" t="n">
        <f aca="false">N(S85)+N(T85)-N(U85)</f>
        <v>0</v>
      </c>
      <c r="W85" s="37" t="n">
        <f aca="false">'Jun 2027'!Z85</f>
        <v>0</v>
      </c>
      <c r="X85" s="37" t="n">
        <f aca="false">IF(B85="",0,N(Students!J74))</f>
        <v>0</v>
      </c>
      <c r="Y85" s="23"/>
      <c r="Z85" s="26" t="n">
        <f aca="false">N(W85)+N(X85)-N(Y85)</f>
        <v>0</v>
      </c>
      <c r="AA85" s="37" t="n">
        <f aca="false">N(E85)+N(I85)+N(M85)+N(Q85)+N(U85)+N(Y85)</f>
        <v>0</v>
      </c>
      <c r="AB85" s="26" t="n">
        <f aca="false">F85+J85+N85+R85+V85+Z85</f>
        <v>0</v>
      </c>
      <c r="AC85" s="83" t="str">
        <f aca="false">IF(B85="","",IF(AB85&lt;=0,"Clear",IF(AA85&gt;0,"Partial","Due")))</f>
        <v/>
      </c>
    </row>
    <row r="86" customFormat="false" ht="15" hidden="false" customHeight="false" outlineLevel="0" collapsed="false">
      <c r="A86" s="21" t="n">
        <v>71</v>
      </c>
      <c r="B86" s="46" t="str">
        <f aca="false">IF(Students!B75="","",Students!B75)</f>
        <v/>
      </c>
      <c r="C86" s="33" t="n">
        <f aca="false">'Jun 2027'!F86</f>
        <v>0</v>
      </c>
      <c r="D86" s="33" t="n">
        <f aca="false">IF(B86="",0,N(Students!E75))</f>
        <v>0</v>
      </c>
      <c r="E86" s="23"/>
      <c r="F86" s="24" t="n">
        <f aca="false">N(C86)+N(D86)-N(E86)</f>
        <v>0</v>
      </c>
      <c r="G86" s="33" t="n">
        <f aca="false">'Jun 2027'!J86</f>
        <v>0</v>
      </c>
      <c r="H86" s="33" t="n">
        <f aca="false">IF(B86="",0,N(Students!F75))</f>
        <v>0</v>
      </c>
      <c r="I86" s="23"/>
      <c r="J86" s="24" t="n">
        <f aca="false">N(G86)+N(H86)-N(I86)</f>
        <v>0</v>
      </c>
      <c r="K86" s="33" t="n">
        <f aca="false">'Jun 2027'!N86</f>
        <v>0</v>
      </c>
      <c r="L86" s="33" t="n">
        <f aca="false">IF(B86="",0,N(Students!G75))</f>
        <v>0</v>
      </c>
      <c r="M86" s="23"/>
      <c r="N86" s="24" t="n">
        <f aca="false">N(K86)+N(L86)-N(M86)</f>
        <v>0</v>
      </c>
      <c r="O86" s="33" t="n">
        <f aca="false">'Jun 2027'!R86</f>
        <v>0</v>
      </c>
      <c r="P86" s="33" t="n">
        <f aca="false">IF(B86="",0,N(Students!H75))</f>
        <v>0</v>
      </c>
      <c r="Q86" s="23"/>
      <c r="R86" s="24" t="n">
        <f aca="false">N(O86)+N(P86)-N(Q86)</f>
        <v>0</v>
      </c>
      <c r="S86" s="33" t="n">
        <f aca="false">'Jun 2027'!V86</f>
        <v>0</v>
      </c>
      <c r="T86" s="33" t="n">
        <f aca="false">IF(B86="",0,N(Students!I75))</f>
        <v>0</v>
      </c>
      <c r="U86" s="23"/>
      <c r="V86" s="24" t="n">
        <f aca="false">N(S86)+N(T86)-N(U86)</f>
        <v>0</v>
      </c>
      <c r="W86" s="33" t="n">
        <f aca="false">'Jun 2027'!Z86</f>
        <v>0</v>
      </c>
      <c r="X86" s="33" t="n">
        <f aca="false">IF(B86="",0,N(Students!J75))</f>
        <v>0</v>
      </c>
      <c r="Y86" s="23"/>
      <c r="Z86" s="24" t="n">
        <f aca="false">N(W86)+N(X86)-N(Y86)</f>
        <v>0</v>
      </c>
      <c r="AA86" s="33" t="n">
        <f aca="false">N(E86)+N(I86)+N(M86)+N(Q86)+N(U86)+N(Y86)</f>
        <v>0</v>
      </c>
      <c r="AB86" s="24" t="n">
        <f aca="false">F86+J86+N86+R86+V86+Z86</f>
        <v>0</v>
      </c>
      <c r="AC86" s="81" t="str">
        <f aca="false">IF(B86="","",IF(AB86&lt;=0,"Clear",IF(AA86&gt;0,"Partial","Due")))</f>
        <v/>
      </c>
    </row>
    <row r="87" customFormat="false" ht="15" hidden="false" customHeight="false" outlineLevel="0" collapsed="false">
      <c r="A87" s="25" t="n">
        <v>72</v>
      </c>
      <c r="B87" s="82" t="str">
        <f aca="false">IF(Students!B76="","",Students!B76)</f>
        <v/>
      </c>
      <c r="C87" s="37" t="n">
        <f aca="false">'Jun 2027'!F87</f>
        <v>0</v>
      </c>
      <c r="D87" s="37" t="n">
        <f aca="false">IF(B87="",0,N(Students!E76))</f>
        <v>0</v>
      </c>
      <c r="E87" s="23"/>
      <c r="F87" s="26" t="n">
        <f aca="false">N(C87)+N(D87)-N(E87)</f>
        <v>0</v>
      </c>
      <c r="G87" s="37" t="n">
        <f aca="false">'Jun 2027'!J87</f>
        <v>0</v>
      </c>
      <c r="H87" s="37" t="n">
        <f aca="false">IF(B87="",0,N(Students!F76))</f>
        <v>0</v>
      </c>
      <c r="I87" s="23"/>
      <c r="J87" s="26" t="n">
        <f aca="false">N(G87)+N(H87)-N(I87)</f>
        <v>0</v>
      </c>
      <c r="K87" s="37" t="n">
        <f aca="false">'Jun 2027'!N87</f>
        <v>0</v>
      </c>
      <c r="L87" s="37" t="n">
        <f aca="false">IF(B87="",0,N(Students!G76))</f>
        <v>0</v>
      </c>
      <c r="M87" s="23"/>
      <c r="N87" s="26" t="n">
        <f aca="false">N(K87)+N(L87)-N(M87)</f>
        <v>0</v>
      </c>
      <c r="O87" s="37" t="n">
        <f aca="false">'Jun 2027'!R87</f>
        <v>0</v>
      </c>
      <c r="P87" s="37" t="n">
        <f aca="false">IF(B87="",0,N(Students!H76))</f>
        <v>0</v>
      </c>
      <c r="Q87" s="23"/>
      <c r="R87" s="26" t="n">
        <f aca="false">N(O87)+N(P87)-N(Q87)</f>
        <v>0</v>
      </c>
      <c r="S87" s="37" t="n">
        <f aca="false">'Jun 2027'!V87</f>
        <v>0</v>
      </c>
      <c r="T87" s="37" t="n">
        <f aca="false">IF(B87="",0,N(Students!I76))</f>
        <v>0</v>
      </c>
      <c r="U87" s="23"/>
      <c r="V87" s="26" t="n">
        <f aca="false">N(S87)+N(T87)-N(U87)</f>
        <v>0</v>
      </c>
      <c r="W87" s="37" t="n">
        <f aca="false">'Jun 2027'!Z87</f>
        <v>0</v>
      </c>
      <c r="X87" s="37" t="n">
        <f aca="false">IF(B87="",0,N(Students!J76))</f>
        <v>0</v>
      </c>
      <c r="Y87" s="23"/>
      <c r="Z87" s="26" t="n">
        <f aca="false">N(W87)+N(X87)-N(Y87)</f>
        <v>0</v>
      </c>
      <c r="AA87" s="37" t="n">
        <f aca="false">N(E87)+N(I87)+N(M87)+N(Q87)+N(U87)+N(Y87)</f>
        <v>0</v>
      </c>
      <c r="AB87" s="26" t="n">
        <f aca="false">F87+J87+N87+R87+V87+Z87</f>
        <v>0</v>
      </c>
      <c r="AC87" s="83" t="str">
        <f aca="false">IF(B87="","",IF(AB87&lt;=0,"Clear",IF(AA87&gt;0,"Partial","Due")))</f>
        <v/>
      </c>
    </row>
    <row r="88" customFormat="false" ht="15" hidden="false" customHeight="false" outlineLevel="0" collapsed="false">
      <c r="A88" s="21" t="n">
        <v>73</v>
      </c>
      <c r="B88" s="46" t="str">
        <f aca="false">IF(Students!B77="","",Students!B77)</f>
        <v/>
      </c>
      <c r="C88" s="33" t="n">
        <f aca="false">'Jun 2027'!F88</f>
        <v>0</v>
      </c>
      <c r="D88" s="33" t="n">
        <f aca="false">IF(B88="",0,N(Students!E77))</f>
        <v>0</v>
      </c>
      <c r="E88" s="23"/>
      <c r="F88" s="24" t="n">
        <f aca="false">N(C88)+N(D88)-N(E88)</f>
        <v>0</v>
      </c>
      <c r="G88" s="33" t="n">
        <f aca="false">'Jun 2027'!J88</f>
        <v>0</v>
      </c>
      <c r="H88" s="33" t="n">
        <f aca="false">IF(B88="",0,N(Students!F77))</f>
        <v>0</v>
      </c>
      <c r="I88" s="23"/>
      <c r="J88" s="24" t="n">
        <f aca="false">N(G88)+N(H88)-N(I88)</f>
        <v>0</v>
      </c>
      <c r="K88" s="33" t="n">
        <f aca="false">'Jun 2027'!N88</f>
        <v>0</v>
      </c>
      <c r="L88" s="33" t="n">
        <f aca="false">IF(B88="",0,N(Students!G77))</f>
        <v>0</v>
      </c>
      <c r="M88" s="23"/>
      <c r="N88" s="24" t="n">
        <f aca="false">N(K88)+N(L88)-N(M88)</f>
        <v>0</v>
      </c>
      <c r="O88" s="33" t="n">
        <f aca="false">'Jun 2027'!R88</f>
        <v>0</v>
      </c>
      <c r="P88" s="33" t="n">
        <f aca="false">IF(B88="",0,N(Students!H77))</f>
        <v>0</v>
      </c>
      <c r="Q88" s="23"/>
      <c r="R88" s="24" t="n">
        <f aca="false">N(O88)+N(P88)-N(Q88)</f>
        <v>0</v>
      </c>
      <c r="S88" s="33" t="n">
        <f aca="false">'Jun 2027'!V88</f>
        <v>0</v>
      </c>
      <c r="T88" s="33" t="n">
        <f aca="false">IF(B88="",0,N(Students!I77))</f>
        <v>0</v>
      </c>
      <c r="U88" s="23"/>
      <c r="V88" s="24" t="n">
        <f aca="false">N(S88)+N(T88)-N(U88)</f>
        <v>0</v>
      </c>
      <c r="W88" s="33" t="n">
        <f aca="false">'Jun 2027'!Z88</f>
        <v>0</v>
      </c>
      <c r="X88" s="33" t="n">
        <f aca="false">IF(B88="",0,N(Students!J77))</f>
        <v>0</v>
      </c>
      <c r="Y88" s="23"/>
      <c r="Z88" s="24" t="n">
        <f aca="false">N(W88)+N(X88)-N(Y88)</f>
        <v>0</v>
      </c>
      <c r="AA88" s="33" t="n">
        <f aca="false">N(E88)+N(I88)+N(M88)+N(Q88)+N(U88)+N(Y88)</f>
        <v>0</v>
      </c>
      <c r="AB88" s="24" t="n">
        <f aca="false">F88+J88+N88+R88+V88+Z88</f>
        <v>0</v>
      </c>
      <c r="AC88" s="81" t="str">
        <f aca="false">IF(B88="","",IF(AB88&lt;=0,"Clear",IF(AA88&gt;0,"Partial","Due")))</f>
        <v/>
      </c>
    </row>
    <row r="89" customFormat="false" ht="15" hidden="false" customHeight="false" outlineLevel="0" collapsed="false">
      <c r="A89" s="25" t="n">
        <v>74</v>
      </c>
      <c r="B89" s="82" t="str">
        <f aca="false">IF(Students!B78="","",Students!B78)</f>
        <v/>
      </c>
      <c r="C89" s="37" t="n">
        <f aca="false">'Jun 2027'!F89</f>
        <v>0</v>
      </c>
      <c r="D89" s="37" t="n">
        <f aca="false">IF(B89="",0,N(Students!E78))</f>
        <v>0</v>
      </c>
      <c r="E89" s="23"/>
      <c r="F89" s="26" t="n">
        <f aca="false">N(C89)+N(D89)-N(E89)</f>
        <v>0</v>
      </c>
      <c r="G89" s="37" t="n">
        <f aca="false">'Jun 2027'!J89</f>
        <v>0</v>
      </c>
      <c r="H89" s="37" t="n">
        <f aca="false">IF(B89="",0,N(Students!F78))</f>
        <v>0</v>
      </c>
      <c r="I89" s="23"/>
      <c r="J89" s="26" t="n">
        <f aca="false">N(G89)+N(H89)-N(I89)</f>
        <v>0</v>
      </c>
      <c r="K89" s="37" t="n">
        <f aca="false">'Jun 2027'!N89</f>
        <v>0</v>
      </c>
      <c r="L89" s="37" t="n">
        <f aca="false">IF(B89="",0,N(Students!G78))</f>
        <v>0</v>
      </c>
      <c r="M89" s="23"/>
      <c r="N89" s="26" t="n">
        <f aca="false">N(K89)+N(L89)-N(M89)</f>
        <v>0</v>
      </c>
      <c r="O89" s="37" t="n">
        <f aca="false">'Jun 2027'!R89</f>
        <v>0</v>
      </c>
      <c r="P89" s="37" t="n">
        <f aca="false">IF(B89="",0,N(Students!H78))</f>
        <v>0</v>
      </c>
      <c r="Q89" s="23"/>
      <c r="R89" s="26" t="n">
        <f aca="false">N(O89)+N(P89)-N(Q89)</f>
        <v>0</v>
      </c>
      <c r="S89" s="37" t="n">
        <f aca="false">'Jun 2027'!V89</f>
        <v>0</v>
      </c>
      <c r="T89" s="37" t="n">
        <f aca="false">IF(B89="",0,N(Students!I78))</f>
        <v>0</v>
      </c>
      <c r="U89" s="23"/>
      <c r="V89" s="26" t="n">
        <f aca="false">N(S89)+N(T89)-N(U89)</f>
        <v>0</v>
      </c>
      <c r="W89" s="37" t="n">
        <f aca="false">'Jun 2027'!Z89</f>
        <v>0</v>
      </c>
      <c r="X89" s="37" t="n">
        <f aca="false">IF(B89="",0,N(Students!J78))</f>
        <v>0</v>
      </c>
      <c r="Y89" s="23"/>
      <c r="Z89" s="26" t="n">
        <f aca="false">N(W89)+N(X89)-N(Y89)</f>
        <v>0</v>
      </c>
      <c r="AA89" s="37" t="n">
        <f aca="false">N(E89)+N(I89)+N(M89)+N(Q89)+N(U89)+N(Y89)</f>
        <v>0</v>
      </c>
      <c r="AB89" s="26" t="n">
        <f aca="false">F89+J89+N89+R89+V89+Z89</f>
        <v>0</v>
      </c>
      <c r="AC89" s="83" t="str">
        <f aca="false">IF(B89="","",IF(AB89&lt;=0,"Clear",IF(AA89&gt;0,"Partial","Due")))</f>
        <v/>
      </c>
    </row>
    <row r="90" customFormat="false" ht="15" hidden="false" customHeight="false" outlineLevel="0" collapsed="false">
      <c r="A90" s="21" t="n">
        <v>75</v>
      </c>
      <c r="B90" s="46" t="str">
        <f aca="false">IF(Students!B79="","",Students!B79)</f>
        <v/>
      </c>
      <c r="C90" s="33" t="n">
        <f aca="false">'Jun 2027'!F90</f>
        <v>0</v>
      </c>
      <c r="D90" s="33" t="n">
        <f aca="false">IF(B90="",0,N(Students!E79))</f>
        <v>0</v>
      </c>
      <c r="E90" s="23"/>
      <c r="F90" s="24" t="n">
        <f aca="false">N(C90)+N(D90)-N(E90)</f>
        <v>0</v>
      </c>
      <c r="G90" s="33" t="n">
        <f aca="false">'Jun 2027'!J90</f>
        <v>0</v>
      </c>
      <c r="H90" s="33" t="n">
        <f aca="false">IF(B90="",0,N(Students!F79))</f>
        <v>0</v>
      </c>
      <c r="I90" s="23"/>
      <c r="J90" s="24" t="n">
        <f aca="false">N(G90)+N(H90)-N(I90)</f>
        <v>0</v>
      </c>
      <c r="K90" s="33" t="n">
        <f aca="false">'Jun 2027'!N90</f>
        <v>0</v>
      </c>
      <c r="L90" s="33" t="n">
        <f aca="false">IF(B90="",0,N(Students!G79))</f>
        <v>0</v>
      </c>
      <c r="M90" s="23"/>
      <c r="N90" s="24" t="n">
        <f aca="false">N(K90)+N(L90)-N(M90)</f>
        <v>0</v>
      </c>
      <c r="O90" s="33" t="n">
        <f aca="false">'Jun 2027'!R90</f>
        <v>0</v>
      </c>
      <c r="P90" s="33" t="n">
        <f aca="false">IF(B90="",0,N(Students!H79))</f>
        <v>0</v>
      </c>
      <c r="Q90" s="23"/>
      <c r="R90" s="24" t="n">
        <f aca="false">N(O90)+N(P90)-N(Q90)</f>
        <v>0</v>
      </c>
      <c r="S90" s="33" t="n">
        <f aca="false">'Jun 2027'!V90</f>
        <v>0</v>
      </c>
      <c r="T90" s="33" t="n">
        <f aca="false">IF(B90="",0,N(Students!I79))</f>
        <v>0</v>
      </c>
      <c r="U90" s="23"/>
      <c r="V90" s="24" t="n">
        <f aca="false">N(S90)+N(T90)-N(U90)</f>
        <v>0</v>
      </c>
      <c r="W90" s="33" t="n">
        <f aca="false">'Jun 2027'!Z90</f>
        <v>0</v>
      </c>
      <c r="X90" s="33" t="n">
        <f aca="false">IF(B90="",0,N(Students!J79))</f>
        <v>0</v>
      </c>
      <c r="Y90" s="23"/>
      <c r="Z90" s="24" t="n">
        <f aca="false">N(W90)+N(X90)-N(Y90)</f>
        <v>0</v>
      </c>
      <c r="AA90" s="33" t="n">
        <f aca="false">N(E90)+N(I90)+N(M90)+N(Q90)+N(U90)+N(Y90)</f>
        <v>0</v>
      </c>
      <c r="AB90" s="24" t="n">
        <f aca="false">F90+J90+N90+R90+V90+Z90</f>
        <v>0</v>
      </c>
      <c r="AC90" s="81" t="str">
        <f aca="false">IF(B90="","",IF(AB90&lt;=0,"Clear",IF(AA90&gt;0,"Partial","Due")))</f>
        <v/>
      </c>
    </row>
    <row r="91" customFormat="false" ht="15" hidden="false" customHeight="false" outlineLevel="0" collapsed="false">
      <c r="A91" s="25" t="n">
        <v>76</v>
      </c>
      <c r="B91" s="82" t="str">
        <f aca="false">IF(Students!B80="","",Students!B80)</f>
        <v/>
      </c>
      <c r="C91" s="37" t="n">
        <f aca="false">'Jun 2027'!F91</f>
        <v>0</v>
      </c>
      <c r="D91" s="37" t="n">
        <f aca="false">IF(B91="",0,N(Students!E80))</f>
        <v>0</v>
      </c>
      <c r="E91" s="23"/>
      <c r="F91" s="26" t="n">
        <f aca="false">N(C91)+N(D91)-N(E91)</f>
        <v>0</v>
      </c>
      <c r="G91" s="37" t="n">
        <f aca="false">'Jun 2027'!J91</f>
        <v>0</v>
      </c>
      <c r="H91" s="37" t="n">
        <f aca="false">IF(B91="",0,N(Students!F80))</f>
        <v>0</v>
      </c>
      <c r="I91" s="23"/>
      <c r="J91" s="26" t="n">
        <f aca="false">N(G91)+N(H91)-N(I91)</f>
        <v>0</v>
      </c>
      <c r="K91" s="37" t="n">
        <f aca="false">'Jun 2027'!N91</f>
        <v>0</v>
      </c>
      <c r="L91" s="37" t="n">
        <f aca="false">IF(B91="",0,N(Students!G80))</f>
        <v>0</v>
      </c>
      <c r="M91" s="23"/>
      <c r="N91" s="26" t="n">
        <f aca="false">N(K91)+N(L91)-N(M91)</f>
        <v>0</v>
      </c>
      <c r="O91" s="37" t="n">
        <f aca="false">'Jun 2027'!R91</f>
        <v>0</v>
      </c>
      <c r="P91" s="37" t="n">
        <f aca="false">IF(B91="",0,N(Students!H80))</f>
        <v>0</v>
      </c>
      <c r="Q91" s="23"/>
      <c r="R91" s="26" t="n">
        <f aca="false">N(O91)+N(P91)-N(Q91)</f>
        <v>0</v>
      </c>
      <c r="S91" s="37" t="n">
        <f aca="false">'Jun 2027'!V91</f>
        <v>0</v>
      </c>
      <c r="T91" s="37" t="n">
        <f aca="false">IF(B91="",0,N(Students!I80))</f>
        <v>0</v>
      </c>
      <c r="U91" s="23"/>
      <c r="V91" s="26" t="n">
        <f aca="false">N(S91)+N(T91)-N(U91)</f>
        <v>0</v>
      </c>
      <c r="W91" s="37" t="n">
        <f aca="false">'Jun 2027'!Z91</f>
        <v>0</v>
      </c>
      <c r="X91" s="37" t="n">
        <f aca="false">IF(B91="",0,N(Students!J80))</f>
        <v>0</v>
      </c>
      <c r="Y91" s="23"/>
      <c r="Z91" s="26" t="n">
        <f aca="false">N(W91)+N(X91)-N(Y91)</f>
        <v>0</v>
      </c>
      <c r="AA91" s="37" t="n">
        <f aca="false">N(E91)+N(I91)+N(M91)+N(Q91)+N(U91)+N(Y91)</f>
        <v>0</v>
      </c>
      <c r="AB91" s="26" t="n">
        <f aca="false">F91+J91+N91+R91+V91+Z91</f>
        <v>0</v>
      </c>
      <c r="AC91" s="83" t="str">
        <f aca="false">IF(B91="","",IF(AB91&lt;=0,"Clear",IF(AA91&gt;0,"Partial","Due")))</f>
        <v/>
      </c>
    </row>
    <row r="92" customFormat="false" ht="15" hidden="false" customHeight="false" outlineLevel="0" collapsed="false">
      <c r="A92" s="21" t="n">
        <v>77</v>
      </c>
      <c r="B92" s="46" t="str">
        <f aca="false">IF(Students!B81="","",Students!B81)</f>
        <v/>
      </c>
      <c r="C92" s="33" t="n">
        <f aca="false">'Jun 2027'!F92</f>
        <v>0</v>
      </c>
      <c r="D92" s="33" t="n">
        <f aca="false">IF(B92="",0,N(Students!E81))</f>
        <v>0</v>
      </c>
      <c r="E92" s="23"/>
      <c r="F92" s="24" t="n">
        <f aca="false">N(C92)+N(D92)-N(E92)</f>
        <v>0</v>
      </c>
      <c r="G92" s="33" t="n">
        <f aca="false">'Jun 2027'!J92</f>
        <v>0</v>
      </c>
      <c r="H92" s="33" t="n">
        <f aca="false">IF(B92="",0,N(Students!F81))</f>
        <v>0</v>
      </c>
      <c r="I92" s="23"/>
      <c r="J92" s="24" t="n">
        <f aca="false">N(G92)+N(H92)-N(I92)</f>
        <v>0</v>
      </c>
      <c r="K92" s="33" t="n">
        <f aca="false">'Jun 2027'!N92</f>
        <v>0</v>
      </c>
      <c r="L92" s="33" t="n">
        <f aca="false">IF(B92="",0,N(Students!G81))</f>
        <v>0</v>
      </c>
      <c r="M92" s="23"/>
      <c r="N92" s="24" t="n">
        <f aca="false">N(K92)+N(L92)-N(M92)</f>
        <v>0</v>
      </c>
      <c r="O92" s="33" t="n">
        <f aca="false">'Jun 2027'!R92</f>
        <v>0</v>
      </c>
      <c r="P92" s="33" t="n">
        <f aca="false">IF(B92="",0,N(Students!H81))</f>
        <v>0</v>
      </c>
      <c r="Q92" s="23"/>
      <c r="R92" s="24" t="n">
        <f aca="false">N(O92)+N(P92)-N(Q92)</f>
        <v>0</v>
      </c>
      <c r="S92" s="33" t="n">
        <f aca="false">'Jun 2027'!V92</f>
        <v>0</v>
      </c>
      <c r="T92" s="33" t="n">
        <f aca="false">IF(B92="",0,N(Students!I81))</f>
        <v>0</v>
      </c>
      <c r="U92" s="23"/>
      <c r="V92" s="24" t="n">
        <f aca="false">N(S92)+N(T92)-N(U92)</f>
        <v>0</v>
      </c>
      <c r="W92" s="33" t="n">
        <f aca="false">'Jun 2027'!Z92</f>
        <v>0</v>
      </c>
      <c r="X92" s="33" t="n">
        <f aca="false">IF(B92="",0,N(Students!J81))</f>
        <v>0</v>
      </c>
      <c r="Y92" s="23"/>
      <c r="Z92" s="24" t="n">
        <f aca="false">N(W92)+N(X92)-N(Y92)</f>
        <v>0</v>
      </c>
      <c r="AA92" s="33" t="n">
        <f aca="false">N(E92)+N(I92)+N(M92)+N(Q92)+N(U92)+N(Y92)</f>
        <v>0</v>
      </c>
      <c r="AB92" s="24" t="n">
        <f aca="false">F92+J92+N92+R92+V92+Z92</f>
        <v>0</v>
      </c>
      <c r="AC92" s="81" t="str">
        <f aca="false">IF(B92="","",IF(AB92&lt;=0,"Clear",IF(AA92&gt;0,"Partial","Due")))</f>
        <v/>
      </c>
    </row>
    <row r="93" customFormat="false" ht="15" hidden="false" customHeight="false" outlineLevel="0" collapsed="false">
      <c r="A93" s="25" t="n">
        <v>78</v>
      </c>
      <c r="B93" s="82" t="str">
        <f aca="false">IF(Students!B82="","",Students!B82)</f>
        <v/>
      </c>
      <c r="C93" s="37" t="n">
        <f aca="false">'Jun 2027'!F93</f>
        <v>0</v>
      </c>
      <c r="D93" s="37" t="n">
        <f aca="false">IF(B93="",0,N(Students!E82))</f>
        <v>0</v>
      </c>
      <c r="E93" s="23"/>
      <c r="F93" s="26" t="n">
        <f aca="false">N(C93)+N(D93)-N(E93)</f>
        <v>0</v>
      </c>
      <c r="G93" s="37" t="n">
        <f aca="false">'Jun 2027'!J93</f>
        <v>0</v>
      </c>
      <c r="H93" s="37" t="n">
        <f aca="false">IF(B93="",0,N(Students!F82))</f>
        <v>0</v>
      </c>
      <c r="I93" s="23"/>
      <c r="J93" s="26" t="n">
        <f aca="false">N(G93)+N(H93)-N(I93)</f>
        <v>0</v>
      </c>
      <c r="K93" s="37" t="n">
        <f aca="false">'Jun 2027'!N93</f>
        <v>0</v>
      </c>
      <c r="L93" s="37" t="n">
        <f aca="false">IF(B93="",0,N(Students!G82))</f>
        <v>0</v>
      </c>
      <c r="M93" s="23"/>
      <c r="N93" s="26" t="n">
        <f aca="false">N(K93)+N(L93)-N(M93)</f>
        <v>0</v>
      </c>
      <c r="O93" s="37" t="n">
        <f aca="false">'Jun 2027'!R93</f>
        <v>0</v>
      </c>
      <c r="P93" s="37" t="n">
        <f aca="false">IF(B93="",0,N(Students!H82))</f>
        <v>0</v>
      </c>
      <c r="Q93" s="23"/>
      <c r="R93" s="26" t="n">
        <f aca="false">N(O93)+N(P93)-N(Q93)</f>
        <v>0</v>
      </c>
      <c r="S93" s="37" t="n">
        <f aca="false">'Jun 2027'!V93</f>
        <v>0</v>
      </c>
      <c r="T93" s="37" t="n">
        <f aca="false">IF(B93="",0,N(Students!I82))</f>
        <v>0</v>
      </c>
      <c r="U93" s="23"/>
      <c r="V93" s="26" t="n">
        <f aca="false">N(S93)+N(T93)-N(U93)</f>
        <v>0</v>
      </c>
      <c r="W93" s="37" t="n">
        <f aca="false">'Jun 2027'!Z93</f>
        <v>0</v>
      </c>
      <c r="X93" s="37" t="n">
        <f aca="false">IF(B93="",0,N(Students!J82))</f>
        <v>0</v>
      </c>
      <c r="Y93" s="23"/>
      <c r="Z93" s="26" t="n">
        <f aca="false">N(W93)+N(X93)-N(Y93)</f>
        <v>0</v>
      </c>
      <c r="AA93" s="37" t="n">
        <f aca="false">N(E93)+N(I93)+N(M93)+N(Q93)+N(U93)+N(Y93)</f>
        <v>0</v>
      </c>
      <c r="AB93" s="26" t="n">
        <f aca="false">F93+J93+N93+R93+V93+Z93</f>
        <v>0</v>
      </c>
      <c r="AC93" s="83" t="str">
        <f aca="false">IF(B93="","",IF(AB93&lt;=0,"Clear",IF(AA93&gt;0,"Partial","Due")))</f>
        <v/>
      </c>
    </row>
    <row r="94" customFormat="false" ht="15" hidden="false" customHeight="false" outlineLevel="0" collapsed="false">
      <c r="A94" s="21" t="n">
        <v>79</v>
      </c>
      <c r="B94" s="46" t="str">
        <f aca="false">IF(Students!B83="","",Students!B83)</f>
        <v/>
      </c>
      <c r="C94" s="33" t="n">
        <f aca="false">'Jun 2027'!F94</f>
        <v>0</v>
      </c>
      <c r="D94" s="33" t="n">
        <f aca="false">IF(B94="",0,N(Students!E83))</f>
        <v>0</v>
      </c>
      <c r="E94" s="23"/>
      <c r="F94" s="24" t="n">
        <f aca="false">N(C94)+N(D94)-N(E94)</f>
        <v>0</v>
      </c>
      <c r="G94" s="33" t="n">
        <f aca="false">'Jun 2027'!J94</f>
        <v>0</v>
      </c>
      <c r="H94" s="33" t="n">
        <f aca="false">IF(B94="",0,N(Students!F83))</f>
        <v>0</v>
      </c>
      <c r="I94" s="23"/>
      <c r="J94" s="24" t="n">
        <f aca="false">N(G94)+N(H94)-N(I94)</f>
        <v>0</v>
      </c>
      <c r="K94" s="33" t="n">
        <f aca="false">'Jun 2027'!N94</f>
        <v>0</v>
      </c>
      <c r="L94" s="33" t="n">
        <f aca="false">IF(B94="",0,N(Students!G83))</f>
        <v>0</v>
      </c>
      <c r="M94" s="23"/>
      <c r="N94" s="24" t="n">
        <f aca="false">N(K94)+N(L94)-N(M94)</f>
        <v>0</v>
      </c>
      <c r="O94" s="33" t="n">
        <f aca="false">'Jun 2027'!R94</f>
        <v>0</v>
      </c>
      <c r="P94" s="33" t="n">
        <f aca="false">IF(B94="",0,N(Students!H83))</f>
        <v>0</v>
      </c>
      <c r="Q94" s="23"/>
      <c r="R94" s="24" t="n">
        <f aca="false">N(O94)+N(P94)-N(Q94)</f>
        <v>0</v>
      </c>
      <c r="S94" s="33" t="n">
        <f aca="false">'Jun 2027'!V94</f>
        <v>0</v>
      </c>
      <c r="T94" s="33" t="n">
        <f aca="false">IF(B94="",0,N(Students!I83))</f>
        <v>0</v>
      </c>
      <c r="U94" s="23"/>
      <c r="V94" s="24" t="n">
        <f aca="false">N(S94)+N(T94)-N(U94)</f>
        <v>0</v>
      </c>
      <c r="W94" s="33" t="n">
        <f aca="false">'Jun 2027'!Z94</f>
        <v>0</v>
      </c>
      <c r="X94" s="33" t="n">
        <f aca="false">IF(B94="",0,N(Students!J83))</f>
        <v>0</v>
      </c>
      <c r="Y94" s="23"/>
      <c r="Z94" s="24" t="n">
        <f aca="false">N(W94)+N(X94)-N(Y94)</f>
        <v>0</v>
      </c>
      <c r="AA94" s="33" t="n">
        <f aca="false">N(E94)+N(I94)+N(M94)+N(Q94)+N(U94)+N(Y94)</f>
        <v>0</v>
      </c>
      <c r="AB94" s="24" t="n">
        <f aca="false">F94+J94+N94+R94+V94+Z94</f>
        <v>0</v>
      </c>
      <c r="AC94" s="81" t="str">
        <f aca="false">IF(B94="","",IF(AB94&lt;=0,"Clear",IF(AA94&gt;0,"Partial","Due")))</f>
        <v/>
      </c>
    </row>
    <row r="95" customFormat="false" ht="15" hidden="false" customHeight="false" outlineLevel="0" collapsed="false">
      <c r="A95" s="25" t="n">
        <v>80</v>
      </c>
      <c r="B95" s="82" t="str">
        <f aca="false">IF(Students!B84="","",Students!B84)</f>
        <v/>
      </c>
      <c r="C95" s="37" t="n">
        <f aca="false">'Jun 2027'!F95</f>
        <v>0</v>
      </c>
      <c r="D95" s="37" t="n">
        <f aca="false">IF(B95="",0,N(Students!E84))</f>
        <v>0</v>
      </c>
      <c r="E95" s="23"/>
      <c r="F95" s="26" t="n">
        <f aca="false">N(C95)+N(D95)-N(E95)</f>
        <v>0</v>
      </c>
      <c r="G95" s="37" t="n">
        <f aca="false">'Jun 2027'!J95</f>
        <v>0</v>
      </c>
      <c r="H95" s="37" t="n">
        <f aca="false">IF(B95="",0,N(Students!F84))</f>
        <v>0</v>
      </c>
      <c r="I95" s="23"/>
      <c r="J95" s="26" t="n">
        <f aca="false">N(G95)+N(H95)-N(I95)</f>
        <v>0</v>
      </c>
      <c r="K95" s="37" t="n">
        <f aca="false">'Jun 2027'!N95</f>
        <v>0</v>
      </c>
      <c r="L95" s="37" t="n">
        <f aca="false">IF(B95="",0,N(Students!G84))</f>
        <v>0</v>
      </c>
      <c r="M95" s="23"/>
      <c r="N95" s="26" t="n">
        <f aca="false">N(K95)+N(L95)-N(M95)</f>
        <v>0</v>
      </c>
      <c r="O95" s="37" t="n">
        <f aca="false">'Jun 2027'!R95</f>
        <v>0</v>
      </c>
      <c r="P95" s="37" t="n">
        <f aca="false">IF(B95="",0,N(Students!H84))</f>
        <v>0</v>
      </c>
      <c r="Q95" s="23"/>
      <c r="R95" s="26" t="n">
        <f aca="false">N(O95)+N(P95)-N(Q95)</f>
        <v>0</v>
      </c>
      <c r="S95" s="37" t="n">
        <f aca="false">'Jun 2027'!V95</f>
        <v>0</v>
      </c>
      <c r="T95" s="37" t="n">
        <f aca="false">IF(B95="",0,N(Students!I84))</f>
        <v>0</v>
      </c>
      <c r="U95" s="23"/>
      <c r="V95" s="26" t="n">
        <f aca="false">N(S95)+N(T95)-N(U95)</f>
        <v>0</v>
      </c>
      <c r="W95" s="37" t="n">
        <f aca="false">'Jun 2027'!Z95</f>
        <v>0</v>
      </c>
      <c r="X95" s="37" t="n">
        <f aca="false">IF(B95="",0,N(Students!J84))</f>
        <v>0</v>
      </c>
      <c r="Y95" s="23"/>
      <c r="Z95" s="26" t="n">
        <f aca="false">N(W95)+N(X95)-N(Y95)</f>
        <v>0</v>
      </c>
      <c r="AA95" s="37" t="n">
        <f aca="false">N(E95)+N(I95)+N(M95)+N(Q95)+N(U95)+N(Y95)</f>
        <v>0</v>
      </c>
      <c r="AB95" s="26" t="n">
        <f aca="false">F95+J95+N95+R95+V95+Z95</f>
        <v>0</v>
      </c>
      <c r="AC95" s="83" t="str">
        <f aca="false">IF(B95="","",IF(AB95&lt;=0,"Clear",IF(AA95&gt;0,"Partial","Due")))</f>
        <v/>
      </c>
    </row>
    <row r="96" customFormat="false" ht="15" hidden="false" customHeight="false" outlineLevel="0" collapsed="false">
      <c r="A96" s="21" t="n">
        <v>81</v>
      </c>
      <c r="B96" s="46" t="str">
        <f aca="false">IF(Students!B85="","",Students!B85)</f>
        <v/>
      </c>
      <c r="C96" s="33" t="n">
        <f aca="false">'Jun 2027'!F96</f>
        <v>0</v>
      </c>
      <c r="D96" s="33" t="n">
        <f aca="false">IF(B96="",0,N(Students!E85))</f>
        <v>0</v>
      </c>
      <c r="E96" s="23"/>
      <c r="F96" s="24" t="n">
        <f aca="false">N(C96)+N(D96)-N(E96)</f>
        <v>0</v>
      </c>
      <c r="G96" s="33" t="n">
        <f aca="false">'Jun 2027'!J96</f>
        <v>0</v>
      </c>
      <c r="H96" s="33" t="n">
        <f aca="false">IF(B96="",0,N(Students!F85))</f>
        <v>0</v>
      </c>
      <c r="I96" s="23"/>
      <c r="J96" s="24" t="n">
        <f aca="false">N(G96)+N(H96)-N(I96)</f>
        <v>0</v>
      </c>
      <c r="K96" s="33" t="n">
        <f aca="false">'Jun 2027'!N96</f>
        <v>0</v>
      </c>
      <c r="L96" s="33" t="n">
        <f aca="false">IF(B96="",0,N(Students!G85))</f>
        <v>0</v>
      </c>
      <c r="M96" s="23"/>
      <c r="N96" s="24" t="n">
        <f aca="false">N(K96)+N(L96)-N(M96)</f>
        <v>0</v>
      </c>
      <c r="O96" s="33" t="n">
        <f aca="false">'Jun 2027'!R96</f>
        <v>0</v>
      </c>
      <c r="P96" s="33" t="n">
        <f aca="false">IF(B96="",0,N(Students!H85))</f>
        <v>0</v>
      </c>
      <c r="Q96" s="23"/>
      <c r="R96" s="24" t="n">
        <f aca="false">N(O96)+N(P96)-N(Q96)</f>
        <v>0</v>
      </c>
      <c r="S96" s="33" t="n">
        <f aca="false">'Jun 2027'!V96</f>
        <v>0</v>
      </c>
      <c r="T96" s="33" t="n">
        <f aca="false">IF(B96="",0,N(Students!I85))</f>
        <v>0</v>
      </c>
      <c r="U96" s="23"/>
      <c r="V96" s="24" t="n">
        <f aca="false">N(S96)+N(T96)-N(U96)</f>
        <v>0</v>
      </c>
      <c r="W96" s="33" t="n">
        <f aca="false">'Jun 2027'!Z96</f>
        <v>0</v>
      </c>
      <c r="X96" s="33" t="n">
        <f aca="false">IF(B96="",0,N(Students!J85))</f>
        <v>0</v>
      </c>
      <c r="Y96" s="23"/>
      <c r="Z96" s="24" t="n">
        <f aca="false">N(W96)+N(X96)-N(Y96)</f>
        <v>0</v>
      </c>
      <c r="AA96" s="33" t="n">
        <f aca="false">N(E96)+N(I96)+N(M96)+N(Q96)+N(U96)+N(Y96)</f>
        <v>0</v>
      </c>
      <c r="AB96" s="24" t="n">
        <f aca="false">F96+J96+N96+R96+V96+Z96</f>
        <v>0</v>
      </c>
      <c r="AC96" s="81" t="str">
        <f aca="false">IF(B96="","",IF(AB96&lt;=0,"Clear",IF(AA96&gt;0,"Partial","Due")))</f>
        <v/>
      </c>
    </row>
    <row r="97" customFormat="false" ht="15" hidden="false" customHeight="false" outlineLevel="0" collapsed="false">
      <c r="A97" s="25" t="n">
        <v>82</v>
      </c>
      <c r="B97" s="82" t="str">
        <f aca="false">IF(Students!B86="","",Students!B86)</f>
        <v/>
      </c>
      <c r="C97" s="37" t="n">
        <f aca="false">'Jun 2027'!F97</f>
        <v>0</v>
      </c>
      <c r="D97" s="37" t="n">
        <f aca="false">IF(B97="",0,N(Students!E86))</f>
        <v>0</v>
      </c>
      <c r="E97" s="23"/>
      <c r="F97" s="26" t="n">
        <f aca="false">N(C97)+N(D97)-N(E97)</f>
        <v>0</v>
      </c>
      <c r="G97" s="37" t="n">
        <f aca="false">'Jun 2027'!J97</f>
        <v>0</v>
      </c>
      <c r="H97" s="37" t="n">
        <f aca="false">IF(B97="",0,N(Students!F86))</f>
        <v>0</v>
      </c>
      <c r="I97" s="23"/>
      <c r="J97" s="26" t="n">
        <f aca="false">N(G97)+N(H97)-N(I97)</f>
        <v>0</v>
      </c>
      <c r="K97" s="37" t="n">
        <f aca="false">'Jun 2027'!N97</f>
        <v>0</v>
      </c>
      <c r="L97" s="37" t="n">
        <f aca="false">IF(B97="",0,N(Students!G86))</f>
        <v>0</v>
      </c>
      <c r="M97" s="23"/>
      <c r="N97" s="26" t="n">
        <f aca="false">N(K97)+N(L97)-N(M97)</f>
        <v>0</v>
      </c>
      <c r="O97" s="37" t="n">
        <f aca="false">'Jun 2027'!R97</f>
        <v>0</v>
      </c>
      <c r="P97" s="37" t="n">
        <f aca="false">IF(B97="",0,N(Students!H86))</f>
        <v>0</v>
      </c>
      <c r="Q97" s="23"/>
      <c r="R97" s="26" t="n">
        <f aca="false">N(O97)+N(P97)-N(Q97)</f>
        <v>0</v>
      </c>
      <c r="S97" s="37" t="n">
        <f aca="false">'Jun 2027'!V97</f>
        <v>0</v>
      </c>
      <c r="T97" s="37" t="n">
        <f aca="false">IF(B97="",0,N(Students!I86))</f>
        <v>0</v>
      </c>
      <c r="U97" s="23"/>
      <c r="V97" s="26" t="n">
        <f aca="false">N(S97)+N(T97)-N(U97)</f>
        <v>0</v>
      </c>
      <c r="W97" s="37" t="n">
        <f aca="false">'Jun 2027'!Z97</f>
        <v>0</v>
      </c>
      <c r="X97" s="37" t="n">
        <f aca="false">IF(B97="",0,N(Students!J86))</f>
        <v>0</v>
      </c>
      <c r="Y97" s="23"/>
      <c r="Z97" s="26" t="n">
        <f aca="false">N(W97)+N(X97)-N(Y97)</f>
        <v>0</v>
      </c>
      <c r="AA97" s="37" t="n">
        <f aca="false">N(E97)+N(I97)+N(M97)+N(Q97)+N(U97)+N(Y97)</f>
        <v>0</v>
      </c>
      <c r="AB97" s="26" t="n">
        <f aca="false">F97+J97+N97+R97+V97+Z97</f>
        <v>0</v>
      </c>
      <c r="AC97" s="83" t="str">
        <f aca="false">IF(B97="","",IF(AB97&lt;=0,"Clear",IF(AA97&gt;0,"Partial","Due")))</f>
        <v/>
      </c>
    </row>
    <row r="98" customFormat="false" ht="15" hidden="false" customHeight="false" outlineLevel="0" collapsed="false">
      <c r="A98" s="21" t="n">
        <v>83</v>
      </c>
      <c r="B98" s="46" t="str">
        <f aca="false">IF(Students!B87="","",Students!B87)</f>
        <v/>
      </c>
      <c r="C98" s="33" t="n">
        <f aca="false">'Jun 2027'!F98</f>
        <v>0</v>
      </c>
      <c r="D98" s="33" t="n">
        <f aca="false">IF(B98="",0,N(Students!E87))</f>
        <v>0</v>
      </c>
      <c r="E98" s="23"/>
      <c r="F98" s="24" t="n">
        <f aca="false">N(C98)+N(D98)-N(E98)</f>
        <v>0</v>
      </c>
      <c r="G98" s="33" t="n">
        <f aca="false">'Jun 2027'!J98</f>
        <v>0</v>
      </c>
      <c r="H98" s="33" t="n">
        <f aca="false">IF(B98="",0,N(Students!F87))</f>
        <v>0</v>
      </c>
      <c r="I98" s="23"/>
      <c r="J98" s="24" t="n">
        <f aca="false">N(G98)+N(H98)-N(I98)</f>
        <v>0</v>
      </c>
      <c r="K98" s="33" t="n">
        <f aca="false">'Jun 2027'!N98</f>
        <v>0</v>
      </c>
      <c r="L98" s="33" t="n">
        <f aca="false">IF(B98="",0,N(Students!G87))</f>
        <v>0</v>
      </c>
      <c r="M98" s="23"/>
      <c r="N98" s="24" t="n">
        <f aca="false">N(K98)+N(L98)-N(M98)</f>
        <v>0</v>
      </c>
      <c r="O98" s="33" t="n">
        <f aca="false">'Jun 2027'!R98</f>
        <v>0</v>
      </c>
      <c r="P98" s="33" t="n">
        <f aca="false">IF(B98="",0,N(Students!H87))</f>
        <v>0</v>
      </c>
      <c r="Q98" s="23"/>
      <c r="R98" s="24" t="n">
        <f aca="false">N(O98)+N(P98)-N(Q98)</f>
        <v>0</v>
      </c>
      <c r="S98" s="33" t="n">
        <f aca="false">'Jun 2027'!V98</f>
        <v>0</v>
      </c>
      <c r="T98" s="33" t="n">
        <f aca="false">IF(B98="",0,N(Students!I87))</f>
        <v>0</v>
      </c>
      <c r="U98" s="23"/>
      <c r="V98" s="24" t="n">
        <f aca="false">N(S98)+N(T98)-N(U98)</f>
        <v>0</v>
      </c>
      <c r="W98" s="33" t="n">
        <f aca="false">'Jun 2027'!Z98</f>
        <v>0</v>
      </c>
      <c r="X98" s="33" t="n">
        <f aca="false">IF(B98="",0,N(Students!J87))</f>
        <v>0</v>
      </c>
      <c r="Y98" s="23"/>
      <c r="Z98" s="24" t="n">
        <f aca="false">N(W98)+N(X98)-N(Y98)</f>
        <v>0</v>
      </c>
      <c r="AA98" s="33" t="n">
        <f aca="false">N(E98)+N(I98)+N(M98)+N(Q98)+N(U98)+N(Y98)</f>
        <v>0</v>
      </c>
      <c r="AB98" s="24" t="n">
        <f aca="false">F98+J98+N98+R98+V98+Z98</f>
        <v>0</v>
      </c>
      <c r="AC98" s="81" t="str">
        <f aca="false">IF(B98="","",IF(AB98&lt;=0,"Clear",IF(AA98&gt;0,"Partial","Due")))</f>
        <v/>
      </c>
    </row>
    <row r="99" customFormat="false" ht="15" hidden="false" customHeight="false" outlineLevel="0" collapsed="false">
      <c r="A99" s="25" t="n">
        <v>84</v>
      </c>
      <c r="B99" s="82" t="str">
        <f aca="false">IF(Students!B88="","",Students!B88)</f>
        <v/>
      </c>
      <c r="C99" s="37" t="n">
        <f aca="false">'Jun 2027'!F99</f>
        <v>0</v>
      </c>
      <c r="D99" s="37" t="n">
        <f aca="false">IF(B99="",0,N(Students!E88))</f>
        <v>0</v>
      </c>
      <c r="E99" s="23"/>
      <c r="F99" s="26" t="n">
        <f aca="false">N(C99)+N(D99)-N(E99)</f>
        <v>0</v>
      </c>
      <c r="G99" s="37" t="n">
        <f aca="false">'Jun 2027'!J99</f>
        <v>0</v>
      </c>
      <c r="H99" s="37" t="n">
        <f aca="false">IF(B99="",0,N(Students!F88))</f>
        <v>0</v>
      </c>
      <c r="I99" s="23"/>
      <c r="J99" s="26" t="n">
        <f aca="false">N(G99)+N(H99)-N(I99)</f>
        <v>0</v>
      </c>
      <c r="K99" s="37" t="n">
        <f aca="false">'Jun 2027'!N99</f>
        <v>0</v>
      </c>
      <c r="L99" s="37" t="n">
        <f aca="false">IF(B99="",0,N(Students!G88))</f>
        <v>0</v>
      </c>
      <c r="M99" s="23"/>
      <c r="N99" s="26" t="n">
        <f aca="false">N(K99)+N(L99)-N(M99)</f>
        <v>0</v>
      </c>
      <c r="O99" s="37" t="n">
        <f aca="false">'Jun 2027'!R99</f>
        <v>0</v>
      </c>
      <c r="P99" s="37" t="n">
        <f aca="false">IF(B99="",0,N(Students!H88))</f>
        <v>0</v>
      </c>
      <c r="Q99" s="23"/>
      <c r="R99" s="26" t="n">
        <f aca="false">N(O99)+N(P99)-N(Q99)</f>
        <v>0</v>
      </c>
      <c r="S99" s="37" t="n">
        <f aca="false">'Jun 2027'!V99</f>
        <v>0</v>
      </c>
      <c r="T99" s="37" t="n">
        <f aca="false">IF(B99="",0,N(Students!I88))</f>
        <v>0</v>
      </c>
      <c r="U99" s="23"/>
      <c r="V99" s="26" t="n">
        <f aca="false">N(S99)+N(T99)-N(U99)</f>
        <v>0</v>
      </c>
      <c r="W99" s="37" t="n">
        <f aca="false">'Jun 2027'!Z99</f>
        <v>0</v>
      </c>
      <c r="X99" s="37" t="n">
        <f aca="false">IF(B99="",0,N(Students!J88))</f>
        <v>0</v>
      </c>
      <c r="Y99" s="23"/>
      <c r="Z99" s="26" t="n">
        <f aca="false">N(W99)+N(X99)-N(Y99)</f>
        <v>0</v>
      </c>
      <c r="AA99" s="37" t="n">
        <f aca="false">N(E99)+N(I99)+N(M99)+N(Q99)+N(U99)+N(Y99)</f>
        <v>0</v>
      </c>
      <c r="AB99" s="26" t="n">
        <f aca="false">F99+J99+N99+R99+V99+Z99</f>
        <v>0</v>
      </c>
      <c r="AC99" s="83" t="str">
        <f aca="false">IF(B99="","",IF(AB99&lt;=0,"Clear",IF(AA99&gt;0,"Partial","Due")))</f>
        <v/>
      </c>
    </row>
    <row r="100" customFormat="false" ht="15" hidden="false" customHeight="false" outlineLevel="0" collapsed="false">
      <c r="A100" s="21" t="n">
        <v>85</v>
      </c>
      <c r="B100" s="46" t="str">
        <f aca="false">IF(Students!B89="","",Students!B89)</f>
        <v/>
      </c>
      <c r="C100" s="33" t="n">
        <f aca="false">'Jun 2027'!F100</f>
        <v>0</v>
      </c>
      <c r="D100" s="33" t="n">
        <f aca="false">IF(B100="",0,N(Students!E89))</f>
        <v>0</v>
      </c>
      <c r="E100" s="23"/>
      <c r="F100" s="24" t="n">
        <f aca="false">N(C100)+N(D100)-N(E100)</f>
        <v>0</v>
      </c>
      <c r="G100" s="33" t="n">
        <f aca="false">'Jun 2027'!J100</f>
        <v>0</v>
      </c>
      <c r="H100" s="33" t="n">
        <f aca="false">IF(B100="",0,N(Students!F89))</f>
        <v>0</v>
      </c>
      <c r="I100" s="23"/>
      <c r="J100" s="24" t="n">
        <f aca="false">N(G100)+N(H100)-N(I100)</f>
        <v>0</v>
      </c>
      <c r="K100" s="33" t="n">
        <f aca="false">'Jun 2027'!N100</f>
        <v>0</v>
      </c>
      <c r="L100" s="33" t="n">
        <f aca="false">IF(B100="",0,N(Students!G89))</f>
        <v>0</v>
      </c>
      <c r="M100" s="23"/>
      <c r="N100" s="24" t="n">
        <f aca="false">N(K100)+N(L100)-N(M100)</f>
        <v>0</v>
      </c>
      <c r="O100" s="33" t="n">
        <f aca="false">'Jun 2027'!R100</f>
        <v>0</v>
      </c>
      <c r="P100" s="33" t="n">
        <f aca="false">IF(B100="",0,N(Students!H89))</f>
        <v>0</v>
      </c>
      <c r="Q100" s="23"/>
      <c r="R100" s="24" t="n">
        <f aca="false">N(O100)+N(P100)-N(Q100)</f>
        <v>0</v>
      </c>
      <c r="S100" s="33" t="n">
        <f aca="false">'Jun 2027'!V100</f>
        <v>0</v>
      </c>
      <c r="T100" s="33" t="n">
        <f aca="false">IF(B100="",0,N(Students!I89))</f>
        <v>0</v>
      </c>
      <c r="U100" s="23"/>
      <c r="V100" s="24" t="n">
        <f aca="false">N(S100)+N(T100)-N(U100)</f>
        <v>0</v>
      </c>
      <c r="W100" s="33" t="n">
        <f aca="false">'Jun 2027'!Z100</f>
        <v>0</v>
      </c>
      <c r="X100" s="33" t="n">
        <f aca="false">IF(B100="",0,N(Students!J89))</f>
        <v>0</v>
      </c>
      <c r="Y100" s="23"/>
      <c r="Z100" s="24" t="n">
        <f aca="false">N(W100)+N(X100)-N(Y100)</f>
        <v>0</v>
      </c>
      <c r="AA100" s="33" t="n">
        <f aca="false">N(E100)+N(I100)+N(M100)+N(Q100)+N(U100)+N(Y100)</f>
        <v>0</v>
      </c>
      <c r="AB100" s="24" t="n">
        <f aca="false">F100+J100+N100+R100+V100+Z100</f>
        <v>0</v>
      </c>
      <c r="AC100" s="81" t="str">
        <f aca="false">IF(B100="","",IF(AB100&lt;=0,"Clear",IF(AA100&gt;0,"Partial","Due")))</f>
        <v/>
      </c>
    </row>
    <row r="101" customFormat="false" ht="15" hidden="false" customHeight="false" outlineLevel="0" collapsed="false">
      <c r="A101" s="25" t="n">
        <v>86</v>
      </c>
      <c r="B101" s="82" t="str">
        <f aca="false">IF(Students!B90="","",Students!B90)</f>
        <v/>
      </c>
      <c r="C101" s="37" t="n">
        <f aca="false">'Jun 2027'!F101</f>
        <v>0</v>
      </c>
      <c r="D101" s="37" t="n">
        <f aca="false">IF(B101="",0,N(Students!E90))</f>
        <v>0</v>
      </c>
      <c r="E101" s="23"/>
      <c r="F101" s="26" t="n">
        <f aca="false">N(C101)+N(D101)-N(E101)</f>
        <v>0</v>
      </c>
      <c r="G101" s="37" t="n">
        <f aca="false">'Jun 2027'!J101</f>
        <v>0</v>
      </c>
      <c r="H101" s="37" t="n">
        <f aca="false">IF(B101="",0,N(Students!F90))</f>
        <v>0</v>
      </c>
      <c r="I101" s="23"/>
      <c r="J101" s="26" t="n">
        <f aca="false">N(G101)+N(H101)-N(I101)</f>
        <v>0</v>
      </c>
      <c r="K101" s="37" t="n">
        <f aca="false">'Jun 2027'!N101</f>
        <v>0</v>
      </c>
      <c r="L101" s="37" t="n">
        <f aca="false">IF(B101="",0,N(Students!G90))</f>
        <v>0</v>
      </c>
      <c r="M101" s="23"/>
      <c r="N101" s="26" t="n">
        <f aca="false">N(K101)+N(L101)-N(M101)</f>
        <v>0</v>
      </c>
      <c r="O101" s="37" t="n">
        <f aca="false">'Jun 2027'!R101</f>
        <v>0</v>
      </c>
      <c r="P101" s="37" t="n">
        <f aca="false">IF(B101="",0,N(Students!H90))</f>
        <v>0</v>
      </c>
      <c r="Q101" s="23"/>
      <c r="R101" s="26" t="n">
        <f aca="false">N(O101)+N(P101)-N(Q101)</f>
        <v>0</v>
      </c>
      <c r="S101" s="37" t="n">
        <f aca="false">'Jun 2027'!V101</f>
        <v>0</v>
      </c>
      <c r="T101" s="37" t="n">
        <f aca="false">IF(B101="",0,N(Students!I90))</f>
        <v>0</v>
      </c>
      <c r="U101" s="23"/>
      <c r="V101" s="26" t="n">
        <f aca="false">N(S101)+N(T101)-N(U101)</f>
        <v>0</v>
      </c>
      <c r="W101" s="37" t="n">
        <f aca="false">'Jun 2027'!Z101</f>
        <v>0</v>
      </c>
      <c r="X101" s="37" t="n">
        <f aca="false">IF(B101="",0,N(Students!J90))</f>
        <v>0</v>
      </c>
      <c r="Y101" s="23"/>
      <c r="Z101" s="26" t="n">
        <f aca="false">N(W101)+N(X101)-N(Y101)</f>
        <v>0</v>
      </c>
      <c r="AA101" s="37" t="n">
        <f aca="false">N(E101)+N(I101)+N(M101)+N(Q101)+N(U101)+N(Y101)</f>
        <v>0</v>
      </c>
      <c r="AB101" s="26" t="n">
        <f aca="false">F101+J101+N101+R101+V101+Z101</f>
        <v>0</v>
      </c>
      <c r="AC101" s="83" t="str">
        <f aca="false">IF(B101="","",IF(AB101&lt;=0,"Clear",IF(AA101&gt;0,"Partial","Due")))</f>
        <v/>
      </c>
    </row>
    <row r="102" customFormat="false" ht="15" hidden="false" customHeight="false" outlineLevel="0" collapsed="false">
      <c r="A102" s="21" t="n">
        <v>87</v>
      </c>
      <c r="B102" s="46" t="str">
        <f aca="false">IF(Students!B91="","",Students!B91)</f>
        <v/>
      </c>
      <c r="C102" s="33" t="n">
        <f aca="false">'Jun 2027'!F102</f>
        <v>0</v>
      </c>
      <c r="D102" s="33" t="n">
        <f aca="false">IF(B102="",0,N(Students!E91))</f>
        <v>0</v>
      </c>
      <c r="E102" s="23"/>
      <c r="F102" s="24" t="n">
        <f aca="false">N(C102)+N(D102)-N(E102)</f>
        <v>0</v>
      </c>
      <c r="G102" s="33" t="n">
        <f aca="false">'Jun 2027'!J102</f>
        <v>0</v>
      </c>
      <c r="H102" s="33" t="n">
        <f aca="false">IF(B102="",0,N(Students!F91))</f>
        <v>0</v>
      </c>
      <c r="I102" s="23"/>
      <c r="J102" s="24" t="n">
        <f aca="false">N(G102)+N(H102)-N(I102)</f>
        <v>0</v>
      </c>
      <c r="K102" s="33" t="n">
        <f aca="false">'Jun 2027'!N102</f>
        <v>0</v>
      </c>
      <c r="L102" s="33" t="n">
        <f aca="false">IF(B102="",0,N(Students!G91))</f>
        <v>0</v>
      </c>
      <c r="M102" s="23"/>
      <c r="N102" s="24" t="n">
        <f aca="false">N(K102)+N(L102)-N(M102)</f>
        <v>0</v>
      </c>
      <c r="O102" s="33" t="n">
        <f aca="false">'Jun 2027'!R102</f>
        <v>0</v>
      </c>
      <c r="P102" s="33" t="n">
        <f aca="false">IF(B102="",0,N(Students!H91))</f>
        <v>0</v>
      </c>
      <c r="Q102" s="23"/>
      <c r="R102" s="24" t="n">
        <f aca="false">N(O102)+N(P102)-N(Q102)</f>
        <v>0</v>
      </c>
      <c r="S102" s="33" t="n">
        <f aca="false">'Jun 2027'!V102</f>
        <v>0</v>
      </c>
      <c r="T102" s="33" t="n">
        <f aca="false">IF(B102="",0,N(Students!I91))</f>
        <v>0</v>
      </c>
      <c r="U102" s="23"/>
      <c r="V102" s="24" t="n">
        <f aca="false">N(S102)+N(T102)-N(U102)</f>
        <v>0</v>
      </c>
      <c r="W102" s="33" t="n">
        <f aca="false">'Jun 2027'!Z102</f>
        <v>0</v>
      </c>
      <c r="X102" s="33" t="n">
        <f aca="false">IF(B102="",0,N(Students!J91))</f>
        <v>0</v>
      </c>
      <c r="Y102" s="23"/>
      <c r="Z102" s="24" t="n">
        <f aca="false">N(W102)+N(X102)-N(Y102)</f>
        <v>0</v>
      </c>
      <c r="AA102" s="33" t="n">
        <f aca="false">N(E102)+N(I102)+N(M102)+N(Q102)+N(U102)+N(Y102)</f>
        <v>0</v>
      </c>
      <c r="AB102" s="24" t="n">
        <f aca="false">F102+J102+N102+R102+V102+Z102</f>
        <v>0</v>
      </c>
      <c r="AC102" s="81" t="str">
        <f aca="false">IF(B102="","",IF(AB102&lt;=0,"Clear",IF(AA102&gt;0,"Partial","Due")))</f>
        <v/>
      </c>
    </row>
    <row r="103" customFormat="false" ht="15" hidden="false" customHeight="false" outlineLevel="0" collapsed="false">
      <c r="A103" s="25" t="n">
        <v>88</v>
      </c>
      <c r="B103" s="82" t="str">
        <f aca="false">IF(Students!B92="","",Students!B92)</f>
        <v/>
      </c>
      <c r="C103" s="37" t="n">
        <f aca="false">'Jun 2027'!F103</f>
        <v>0</v>
      </c>
      <c r="D103" s="37" t="n">
        <f aca="false">IF(B103="",0,N(Students!E92))</f>
        <v>0</v>
      </c>
      <c r="E103" s="23"/>
      <c r="F103" s="26" t="n">
        <f aca="false">N(C103)+N(D103)-N(E103)</f>
        <v>0</v>
      </c>
      <c r="G103" s="37" t="n">
        <f aca="false">'Jun 2027'!J103</f>
        <v>0</v>
      </c>
      <c r="H103" s="37" t="n">
        <f aca="false">IF(B103="",0,N(Students!F92))</f>
        <v>0</v>
      </c>
      <c r="I103" s="23"/>
      <c r="J103" s="26" t="n">
        <f aca="false">N(G103)+N(H103)-N(I103)</f>
        <v>0</v>
      </c>
      <c r="K103" s="37" t="n">
        <f aca="false">'Jun 2027'!N103</f>
        <v>0</v>
      </c>
      <c r="L103" s="37" t="n">
        <f aca="false">IF(B103="",0,N(Students!G92))</f>
        <v>0</v>
      </c>
      <c r="M103" s="23"/>
      <c r="N103" s="26" t="n">
        <f aca="false">N(K103)+N(L103)-N(M103)</f>
        <v>0</v>
      </c>
      <c r="O103" s="37" t="n">
        <f aca="false">'Jun 2027'!R103</f>
        <v>0</v>
      </c>
      <c r="P103" s="37" t="n">
        <f aca="false">IF(B103="",0,N(Students!H92))</f>
        <v>0</v>
      </c>
      <c r="Q103" s="23"/>
      <c r="R103" s="26" t="n">
        <f aca="false">N(O103)+N(P103)-N(Q103)</f>
        <v>0</v>
      </c>
      <c r="S103" s="37" t="n">
        <f aca="false">'Jun 2027'!V103</f>
        <v>0</v>
      </c>
      <c r="T103" s="37" t="n">
        <f aca="false">IF(B103="",0,N(Students!I92))</f>
        <v>0</v>
      </c>
      <c r="U103" s="23"/>
      <c r="V103" s="26" t="n">
        <f aca="false">N(S103)+N(T103)-N(U103)</f>
        <v>0</v>
      </c>
      <c r="W103" s="37" t="n">
        <f aca="false">'Jun 2027'!Z103</f>
        <v>0</v>
      </c>
      <c r="X103" s="37" t="n">
        <f aca="false">IF(B103="",0,N(Students!J92))</f>
        <v>0</v>
      </c>
      <c r="Y103" s="23"/>
      <c r="Z103" s="26" t="n">
        <f aca="false">N(W103)+N(X103)-N(Y103)</f>
        <v>0</v>
      </c>
      <c r="AA103" s="37" t="n">
        <f aca="false">N(E103)+N(I103)+N(M103)+N(Q103)+N(U103)+N(Y103)</f>
        <v>0</v>
      </c>
      <c r="AB103" s="26" t="n">
        <f aca="false">F103+J103+N103+R103+V103+Z103</f>
        <v>0</v>
      </c>
      <c r="AC103" s="83" t="str">
        <f aca="false">IF(B103="","",IF(AB103&lt;=0,"Clear",IF(AA103&gt;0,"Partial","Due")))</f>
        <v/>
      </c>
    </row>
    <row r="104" customFormat="false" ht="15" hidden="false" customHeight="false" outlineLevel="0" collapsed="false">
      <c r="A104" s="21" t="n">
        <v>89</v>
      </c>
      <c r="B104" s="46" t="str">
        <f aca="false">IF(Students!B93="","",Students!B93)</f>
        <v/>
      </c>
      <c r="C104" s="33" t="n">
        <f aca="false">'Jun 2027'!F104</f>
        <v>0</v>
      </c>
      <c r="D104" s="33" t="n">
        <f aca="false">IF(B104="",0,N(Students!E93))</f>
        <v>0</v>
      </c>
      <c r="E104" s="23"/>
      <c r="F104" s="24" t="n">
        <f aca="false">N(C104)+N(D104)-N(E104)</f>
        <v>0</v>
      </c>
      <c r="G104" s="33" t="n">
        <f aca="false">'Jun 2027'!J104</f>
        <v>0</v>
      </c>
      <c r="H104" s="33" t="n">
        <f aca="false">IF(B104="",0,N(Students!F93))</f>
        <v>0</v>
      </c>
      <c r="I104" s="23"/>
      <c r="J104" s="24" t="n">
        <f aca="false">N(G104)+N(H104)-N(I104)</f>
        <v>0</v>
      </c>
      <c r="K104" s="33" t="n">
        <f aca="false">'Jun 2027'!N104</f>
        <v>0</v>
      </c>
      <c r="L104" s="33" t="n">
        <f aca="false">IF(B104="",0,N(Students!G93))</f>
        <v>0</v>
      </c>
      <c r="M104" s="23"/>
      <c r="N104" s="24" t="n">
        <f aca="false">N(K104)+N(L104)-N(M104)</f>
        <v>0</v>
      </c>
      <c r="O104" s="33" t="n">
        <f aca="false">'Jun 2027'!R104</f>
        <v>0</v>
      </c>
      <c r="P104" s="33" t="n">
        <f aca="false">IF(B104="",0,N(Students!H93))</f>
        <v>0</v>
      </c>
      <c r="Q104" s="23"/>
      <c r="R104" s="24" t="n">
        <f aca="false">N(O104)+N(P104)-N(Q104)</f>
        <v>0</v>
      </c>
      <c r="S104" s="33" t="n">
        <f aca="false">'Jun 2027'!V104</f>
        <v>0</v>
      </c>
      <c r="T104" s="33" t="n">
        <f aca="false">IF(B104="",0,N(Students!I93))</f>
        <v>0</v>
      </c>
      <c r="U104" s="23"/>
      <c r="V104" s="24" t="n">
        <f aca="false">N(S104)+N(T104)-N(U104)</f>
        <v>0</v>
      </c>
      <c r="W104" s="33" t="n">
        <f aca="false">'Jun 2027'!Z104</f>
        <v>0</v>
      </c>
      <c r="X104" s="33" t="n">
        <f aca="false">IF(B104="",0,N(Students!J93))</f>
        <v>0</v>
      </c>
      <c r="Y104" s="23"/>
      <c r="Z104" s="24" t="n">
        <f aca="false">N(W104)+N(X104)-N(Y104)</f>
        <v>0</v>
      </c>
      <c r="AA104" s="33" t="n">
        <f aca="false">N(E104)+N(I104)+N(M104)+N(Q104)+N(U104)+N(Y104)</f>
        <v>0</v>
      </c>
      <c r="AB104" s="24" t="n">
        <f aca="false">F104+J104+N104+R104+V104+Z104</f>
        <v>0</v>
      </c>
      <c r="AC104" s="81" t="str">
        <f aca="false">IF(B104="","",IF(AB104&lt;=0,"Clear",IF(AA104&gt;0,"Partial","Due")))</f>
        <v/>
      </c>
    </row>
    <row r="105" customFormat="false" ht="15" hidden="false" customHeight="false" outlineLevel="0" collapsed="false">
      <c r="A105" s="25" t="n">
        <v>90</v>
      </c>
      <c r="B105" s="82" t="str">
        <f aca="false">IF(Students!B94="","",Students!B94)</f>
        <v/>
      </c>
      <c r="C105" s="37" t="n">
        <f aca="false">'Jun 2027'!F105</f>
        <v>0</v>
      </c>
      <c r="D105" s="37" t="n">
        <f aca="false">IF(B105="",0,N(Students!E94))</f>
        <v>0</v>
      </c>
      <c r="E105" s="23"/>
      <c r="F105" s="26" t="n">
        <f aca="false">N(C105)+N(D105)-N(E105)</f>
        <v>0</v>
      </c>
      <c r="G105" s="37" t="n">
        <f aca="false">'Jun 2027'!J105</f>
        <v>0</v>
      </c>
      <c r="H105" s="37" t="n">
        <f aca="false">IF(B105="",0,N(Students!F94))</f>
        <v>0</v>
      </c>
      <c r="I105" s="23"/>
      <c r="J105" s="26" t="n">
        <f aca="false">N(G105)+N(H105)-N(I105)</f>
        <v>0</v>
      </c>
      <c r="K105" s="37" t="n">
        <f aca="false">'Jun 2027'!N105</f>
        <v>0</v>
      </c>
      <c r="L105" s="37" t="n">
        <f aca="false">IF(B105="",0,N(Students!G94))</f>
        <v>0</v>
      </c>
      <c r="M105" s="23"/>
      <c r="N105" s="26" t="n">
        <f aca="false">N(K105)+N(L105)-N(M105)</f>
        <v>0</v>
      </c>
      <c r="O105" s="37" t="n">
        <f aca="false">'Jun 2027'!R105</f>
        <v>0</v>
      </c>
      <c r="P105" s="37" t="n">
        <f aca="false">IF(B105="",0,N(Students!H94))</f>
        <v>0</v>
      </c>
      <c r="Q105" s="23"/>
      <c r="R105" s="26" t="n">
        <f aca="false">N(O105)+N(P105)-N(Q105)</f>
        <v>0</v>
      </c>
      <c r="S105" s="37" t="n">
        <f aca="false">'Jun 2027'!V105</f>
        <v>0</v>
      </c>
      <c r="T105" s="37" t="n">
        <f aca="false">IF(B105="",0,N(Students!I94))</f>
        <v>0</v>
      </c>
      <c r="U105" s="23"/>
      <c r="V105" s="26" t="n">
        <f aca="false">N(S105)+N(T105)-N(U105)</f>
        <v>0</v>
      </c>
      <c r="W105" s="37" t="n">
        <f aca="false">'Jun 2027'!Z105</f>
        <v>0</v>
      </c>
      <c r="X105" s="37" t="n">
        <f aca="false">IF(B105="",0,N(Students!J94))</f>
        <v>0</v>
      </c>
      <c r="Y105" s="23"/>
      <c r="Z105" s="26" t="n">
        <f aca="false">N(W105)+N(X105)-N(Y105)</f>
        <v>0</v>
      </c>
      <c r="AA105" s="37" t="n">
        <f aca="false">N(E105)+N(I105)+N(M105)+N(Q105)+N(U105)+N(Y105)</f>
        <v>0</v>
      </c>
      <c r="AB105" s="26" t="n">
        <f aca="false">F105+J105+N105+R105+V105+Z105</f>
        <v>0</v>
      </c>
      <c r="AC105" s="83" t="str">
        <f aca="false">IF(B105="","",IF(AB105&lt;=0,"Clear",IF(AA105&gt;0,"Partial","Due")))</f>
        <v/>
      </c>
    </row>
    <row r="106" customFormat="false" ht="15" hidden="false" customHeight="false" outlineLevel="0" collapsed="false">
      <c r="A106" s="21" t="n">
        <v>91</v>
      </c>
      <c r="B106" s="46" t="str">
        <f aca="false">IF(Students!B95="","",Students!B95)</f>
        <v/>
      </c>
      <c r="C106" s="33" t="n">
        <f aca="false">'Jun 2027'!F106</f>
        <v>0</v>
      </c>
      <c r="D106" s="33" t="n">
        <f aca="false">IF(B106="",0,N(Students!E95))</f>
        <v>0</v>
      </c>
      <c r="E106" s="23"/>
      <c r="F106" s="24" t="n">
        <f aca="false">N(C106)+N(D106)-N(E106)</f>
        <v>0</v>
      </c>
      <c r="G106" s="33" t="n">
        <f aca="false">'Jun 2027'!J106</f>
        <v>0</v>
      </c>
      <c r="H106" s="33" t="n">
        <f aca="false">IF(B106="",0,N(Students!F95))</f>
        <v>0</v>
      </c>
      <c r="I106" s="23"/>
      <c r="J106" s="24" t="n">
        <f aca="false">N(G106)+N(H106)-N(I106)</f>
        <v>0</v>
      </c>
      <c r="K106" s="33" t="n">
        <f aca="false">'Jun 2027'!N106</f>
        <v>0</v>
      </c>
      <c r="L106" s="33" t="n">
        <f aca="false">IF(B106="",0,N(Students!G95))</f>
        <v>0</v>
      </c>
      <c r="M106" s="23"/>
      <c r="N106" s="24" t="n">
        <f aca="false">N(K106)+N(L106)-N(M106)</f>
        <v>0</v>
      </c>
      <c r="O106" s="33" t="n">
        <f aca="false">'Jun 2027'!R106</f>
        <v>0</v>
      </c>
      <c r="P106" s="33" t="n">
        <f aca="false">IF(B106="",0,N(Students!H95))</f>
        <v>0</v>
      </c>
      <c r="Q106" s="23"/>
      <c r="R106" s="24" t="n">
        <f aca="false">N(O106)+N(P106)-N(Q106)</f>
        <v>0</v>
      </c>
      <c r="S106" s="33" t="n">
        <f aca="false">'Jun 2027'!V106</f>
        <v>0</v>
      </c>
      <c r="T106" s="33" t="n">
        <f aca="false">IF(B106="",0,N(Students!I95))</f>
        <v>0</v>
      </c>
      <c r="U106" s="23"/>
      <c r="V106" s="24" t="n">
        <f aca="false">N(S106)+N(T106)-N(U106)</f>
        <v>0</v>
      </c>
      <c r="W106" s="33" t="n">
        <f aca="false">'Jun 2027'!Z106</f>
        <v>0</v>
      </c>
      <c r="X106" s="33" t="n">
        <f aca="false">IF(B106="",0,N(Students!J95))</f>
        <v>0</v>
      </c>
      <c r="Y106" s="23"/>
      <c r="Z106" s="24" t="n">
        <f aca="false">N(W106)+N(X106)-N(Y106)</f>
        <v>0</v>
      </c>
      <c r="AA106" s="33" t="n">
        <f aca="false">N(E106)+N(I106)+N(M106)+N(Q106)+N(U106)+N(Y106)</f>
        <v>0</v>
      </c>
      <c r="AB106" s="24" t="n">
        <f aca="false">F106+J106+N106+R106+V106+Z106</f>
        <v>0</v>
      </c>
      <c r="AC106" s="81" t="str">
        <f aca="false">IF(B106="","",IF(AB106&lt;=0,"Clear",IF(AA106&gt;0,"Partial","Due")))</f>
        <v/>
      </c>
    </row>
    <row r="107" customFormat="false" ht="15" hidden="false" customHeight="false" outlineLevel="0" collapsed="false">
      <c r="A107" s="25" t="n">
        <v>92</v>
      </c>
      <c r="B107" s="82" t="str">
        <f aca="false">IF(Students!B96="","",Students!B96)</f>
        <v/>
      </c>
      <c r="C107" s="37" t="n">
        <f aca="false">'Jun 2027'!F107</f>
        <v>0</v>
      </c>
      <c r="D107" s="37" t="n">
        <f aca="false">IF(B107="",0,N(Students!E96))</f>
        <v>0</v>
      </c>
      <c r="E107" s="23"/>
      <c r="F107" s="26" t="n">
        <f aca="false">N(C107)+N(D107)-N(E107)</f>
        <v>0</v>
      </c>
      <c r="G107" s="37" t="n">
        <f aca="false">'Jun 2027'!J107</f>
        <v>0</v>
      </c>
      <c r="H107" s="37" t="n">
        <f aca="false">IF(B107="",0,N(Students!F96))</f>
        <v>0</v>
      </c>
      <c r="I107" s="23"/>
      <c r="J107" s="26" t="n">
        <f aca="false">N(G107)+N(H107)-N(I107)</f>
        <v>0</v>
      </c>
      <c r="K107" s="37" t="n">
        <f aca="false">'Jun 2027'!N107</f>
        <v>0</v>
      </c>
      <c r="L107" s="37" t="n">
        <f aca="false">IF(B107="",0,N(Students!G96))</f>
        <v>0</v>
      </c>
      <c r="M107" s="23"/>
      <c r="N107" s="26" t="n">
        <f aca="false">N(K107)+N(L107)-N(M107)</f>
        <v>0</v>
      </c>
      <c r="O107" s="37" t="n">
        <f aca="false">'Jun 2027'!R107</f>
        <v>0</v>
      </c>
      <c r="P107" s="37" t="n">
        <f aca="false">IF(B107="",0,N(Students!H96))</f>
        <v>0</v>
      </c>
      <c r="Q107" s="23"/>
      <c r="R107" s="26" t="n">
        <f aca="false">N(O107)+N(P107)-N(Q107)</f>
        <v>0</v>
      </c>
      <c r="S107" s="37" t="n">
        <f aca="false">'Jun 2027'!V107</f>
        <v>0</v>
      </c>
      <c r="T107" s="37" t="n">
        <f aca="false">IF(B107="",0,N(Students!I96))</f>
        <v>0</v>
      </c>
      <c r="U107" s="23"/>
      <c r="V107" s="26" t="n">
        <f aca="false">N(S107)+N(T107)-N(U107)</f>
        <v>0</v>
      </c>
      <c r="W107" s="37" t="n">
        <f aca="false">'Jun 2027'!Z107</f>
        <v>0</v>
      </c>
      <c r="X107" s="37" t="n">
        <f aca="false">IF(B107="",0,N(Students!J96))</f>
        <v>0</v>
      </c>
      <c r="Y107" s="23"/>
      <c r="Z107" s="26" t="n">
        <f aca="false">N(W107)+N(X107)-N(Y107)</f>
        <v>0</v>
      </c>
      <c r="AA107" s="37" t="n">
        <f aca="false">N(E107)+N(I107)+N(M107)+N(Q107)+N(U107)+N(Y107)</f>
        <v>0</v>
      </c>
      <c r="AB107" s="26" t="n">
        <f aca="false">F107+J107+N107+R107+V107+Z107</f>
        <v>0</v>
      </c>
      <c r="AC107" s="83" t="str">
        <f aca="false">IF(B107="","",IF(AB107&lt;=0,"Clear",IF(AA107&gt;0,"Partial","Due")))</f>
        <v/>
      </c>
    </row>
    <row r="108" customFormat="false" ht="15" hidden="false" customHeight="false" outlineLevel="0" collapsed="false">
      <c r="A108" s="21" t="n">
        <v>93</v>
      </c>
      <c r="B108" s="46" t="str">
        <f aca="false">IF(Students!B97="","",Students!B97)</f>
        <v/>
      </c>
      <c r="C108" s="33" t="n">
        <f aca="false">'Jun 2027'!F108</f>
        <v>0</v>
      </c>
      <c r="D108" s="33" t="n">
        <f aca="false">IF(B108="",0,N(Students!E97))</f>
        <v>0</v>
      </c>
      <c r="E108" s="23"/>
      <c r="F108" s="24" t="n">
        <f aca="false">N(C108)+N(D108)-N(E108)</f>
        <v>0</v>
      </c>
      <c r="G108" s="33" t="n">
        <f aca="false">'Jun 2027'!J108</f>
        <v>0</v>
      </c>
      <c r="H108" s="33" t="n">
        <f aca="false">IF(B108="",0,N(Students!F97))</f>
        <v>0</v>
      </c>
      <c r="I108" s="23"/>
      <c r="J108" s="24" t="n">
        <f aca="false">N(G108)+N(H108)-N(I108)</f>
        <v>0</v>
      </c>
      <c r="K108" s="33" t="n">
        <f aca="false">'Jun 2027'!N108</f>
        <v>0</v>
      </c>
      <c r="L108" s="33" t="n">
        <f aca="false">IF(B108="",0,N(Students!G97))</f>
        <v>0</v>
      </c>
      <c r="M108" s="23"/>
      <c r="N108" s="24" t="n">
        <f aca="false">N(K108)+N(L108)-N(M108)</f>
        <v>0</v>
      </c>
      <c r="O108" s="33" t="n">
        <f aca="false">'Jun 2027'!R108</f>
        <v>0</v>
      </c>
      <c r="P108" s="33" t="n">
        <f aca="false">IF(B108="",0,N(Students!H97))</f>
        <v>0</v>
      </c>
      <c r="Q108" s="23"/>
      <c r="R108" s="24" t="n">
        <f aca="false">N(O108)+N(P108)-N(Q108)</f>
        <v>0</v>
      </c>
      <c r="S108" s="33" t="n">
        <f aca="false">'Jun 2027'!V108</f>
        <v>0</v>
      </c>
      <c r="T108" s="33" t="n">
        <f aca="false">IF(B108="",0,N(Students!I97))</f>
        <v>0</v>
      </c>
      <c r="U108" s="23"/>
      <c r="V108" s="24" t="n">
        <f aca="false">N(S108)+N(T108)-N(U108)</f>
        <v>0</v>
      </c>
      <c r="W108" s="33" t="n">
        <f aca="false">'Jun 2027'!Z108</f>
        <v>0</v>
      </c>
      <c r="X108" s="33" t="n">
        <f aca="false">IF(B108="",0,N(Students!J97))</f>
        <v>0</v>
      </c>
      <c r="Y108" s="23"/>
      <c r="Z108" s="24" t="n">
        <f aca="false">N(W108)+N(X108)-N(Y108)</f>
        <v>0</v>
      </c>
      <c r="AA108" s="33" t="n">
        <f aca="false">N(E108)+N(I108)+N(M108)+N(Q108)+N(U108)+N(Y108)</f>
        <v>0</v>
      </c>
      <c r="AB108" s="24" t="n">
        <f aca="false">F108+J108+N108+R108+V108+Z108</f>
        <v>0</v>
      </c>
      <c r="AC108" s="81" t="str">
        <f aca="false">IF(B108="","",IF(AB108&lt;=0,"Clear",IF(AA108&gt;0,"Partial","Due")))</f>
        <v/>
      </c>
    </row>
    <row r="109" customFormat="false" ht="15" hidden="false" customHeight="false" outlineLevel="0" collapsed="false">
      <c r="A109" s="25" t="n">
        <v>94</v>
      </c>
      <c r="B109" s="82" t="str">
        <f aca="false">IF(Students!B98="","",Students!B98)</f>
        <v/>
      </c>
      <c r="C109" s="37" t="n">
        <f aca="false">'Jun 2027'!F109</f>
        <v>0</v>
      </c>
      <c r="D109" s="37" t="n">
        <f aca="false">IF(B109="",0,N(Students!E98))</f>
        <v>0</v>
      </c>
      <c r="E109" s="23"/>
      <c r="F109" s="26" t="n">
        <f aca="false">N(C109)+N(D109)-N(E109)</f>
        <v>0</v>
      </c>
      <c r="G109" s="37" t="n">
        <f aca="false">'Jun 2027'!J109</f>
        <v>0</v>
      </c>
      <c r="H109" s="37" t="n">
        <f aca="false">IF(B109="",0,N(Students!F98))</f>
        <v>0</v>
      </c>
      <c r="I109" s="23"/>
      <c r="J109" s="26" t="n">
        <f aca="false">N(G109)+N(H109)-N(I109)</f>
        <v>0</v>
      </c>
      <c r="K109" s="37" t="n">
        <f aca="false">'Jun 2027'!N109</f>
        <v>0</v>
      </c>
      <c r="L109" s="37" t="n">
        <f aca="false">IF(B109="",0,N(Students!G98))</f>
        <v>0</v>
      </c>
      <c r="M109" s="23"/>
      <c r="N109" s="26" t="n">
        <f aca="false">N(K109)+N(L109)-N(M109)</f>
        <v>0</v>
      </c>
      <c r="O109" s="37" t="n">
        <f aca="false">'Jun 2027'!R109</f>
        <v>0</v>
      </c>
      <c r="P109" s="37" t="n">
        <f aca="false">IF(B109="",0,N(Students!H98))</f>
        <v>0</v>
      </c>
      <c r="Q109" s="23"/>
      <c r="R109" s="26" t="n">
        <f aca="false">N(O109)+N(P109)-N(Q109)</f>
        <v>0</v>
      </c>
      <c r="S109" s="37" t="n">
        <f aca="false">'Jun 2027'!V109</f>
        <v>0</v>
      </c>
      <c r="T109" s="37" t="n">
        <f aca="false">IF(B109="",0,N(Students!I98))</f>
        <v>0</v>
      </c>
      <c r="U109" s="23"/>
      <c r="V109" s="26" t="n">
        <f aca="false">N(S109)+N(T109)-N(U109)</f>
        <v>0</v>
      </c>
      <c r="W109" s="37" t="n">
        <f aca="false">'Jun 2027'!Z109</f>
        <v>0</v>
      </c>
      <c r="X109" s="37" t="n">
        <f aca="false">IF(B109="",0,N(Students!J98))</f>
        <v>0</v>
      </c>
      <c r="Y109" s="23"/>
      <c r="Z109" s="26" t="n">
        <f aca="false">N(W109)+N(X109)-N(Y109)</f>
        <v>0</v>
      </c>
      <c r="AA109" s="37" t="n">
        <f aca="false">N(E109)+N(I109)+N(M109)+N(Q109)+N(U109)+N(Y109)</f>
        <v>0</v>
      </c>
      <c r="AB109" s="26" t="n">
        <f aca="false">F109+J109+N109+R109+V109+Z109</f>
        <v>0</v>
      </c>
      <c r="AC109" s="83" t="str">
        <f aca="false">IF(B109="","",IF(AB109&lt;=0,"Clear",IF(AA109&gt;0,"Partial","Due")))</f>
        <v/>
      </c>
    </row>
    <row r="110" customFormat="false" ht="15" hidden="false" customHeight="false" outlineLevel="0" collapsed="false">
      <c r="A110" s="21" t="n">
        <v>95</v>
      </c>
      <c r="B110" s="46" t="str">
        <f aca="false">IF(Students!B99="","",Students!B99)</f>
        <v/>
      </c>
      <c r="C110" s="33" t="n">
        <f aca="false">'Jun 2027'!F110</f>
        <v>0</v>
      </c>
      <c r="D110" s="33" t="n">
        <f aca="false">IF(B110="",0,N(Students!E99))</f>
        <v>0</v>
      </c>
      <c r="E110" s="23"/>
      <c r="F110" s="24" t="n">
        <f aca="false">N(C110)+N(D110)-N(E110)</f>
        <v>0</v>
      </c>
      <c r="G110" s="33" t="n">
        <f aca="false">'Jun 2027'!J110</f>
        <v>0</v>
      </c>
      <c r="H110" s="33" t="n">
        <f aca="false">IF(B110="",0,N(Students!F99))</f>
        <v>0</v>
      </c>
      <c r="I110" s="23"/>
      <c r="J110" s="24" t="n">
        <f aca="false">N(G110)+N(H110)-N(I110)</f>
        <v>0</v>
      </c>
      <c r="K110" s="33" t="n">
        <f aca="false">'Jun 2027'!N110</f>
        <v>0</v>
      </c>
      <c r="L110" s="33" t="n">
        <f aca="false">IF(B110="",0,N(Students!G99))</f>
        <v>0</v>
      </c>
      <c r="M110" s="23"/>
      <c r="N110" s="24" t="n">
        <f aca="false">N(K110)+N(L110)-N(M110)</f>
        <v>0</v>
      </c>
      <c r="O110" s="33" t="n">
        <f aca="false">'Jun 2027'!R110</f>
        <v>0</v>
      </c>
      <c r="P110" s="33" t="n">
        <f aca="false">IF(B110="",0,N(Students!H99))</f>
        <v>0</v>
      </c>
      <c r="Q110" s="23"/>
      <c r="R110" s="24" t="n">
        <f aca="false">N(O110)+N(P110)-N(Q110)</f>
        <v>0</v>
      </c>
      <c r="S110" s="33" t="n">
        <f aca="false">'Jun 2027'!V110</f>
        <v>0</v>
      </c>
      <c r="T110" s="33" t="n">
        <f aca="false">IF(B110="",0,N(Students!I99))</f>
        <v>0</v>
      </c>
      <c r="U110" s="23"/>
      <c r="V110" s="24" t="n">
        <f aca="false">N(S110)+N(T110)-N(U110)</f>
        <v>0</v>
      </c>
      <c r="W110" s="33" t="n">
        <f aca="false">'Jun 2027'!Z110</f>
        <v>0</v>
      </c>
      <c r="X110" s="33" t="n">
        <f aca="false">IF(B110="",0,N(Students!J99))</f>
        <v>0</v>
      </c>
      <c r="Y110" s="23"/>
      <c r="Z110" s="24" t="n">
        <f aca="false">N(W110)+N(X110)-N(Y110)</f>
        <v>0</v>
      </c>
      <c r="AA110" s="33" t="n">
        <f aca="false">N(E110)+N(I110)+N(M110)+N(Q110)+N(U110)+N(Y110)</f>
        <v>0</v>
      </c>
      <c r="AB110" s="24" t="n">
        <f aca="false">F110+J110+N110+R110+V110+Z110</f>
        <v>0</v>
      </c>
      <c r="AC110" s="81" t="str">
        <f aca="false">IF(B110="","",IF(AB110&lt;=0,"Clear",IF(AA110&gt;0,"Partial","Due")))</f>
        <v/>
      </c>
    </row>
    <row r="111" customFormat="false" ht="15" hidden="false" customHeight="false" outlineLevel="0" collapsed="false">
      <c r="A111" s="25" t="n">
        <v>96</v>
      </c>
      <c r="B111" s="82" t="str">
        <f aca="false">IF(Students!B100="","",Students!B100)</f>
        <v/>
      </c>
      <c r="C111" s="37" t="n">
        <f aca="false">'Jun 2027'!F111</f>
        <v>0</v>
      </c>
      <c r="D111" s="37" t="n">
        <f aca="false">IF(B111="",0,N(Students!E100))</f>
        <v>0</v>
      </c>
      <c r="E111" s="23"/>
      <c r="F111" s="26" t="n">
        <f aca="false">N(C111)+N(D111)-N(E111)</f>
        <v>0</v>
      </c>
      <c r="G111" s="37" t="n">
        <f aca="false">'Jun 2027'!J111</f>
        <v>0</v>
      </c>
      <c r="H111" s="37" t="n">
        <f aca="false">IF(B111="",0,N(Students!F100))</f>
        <v>0</v>
      </c>
      <c r="I111" s="23"/>
      <c r="J111" s="26" t="n">
        <f aca="false">N(G111)+N(H111)-N(I111)</f>
        <v>0</v>
      </c>
      <c r="K111" s="37" t="n">
        <f aca="false">'Jun 2027'!N111</f>
        <v>0</v>
      </c>
      <c r="L111" s="37" t="n">
        <f aca="false">IF(B111="",0,N(Students!G100))</f>
        <v>0</v>
      </c>
      <c r="M111" s="23"/>
      <c r="N111" s="26" t="n">
        <f aca="false">N(K111)+N(L111)-N(M111)</f>
        <v>0</v>
      </c>
      <c r="O111" s="37" t="n">
        <f aca="false">'Jun 2027'!R111</f>
        <v>0</v>
      </c>
      <c r="P111" s="37" t="n">
        <f aca="false">IF(B111="",0,N(Students!H100))</f>
        <v>0</v>
      </c>
      <c r="Q111" s="23"/>
      <c r="R111" s="26" t="n">
        <f aca="false">N(O111)+N(P111)-N(Q111)</f>
        <v>0</v>
      </c>
      <c r="S111" s="37" t="n">
        <f aca="false">'Jun 2027'!V111</f>
        <v>0</v>
      </c>
      <c r="T111" s="37" t="n">
        <f aca="false">IF(B111="",0,N(Students!I100))</f>
        <v>0</v>
      </c>
      <c r="U111" s="23"/>
      <c r="V111" s="26" t="n">
        <f aca="false">N(S111)+N(T111)-N(U111)</f>
        <v>0</v>
      </c>
      <c r="W111" s="37" t="n">
        <f aca="false">'Jun 2027'!Z111</f>
        <v>0</v>
      </c>
      <c r="X111" s="37" t="n">
        <f aca="false">IF(B111="",0,N(Students!J100))</f>
        <v>0</v>
      </c>
      <c r="Y111" s="23"/>
      <c r="Z111" s="26" t="n">
        <f aca="false">N(W111)+N(X111)-N(Y111)</f>
        <v>0</v>
      </c>
      <c r="AA111" s="37" t="n">
        <f aca="false">N(E111)+N(I111)+N(M111)+N(Q111)+N(U111)+N(Y111)</f>
        <v>0</v>
      </c>
      <c r="AB111" s="26" t="n">
        <f aca="false">F111+J111+N111+R111+V111+Z111</f>
        <v>0</v>
      </c>
      <c r="AC111" s="83" t="str">
        <f aca="false">IF(B111="","",IF(AB111&lt;=0,"Clear",IF(AA111&gt;0,"Partial","Due")))</f>
        <v/>
      </c>
    </row>
    <row r="112" customFormat="false" ht="15" hidden="false" customHeight="false" outlineLevel="0" collapsed="false">
      <c r="A112" s="21" t="n">
        <v>97</v>
      </c>
      <c r="B112" s="46" t="str">
        <f aca="false">IF(Students!B101="","",Students!B101)</f>
        <v/>
      </c>
      <c r="C112" s="33" t="n">
        <f aca="false">'Jun 2027'!F112</f>
        <v>0</v>
      </c>
      <c r="D112" s="33" t="n">
        <f aca="false">IF(B112="",0,N(Students!E101))</f>
        <v>0</v>
      </c>
      <c r="E112" s="23"/>
      <c r="F112" s="24" t="n">
        <f aca="false">N(C112)+N(D112)-N(E112)</f>
        <v>0</v>
      </c>
      <c r="G112" s="33" t="n">
        <f aca="false">'Jun 2027'!J112</f>
        <v>0</v>
      </c>
      <c r="H112" s="33" t="n">
        <f aca="false">IF(B112="",0,N(Students!F101))</f>
        <v>0</v>
      </c>
      <c r="I112" s="23"/>
      <c r="J112" s="24" t="n">
        <f aca="false">N(G112)+N(H112)-N(I112)</f>
        <v>0</v>
      </c>
      <c r="K112" s="33" t="n">
        <f aca="false">'Jun 2027'!N112</f>
        <v>0</v>
      </c>
      <c r="L112" s="33" t="n">
        <f aca="false">IF(B112="",0,N(Students!G101))</f>
        <v>0</v>
      </c>
      <c r="M112" s="23"/>
      <c r="N112" s="24" t="n">
        <f aca="false">N(K112)+N(L112)-N(M112)</f>
        <v>0</v>
      </c>
      <c r="O112" s="33" t="n">
        <f aca="false">'Jun 2027'!R112</f>
        <v>0</v>
      </c>
      <c r="P112" s="33" t="n">
        <f aca="false">IF(B112="",0,N(Students!H101))</f>
        <v>0</v>
      </c>
      <c r="Q112" s="23"/>
      <c r="R112" s="24" t="n">
        <f aca="false">N(O112)+N(P112)-N(Q112)</f>
        <v>0</v>
      </c>
      <c r="S112" s="33" t="n">
        <f aca="false">'Jun 2027'!V112</f>
        <v>0</v>
      </c>
      <c r="T112" s="33" t="n">
        <f aca="false">IF(B112="",0,N(Students!I101))</f>
        <v>0</v>
      </c>
      <c r="U112" s="23"/>
      <c r="V112" s="24" t="n">
        <f aca="false">N(S112)+N(T112)-N(U112)</f>
        <v>0</v>
      </c>
      <c r="W112" s="33" t="n">
        <f aca="false">'Jun 2027'!Z112</f>
        <v>0</v>
      </c>
      <c r="X112" s="33" t="n">
        <f aca="false">IF(B112="",0,N(Students!J101))</f>
        <v>0</v>
      </c>
      <c r="Y112" s="23"/>
      <c r="Z112" s="24" t="n">
        <f aca="false">N(W112)+N(X112)-N(Y112)</f>
        <v>0</v>
      </c>
      <c r="AA112" s="33" t="n">
        <f aca="false">N(E112)+N(I112)+N(M112)+N(Q112)+N(U112)+N(Y112)</f>
        <v>0</v>
      </c>
      <c r="AB112" s="24" t="n">
        <f aca="false">F112+J112+N112+R112+V112+Z112</f>
        <v>0</v>
      </c>
      <c r="AC112" s="81" t="str">
        <f aca="false">IF(B112="","",IF(AB112&lt;=0,"Clear",IF(AA112&gt;0,"Partial","Due")))</f>
        <v/>
      </c>
    </row>
    <row r="113" customFormat="false" ht="15" hidden="false" customHeight="false" outlineLevel="0" collapsed="false">
      <c r="A113" s="25" t="n">
        <v>98</v>
      </c>
      <c r="B113" s="82" t="str">
        <f aca="false">IF(Students!B102="","",Students!B102)</f>
        <v/>
      </c>
      <c r="C113" s="37" t="n">
        <f aca="false">'Jun 2027'!F113</f>
        <v>0</v>
      </c>
      <c r="D113" s="37" t="n">
        <f aca="false">IF(B113="",0,N(Students!E102))</f>
        <v>0</v>
      </c>
      <c r="E113" s="23"/>
      <c r="F113" s="26" t="n">
        <f aca="false">N(C113)+N(D113)-N(E113)</f>
        <v>0</v>
      </c>
      <c r="G113" s="37" t="n">
        <f aca="false">'Jun 2027'!J113</f>
        <v>0</v>
      </c>
      <c r="H113" s="37" t="n">
        <f aca="false">IF(B113="",0,N(Students!F102))</f>
        <v>0</v>
      </c>
      <c r="I113" s="23"/>
      <c r="J113" s="26" t="n">
        <f aca="false">N(G113)+N(H113)-N(I113)</f>
        <v>0</v>
      </c>
      <c r="K113" s="37" t="n">
        <f aca="false">'Jun 2027'!N113</f>
        <v>0</v>
      </c>
      <c r="L113" s="37" t="n">
        <f aca="false">IF(B113="",0,N(Students!G102))</f>
        <v>0</v>
      </c>
      <c r="M113" s="23"/>
      <c r="N113" s="26" t="n">
        <f aca="false">N(K113)+N(L113)-N(M113)</f>
        <v>0</v>
      </c>
      <c r="O113" s="37" t="n">
        <f aca="false">'Jun 2027'!R113</f>
        <v>0</v>
      </c>
      <c r="P113" s="37" t="n">
        <f aca="false">IF(B113="",0,N(Students!H102))</f>
        <v>0</v>
      </c>
      <c r="Q113" s="23"/>
      <c r="R113" s="26" t="n">
        <f aca="false">N(O113)+N(P113)-N(Q113)</f>
        <v>0</v>
      </c>
      <c r="S113" s="37" t="n">
        <f aca="false">'Jun 2027'!V113</f>
        <v>0</v>
      </c>
      <c r="T113" s="37" t="n">
        <f aca="false">IF(B113="",0,N(Students!I102))</f>
        <v>0</v>
      </c>
      <c r="U113" s="23"/>
      <c r="V113" s="26" t="n">
        <f aca="false">N(S113)+N(T113)-N(U113)</f>
        <v>0</v>
      </c>
      <c r="W113" s="37" t="n">
        <f aca="false">'Jun 2027'!Z113</f>
        <v>0</v>
      </c>
      <c r="X113" s="37" t="n">
        <f aca="false">IF(B113="",0,N(Students!J102))</f>
        <v>0</v>
      </c>
      <c r="Y113" s="23"/>
      <c r="Z113" s="26" t="n">
        <f aca="false">N(W113)+N(X113)-N(Y113)</f>
        <v>0</v>
      </c>
      <c r="AA113" s="37" t="n">
        <f aca="false">N(E113)+N(I113)+N(M113)+N(Q113)+N(U113)+N(Y113)</f>
        <v>0</v>
      </c>
      <c r="AB113" s="26" t="n">
        <f aca="false">F113+J113+N113+R113+V113+Z113</f>
        <v>0</v>
      </c>
      <c r="AC113" s="83" t="str">
        <f aca="false">IF(B113="","",IF(AB113&lt;=0,"Clear",IF(AA113&gt;0,"Partial","Due")))</f>
        <v/>
      </c>
    </row>
    <row r="114" customFormat="false" ht="15" hidden="false" customHeight="false" outlineLevel="0" collapsed="false">
      <c r="A114" s="21" t="n">
        <v>99</v>
      </c>
      <c r="B114" s="46" t="str">
        <f aca="false">IF(Students!B103="","",Students!B103)</f>
        <v/>
      </c>
      <c r="C114" s="33" t="n">
        <f aca="false">'Jun 2027'!F114</f>
        <v>0</v>
      </c>
      <c r="D114" s="33" t="n">
        <f aca="false">IF(B114="",0,N(Students!E103))</f>
        <v>0</v>
      </c>
      <c r="E114" s="23"/>
      <c r="F114" s="24" t="n">
        <f aca="false">N(C114)+N(D114)-N(E114)</f>
        <v>0</v>
      </c>
      <c r="G114" s="33" t="n">
        <f aca="false">'Jun 2027'!J114</f>
        <v>0</v>
      </c>
      <c r="H114" s="33" t="n">
        <f aca="false">IF(B114="",0,N(Students!F103))</f>
        <v>0</v>
      </c>
      <c r="I114" s="23"/>
      <c r="J114" s="24" t="n">
        <f aca="false">N(G114)+N(H114)-N(I114)</f>
        <v>0</v>
      </c>
      <c r="K114" s="33" t="n">
        <f aca="false">'Jun 2027'!N114</f>
        <v>0</v>
      </c>
      <c r="L114" s="33" t="n">
        <f aca="false">IF(B114="",0,N(Students!G103))</f>
        <v>0</v>
      </c>
      <c r="M114" s="23"/>
      <c r="N114" s="24" t="n">
        <f aca="false">N(K114)+N(L114)-N(M114)</f>
        <v>0</v>
      </c>
      <c r="O114" s="33" t="n">
        <f aca="false">'Jun 2027'!R114</f>
        <v>0</v>
      </c>
      <c r="P114" s="33" t="n">
        <f aca="false">IF(B114="",0,N(Students!H103))</f>
        <v>0</v>
      </c>
      <c r="Q114" s="23"/>
      <c r="R114" s="24" t="n">
        <f aca="false">N(O114)+N(P114)-N(Q114)</f>
        <v>0</v>
      </c>
      <c r="S114" s="33" t="n">
        <f aca="false">'Jun 2027'!V114</f>
        <v>0</v>
      </c>
      <c r="T114" s="33" t="n">
        <f aca="false">IF(B114="",0,N(Students!I103))</f>
        <v>0</v>
      </c>
      <c r="U114" s="23"/>
      <c r="V114" s="24" t="n">
        <f aca="false">N(S114)+N(T114)-N(U114)</f>
        <v>0</v>
      </c>
      <c r="W114" s="33" t="n">
        <f aca="false">'Jun 2027'!Z114</f>
        <v>0</v>
      </c>
      <c r="X114" s="33" t="n">
        <f aca="false">IF(B114="",0,N(Students!J103))</f>
        <v>0</v>
      </c>
      <c r="Y114" s="23"/>
      <c r="Z114" s="24" t="n">
        <f aca="false">N(W114)+N(X114)-N(Y114)</f>
        <v>0</v>
      </c>
      <c r="AA114" s="33" t="n">
        <f aca="false">N(E114)+N(I114)+N(M114)+N(Q114)+N(U114)+N(Y114)</f>
        <v>0</v>
      </c>
      <c r="AB114" s="24" t="n">
        <f aca="false">F114+J114+N114+R114+V114+Z114</f>
        <v>0</v>
      </c>
      <c r="AC114" s="81" t="str">
        <f aca="false">IF(B114="","",IF(AB114&lt;=0,"Clear",IF(AA114&gt;0,"Partial","Due")))</f>
        <v/>
      </c>
    </row>
    <row r="115" customFormat="false" ht="15" hidden="false" customHeight="false" outlineLevel="0" collapsed="false">
      <c r="A115" s="25" t="n">
        <v>100</v>
      </c>
      <c r="B115" s="82" t="str">
        <f aca="false">IF(Students!B104="","",Students!B104)</f>
        <v/>
      </c>
      <c r="C115" s="37" t="n">
        <f aca="false">'Jun 2027'!F115</f>
        <v>0</v>
      </c>
      <c r="D115" s="37" t="n">
        <f aca="false">IF(B115="",0,N(Students!E104))</f>
        <v>0</v>
      </c>
      <c r="E115" s="23"/>
      <c r="F115" s="26" t="n">
        <f aca="false">N(C115)+N(D115)-N(E115)</f>
        <v>0</v>
      </c>
      <c r="G115" s="37" t="n">
        <f aca="false">'Jun 2027'!J115</f>
        <v>0</v>
      </c>
      <c r="H115" s="37" t="n">
        <f aca="false">IF(B115="",0,N(Students!F104))</f>
        <v>0</v>
      </c>
      <c r="I115" s="23"/>
      <c r="J115" s="26" t="n">
        <f aca="false">N(G115)+N(H115)-N(I115)</f>
        <v>0</v>
      </c>
      <c r="K115" s="37" t="n">
        <f aca="false">'Jun 2027'!N115</f>
        <v>0</v>
      </c>
      <c r="L115" s="37" t="n">
        <f aca="false">IF(B115="",0,N(Students!G104))</f>
        <v>0</v>
      </c>
      <c r="M115" s="23"/>
      <c r="N115" s="26" t="n">
        <f aca="false">N(K115)+N(L115)-N(M115)</f>
        <v>0</v>
      </c>
      <c r="O115" s="37" t="n">
        <f aca="false">'Jun 2027'!R115</f>
        <v>0</v>
      </c>
      <c r="P115" s="37" t="n">
        <f aca="false">IF(B115="",0,N(Students!H104))</f>
        <v>0</v>
      </c>
      <c r="Q115" s="23"/>
      <c r="R115" s="26" t="n">
        <f aca="false">N(O115)+N(P115)-N(Q115)</f>
        <v>0</v>
      </c>
      <c r="S115" s="37" t="n">
        <f aca="false">'Jun 2027'!V115</f>
        <v>0</v>
      </c>
      <c r="T115" s="37" t="n">
        <f aca="false">IF(B115="",0,N(Students!I104))</f>
        <v>0</v>
      </c>
      <c r="U115" s="23"/>
      <c r="V115" s="26" t="n">
        <f aca="false">N(S115)+N(T115)-N(U115)</f>
        <v>0</v>
      </c>
      <c r="W115" s="37" t="n">
        <f aca="false">'Jun 2027'!Z115</f>
        <v>0</v>
      </c>
      <c r="X115" s="37" t="n">
        <f aca="false">IF(B115="",0,N(Students!J104))</f>
        <v>0</v>
      </c>
      <c r="Y115" s="23"/>
      <c r="Z115" s="26" t="n">
        <f aca="false">N(W115)+N(X115)-N(Y115)</f>
        <v>0</v>
      </c>
      <c r="AA115" s="37" t="n">
        <f aca="false">N(E115)+N(I115)+N(M115)+N(Q115)+N(U115)+N(Y115)</f>
        <v>0</v>
      </c>
      <c r="AB115" s="26" t="n">
        <f aca="false">F115+J115+N115+R115+V115+Z115</f>
        <v>0</v>
      </c>
      <c r="AC115" s="83" t="str">
        <f aca="false">IF(B115="","",IF(AB115&lt;=0,"Clear",IF(AA115&gt;0,"Partial","Due")))</f>
        <v/>
      </c>
    </row>
    <row r="116" customFormat="false" ht="15" hidden="false" customHeight="false" outlineLevel="0" collapsed="false">
      <c r="A116" s="21" t="n">
        <v>101</v>
      </c>
      <c r="B116" s="46" t="str">
        <f aca="false">IF(Students!B105="","",Students!B105)</f>
        <v/>
      </c>
      <c r="C116" s="33" t="n">
        <f aca="false">'Jun 2027'!F116</f>
        <v>0</v>
      </c>
      <c r="D116" s="33" t="n">
        <f aca="false">IF(B116="",0,N(Students!E105))</f>
        <v>0</v>
      </c>
      <c r="E116" s="23"/>
      <c r="F116" s="24" t="n">
        <f aca="false">N(C116)+N(D116)-N(E116)</f>
        <v>0</v>
      </c>
      <c r="G116" s="33" t="n">
        <f aca="false">'Jun 2027'!J116</f>
        <v>0</v>
      </c>
      <c r="H116" s="33" t="n">
        <f aca="false">IF(B116="",0,N(Students!F105))</f>
        <v>0</v>
      </c>
      <c r="I116" s="23"/>
      <c r="J116" s="24" t="n">
        <f aca="false">N(G116)+N(H116)-N(I116)</f>
        <v>0</v>
      </c>
      <c r="K116" s="33" t="n">
        <f aca="false">'Jun 2027'!N116</f>
        <v>0</v>
      </c>
      <c r="L116" s="33" t="n">
        <f aca="false">IF(B116="",0,N(Students!G105))</f>
        <v>0</v>
      </c>
      <c r="M116" s="23"/>
      <c r="N116" s="24" t="n">
        <f aca="false">N(K116)+N(L116)-N(M116)</f>
        <v>0</v>
      </c>
      <c r="O116" s="33" t="n">
        <f aca="false">'Jun 2027'!R116</f>
        <v>0</v>
      </c>
      <c r="P116" s="33" t="n">
        <f aca="false">IF(B116="",0,N(Students!H105))</f>
        <v>0</v>
      </c>
      <c r="Q116" s="23"/>
      <c r="R116" s="24" t="n">
        <f aca="false">N(O116)+N(P116)-N(Q116)</f>
        <v>0</v>
      </c>
      <c r="S116" s="33" t="n">
        <f aca="false">'Jun 2027'!V116</f>
        <v>0</v>
      </c>
      <c r="T116" s="33" t="n">
        <f aca="false">IF(B116="",0,N(Students!I105))</f>
        <v>0</v>
      </c>
      <c r="U116" s="23"/>
      <c r="V116" s="24" t="n">
        <f aca="false">N(S116)+N(T116)-N(U116)</f>
        <v>0</v>
      </c>
      <c r="W116" s="33" t="n">
        <f aca="false">'Jun 2027'!Z116</f>
        <v>0</v>
      </c>
      <c r="X116" s="33" t="n">
        <f aca="false">IF(B116="",0,N(Students!J105))</f>
        <v>0</v>
      </c>
      <c r="Y116" s="23"/>
      <c r="Z116" s="24" t="n">
        <f aca="false">N(W116)+N(X116)-N(Y116)</f>
        <v>0</v>
      </c>
      <c r="AA116" s="33" t="n">
        <f aca="false">N(E116)+N(I116)+N(M116)+N(Q116)+N(U116)+N(Y116)</f>
        <v>0</v>
      </c>
      <c r="AB116" s="24" t="n">
        <f aca="false">F116+J116+N116+R116+V116+Z116</f>
        <v>0</v>
      </c>
      <c r="AC116" s="81" t="str">
        <f aca="false">IF(B116="","",IF(AB116&lt;=0,"Clear",IF(AA116&gt;0,"Partial","Due")))</f>
        <v/>
      </c>
    </row>
    <row r="117" customFormat="false" ht="15" hidden="false" customHeight="false" outlineLevel="0" collapsed="false">
      <c r="A117" s="25" t="n">
        <v>102</v>
      </c>
      <c r="B117" s="82" t="str">
        <f aca="false">IF(Students!B106="","",Students!B106)</f>
        <v/>
      </c>
      <c r="C117" s="37" t="n">
        <f aca="false">'Jun 2027'!F117</f>
        <v>0</v>
      </c>
      <c r="D117" s="37" t="n">
        <f aca="false">IF(B117="",0,N(Students!E106))</f>
        <v>0</v>
      </c>
      <c r="E117" s="23"/>
      <c r="F117" s="26" t="n">
        <f aca="false">N(C117)+N(D117)-N(E117)</f>
        <v>0</v>
      </c>
      <c r="G117" s="37" t="n">
        <f aca="false">'Jun 2027'!J117</f>
        <v>0</v>
      </c>
      <c r="H117" s="37" t="n">
        <f aca="false">IF(B117="",0,N(Students!F106))</f>
        <v>0</v>
      </c>
      <c r="I117" s="23"/>
      <c r="J117" s="26" t="n">
        <f aca="false">N(G117)+N(H117)-N(I117)</f>
        <v>0</v>
      </c>
      <c r="K117" s="37" t="n">
        <f aca="false">'Jun 2027'!N117</f>
        <v>0</v>
      </c>
      <c r="L117" s="37" t="n">
        <f aca="false">IF(B117="",0,N(Students!G106))</f>
        <v>0</v>
      </c>
      <c r="M117" s="23"/>
      <c r="N117" s="26" t="n">
        <f aca="false">N(K117)+N(L117)-N(M117)</f>
        <v>0</v>
      </c>
      <c r="O117" s="37" t="n">
        <f aca="false">'Jun 2027'!R117</f>
        <v>0</v>
      </c>
      <c r="P117" s="37" t="n">
        <f aca="false">IF(B117="",0,N(Students!H106))</f>
        <v>0</v>
      </c>
      <c r="Q117" s="23"/>
      <c r="R117" s="26" t="n">
        <f aca="false">N(O117)+N(P117)-N(Q117)</f>
        <v>0</v>
      </c>
      <c r="S117" s="37" t="n">
        <f aca="false">'Jun 2027'!V117</f>
        <v>0</v>
      </c>
      <c r="T117" s="37" t="n">
        <f aca="false">IF(B117="",0,N(Students!I106))</f>
        <v>0</v>
      </c>
      <c r="U117" s="23"/>
      <c r="V117" s="26" t="n">
        <f aca="false">N(S117)+N(T117)-N(U117)</f>
        <v>0</v>
      </c>
      <c r="W117" s="37" t="n">
        <f aca="false">'Jun 2027'!Z117</f>
        <v>0</v>
      </c>
      <c r="X117" s="37" t="n">
        <f aca="false">IF(B117="",0,N(Students!J106))</f>
        <v>0</v>
      </c>
      <c r="Y117" s="23"/>
      <c r="Z117" s="26" t="n">
        <f aca="false">N(W117)+N(X117)-N(Y117)</f>
        <v>0</v>
      </c>
      <c r="AA117" s="37" t="n">
        <f aca="false">N(E117)+N(I117)+N(M117)+N(Q117)+N(U117)+N(Y117)</f>
        <v>0</v>
      </c>
      <c r="AB117" s="26" t="n">
        <f aca="false">F117+J117+N117+R117+V117+Z117</f>
        <v>0</v>
      </c>
      <c r="AC117" s="83" t="str">
        <f aca="false">IF(B117="","",IF(AB117&lt;=0,"Clear",IF(AA117&gt;0,"Partial","Due")))</f>
        <v/>
      </c>
    </row>
    <row r="118" customFormat="false" ht="15" hidden="false" customHeight="false" outlineLevel="0" collapsed="false">
      <c r="A118" s="21" t="n">
        <v>103</v>
      </c>
      <c r="B118" s="46" t="str">
        <f aca="false">IF(Students!B107="","",Students!B107)</f>
        <v/>
      </c>
      <c r="C118" s="33" t="n">
        <f aca="false">'Jun 2027'!F118</f>
        <v>0</v>
      </c>
      <c r="D118" s="33" t="n">
        <f aca="false">IF(B118="",0,N(Students!E107))</f>
        <v>0</v>
      </c>
      <c r="E118" s="23"/>
      <c r="F118" s="24" t="n">
        <f aca="false">N(C118)+N(D118)-N(E118)</f>
        <v>0</v>
      </c>
      <c r="G118" s="33" t="n">
        <f aca="false">'Jun 2027'!J118</f>
        <v>0</v>
      </c>
      <c r="H118" s="33" t="n">
        <f aca="false">IF(B118="",0,N(Students!F107))</f>
        <v>0</v>
      </c>
      <c r="I118" s="23"/>
      <c r="J118" s="24" t="n">
        <f aca="false">N(G118)+N(H118)-N(I118)</f>
        <v>0</v>
      </c>
      <c r="K118" s="33" t="n">
        <f aca="false">'Jun 2027'!N118</f>
        <v>0</v>
      </c>
      <c r="L118" s="33" t="n">
        <f aca="false">IF(B118="",0,N(Students!G107))</f>
        <v>0</v>
      </c>
      <c r="M118" s="23"/>
      <c r="N118" s="24" t="n">
        <f aca="false">N(K118)+N(L118)-N(M118)</f>
        <v>0</v>
      </c>
      <c r="O118" s="33" t="n">
        <f aca="false">'Jun 2027'!R118</f>
        <v>0</v>
      </c>
      <c r="P118" s="33" t="n">
        <f aca="false">IF(B118="",0,N(Students!H107))</f>
        <v>0</v>
      </c>
      <c r="Q118" s="23"/>
      <c r="R118" s="24" t="n">
        <f aca="false">N(O118)+N(P118)-N(Q118)</f>
        <v>0</v>
      </c>
      <c r="S118" s="33" t="n">
        <f aca="false">'Jun 2027'!V118</f>
        <v>0</v>
      </c>
      <c r="T118" s="33" t="n">
        <f aca="false">IF(B118="",0,N(Students!I107))</f>
        <v>0</v>
      </c>
      <c r="U118" s="23"/>
      <c r="V118" s="24" t="n">
        <f aca="false">N(S118)+N(T118)-N(U118)</f>
        <v>0</v>
      </c>
      <c r="W118" s="33" t="n">
        <f aca="false">'Jun 2027'!Z118</f>
        <v>0</v>
      </c>
      <c r="X118" s="33" t="n">
        <f aca="false">IF(B118="",0,N(Students!J107))</f>
        <v>0</v>
      </c>
      <c r="Y118" s="23"/>
      <c r="Z118" s="24" t="n">
        <f aca="false">N(W118)+N(X118)-N(Y118)</f>
        <v>0</v>
      </c>
      <c r="AA118" s="33" t="n">
        <f aca="false">N(E118)+N(I118)+N(M118)+N(Q118)+N(U118)+N(Y118)</f>
        <v>0</v>
      </c>
      <c r="AB118" s="24" t="n">
        <f aca="false">F118+J118+N118+R118+V118+Z118</f>
        <v>0</v>
      </c>
      <c r="AC118" s="81" t="str">
        <f aca="false">IF(B118="","",IF(AB118&lt;=0,"Clear",IF(AA118&gt;0,"Partial","Due")))</f>
        <v/>
      </c>
    </row>
    <row r="119" customFormat="false" ht="15" hidden="false" customHeight="false" outlineLevel="0" collapsed="false">
      <c r="A119" s="25" t="n">
        <v>104</v>
      </c>
      <c r="B119" s="82" t="str">
        <f aca="false">IF(Students!B108="","",Students!B108)</f>
        <v/>
      </c>
      <c r="C119" s="37" t="n">
        <f aca="false">'Jun 2027'!F119</f>
        <v>0</v>
      </c>
      <c r="D119" s="37" t="n">
        <f aca="false">IF(B119="",0,N(Students!E108))</f>
        <v>0</v>
      </c>
      <c r="E119" s="23"/>
      <c r="F119" s="26" t="n">
        <f aca="false">N(C119)+N(D119)-N(E119)</f>
        <v>0</v>
      </c>
      <c r="G119" s="37" t="n">
        <f aca="false">'Jun 2027'!J119</f>
        <v>0</v>
      </c>
      <c r="H119" s="37" t="n">
        <f aca="false">IF(B119="",0,N(Students!F108))</f>
        <v>0</v>
      </c>
      <c r="I119" s="23"/>
      <c r="J119" s="26" t="n">
        <f aca="false">N(G119)+N(H119)-N(I119)</f>
        <v>0</v>
      </c>
      <c r="K119" s="37" t="n">
        <f aca="false">'Jun 2027'!N119</f>
        <v>0</v>
      </c>
      <c r="L119" s="37" t="n">
        <f aca="false">IF(B119="",0,N(Students!G108))</f>
        <v>0</v>
      </c>
      <c r="M119" s="23"/>
      <c r="N119" s="26" t="n">
        <f aca="false">N(K119)+N(L119)-N(M119)</f>
        <v>0</v>
      </c>
      <c r="O119" s="37" t="n">
        <f aca="false">'Jun 2027'!R119</f>
        <v>0</v>
      </c>
      <c r="P119" s="37" t="n">
        <f aca="false">IF(B119="",0,N(Students!H108))</f>
        <v>0</v>
      </c>
      <c r="Q119" s="23"/>
      <c r="R119" s="26" t="n">
        <f aca="false">N(O119)+N(P119)-N(Q119)</f>
        <v>0</v>
      </c>
      <c r="S119" s="37" t="n">
        <f aca="false">'Jun 2027'!V119</f>
        <v>0</v>
      </c>
      <c r="T119" s="37" t="n">
        <f aca="false">IF(B119="",0,N(Students!I108))</f>
        <v>0</v>
      </c>
      <c r="U119" s="23"/>
      <c r="V119" s="26" t="n">
        <f aca="false">N(S119)+N(T119)-N(U119)</f>
        <v>0</v>
      </c>
      <c r="W119" s="37" t="n">
        <f aca="false">'Jun 2027'!Z119</f>
        <v>0</v>
      </c>
      <c r="X119" s="37" t="n">
        <f aca="false">IF(B119="",0,N(Students!J108))</f>
        <v>0</v>
      </c>
      <c r="Y119" s="23"/>
      <c r="Z119" s="26" t="n">
        <f aca="false">N(W119)+N(X119)-N(Y119)</f>
        <v>0</v>
      </c>
      <c r="AA119" s="37" t="n">
        <f aca="false">N(E119)+N(I119)+N(M119)+N(Q119)+N(U119)+N(Y119)</f>
        <v>0</v>
      </c>
      <c r="AB119" s="26" t="n">
        <f aca="false">F119+J119+N119+R119+V119+Z119</f>
        <v>0</v>
      </c>
      <c r="AC119" s="83" t="str">
        <f aca="false">IF(B119="","",IF(AB119&lt;=0,"Clear",IF(AA119&gt;0,"Partial","Due")))</f>
        <v/>
      </c>
    </row>
    <row r="120" customFormat="false" ht="15" hidden="false" customHeight="false" outlineLevel="0" collapsed="false">
      <c r="A120" s="21" t="n">
        <v>105</v>
      </c>
      <c r="B120" s="46" t="str">
        <f aca="false">IF(Students!B109="","",Students!B109)</f>
        <v/>
      </c>
      <c r="C120" s="33" t="n">
        <f aca="false">'Jun 2027'!F120</f>
        <v>0</v>
      </c>
      <c r="D120" s="33" t="n">
        <f aca="false">IF(B120="",0,N(Students!E109))</f>
        <v>0</v>
      </c>
      <c r="E120" s="23"/>
      <c r="F120" s="24" t="n">
        <f aca="false">N(C120)+N(D120)-N(E120)</f>
        <v>0</v>
      </c>
      <c r="G120" s="33" t="n">
        <f aca="false">'Jun 2027'!J120</f>
        <v>0</v>
      </c>
      <c r="H120" s="33" t="n">
        <f aca="false">IF(B120="",0,N(Students!F109))</f>
        <v>0</v>
      </c>
      <c r="I120" s="23"/>
      <c r="J120" s="24" t="n">
        <f aca="false">N(G120)+N(H120)-N(I120)</f>
        <v>0</v>
      </c>
      <c r="K120" s="33" t="n">
        <f aca="false">'Jun 2027'!N120</f>
        <v>0</v>
      </c>
      <c r="L120" s="33" t="n">
        <f aca="false">IF(B120="",0,N(Students!G109))</f>
        <v>0</v>
      </c>
      <c r="M120" s="23"/>
      <c r="N120" s="24" t="n">
        <f aca="false">N(K120)+N(L120)-N(M120)</f>
        <v>0</v>
      </c>
      <c r="O120" s="33" t="n">
        <f aca="false">'Jun 2027'!R120</f>
        <v>0</v>
      </c>
      <c r="P120" s="33" t="n">
        <f aca="false">IF(B120="",0,N(Students!H109))</f>
        <v>0</v>
      </c>
      <c r="Q120" s="23"/>
      <c r="R120" s="24" t="n">
        <f aca="false">N(O120)+N(P120)-N(Q120)</f>
        <v>0</v>
      </c>
      <c r="S120" s="33" t="n">
        <f aca="false">'Jun 2027'!V120</f>
        <v>0</v>
      </c>
      <c r="T120" s="33" t="n">
        <f aca="false">IF(B120="",0,N(Students!I109))</f>
        <v>0</v>
      </c>
      <c r="U120" s="23"/>
      <c r="V120" s="24" t="n">
        <f aca="false">N(S120)+N(T120)-N(U120)</f>
        <v>0</v>
      </c>
      <c r="W120" s="33" t="n">
        <f aca="false">'Jun 2027'!Z120</f>
        <v>0</v>
      </c>
      <c r="X120" s="33" t="n">
        <f aca="false">IF(B120="",0,N(Students!J109))</f>
        <v>0</v>
      </c>
      <c r="Y120" s="23"/>
      <c r="Z120" s="24" t="n">
        <f aca="false">N(W120)+N(X120)-N(Y120)</f>
        <v>0</v>
      </c>
      <c r="AA120" s="33" t="n">
        <f aca="false">N(E120)+N(I120)+N(M120)+N(Q120)+N(U120)+N(Y120)</f>
        <v>0</v>
      </c>
      <c r="AB120" s="24" t="n">
        <f aca="false">F120+J120+N120+R120+V120+Z120</f>
        <v>0</v>
      </c>
      <c r="AC120" s="81" t="str">
        <f aca="false">IF(B120="","",IF(AB120&lt;=0,"Clear",IF(AA120&gt;0,"Partial","Due")))</f>
        <v/>
      </c>
    </row>
    <row r="121" customFormat="false" ht="15" hidden="false" customHeight="false" outlineLevel="0" collapsed="false">
      <c r="A121" s="25" t="n">
        <v>106</v>
      </c>
      <c r="B121" s="82" t="str">
        <f aca="false">IF(Students!B110="","",Students!B110)</f>
        <v/>
      </c>
      <c r="C121" s="37" t="n">
        <f aca="false">'Jun 2027'!F121</f>
        <v>0</v>
      </c>
      <c r="D121" s="37" t="n">
        <f aca="false">IF(B121="",0,N(Students!E110))</f>
        <v>0</v>
      </c>
      <c r="E121" s="23"/>
      <c r="F121" s="26" t="n">
        <f aca="false">N(C121)+N(D121)-N(E121)</f>
        <v>0</v>
      </c>
      <c r="G121" s="37" t="n">
        <f aca="false">'Jun 2027'!J121</f>
        <v>0</v>
      </c>
      <c r="H121" s="37" t="n">
        <f aca="false">IF(B121="",0,N(Students!F110))</f>
        <v>0</v>
      </c>
      <c r="I121" s="23"/>
      <c r="J121" s="26" t="n">
        <f aca="false">N(G121)+N(H121)-N(I121)</f>
        <v>0</v>
      </c>
      <c r="K121" s="37" t="n">
        <f aca="false">'Jun 2027'!N121</f>
        <v>0</v>
      </c>
      <c r="L121" s="37" t="n">
        <f aca="false">IF(B121="",0,N(Students!G110))</f>
        <v>0</v>
      </c>
      <c r="M121" s="23"/>
      <c r="N121" s="26" t="n">
        <f aca="false">N(K121)+N(L121)-N(M121)</f>
        <v>0</v>
      </c>
      <c r="O121" s="37" t="n">
        <f aca="false">'Jun 2027'!R121</f>
        <v>0</v>
      </c>
      <c r="P121" s="37" t="n">
        <f aca="false">IF(B121="",0,N(Students!H110))</f>
        <v>0</v>
      </c>
      <c r="Q121" s="23"/>
      <c r="R121" s="26" t="n">
        <f aca="false">N(O121)+N(P121)-N(Q121)</f>
        <v>0</v>
      </c>
      <c r="S121" s="37" t="n">
        <f aca="false">'Jun 2027'!V121</f>
        <v>0</v>
      </c>
      <c r="T121" s="37" t="n">
        <f aca="false">IF(B121="",0,N(Students!I110))</f>
        <v>0</v>
      </c>
      <c r="U121" s="23"/>
      <c r="V121" s="26" t="n">
        <f aca="false">N(S121)+N(T121)-N(U121)</f>
        <v>0</v>
      </c>
      <c r="W121" s="37" t="n">
        <f aca="false">'Jun 2027'!Z121</f>
        <v>0</v>
      </c>
      <c r="X121" s="37" t="n">
        <f aca="false">IF(B121="",0,N(Students!J110))</f>
        <v>0</v>
      </c>
      <c r="Y121" s="23"/>
      <c r="Z121" s="26" t="n">
        <f aca="false">N(W121)+N(X121)-N(Y121)</f>
        <v>0</v>
      </c>
      <c r="AA121" s="37" t="n">
        <f aca="false">N(E121)+N(I121)+N(M121)+N(Q121)+N(U121)+N(Y121)</f>
        <v>0</v>
      </c>
      <c r="AB121" s="26" t="n">
        <f aca="false">F121+J121+N121+R121+V121+Z121</f>
        <v>0</v>
      </c>
      <c r="AC121" s="83" t="str">
        <f aca="false">IF(B121="","",IF(AB121&lt;=0,"Clear",IF(AA121&gt;0,"Partial","Due")))</f>
        <v/>
      </c>
    </row>
    <row r="122" customFormat="false" ht="15" hidden="false" customHeight="false" outlineLevel="0" collapsed="false">
      <c r="A122" s="21" t="n">
        <v>107</v>
      </c>
      <c r="B122" s="46" t="str">
        <f aca="false">IF(Students!B111="","",Students!B111)</f>
        <v/>
      </c>
      <c r="C122" s="33" t="n">
        <f aca="false">'Jun 2027'!F122</f>
        <v>0</v>
      </c>
      <c r="D122" s="33" t="n">
        <f aca="false">IF(B122="",0,N(Students!E111))</f>
        <v>0</v>
      </c>
      <c r="E122" s="23"/>
      <c r="F122" s="24" t="n">
        <f aca="false">N(C122)+N(D122)-N(E122)</f>
        <v>0</v>
      </c>
      <c r="G122" s="33" t="n">
        <f aca="false">'Jun 2027'!J122</f>
        <v>0</v>
      </c>
      <c r="H122" s="33" t="n">
        <f aca="false">IF(B122="",0,N(Students!F111))</f>
        <v>0</v>
      </c>
      <c r="I122" s="23"/>
      <c r="J122" s="24" t="n">
        <f aca="false">N(G122)+N(H122)-N(I122)</f>
        <v>0</v>
      </c>
      <c r="K122" s="33" t="n">
        <f aca="false">'Jun 2027'!N122</f>
        <v>0</v>
      </c>
      <c r="L122" s="33" t="n">
        <f aca="false">IF(B122="",0,N(Students!G111))</f>
        <v>0</v>
      </c>
      <c r="M122" s="23"/>
      <c r="N122" s="24" t="n">
        <f aca="false">N(K122)+N(L122)-N(M122)</f>
        <v>0</v>
      </c>
      <c r="O122" s="33" t="n">
        <f aca="false">'Jun 2027'!R122</f>
        <v>0</v>
      </c>
      <c r="P122" s="33" t="n">
        <f aca="false">IF(B122="",0,N(Students!H111))</f>
        <v>0</v>
      </c>
      <c r="Q122" s="23"/>
      <c r="R122" s="24" t="n">
        <f aca="false">N(O122)+N(P122)-N(Q122)</f>
        <v>0</v>
      </c>
      <c r="S122" s="33" t="n">
        <f aca="false">'Jun 2027'!V122</f>
        <v>0</v>
      </c>
      <c r="T122" s="33" t="n">
        <f aca="false">IF(B122="",0,N(Students!I111))</f>
        <v>0</v>
      </c>
      <c r="U122" s="23"/>
      <c r="V122" s="24" t="n">
        <f aca="false">N(S122)+N(T122)-N(U122)</f>
        <v>0</v>
      </c>
      <c r="W122" s="33" t="n">
        <f aca="false">'Jun 2027'!Z122</f>
        <v>0</v>
      </c>
      <c r="X122" s="33" t="n">
        <f aca="false">IF(B122="",0,N(Students!J111))</f>
        <v>0</v>
      </c>
      <c r="Y122" s="23"/>
      <c r="Z122" s="24" t="n">
        <f aca="false">N(W122)+N(X122)-N(Y122)</f>
        <v>0</v>
      </c>
      <c r="AA122" s="33" t="n">
        <f aca="false">N(E122)+N(I122)+N(M122)+N(Q122)+N(U122)+N(Y122)</f>
        <v>0</v>
      </c>
      <c r="AB122" s="24" t="n">
        <f aca="false">F122+J122+N122+R122+V122+Z122</f>
        <v>0</v>
      </c>
      <c r="AC122" s="81" t="str">
        <f aca="false">IF(B122="","",IF(AB122&lt;=0,"Clear",IF(AA122&gt;0,"Partial","Due")))</f>
        <v/>
      </c>
    </row>
    <row r="123" customFormat="false" ht="15" hidden="false" customHeight="false" outlineLevel="0" collapsed="false">
      <c r="A123" s="25" t="n">
        <v>108</v>
      </c>
      <c r="B123" s="82" t="str">
        <f aca="false">IF(Students!B112="","",Students!B112)</f>
        <v/>
      </c>
      <c r="C123" s="37" t="n">
        <f aca="false">'Jun 2027'!F123</f>
        <v>0</v>
      </c>
      <c r="D123" s="37" t="n">
        <f aca="false">IF(B123="",0,N(Students!E112))</f>
        <v>0</v>
      </c>
      <c r="E123" s="23"/>
      <c r="F123" s="26" t="n">
        <f aca="false">N(C123)+N(D123)-N(E123)</f>
        <v>0</v>
      </c>
      <c r="G123" s="37" t="n">
        <f aca="false">'Jun 2027'!J123</f>
        <v>0</v>
      </c>
      <c r="H123" s="37" t="n">
        <f aca="false">IF(B123="",0,N(Students!F112))</f>
        <v>0</v>
      </c>
      <c r="I123" s="23"/>
      <c r="J123" s="26" t="n">
        <f aca="false">N(G123)+N(H123)-N(I123)</f>
        <v>0</v>
      </c>
      <c r="K123" s="37" t="n">
        <f aca="false">'Jun 2027'!N123</f>
        <v>0</v>
      </c>
      <c r="L123" s="37" t="n">
        <f aca="false">IF(B123="",0,N(Students!G112))</f>
        <v>0</v>
      </c>
      <c r="M123" s="23"/>
      <c r="N123" s="26" t="n">
        <f aca="false">N(K123)+N(L123)-N(M123)</f>
        <v>0</v>
      </c>
      <c r="O123" s="37" t="n">
        <f aca="false">'Jun 2027'!R123</f>
        <v>0</v>
      </c>
      <c r="P123" s="37" t="n">
        <f aca="false">IF(B123="",0,N(Students!H112))</f>
        <v>0</v>
      </c>
      <c r="Q123" s="23"/>
      <c r="R123" s="26" t="n">
        <f aca="false">N(O123)+N(P123)-N(Q123)</f>
        <v>0</v>
      </c>
      <c r="S123" s="37" t="n">
        <f aca="false">'Jun 2027'!V123</f>
        <v>0</v>
      </c>
      <c r="T123" s="37" t="n">
        <f aca="false">IF(B123="",0,N(Students!I112))</f>
        <v>0</v>
      </c>
      <c r="U123" s="23"/>
      <c r="V123" s="26" t="n">
        <f aca="false">N(S123)+N(T123)-N(U123)</f>
        <v>0</v>
      </c>
      <c r="W123" s="37" t="n">
        <f aca="false">'Jun 2027'!Z123</f>
        <v>0</v>
      </c>
      <c r="X123" s="37" t="n">
        <f aca="false">IF(B123="",0,N(Students!J112))</f>
        <v>0</v>
      </c>
      <c r="Y123" s="23"/>
      <c r="Z123" s="26" t="n">
        <f aca="false">N(W123)+N(X123)-N(Y123)</f>
        <v>0</v>
      </c>
      <c r="AA123" s="37" t="n">
        <f aca="false">N(E123)+N(I123)+N(M123)+N(Q123)+N(U123)+N(Y123)</f>
        <v>0</v>
      </c>
      <c r="AB123" s="26" t="n">
        <f aca="false">F123+J123+N123+R123+V123+Z123</f>
        <v>0</v>
      </c>
      <c r="AC123" s="83" t="str">
        <f aca="false">IF(B123="","",IF(AB123&lt;=0,"Clear",IF(AA123&gt;0,"Partial","Due")))</f>
        <v/>
      </c>
    </row>
    <row r="124" customFormat="false" ht="15" hidden="false" customHeight="false" outlineLevel="0" collapsed="false">
      <c r="A124" s="21" t="n">
        <v>109</v>
      </c>
      <c r="B124" s="46" t="str">
        <f aca="false">IF(Students!B113="","",Students!B113)</f>
        <v/>
      </c>
      <c r="C124" s="33" t="n">
        <f aca="false">'Jun 2027'!F124</f>
        <v>0</v>
      </c>
      <c r="D124" s="33" t="n">
        <f aca="false">IF(B124="",0,N(Students!E113))</f>
        <v>0</v>
      </c>
      <c r="E124" s="23"/>
      <c r="F124" s="24" t="n">
        <f aca="false">N(C124)+N(D124)-N(E124)</f>
        <v>0</v>
      </c>
      <c r="G124" s="33" t="n">
        <f aca="false">'Jun 2027'!J124</f>
        <v>0</v>
      </c>
      <c r="H124" s="33" t="n">
        <f aca="false">IF(B124="",0,N(Students!F113))</f>
        <v>0</v>
      </c>
      <c r="I124" s="23"/>
      <c r="J124" s="24" t="n">
        <f aca="false">N(G124)+N(H124)-N(I124)</f>
        <v>0</v>
      </c>
      <c r="K124" s="33" t="n">
        <f aca="false">'Jun 2027'!N124</f>
        <v>0</v>
      </c>
      <c r="L124" s="33" t="n">
        <f aca="false">IF(B124="",0,N(Students!G113))</f>
        <v>0</v>
      </c>
      <c r="M124" s="23"/>
      <c r="N124" s="24" t="n">
        <f aca="false">N(K124)+N(L124)-N(M124)</f>
        <v>0</v>
      </c>
      <c r="O124" s="33" t="n">
        <f aca="false">'Jun 2027'!R124</f>
        <v>0</v>
      </c>
      <c r="P124" s="33" t="n">
        <f aca="false">IF(B124="",0,N(Students!H113))</f>
        <v>0</v>
      </c>
      <c r="Q124" s="23"/>
      <c r="R124" s="24" t="n">
        <f aca="false">N(O124)+N(P124)-N(Q124)</f>
        <v>0</v>
      </c>
      <c r="S124" s="33" t="n">
        <f aca="false">'Jun 2027'!V124</f>
        <v>0</v>
      </c>
      <c r="T124" s="33" t="n">
        <f aca="false">IF(B124="",0,N(Students!I113))</f>
        <v>0</v>
      </c>
      <c r="U124" s="23"/>
      <c r="V124" s="24" t="n">
        <f aca="false">N(S124)+N(T124)-N(U124)</f>
        <v>0</v>
      </c>
      <c r="W124" s="33" t="n">
        <f aca="false">'Jun 2027'!Z124</f>
        <v>0</v>
      </c>
      <c r="X124" s="33" t="n">
        <f aca="false">IF(B124="",0,N(Students!J113))</f>
        <v>0</v>
      </c>
      <c r="Y124" s="23"/>
      <c r="Z124" s="24" t="n">
        <f aca="false">N(W124)+N(X124)-N(Y124)</f>
        <v>0</v>
      </c>
      <c r="AA124" s="33" t="n">
        <f aca="false">N(E124)+N(I124)+N(M124)+N(Q124)+N(U124)+N(Y124)</f>
        <v>0</v>
      </c>
      <c r="AB124" s="24" t="n">
        <f aca="false">F124+J124+N124+R124+V124+Z124</f>
        <v>0</v>
      </c>
      <c r="AC124" s="81" t="str">
        <f aca="false">IF(B124="","",IF(AB124&lt;=0,"Clear",IF(AA124&gt;0,"Partial","Due")))</f>
        <v/>
      </c>
    </row>
    <row r="125" customFormat="false" ht="15" hidden="false" customHeight="false" outlineLevel="0" collapsed="false">
      <c r="A125" s="25" t="n">
        <v>110</v>
      </c>
      <c r="B125" s="82" t="str">
        <f aca="false">IF(Students!B114="","",Students!B114)</f>
        <v/>
      </c>
      <c r="C125" s="37" t="n">
        <f aca="false">'Jun 2027'!F125</f>
        <v>0</v>
      </c>
      <c r="D125" s="37" t="n">
        <f aca="false">IF(B125="",0,N(Students!E114))</f>
        <v>0</v>
      </c>
      <c r="E125" s="23"/>
      <c r="F125" s="26" t="n">
        <f aca="false">N(C125)+N(D125)-N(E125)</f>
        <v>0</v>
      </c>
      <c r="G125" s="37" t="n">
        <f aca="false">'Jun 2027'!J125</f>
        <v>0</v>
      </c>
      <c r="H125" s="37" t="n">
        <f aca="false">IF(B125="",0,N(Students!F114))</f>
        <v>0</v>
      </c>
      <c r="I125" s="23"/>
      <c r="J125" s="26" t="n">
        <f aca="false">N(G125)+N(H125)-N(I125)</f>
        <v>0</v>
      </c>
      <c r="K125" s="37" t="n">
        <f aca="false">'Jun 2027'!N125</f>
        <v>0</v>
      </c>
      <c r="L125" s="37" t="n">
        <f aca="false">IF(B125="",0,N(Students!G114))</f>
        <v>0</v>
      </c>
      <c r="M125" s="23"/>
      <c r="N125" s="26" t="n">
        <f aca="false">N(K125)+N(L125)-N(M125)</f>
        <v>0</v>
      </c>
      <c r="O125" s="37" t="n">
        <f aca="false">'Jun 2027'!R125</f>
        <v>0</v>
      </c>
      <c r="P125" s="37" t="n">
        <f aca="false">IF(B125="",0,N(Students!H114))</f>
        <v>0</v>
      </c>
      <c r="Q125" s="23"/>
      <c r="R125" s="26" t="n">
        <f aca="false">N(O125)+N(P125)-N(Q125)</f>
        <v>0</v>
      </c>
      <c r="S125" s="37" t="n">
        <f aca="false">'Jun 2027'!V125</f>
        <v>0</v>
      </c>
      <c r="T125" s="37" t="n">
        <f aca="false">IF(B125="",0,N(Students!I114))</f>
        <v>0</v>
      </c>
      <c r="U125" s="23"/>
      <c r="V125" s="26" t="n">
        <f aca="false">N(S125)+N(T125)-N(U125)</f>
        <v>0</v>
      </c>
      <c r="W125" s="37" t="n">
        <f aca="false">'Jun 2027'!Z125</f>
        <v>0</v>
      </c>
      <c r="X125" s="37" t="n">
        <f aca="false">IF(B125="",0,N(Students!J114))</f>
        <v>0</v>
      </c>
      <c r="Y125" s="23"/>
      <c r="Z125" s="26" t="n">
        <f aca="false">N(W125)+N(X125)-N(Y125)</f>
        <v>0</v>
      </c>
      <c r="AA125" s="37" t="n">
        <f aca="false">N(E125)+N(I125)+N(M125)+N(Q125)+N(U125)+N(Y125)</f>
        <v>0</v>
      </c>
      <c r="AB125" s="26" t="n">
        <f aca="false">F125+J125+N125+R125+V125+Z125</f>
        <v>0</v>
      </c>
      <c r="AC125" s="83" t="str">
        <f aca="false">IF(B125="","",IF(AB125&lt;=0,"Clear",IF(AA125&gt;0,"Partial","Due")))</f>
        <v/>
      </c>
    </row>
    <row r="126" customFormat="false" ht="15" hidden="false" customHeight="false" outlineLevel="0" collapsed="false">
      <c r="A126" s="21" t="n">
        <v>111</v>
      </c>
      <c r="B126" s="46" t="str">
        <f aca="false">IF(Students!B115="","",Students!B115)</f>
        <v/>
      </c>
      <c r="C126" s="33" t="n">
        <f aca="false">'Jun 2027'!F126</f>
        <v>0</v>
      </c>
      <c r="D126" s="33" t="n">
        <f aca="false">IF(B126="",0,N(Students!E115))</f>
        <v>0</v>
      </c>
      <c r="E126" s="23"/>
      <c r="F126" s="24" t="n">
        <f aca="false">N(C126)+N(D126)-N(E126)</f>
        <v>0</v>
      </c>
      <c r="G126" s="33" t="n">
        <f aca="false">'Jun 2027'!J126</f>
        <v>0</v>
      </c>
      <c r="H126" s="33" t="n">
        <f aca="false">IF(B126="",0,N(Students!F115))</f>
        <v>0</v>
      </c>
      <c r="I126" s="23"/>
      <c r="J126" s="24" t="n">
        <f aca="false">N(G126)+N(H126)-N(I126)</f>
        <v>0</v>
      </c>
      <c r="K126" s="33" t="n">
        <f aca="false">'Jun 2027'!N126</f>
        <v>0</v>
      </c>
      <c r="L126" s="33" t="n">
        <f aca="false">IF(B126="",0,N(Students!G115))</f>
        <v>0</v>
      </c>
      <c r="M126" s="23"/>
      <c r="N126" s="24" t="n">
        <f aca="false">N(K126)+N(L126)-N(M126)</f>
        <v>0</v>
      </c>
      <c r="O126" s="33" t="n">
        <f aca="false">'Jun 2027'!R126</f>
        <v>0</v>
      </c>
      <c r="P126" s="33" t="n">
        <f aca="false">IF(B126="",0,N(Students!H115))</f>
        <v>0</v>
      </c>
      <c r="Q126" s="23"/>
      <c r="R126" s="24" t="n">
        <f aca="false">N(O126)+N(P126)-N(Q126)</f>
        <v>0</v>
      </c>
      <c r="S126" s="33" t="n">
        <f aca="false">'Jun 2027'!V126</f>
        <v>0</v>
      </c>
      <c r="T126" s="33" t="n">
        <f aca="false">IF(B126="",0,N(Students!I115))</f>
        <v>0</v>
      </c>
      <c r="U126" s="23"/>
      <c r="V126" s="24" t="n">
        <f aca="false">N(S126)+N(T126)-N(U126)</f>
        <v>0</v>
      </c>
      <c r="W126" s="33" t="n">
        <f aca="false">'Jun 2027'!Z126</f>
        <v>0</v>
      </c>
      <c r="X126" s="33" t="n">
        <f aca="false">IF(B126="",0,N(Students!J115))</f>
        <v>0</v>
      </c>
      <c r="Y126" s="23"/>
      <c r="Z126" s="24" t="n">
        <f aca="false">N(W126)+N(X126)-N(Y126)</f>
        <v>0</v>
      </c>
      <c r="AA126" s="33" t="n">
        <f aca="false">N(E126)+N(I126)+N(M126)+N(Q126)+N(U126)+N(Y126)</f>
        <v>0</v>
      </c>
      <c r="AB126" s="24" t="n">
        <f aca="false">F126+J126+N126+R126+V126+Z126</f>
        <v>0</v>
      </c>
      <c r="AC126" s="81" t="str">
        <f aca="false">IF(B126="","",IF(AB126&lt;=0,"Clear",IF(AA126&gt;0,"Partial","Due")))</f>
        <v/>
      </c>
    </row>
    <row r="127" customFormat="false" ht="15" hidden="false" customHeight="false" outlineLevel="0" collapsed="false">
      <c r="A127" s="25" t="n">
        <v>112</v>
      </c>
      <c r="B127" s="82" t="str">
        <f aca="false">IF(Students!B116="","",Students!B116)</f>
        <v/>
      </c>
      <c r="C127" s="37" t="n">
        <f aca="false">'Jun 2027'!F127</f>
        <v>0</v>
      </c>
      <c r="D127" s="37" t="n">
        <f aca="false">IF(B127="",0,N(Students!E116))</f>
        <v>0</v>
      </c>
      <c r="E127" s="23"/>
      <c r="F127" s="26" t="n">
        <f aca="false">N(C127)+N(D127)-N(E127)</f>
        <v>0</v>
      </c>
      <c r="G127" s="37" t="n">
        <f aca="false">'Jun 2027'!J127</f>
        <v>0</v>
      </c>
      <c r="H127" s="37" t="n">
        <f aca="false">IF(B127="",0,N(Students!F116))</f>
        <v>0</v>
      </c>
      <c r="I127" s="23"/>
      <c r="J127" s="26" t="n">
        <f aca="false">N(G127)+N(H127)-N(I127)</f>
        <v>0</v>
      </c>
      <c r="K127" s="37" t="n">
        <f aca="false">'Jun 2027'!N127</f>
        <v>0</v>
      </c>
      <c r="L127" s="37" t="n">
        <f aca="false">IF(B127="",0,N(Students!G116))</f>
        <v>0</v>
      </c>
      <c r="M127" s="23"/>
      <c r="N127" s="26" t="n">
        <f aca="false">N(K127)+N(L127)-N(M127)</f>
        <v>0</v>
      </c>
      <c r="O127" s="37" t="n">
        <f aca="false">'Jun 2027'!R127</f>
        <v>0</v>
      </c>
      <c r="P127" s="37" t="n">
        <f aca="false">IF(B127="",0,N(Students!H116))</f>
        <v>0</v>
      </c>
      <c r="Q127" s="23"/>
      <c r="R127" s="26" t="n">
        <f aca="false">N(O127)+N(P127)-N(Q127)</f>
        <v>0</v>
      </c>
      <c r="S127" s="37" t="n">
        <f aca="false">'Jun 2027'!V127</f>
        <v>0</v>
      </c>
      <c r="T127" s="37" t="n">
        <f aca="false">IF(B127="",0,N(Students!I116))</f>
        <v>0</v>
      </c>
      <c r="U127" s="23"/>
      <c r="V127" s="26" t="n">
        <f aca="false">N(S127)+N(T127)-N(U127)</f>
        <v>0</v>
      </c>
      <c r="W127" s="37" t="n">
        <f aca="false">'Jun 2027'!Z127</f>
        <v>0</v>
      </c>
      <c r="X127" s="37" t="n">
        <f aca="false">IF(B127="",0,N(Students!J116))</f>
        <v>0</v>
      </c>
      <c r="Y127" s="23"/>
      <c r="Z127" s="26" t="n">
        <f aca="false">N(W127)+N(X127)-N(Y127)</f>
        <v>0</v>
      </c>
      <c r="AA127" s="37" t="n">
        <f aca="false">N(E127)+N(I127)+N(M127)+N(Q127)+N(U127)+N(Y127)</f>
        <v>0</v>
      </c>
      <c r="AB127" s="26" t="n">
        <f aca="false">F127+J127+N127+R127+V127+Z127</f>
        <v>0</v>
      </c>
      <c r="AC127" s="83" t="str">
        <f aca="false">IF(B127="","",IF(AB127&lt;=0,"Clear",IF(AA127&gt;0,"Partial","Due")))</f>
        <v/>
      </c>
    </row>
    <row r="128" customFormat="false" ht="15" hidden="false" customHeight="false" outlineLevel="0" collapsed="false">
      <c r="A128" s="21" t="n">
        <v>113</v>
      </c>
      <c r="B128" s="46" t="str">
        <f aca="false">IF(Students!B117="","",Students!B117)</f>
        <v/>
      </c>
      <c r="C128" s="33" t="n">
        <f aca="false">'Jun 2027'!F128</f>
        <v>0</v>
      </c>
      <c r="D128" s="33" t="n">
        <f aca="false">IF(B128="",0,N(Students!E117))</f>
        <v>0</v>
      </c>
      <c r="E128" s="23"/>
      <c r="F128" s="24" t="n">
        <f aca="false">N(C128)+N(D128)-N(E128)</f>
        <v>0</v>
      </c>
      <c r="G128" s="33" t="n">
        <f aca="false">'Jun 2027'!J128</f>
        <v>0</v>
      </c>
      <c r="H128" s="33" t="n">
        <f aca="false">IF(B128="",0,N(Students!F117))</f>
        <v>0</v>
      </c>
      <c r="I128" s="23"/>
      <c r="J128" s="24" t="n">
        <f aca="false">N(G128)+N(H128)-N(I128)</f>
        <v>0</v>
      </c>
      <c r="K128" s="33" t="n">
        <f aca="false">'Jun 2027'!N128</f>
        <v>0</v>
      </c>
      <c r="L128" s="33" t="n">
        <f aca="false">IF(B128="",0,N(Students!G117))</f>
        <v>0</v>
      </c>
      <c r="M128" s="23"/>
      <c r="N128" s="24" t="n">
        <f aca="false">N(K128)+N(L128)-N(M128)</f>
        <v>0</v>
      </c>
      <c r="O128" s="33" t="n">
        <f aca="false">'Jun 2027'!R128</f>
        <v>0</v>
      </c>
      <c r="P128" s="33" t="n">
        <f aca="false">IF(B128="",0,N(Students!H117))</f>
        <v>0</v>
      </c>
      <c r="Q128" s="23"/>
      <c r="R128" s="24" t="n">
        <f aca="false">N(O128)+N(P128)-N(Q128)</f>
        <v>0</v>
      </c>
      <c r="S128" s="33" t="n">
        <f aca="false">'Jun 2027'!V128</f>
        <v>0</v>
      </c>
      <c r="T128" s="33" t="n">
        <f aca="false">IF(B128="",0,N(Students!I117))</f>
        <v>0</v>
      </c>
      <c r="U128" s="23"/>
      <c r="V128" s="24" t="n">
        <f aca="false">N(S128)+N(T128)-N(U128)</f>
        <v>0</v>
      </c>
      <c r="W128" s="33" t="n">
        <f aca="false">'Jun 2027'!Z128</f>
        <v>0</v>
      </c>
      <c r="X128" s="33" t="n">
        <f aca="false">IF(B128="",0,N(Students!J117))</f>
        <v>0</v>
      </c>
      <c r="Y128" s="23"/>
      <c r="Z128" s="24" t="n">
        <f aca="false">N(W128)+N(X128)-N(Y128)</f>
        <v>0</v>
      </c>
      <c r="AA128" s="33" t="n">
        <f aca="false">N(E128)+N(I128)+N(M128)+N(Q128)+N(U128)+N(Y128)</f>
        <v>0</v>
      </c>
      <c r="AB128" s="24" t="n">
        <f aca="false">F128+J128+N128+R128+V128+Z128</f>
        <v>0</v>
      </c>
      <c r="AC128" s="81" t="str">
        <f aca="false">IF(B128="","",IF(AB128&lt;=0,"Clear",IF(AA128&gt;0,"Partial","Due")))</f>
        <v/>
      </c>
    </row>
    <row r="129" customFormat="false" ht="15" hidden="false" customHeight="false" outlineLevel="0" collapsed="false">
      <c r="A129" s="25" t="n">
        <v>114</v>
      </c>
      <c r="B129" s="82" t="str">
        <f aca="false">IF(Students!B118="","",Students!B118)</f>
        <v/>
      </c>
      <c r="C129" s="37" t="n">
        <f aca="false">'Jun 2027'!F129</f>
        <v>0</v>
      </c>
      <c r="D129" s="37" t="n">
        <f aca="false">IF(B129="",0,N(Students!E118))</f>
        <v>0</v>
      </c>
      <c r="E129" s="23"/>
      <c r="F129" s="26" t="n">
        <f aca="false">N(C129)+N(D129)-N(E129)</f>
        <v>0</v>
      </c>
      <c r="G129" s="37" t="n">
        <f aca="false">'Jun 2027'!J129</f>
        <v>0</v>
      </c>
      <c r="H129" s="37" t="n">
        <f aca="false">IF(B129="",0,N(Students!F118))</f>
        <v>0</v>
      </c>
      <c r="I129" s="23"/>
      <c r="J129" s="26" t="n">
        <f aca="false">N(G129)+N(H129)-N(I129)</f>
        <v>0</v>
      </c>
      <c r="K129" s="37" t="n">
        <f aca="false">'Jun 2027'!N129</f>
        <v>0</v>
      </c>
      <c r="L129" s="37" t="n">
        <f aca="false">IF(B129="",0,N(Students!G118))</f>
        <v>0</v>
      </c>
      <c r="M129" s="23"/>
      <c r="N129" s="26" t="n">
        <f aca="false">N(K129)+N(L129)-N(M129)</f>
        <v>0</v>
      </c>
      <c r="O129" s="37" t="n">
        <f aca="false">'Jun 2027'!R129</f>
        <v>0</v>
      </c>
      <c r="P129" s="37" t="n">
        <f aca="false">IF(B129="",0,N(Students!H118))</f>
        <v>0</v>
      </c>
      <c r="Q129" s="23"/>
      <c r="R129" s="26" t="n">
        <f aca="false">N(O129)+N(P129)-N(Q129)</f>
        <v>0</v>
      </c>
      <c r="S129" s="37" t="n">
        <f aca="false">'Jun 2027'!V129</f>
        <v>0</v>
      </c>
      <c r="T129" s="37" t="n">
        <f aca="false">IF(B129="",0,N(Students!I118))</f>
        <v>0</v>
      </c>
      <c r="U129" s="23"/>
      <c r="V129" s="26" t="n">
        <f aca="false">N(S129)+N(T129)-N(U129)</f>
        <v>0</v>
      </c>
      <c r="W129" s="37" t="n">
        <f aca="false">'Jun 2027'!Z129</f>
        <v>0</v>
      </c>
      <c r="X129" s="37" t="n">
        <f aca="false">IF(B129="",0,N(Students!J118))</f>
        <v>0</v>
      </c>
      <c r="Y129" s="23"/>
      <c r="Z129" s="26" t="n">
        <f aca="false">N(W129)+N(X129)-N(Y129)</f>
        <v>0</v>
      </c>
      <c r="AA129" s="37" t="n">
        <f aca="false">N(E129)+N(I129)+N(M129)+N(Q129)+N(U129)+N(Y129)</f>
        <v>0</v>
      </c>
      <c r="AB129" s="26" t="n">
        <f aca="false">F129+J129+N129+R129+V129+Z129</f>
        <v>0</v>
      </c>
      <c r="AC129" s="83" t="str">
        <f aca="false">IF(B129="","",IF(AB129&lt;=0,"Clear",IF(AA129&gt;0,"Partial","Due")))</f>
        <v/>
      </c>
    </row>
    <row r="130" customFormat="false" ht="15" hidden="false" customHeight="false" outlineLevel="0" collapsed="false">
      <c r="A130" s="21" t="n">
        <v>115</v>
      </c>
      <c r="B130" s="46" t="str">
        <f aca="false">IF(Students!B119="","",Students!B119)</f>
        <v/>
      </c>
      <c r="C130" s="33" t="n">
        <f aca="false">'Jun 2027'!F130</f>
        <v>0</v>
      </c>
      <c r="D130" s="33" t="n">
        <f aca="false">IF(B130="",0,N(Students!E119))</f>
        <v>0</v>
      </c>
      <c r="E130" s="23"/>
      <c r="F130" s="24" t="n">
        <f aca="false">N(C130)+N(D130)-N(E130)</f>
        <v>0</v>
      </c>
      <c r="G130" s="33" t="n">
        <f aca="false">'Jun 2027'!J130</f>
        <v>0</v>
      </c>
      <c r="H130" s="33" t="n">
        <f aca="false">IF(B130="",0,N(Students!F119))</f>
        <v>0</v>
      </c>
      <c r="I130" s="23"/>
      <c r="J130" s="24" t="n">
        <f aca="false">N(G130)+N(H130)-N(I130)</f>
        <v>0</v>
      </c>
      <c r="K130" s="33" t="n">
        <f aca="false">'Jun 2027'!N130</f>
        <v>0</v>
      </c>
      <c r="L130" s="33" t="n">
        <f aca="false">IF(B130="",0,N(Students!G119))</f>
        <v>0</v>
      </c>
      <c r="M130" s="23"/>
      <c r="N130" s="24" t="n">
        <f aca="false">N(K130)+N(L130)-N(M130)</f>
        <v>0</v>
      </c>
      <c r="O130" s="33" t="n">
        <f aca="false">'Jun 2027'!R130</f>
        <v>0</v>
      </c>
      <c r="P130" s="33" t="n">
        <f aca="false">IF(B130="",0,N(Students!H119))</f>
        <v>0</v>
      </c>
      <c r="Q130" s="23"/>
      <c r="R130" s="24" t="n">
        <f aca="false">N(O130)+N(P130)-N(Q130)</f>
        <v>0</v>
      </c>
      <c r="S130" s="33" t="n">
        <f aca="false">'Jun 2027'!V130</f>
        <v>0</v>
      </c>
      <c r="T130" s="33" t="n">
        <f aca="false">IF(B130="",0,N(Students!I119))</f>
        <v>0</v>
      </c>
      <c r="U130" s="23"/>
      <c r="V130" s="24" t="n">
        <f aca="false">N(S130)+N(T130)-N(U130)</f>
        <v>0</v>
      </c>
      <c r="W130" s="33" t="n">
        <f aca="false">'Jun 2027'!Z130</f>
        <v>0</v>
      </c>
      <c r="X130" s="33" t="n">
        <f aca="false">IF(B130="",0,N(Students!J119))</f>
        <v>0</v>
      </c>
      <c r="Y130" s="23"/>
      <c r="Z130" s="24" t="n">
        <f aca="false">N(W130)+N(X130)-N(Y130)</f>
        <v>0</v>
      </c>
      <c r="AA130" s="33" t="n">
        <f aca="false">N(E130)+N(I130)+N(M130)+N(Q130)+N(U130)+N(Y130)</f>
        <v>0</v>
      </c>
      <c r="AB130" s="24" t="n">
        <f aca="false">F130+J130+N130+R130+V130+Z130</f>
        <v>0</v>
      </c>
      <c r="AC130" s="81" t="str">
        <f aca="false">IF(B130="","",IF(AB130&lt;=0,"Clear",IF(AA130&gt;0,"Partial","Due")))</f>
        <v/>
      </c>
    </row>
    <row r="131" customFormat="false" ht="15" hidden="false" customHeight="false" outlineLevel="0" collapsed="false">
      <c r="A131" s="25" t="n">
        <v>116</v>
      </c>
      <c r="B131" s="82" t="str">
        <f aca="false">IF(Students!B120="","",Students!B120)</f>
        <v/>
      </c>
      <c r="C131" s="37" t="n">
        <f aca="false">'Jun 2027'!F131</f>
        <v>0</v>
      </c>
      <c r="D131" s="37" t="n">
        <f aca="false">IF(B131="",0,N(Students!E120))</f>
        <v>0</v>
      </c>
      <c r="E131" s="23"/>
      <c r="F131" s="26" t="n">
        <f aca="false">N(C131)+N(D131)-N(E131)</f>
        <v>0</v>
      </c>
      <c r="G131" s="37" t="n">
        <f aca="false">'Jun 2027'!J131</f>
        <v>0</v>
      </c>
      <c r="H131" s="37" t="n">
        <f aca="false">IF(B131="",0,N(Students!F120))</f>
        <v>0</v>
      </c>
      <c r="I131" s="23"/>
      <c r="J131" s="26" t="n">
        <f aca="false">N(G131)+N(H131)-N(I131)</f>
        <v>0</v>
      </c>
      <c r="K131" s="37" t="n">
        <f aca="false">'Jun 2027'!N131</f>
        <v>0</v>
      </c>
      <c r="L131" s="37" t="n">
        <f aca="false">IF(B131="",0,N(Students!G120))</f>
        <v>0</v>
      </c>
      <c r="M131" s="23"/>
      <c r="N131" s="26" t="n">
        <f aca="false">N(K131)+N(L131)-N(M131)</f>
        <v>0</v>
      </c>
      <c r="O131" s="37" t="n">
        <f aca="false">'Jun 2027'!R131</f>
        <v>0</v>
      </c>
      <c r="P131" s="37" t="n">
        <f aca="false">IF(B131="",0,N(Students!H120))</f>
        <v>0</v>
      </c>
      <c r="Q131" s="23"/>
      <c r="R131" s="26" t="n">
        <f aca="false">N(O131)+N(P131)-N(Q131)</f>
        <v>0</v>
      </c>
      <c r="S131" s="37" t="n">
        <f aca="false">'Jun 2027'!V131</f>
        <v>0</v>
      </c>
      <c r="T131" s="37" t="n">
        <f aca="false">IF(B131="",0,N(Students!I120))</f>
        <v>0</v>
      </c>
      <c r="U131" s="23"/>
      <c r="V131" s="26" t="n">
        <f aca="false">N(S131)+N(T131)-N(U131)</f>
        <v>0</v>
      </c>
      <c r="W131" s="37" t="n">
        <f aca="false">'Jun 2027'!Z131</f>
        <v>0</v>
      </c>
      <c r="X131" s="37" t="n">
        <f aca="false">IF(B131="",0,N(Students!J120))</f>
        <v>0</v>
      </c>
      <c r="Y131" s="23"/>
      <c r="Z131" s="26" t="n">
        <f aca="false">N(W131)+N(X131)-N(Y131)</f>
        <v>0</v>
      </c>
      <c r="AA131" s="37" t="n">
        <f aca="false">N(E131)+N(I131)+N(M131)+N(Q131)+N(U131)+N(Y131)</f>
        <v>0</v>
      </c>
      <c r="AB131" s="26" t="n">
        <f aca="false">F131+J131+N131+R131+V131+Z131</f>
        <v>0</v>
      </c>
      <c r="AC131" s="83" t="str">
        <f aca="false">IF(B131="","",IF(AB131&lt;=0,"Clear",IF(AA131&gt;0,"Partial","Due")))</f>
        <v/>
      </c>
    </row>
    <row r="132" customFormat="false" ht="15" hidden="false" customHeight="false" outlineLevel="0" collapsed="false">
      <c r="A132" s="21" t="n">
        <v>117</v>
      </c>
      <c r="B132" s="46" t="str">
        <f aca="false">IF(Students!B121="","",Students!B121)</f>
        <v/>
      </c>
      <c r="C132" s="33" t="n">
        <f aca="false">'Jun 2027'!F132</f>
        <v>0</v>
      </c>
      <c r="D132" s="33" t="n">
        <f aca="false">IF(B132="",0,N(Students!E121))</f>
        <v>0</v>
      </c>
      <c r="E132" s="23"/>
      <c r="F132" s="24" t="n">
        <f aca="false">N(C132)+N(D132)-N(E132)</f>
        <v>0</v>
      </c>
      <c r="G132" s="33" t="n">
        <f aca="false">'Jun 2027'!J132</f>
        <v>0</v>
      </c>
      <c r="H132" s="33" t="n">
        <f aca="false">IF(B132="",0,N(Students!F121))</f>
        <v>0</v>
      </c>
      <c r="I132" s="23"/>
      <c r="J132" s="24" t="n">
        <f aca="false">N(G132)+N(H132)-N(I132)</f>
        <v>0</v>
      </c>
      <c r="K132" s="33" t="n">
        <f aca="false">'Jun 2027'!N132</f>
        <v>0</v>
      </c>
      <c r="L132" s="33" t="n">
        <f aca="false">IF(B132="",0,N(Students!G121))</f>
        <v>0</v>
      </c>
      <c r="M132" s="23"/>
      <c r="N132" s="24" t="n">
        <f aca="false">N(K132)+N(L132)-N(M132)</f>
        <v>0</v>
      </c>
      <c r="O132" s="33" t="n">
        <f aca="false">'Jun 2027'!R132</f>
        <v>0</v>
      </c>
      <c r="P132" s="33" t="n">
        <f aca="false">IF(B132="",0,N(Students!H121))</f>
        <v>0</v>
      </c>
      <c r="Q132" s="23"/>
      <c r="R132" s="24" t="n">
        <f aca="false">N(O132)+N(P132)-N(Q132)</f>
        <v>0</v>
      </c>
      <c r="S132" s="33" t="n">
        <f aca="false">'Jun 2027'!V132</f>
        <v>0</v>
      </c>
      <c r="T132" s="33" t="n">
        <f aca="false">IF(B132="",0,N(Students!I121))</f>
        <v>0</v>
      </c>
      <c r="U132" s="23"/>
      <c r="V132" s="24" t="n">
        <f aca="false">N(S132)+N(T132)-N(U132)</f>
        <v>0</v>
      </c>
      <c r="W132" s="33" t="n">
        <f aca="false">'Jun 2027'!Z132</f>
        <v>0</v>
      </c>
      <c r="X132" s="33" t="n">
        <f aca="false">IF(B132="",0,N(Students!J121))</f>
        <v>0</v>
      </c>
      <c r="Y132" s="23"/>
      <c r="Z132" s="24" t="n">
        <f aca="false">N(W132)+N(X132)-N(Y132)</f>
        <v>0</v>
      </c>
      <c r="AA132" s="33" t="n">
        <f aca="false">N(E132)+N(I132)+N(M132)+N(Q132)+N(U132)+N(Y132)</f>
        <v>0</v>
      </c>
      <c r="AB132" s="24" t="n">
        <f aca="false">F132+J132+N132+R132+V132+Z132</f>
        <v>0</v>
      </c>
      <c r="AC132" s="81" t="str">
        <f aca="false">IF(B132="","",IF(AB132&lt;=0,"Clear",IF(AA132&gt;0,"Partial","Due")))</f>
        <v/>
      </c>
    </row>
    <row r="133" customFormat="false" ht="15" hidden="false" customHeight="false" outlineLevel="0" collapsed="false">
      <c r="A133" s="25" t="n">
        <v>118</v>
      </c>
      <c r="B133" s="82" t="str">
        <f aca="false">IF(Students!B122="","",Students!B122)</f>
        <v/>
      </c>
      <c r="C133" s="37" t="n">
        <f aca="false">'Jun 2027'!F133</f>
        <v>0</v>
      </c>
      <c r="D133" s="37" t="n">
        <f aca="false">IF(B133="",0,N(Students!E122))</f>
        <v>0</v>
      </c>
      <c r="E133" s="23"/>
      <c r="F133" s="26" t="n">
        <f aca="false">N(C133)+N(D133)-N(E133)</f>
        <v>0</v>
      </c>
      <c r="G133" s="37" t="n">
        <f aca="false">'Jun 2027'!J133</f>
        <v>0</v>
      </c>
      <c r="H133" s="37" t="n">
        <f aca="false">IF(B133="",0,N(Students!F122))</f>
        <v>0</v>
      </c>
      <c r="I133" s="23"/>
      <c r="J133" s="26" t="n">
        <f aca="false">N(G133)+N(H133)-N(I133)</f>
        <v>0</v>
      </c>
      <c r="K133" s="37" t="n">
        <f aca="false">'Jun 2027'!N133</f>
        <v>0</v>
      </c>
      <c r="L133" s="37" t="n">
        <f aca="false">IF(B133="",0,N(Students!G122))</f>
        <v>0</v>
      </c>
      <c r="M133" s="23"/>
      <c r="N133" s="26" t="n">
        <f aca="false">N(K133)+N(L133)-N(M133)</f>
        <v>0</v>
      </c>
      <c r="O133" s="37" t="n">
        <f aca="false">'Jun 2027'!R133</f>
        <v>0</v>
      </c>
      <c r="P133" s="37" t="n">
        <f aca="false">IF(B133="",0,N(Students!H122))</f>
        <v>0</v>
      </c>
      <c r="Q133" s="23"/>
      <c r="R133" s="26" t="n">
        <f aca="false">N(O133)+N(P133)-N(Q133)</f>
        <v>0</v>
      </c>
      <c r="S133" s="37" t="n">
        <f aca="false">'Jun 2027'!V133</f>
        <v>0</v>
      </c>
      <c r="T133" s="37" t="n">
        <f aca="false">IF(B133="",0,N(Students!I122))</f>
        <v>0</v>
      </c>
      <c r="U133" s="23"/>
      <c r="V133" s="26" t="n">
        <f aca="false">N(S133)+N(T133)-N(U133)</f>
        <v>0</v>
      </c>
      <c r="W133" s="37" t="n">
        <f aca="false">'Jun 2027'!Z133</f>
        <v>0</v>
      </c>
      <c r="X133" s="37" t="n">
        <f aca="false">IF(B133="",0,N(Students!J122))</f>
        <v>0</v>
      </c>
      <c r="Y133" s="23"/>
      <c r="Z133" s="26" t="n">
        <f aca="false">N(W133)+N(X133)-N(Y133)</f>
        <v>0</v>
      </c>
      <c r="AA133" s="37" t="n">
        <f aca="false">N(E133)+N(I133)+N(M133)+N(Q133)+N(U133)+N(Y133)</f>
        <v>0</v>
      </c>
      <c r="AB133" s="26" t="n">
        <f aca="false">F133+J133+N133+R133+V133+Z133</f>
        <v>0</v>
      </c>
      <c r="AC133" s="83" t="str">
        <f aca="false">IF(B133="","",IF(AB133&lt;=0,"Clear",IF(AA133&gt;0,"Partial","Due")))</f>
        <v/>
      </c>
    </row>
    <row r="134" customFormat="false" ht="15" hidden="false" customHeight="false" outlineLevel="0" collapsed="false">
      <c r="A134" s="21" t="n">
        <v>119</v>
      </c>
      <c r="B134" s="46" t="str">
        <f aca="false">IF(Students!B123="","",Students!B123)</f>
        <v/>
      </c>
      <c r="C134" s="33" t="n">
        <f aca="false">'Jun 2027'!F134</f>
        <v>0</v>
      </c>
      <c r="D134" s="33" t="n">
        <f aca="false">IF(B134="",0,N(Students!E123))</f>
        <v>0</v>
      </c>
      <c r="E134" s="23"/>
      <c r="F134" s="24" t="n">
        <f aca="false">N(C134)+N(D134)-N(E134)</f>
        <v>0</v>
      </c>
      <c r="G134" s="33" t="n">
        <f aca="false">'Jun 2027'!J134</f>
        <v>0</v>
      </c>
      <c r="H134" s="33" t="n">
        <f aca="false">IF(B134="",0,N(Students!F123))</f>
        <v>0</v>
      </c>
      <c r="I134" s="23"/>
      <c r="J134" s="24" t="n">
        <f aca="false">N(G134)+N(H134)-N(I134)</f>
        <v>0</v>
      </c>
      <c r="K134" s="33" t="n">
        <f aca="false">'Jun 2027'!N134</f>
        <v>0</v>
      </c>
      <c r="L134" s="33" t="n">
        <f aca="false">IF(B134="",0,N(Students!G123))</f>
        <v>0</v>
      </c>
      <c r="M134" s="23"/>
      <c r="N134" s="24" t="n">
        <f aca="false">N(K134)+N(L134)-N(M134)</f>
        <v>0</v>
      </c>
      <c r="O134" s="33" t="n">
        <f aca="false">'Jun 2027'!R134</f>
        <v>0</v>
      </c>
      <c r="P134" s="33" t="n">
        <f aca="false">IF(B134="",0,N(Students!H123))</f>
        <v>0</v>
      </c>
      <c r="Q134" s="23"/>
      <c r="R134" s="24" t="n">
        <f aca="false">N(O134)+N(P134)-N(Q134)</f>
        <v>0</v>
      </c>
      <c r="S134" s="33" t="n">
        <f aca="false">'Jun 2027'!V134</f>
        <v>0</v>
      </c>
      <c r="T134" s="33" t="n">
        <f aca="false">IF(B134="",0,N(Students!I123))</f>
        <v>0</v>
      </c>
      <c r="U134" s="23"/>
      <c r="V134" s="24" t="n">
        <f aca="false">N(S134)+N(T134)-N(U134)</f>
        <v>0</v>
      </c>
      <c r="W134" s="33" t="n">
        <f aca="false">'Jun 2027'!Z134</f>
        <v>0</v>
      </c>
      <c r="X134" s="33" t="n">
        <f aca="false">IF(B134="",0,N(Students!J123))</f>
        <v>0</v>
      </c>
      <c r="Y134" s="23"/>
      <c r="Z134" s="24" t="n">
        <f aca="false">N(W134)+N(X134)-N(Y134)</f>
        <v>0</v>
      </c>
      <c r="AA134" s="33" t="n">
        <f aca="false">N(E134)+N(I134)+N(M134)+N(Q134)+N(U134)+N(Y134)</f>
        <v>0</v>
      </c>
      <c r="AB134" s="24" t="n">
        <f aca="false">F134+J134+N134+R134+V134+Z134</f>
        <v>0</v>
      </c>
      <c r="AC134" s="81" t="str">
        <f aca="false">IF(B134="","",IF(AB134&lt;=0,"Clear",IF(AA134&gt;0,"Partial","Due")))</f>
        <v/>
      </c>
    </row>
    <row r="135" customFormat="false" ht="15" hidden="false" customHeight="false" outlineLevel="0" collapsed="false">
      <c r="A135" s="25" t="n">
        <v>120</v>
      </c>
      <c r="B135" s="82" t="str">
        <f aca="false">IF(Students!B124="","",Students!B124)</f>
        <v/>
      </c>
      <c r="C135" s="37" t="n">
        <f aca="false">'Jun 2027'!F135</f>
        <v>0</v>
      </c>
      <c r="D135" s="37" t="n">
        <f aca="false">IF(B135="",0,N(Students!E124))</f>
        <v>0</v>
      </c>
      <c r="E135" s="23"/>
      <c r="F135" s="26" t="n">
        <f aca="false">N(C135)+N(D135)-N(E135)</f>
        <v>0</v>
      </c>
      <c r="G135" s="37" t="n">
        <f aca="false">'Jun 2027'!J135</f>
        <v>0</v>
      </c>
      <c r="H135" s="37" t="n">
        <f aca="false">IF(B135="",0,N(Students!F124))</f>
        <v>0</v>
      </c>
      <c r="I135" s="23"/>
      <c r="J135" s="26" t="n">
        <f aca="false">N(G135)+N(H135)-N(I135)</f>
        <v>0</v>
      </c>
      <c r="K135" s="37" t="n">
        <f aca="false">'Jun 2027'!N135</f>
        <v>0</v>
      </c>
      <c r="L135" s="37" t="n">
        <f aca="false">IF(B135="",0,N(Students!G124))</f>
        <v>0</v>
      </c>
      <c r="M135" s="23"/>
      <c r="N135" s="26" t="n">
        <f aca="false">N(K135)+N(L135)-N(M135)</f>
        <v>0</v>
      </c>
      <c r="O135" s="37" t="n">
        <f aca="false">'Jun 2027'!R135</f>
        <v>0</v>
      </c>
      <c r="P135" s="37" t="n">
        <f aca="false">IF(B135="",0,N(Students!H124))</f>
        <v>0</v>
      </c>
      <c r="Q135" s="23"/>
      <c r="R135" s="26" t="n">
        <f aca="false">N(O135)+N(P135)-N(Q135)</f>
        <v>0</v>
      </c>
      <c r="S135" s="37" t="n">
        <f aca="false">'Jun 2027'!V135</f>
        <v>0</v>
      </c>
      <c r="T135" s="37" t="n">
        <f aca="false">IF(B135="",0,N(Students!I124))</f>
        <v>0</v>
      </c>
      <c r="U135" s="23"/>
      <c r="V135" s="26" t="n">
        <f aca="false">N(S135)+N(T135)-N(U135)</f>
        <v>0</v>
      </c>
      <c r="W135" s="37" t="n">
        <f aca="false">'Jun 2027'!Z135</f>
        <v>0</v>
      </c>
      <c r="X135" s="37" t="n">
        <f aca="false">IF(B135="",0,N(Students!J124))</f>
        <v>0</v>
      </c>
      <c r="Y135" s="23"/>
      <c r="Z135" s="26" t="n">
        <f aca="false">N(W135)+N(X135)-N(Y135)</f>
        <v>0</v>
      </c>
      <c r="AA135" s="37" t="n">
        <f aca="false">N(E135)+N(I135)+N(M135)+N(Q135)+N(U135)+N(Y135)</f>
        <v>0</v>
      </c>
      <c r="AB135" s="26" t="n">
        <f aca="false">F135+J135+N135+R135+V135+Z135</f>
        <v>0</v>
      </c>
      <c r="AC135" s="83" t="str">
        <f aca="false">IF(B135="","",IF(AB135&lt;=0,"Clear",IF(AA135&gt;0,"Partial","Due")))</f>
        <v/>
      </c>
    </row>
    <row r="136" customFormat="false" ht="15" hidden="false" customHeight="false" outlineLevel="0" collapsed="false">
      <c r="A136" s="21" t="n">
        <v>121</v>
      </c>
      <c r="B136" s="46" t="str">
        <f aca="false">IF(Students!B125="","",Students!B125)</f>
        <v/>
      </c>
      <c r="C136" s="33" t="n">
        <f aca="false">'Jun 2027'!F136</f>
        <v>0</v>
      </c>
      <c r="D136" s="33" t="n">
        <f aca="false">IF(B136="",0,N(Students!E125))</f>
        <v>0</v>
      </c>
      <c r="E136" s="23"/>
      <c r="F136" s="24" t="n">
        <f aca="false">N(C136)+N(D136)-N(E136)</f>
        <v>0</v>
      </c>
      <c r="G136" s="33" t="n">
        <f aca="false">'Jun 2027'!J136</f>
        <v>0</v>
      </c>
      <c r="H136" s="33" t="n">
        <f aca="false">IF(B136="",0,N(Students!F125))</f>
        <v>0</v>
      </c>
      <c r="I136" s="23"/>
      <c r="J136" s="24" t="n">
        <f aca="false">N(G136)+N(H136)-N(I136)</f>
        <v>0</v>
      </c>
      <c r="K136" s="33" t="n">
        <f aca="false">'Jun 2027'!N136</f>
        <v>0</v>
      </c>
      <c r="L136" s="33" t="n">
        <f aca="false">IF(B136="",0,N(Students!G125))</f>
        <v>0</v>
      </c>
      <c r="M136" s="23"/>
      <c r="N136" s="24" t="n">
        <f aca="false">N(K136)+N(L136)-N(M136)</f>
        <v>0</v>
      </c>
      <c r="O136" s="33" t="n">
        <f aca="false">'Jun 2027'!R136</f>
        <v>0</v>
      </c>
      <c r="P136" s="33" t="n">
        <f aca="false">IF(B136="",0,N(Students!H125))</f>
        <v>0</v>
      </c>
      <c r="Q136" s="23"/>
      <c r="R136" s="24" t="n">
        <f aca="false">N(O136)+N(P136)-N(Q136)</f>
        <v>0</v>
      </c>
      <c r="S136" s="33" t="n">
        <f aca="false">'Jun 2027'!V136</f>
        <v>0</v>
      </c>
      <c r="T136" s="33" t="n">
        <f aca="false">IF(B136="",0,N(Students!I125))</f>
        <v>0</v>
      </c>
      <c r="U136" s="23"/>
      <c r="V136" s="24" t="n">
        <f aca="false">N(S136)+N(T136)-N(U136)</f>
        <v>0</v>
      </c>
      <c r="W136" s="33" t="n">
        <f aca="false">'Jun 2027'!Z136</f>
        <v>0</v>
      </c>
      <c r="X136" s="33" t="n">
        <f aca="false">IF(B136="",0,N(Students!J125))</f>
        <v>0</v>
      </c>
      <c r="Y136" s="23"/>
      <c r="Z136" s="24" t="n">
        <f aca="false">N(W136)+N(X136)-N(Y136)</f>
        <v>0</v>
      </c>
      <c r="AA136" s="33" t="n">
        <f aca="false">N(E136)+N(I136)+N(M136)+N(Q136)+N(U136)+N(Y136)</f>
        <v>0</v>
      </c>
      <c r="AB136" s="24" t="n">
        <f aca="false">F136+J136+N136+R136+V136+Z136</f>
        <v>0</v>
      </c>
      <c r="AC136" s="81" t="str">
        <f aca="false">IF(B136="","",IF(AB136&lt;=0,"Clear",IF(AA136&gt;0,"Partial","Due")))</f>
        <v/>
      </c>
    </row>
    <row r="137" customFormat="false" ht="15" hidden="false" customHeight="false" outlineLevel="0" collapsed="false">
      <c r="A137" s="25" t="n">
        <v>122</v>
      </c>
      <c r="B137" s="82" t="str">
        <f aca="false">IF(Students!B126="","",Students!B126)</f>
        <v/>
      </c>
      <c r="C137" s="37" t="n">
        <f aca="false">'Jun 2027'!F137</f>
        <v>0</v>
      </c>
      <c r="D137" s="37" t="n">
        <f aca="false">IF(B137="",0,N(Students!E126))</f>
        <v>0</v>
      </c>
      <c r="E137" s="23"/>
      <c r="F137" s="26" t="n">
        <f aca="false">N(C137)+N(D137)-N(E137)</f>
        <v>0</v>
      </c>
      <c r="G137" s="37" t="n">
        <f aca="false">'Jun 2027'!J137</f>
        <v>0</v>
      </c>
      <c r="H137" s="37" t="n">
        <f aca="false">IF(B137="",0,N(Students!F126))</f>
        <v>0</v>
      </c>
      <c r="I137" s="23"/>
      <c r="J137" s="26" t="n">
        <f aca="false">N(G137)+N(H137)-N(I137)</f>
        <v>0</v>
      </c>
      <c r="K137" s="37" t="n">
        <f aca="false">'Jun 2027'!N137</f>
        <v>0</v>
      </c>
      <c r="L137" s="37" t="n">
        <f aca="false">IF(B137="",0,N(Students!G126))</f>
        <v>0</v>
      </c>
      <c r="M137" s="23"/>
      <c r="N137" s="26" t="n">
        <f aca="false">N(K137)+N(L137)-N(M137)</f>
        <v>0</v>
      </c>
      <c r="O137" s="37" t="n">
        <f aca="false">'Jun 2027'!R137</f>
        <v>0</v>
      </c>
      <c r="P137" s="37" t="n">
        <f aca="false">IF(B137="",0,N(Students!H126))</f>
        <v>0</v>
      </c>
      <c r="Q137" s="23"/>
      <c r="R137" s="26" t="n">
        <f aca="false">N(O137)+N(P137)-N(Q137)</f>
        <v>0</v>
      </c>
      <c r="S137" s="37" t="n">
        <f aca="false">'Jun 2027'!V137</f>
        <v>0</v>
      </c>
      <c r="T137" s="37" t="n">
        <f aca="false">IF(B137="",0,N(Students!I126))</f>
        <v>0</v>
      </c>
      <c r="U137" s="23"/>
      <c r="V137" s="26" t="n">
        <f aca="false">N(S137)+N(T137)-N(U137)</f>
        <v>0</v>
      </c>
      <c r="W137" s="37" t="n">
        <f aca="false">'Jun 2027'!Z137</f>
        <v>0</v>
      </c>
      <c r="X137" s="37" t="n">
        <f aca="false">IF(B137="",0,N(Students!J126))</f>
        <v>0</v>
      </c>
      <c r="Y137" s="23"/>
      <c r="Z137" s="26" t="n">
        <f aca="false">N(W137)+N(X137)-N(Y137)</f>
        <v>0</v>
      </c>
      <c r="AA137" s="37" t="n">
        <f aca="false">N(E137)+N(I137)+N(M137)+N(Q137)+N(U137)+N(Y137)</f>
        <v>0</v>
      </c>
      <c r="AB137" s="26" t="n">
        <f aca="false">F137+J137+N137+R137+V137+Z137</f>
        <v>0</v>
      </c>
      <c r="AC137" s="83" t="str">
        <f aca="false">IF(B137="","",IF(AB137&lt;=0,"Clear",IF(AA137&gt;0,"Partial","Due")))</f>
        <v/>
      </c>
    </row>
    <row r="138" customFormat="false" ht="15" hidden="false" customHeight="false" outlineLevel="0" collapsed="false">
      <c r="A138" s="21" t="n">
        <v>123</v>
      </c>
      <c r="B138" s="46" t="str">
        <f aca="false">IF(Students!B127="","",Students!B127)</f>
        <v/>
      </c>
      <c r="C138" s="33" t="n">
        <f aca="false">'Jun 2027'!F138</f>
        <v>0</v>
      </c>
      <c r="D138" s="33" t="n">
        <f aca="false">IF(B138="",0,N(Students!E127))</f>
        <v>0</v>
      </c>
      <c r="E138" s="23"/>
      <c r="F138" s="24" t="n">
        <f aca="false">N(C138)+N(D138)-N(E138)</f>
        <v>0</v>
      </c>
      <c r="G138" s="33" t="n">
        <f aca="false">'Jun 2027'!J138</f>
        <v>0</v>
      </c>
      <c r="H138" s="33" t="n">
        <f aca="false">IF(B138="",0,N(Students!F127))</f>
        <v>0</v>
      </c>
      <c r="I138" s="23"/>
      <c r="J138" s="24" t="n">
        <f aca="false">N(G138)+N(H138)-N(I138)</f>
        <v>0</v>
      </c>
      <c r="K138" s="33" t="n">
        <f aca="false">'Jun 2027'!N138</f>
        <v>0</v>
      </c>
      <c r="L138" s="33" t="n">
        <f aca="false">IF(B138="",0,N(Students!G127))</f>
        <v>0</v>
      </c>
      <c r="M138" s="23"/>
      <c r="N138" s="24" t="n">
        <f aca="false">N(K138)+N(L138)-N(M138)</f>
        <v>0</v>
      </c>
      <c r="O138" s="33" t="n">
        <f aca="false">'Jun 2027'!R138</f>
        <v>0</v>
      </c>
      <c r="P138" s="33" t="n">
        <f aca="false">IF(B138="",0,N(Students!H127))</f>
        <v>0</v>
      </c>
      <c r="Q138" s="23"/>
      <c r="R138" s="24" t="n">
        <f aca="false">N(O138)+N(P138)-N(Q138)</f>
        <v>0</v>
      </c>
      <c r="S138" s="33" t="n">
        <f aca="false">'Jun 2027'!V138</f>
        <v>0</v>
      </c>
      <c r="T138" s="33" t="n">
        <f aca="false">IF(B138="",0,N(Students!I127))</f>
        <v>0</v>
      </c>
      <c r="U138" s="23"/>
      <c r="V138" s="24" t="n">
        <f aca="false">N(S138)+N(T138)-N(U138)</f>
        <v>0</v>
      </c>
      <c r="W138" s="33" t="n">
        <f aca="false">'Jun 2027'!Z138</f>
        <v>0</v>
      </c>
      <c r="X138" s="33" t="n">
        <f aca="false">IF(B138="",0,N(Students!J127))</f>
        <v>0</v>
      </c>
      <c r="Y138" s="23"/>
      <c r="Z138" s="24" t="n">
        <f aca="false">N(W138)+N(X138)-N(Y138)</f>
        <v>0</v>
      </c>
      <c r="AA138" s="33" t="n">
        <f aca="false">N(E138)+N(I138)+N(M138)+N(Q138)+N(U138)+N(Y138)</f>
        <v>0</v>
      </c>
      <c r="AB138" s="24" t="n">
        <f aca="false">F138+J138+N138+R138+V138+Z138</f>
        <v>0</v>
      </c>
      <c r="AC138" s="81" t="str">
        <f aca="false">IF(B138="","",IF(AB138&lt;=0,"Clear",IF(AA138&gt;0,"Partial","Due")))</f>
        <v/>
      </c>
    </row>
    <row r="139" customFormat="false" ht="15" hidden="false" customHeight="false" outlineLevel="0" collapsed="false">
      <c r="A139" s="25" t="n">
        <v>124</v>
      </c>
      <c r="B139" s="82" t="str">
        <f aca="false">IF(Students!B128="","",Students!B128)</f>
        <v/>
      </c>
      <c r="C139" s="37" t="n">
        <f aca="false">'Jun 2027'!F139</f>
        <v>0</v>
      </c>
      <c r="D139" s="37" t="n">
        <f aca="false">IF(B139="",0,N(Students!E128))</f>
        <v>0</v>
      </c>
      <c r="E139" s="23"/>
      <c r="F139" s="26" t="n">
        <f aca="false">N(C139)+N(D139)-N(E139)</f>
        <v>0</v>
      </c>
      <c r="G139" s="37" t="n">
        <f aca="false">'Jun 2027'!J139</f>
        <v>0</v>
      </c>
      <c r="H139" s="37" t="n">
        <f aca="false">IF(B139="",0,N(Students!F128))</f>
        <v>0</v>
      </c>
      <c r="I139" s="23"/>
      <c r="J139" s="26" t="n">
        <f aca="false">N(G139)+N(H139)-N(I139)</f>
        <v>0</v>
      </c>
      <c r="K139" s="37" t="n">
        <f aca="false">'Jun 2027'!N139</f>
        <v>0</v>
      </c>
      <c r="L139" s="37" t="n">
        <f aca="false">IF(B139="",0,N(Students!G128))</f>
        <v>0</v>
      </c>
      <c r="M139" s="23"/>
      <c r="N139" s="26" t="n">
        <f aca="false">N(K139)+N(L139)-N(M139)</f>
        <v>0</v>
      </c>
      <c r="O139" s="37" t="n">
        <f aca="false">'Jun 2027'!R139</f>
        <v>0</v>
      </c>
      <c r="P139" s="37" t="n">
        <f aca="false">IF(B139="",0,N(Students!H128))</f>
        <v>0</v>
      </c>
      <c r="Q139" s="23"/>
      <c r="R139" s="26" t="n">
        <f aca="false">N(O139)+N(P139)-N(Q139)</f>
        <v>0</v>
      </c>
      <c r="S139" s="37" t="n">
        <f aca="false">'Jun 2027'!V139</f>
        <v>0</v>
      </c>
      <c r="T139" s="37" t="n">
        <f aca="false">IF(B139="",0,N(Students!I128))</f>
        <v>0</v>
      </c>
      <c r="U139" s="23"/>
      <c r="V139" s="26" t="n">
        <f aca="false">N(S139)+N(T139)-N(U139)</f>
        <v>0</v>
      </c>
      <c r="W139" s="37" t="n">
        <f aca="false">'Jun 2027'!Z139</f>
        <v>0</v>
      </c>
      <c r="X139" s="37" t="n">
        <f aca="false">IF(B139="",0,N(Students!J128))</f>
        <v>0</v>
      </c>
      <c r="Y139" s="23"/>
      <c r="Z139" s="26" t="n">
        <f aca="false">N(W139)+N(X139)-N(Y139)</f>
        <v>0</v>
      </c>
      <c r="AA139" s="37" t="n">
        <f aca="false">N(E139)+N(I139)+N(M139)+N(Q139)+N(U139)+N(Y139)</f>
        <v>0</v>
      </c>
      <c r="AB139" s="26" t="n">
        <f aca="false">F139+J139+N139+R139+V139+Z139</f>
        <v>0</v>
      </c>
      <c r="AC139" s="83" t="str">
        <f aca="false">IF(B139="","",IF(AB139&lt;=0,"Clear",IF(AA139&gt;0,"Partial","Due")))</f>
        <v/>
      </c>
    </row>
    <row r="140" customFormat="false" ht="15" hidden="false" customHeight="false" outlineLevel="0" collapsed="false">
      <c r="A140" s="21" t="n">
        <v>125</v>
      </c>
      <c r="B140" s="46" t="str">
        <f aca="false">IF(Students!B129="","",Students!B129)</f>
        <v/>
      </c>
      <c r="C140" s="33" t="n">
        <f aca="false">'Jun 2027'!F140</f>
        <v>0</v>
      </c>
      <c r="D140" s="33" t="n">
        <f aca="false">IF(B140="",0,N(Students!E129))</f>
        <v>0</v>
      </c>
      <c r="E140" s="23"/>
      <c r="F140" s="24" t="n">
        <f aca="false">N(C140)+N(D140)-N(E140)</f>
        <v>0</v>
      </c>
      <c r="G140" s="33" t="n">
        <f aca="false">'Jun 2027'!J140</f>
        <v>0</v>
      </c>
      <c r="H140" s="33" t="n">
        <f aca="false">IF(B140="",0,N(Students!F129))</f>
        <v>0</v>
      </c>
      <c r="I140" s="23"/>
      <c r="J140" s="24" t="n">
        <f aca="false">N(G140)+N(H140)-N(I140)</f>
        <v>0</v>
      </c>
      <c r="K140" s="33" t="n">
        <f aca="false">'Jun 2027'!N140</f>
        <v>0</v>
      </c>
      <c r="L140" s="33" t="n">
        <f aca="false">IF(B140="",0,N(Students!G129))</f>
        <v>0</v>
      </c>
      <c r="M140" s="23"/>
      <c r="N140" s="24" t="n">
        <f aca="false">N(K140)+N(L140)-N(M140)</f>
        <v>0</v>
      </c>
      <c r="O140" s="33" t="n">
        <f aca="false">'Jun 2027'!R140</f>
        <v>0</v>
      </c>
      <c r="P140" s="33" t="n">
        <f aca="false">IF(B140="",0,N(Students!H129))</f>
        <v>0</v>
      </c>
      <c r="Q140" s="23"/>
      <c r="R140" s="24" t="n">
        <f aca="false">N(O140)+N(P140)-N(Q140)</f>
        <v>0</v>
      </c>
      <c r="S140" s="33" t="n">
        <f aca="false">'Jun 2027'!V140</f>
        <v>0</v>
      </c>
      <c r="T140" s="33" t="n">
        <f aca="false">IF(B140="",0,N(Students!I129))</f>
        <v>0</v>
      </c>
      <c r="U140" s="23"/>
      <c r="V140" s="24" t="n">
        <f aca="false">N(S140)+N(T140)-N(U140)</f>
        <v>0</v>
      </c>
      <c r="W140" s="33" t="n">
        <f aca="false">'Jun 2027'!Z140</f>
        <v>0</v>
      </c>
      <c r="X140" s="33" t="n">
        <f aca="false">IF(B140="",0,N(Students!J129))</f>
        <v>0</v>
      </c>
      <c r="Y140" s="23"/>
      <c r="Z140" s="24" t="n">
        <f aca="false">N(W140)+N(X140)-N(Y140)</f>
        <v>0</v>
      </c>
      <c r="AA140" s="33" t="n">
        <f aca="false">N(E140)+N(I140)+N(M140)+N(Q140)+N(U140)+N(Y140)</f>
        <v>0</v>
      </c>
      <c r="AB140" s="24" t="n">
        <f aca="false">F140+J140+N140+R140+V140+Z140</f>
        <v>0</v>
      </c>
      <c r="AC140" s="81" t="str">
        <f aca="false">IF(B140="","",IF(AB140&lt;=0,"Clear",IF(AA140&gt;0,"Partial","Due")))</f>
        <v/>
      </c>
    </row>
    <row r="141" customFormat="false" ht="15" hidden="false" customHeight="false" outlineLevel="0" collapsed="false">
      <c r="A141" s="25" t="n">
        <v>126</v>
      </c>
      <c r="B141" s="82" t="str">
        <f aca="false">IF(Students!B130="","",Students!B130)</f>
        <v/>
      </c>
      <c r="C141" s="37" t="n">
        <f aca="false">'Jun 2027'!F141</f>
        <v>0</v>
      </c>
      <c r="D141" s="37" t="n">
        <f aca="false">IF(B141="",0,N(Students!E130))</f>
        <v>0</v>
      </c>
      <c r="E141" s="23"/>
      <c r="F141" s="26" t="n">
        <f aca="false">N(C141)+N(D141)-N(E141)</f>
        <v>0</v>
      </c>
      <c r="G141" s="37" t="n">
        <f aca="false">'Jun 2027'!J141</f>
        <v>0</v>
      </c>
      <c r="H141" s="37" t="n">
        <f aca="false">IF(B141="",0,N(Students!F130))</f>
        <v>0</v>
      </c>
      <c r="I141" s="23"/>
      <c r="J141" s="26" t="n">
        <f aca="false">N(G141)+N(H141)-N(I141)</f>
        <v>0</v>
      </c>
      <c r="K141" s="37" t="n">
        <f aca="false">'Jun 2027'!N141</f>
        <v>0</v>
      </c>
      <c r="L141" s="37" t="n">
        <f aca="false">IF(B141="",0,N(Students!G130))</f>
        <v>0</v>
      </c>
      <c r="M141" s="23"/>
      <c r="N141" s="26" t="n">
        <f aca="false">N(K141)+N(L141)-N(M141)</f>
        <v>0</v>
      </c>
      <c r="O141" s="37" t="n">
        <f aca="false">'Jun 2027'!R141</f>
        <v>0</v>
      </c>
      <c r="P141" s="37" t="n">
        <f aca="false">IF(B141="",0,N(Students!H130))</f>
        <v>0</v>
      </c>
      <c r="Q141" s="23"/>
      <c r="R141" s="26" t="n">
        <f aca="false">N(O141)+N(P141)-N(Q141)</f>
        <v>0</v>
      </c>
      <c r="S141" s="37" t="n">
        <f aca="false">'Jun 2027'!V141</f>
        <v>0</v>
      </c>
      <c r="T141" s="37" t="n">
        <f aca="false">IF(B141="",0,N(Students!I130))</f>
        <v>0</v>
      </c>
      <c r="U141" s="23"/>
      <c r="V141" s="26" t="n">
        <f aca="false">N(S141)+N(T141)-N(U141)</f>
        <v>0</v>
      </c>
      <c r="W141" s="37" t="n">
        <f aca="false">'Jun 2027'!Z141</f>
        <v>0</v>
      </c>
      <c r="X141" s="37" t="n">
        <f aca="false">IF(B141="",0,N(Students!J130))</f>
        <v>0</v>
      </c>
      <c r="Y141" s="23"/>
      <c r="Z141" s="26" t="n">
        <f aca="false">N(W141)+N(X141)-N(Y141)</f>
        <v>0</v>
      </c>
      <c r="AA141" s="37" t="n">
        <f aca="false">N(E141)+N(I141)+N(M141)+N(Q141)+N(U141)+N(Y141)</f>
        <v>0</v>
      </c>
      <c r="AB141" s="26" t="n">
        <f aca="false">F141+J141+N141+R141+V141+Z141</f>
        <v>0</v>
      </c>
      <c r="AC141" s="83" t="str">
        <f aca="false">IF(B141="","",IF(AB141&lt;=0,"Clear",IF(AA141&gt;0,"Partial","Due")))</f>
        <v/>
      </c>
    </row>
    <row r="142" customFormat="false" ht="15" hidden="false" customHeight="false" outlineLevel="0" collapsed="false">
      <c r="A142" s="21" t="n">
        <v>127</v>
      </c>
      <c r="B142" s="46" t="str">
        <f aca="false">IF(Students!B131="","",Students!B131)</f>
        <v/>
      </c>
      <c r="C142" s="33" t="n">
        <f aca="false">'Jun 2027'!F142</f>
        <v>0</v>
      </c>
      <c r="D142" s="33" t="n">
        <f aca="false">IF(B142="",0,N(Students!E131))</f>
        <v>0</v>
      </c>
      <c r="E142" s="23"/>
      <c r="F142" s="24" t="n">
        <f aca="false">N(C142)+N(D142)-N(E142)</f>
        <v>0</v>
      </c>
      <c r="G142" s="33" t="n">
        <f aca="false">'Jun 2027'!J142</f>
        <v>0</v>
      </c>
      <c r="H142" s="33" t="n">
        <f aca="false">IF(B142="",0,N(Students!F131))</f>
        <v>0</v>
      </c>
      <c r="I142" s="23"/>
      <c r="J142" s="24" t="n">
        <f aca="false">N(G142)+N(H142)-N(I142)</f>
        <v>0</v>
      </c>
      <c r="K142" s="33" t="n">
        <f aca="false">'Jun 2027'!N142</f>
        <v>0</v>
      </c>
      <c r="L142" s="33" t="n">
        <f aca="false">IF(B142="",0,N(Students!G131))</f>
        <v>0</v>
      </c>
      <c r="M142" s="23"/>
      <c r="N142" s="24" t="n">
        <f aca="false">N(K142)+N(L142)-N(M142)</f>
        <v>0</v>
      </c>
      <c r="O142" s="33" t="n">
        <f aca="false">'Jun 2027'!R142</f>
        <v>0</v>
      </c>
      <c r="P142" s="33" t="n">
        <f aca="false">IF(B142="",0,N(Students!H131))</f>
        <v>0</v>
      </c>
      <c r="Q142" s="23"/>
      <c r="R142" s="24" t="n">
        <f aca="false">N(O142)+N(P142)-N(Q142)</f>
        <v>0</v>
      </c>
      <c r="S142" s="33" t="n">
        <f aca="false">'Jun 2027'!V142</f>
        <v>0</v>
      </c>
      <c r="T142" s="33" t="n">
        <f aca="false">IF(B142="",0,N(Students!I131))</f>
        <v>0</v>
      </c>
      <c r="U142" s="23"/>
      <c r="V142" s="24" t="n">
        <f aca="false">N(S142)+N(T142)-N(U142)</f>
        <v>0</v>
      </c>
      <c r="W142" s="33" t="n">
        <f aca="false">'Jun 2027'!Z142</f>
        <v>0</v>
      </c>
      <c r="X142" s="33" t="n">
        <f aca="false">IF(B142="",0,N(Students!J131))</f>
        <v>0</v>
      </c>
      <c r="Y142" s="23"/>
      <c r="Z142" s="24" t="n">
        <f aca="false">N(W142)+N(X142)-N(Y142)</f>
        <v>0</v>
      </c>
      <c r="AA142" s="33" t="n">
        <f aca="false">N(E142)+N(I142)+N(M142)+N(Q142)+N(U142)+N(Y142)</f>
        <v>0</v>
      </c>
      <c r="AB142" s="24" t="n">
        <f aca="false">F142+J142+N142+R142+V142+Z142</f>
        <v>0</v>
      </c>
      <c r="AC142" s="81" t="str">
        <f aca="false">IF(B142="","",IF(AB142&lt;=0,"Clear",IF(AA142&gt;0,"Partial","Due")))</f>
        <v/>
      </c>
    </row>
    <row r="143" customFormat="false" ht="15" hidden="false" customHeight="false" outlineLevel="0" collapsed="false">
      <c r="A143" s="25" t="n">
        <v>128</v>
      </c>
      <c r="B143" s="82" t="str">
        <f aca="false">IF(Students!B132="","",Students!B132)</f>
        <v/>
      </c>
      <c r="C143" s="37" t="n">
        <f aca="false">'Jun 2027'!F143</f>
        <v>0</v>
      </c>
      <c r="D143" s="37" t="n">
        <f aca="false">IF(B143="",0,N(Students!E132))</f>
        <v>0</v>
      </c>
      <c r="E143" s="23"/>
      <c r="F143" s="26" t="n">
        <f aca="false">N(C143)+N(D143)-N(E143)</f>
        <v>0</v>
      </c>
      <c r="G143" s="37" t="n">
        <f aca="false">'Jun 2027'!J143</f>
        <v>0</v>
      </c>
      <c r="H143" s="37" t="n">
        <f aca="false">IF(B143="",0,N(Students!F132))</f>
        <v>0</v>
      </c>
      <c r="I143" s="23"/>
      <c r="J143" s="26" t="n">
        <f aca="false">N(G143)+N(H143)-N(I143)</f>
        <v>0</v>
      </c>
      <c r="K143" s="37" t="n">
        <f aca="false">'Jun 2027'!N143</f>
        <v>0</v>
      </c>
      <c r="L143" s="37" t="n">
        <f aca="false">IF(B143="",0,N(Students!G132))</f>
        <v>0</v>
      </c>
      <c r="M143" s="23"/>
      <c r="N143" s="26" t="n">
        <f aca="false">N(K143)+N(L143)-N(M143)</f>
        <v>0</v>
      </c>
      <c r="O143" s="37" t="n">
        <f aca="false">'Jun 2027'!R143</f>
        <v>0</v>
      </c>
      <c r="P143" s="37" t="n">
        <f aca="false">IF(B143="",0,N(Students!H132))</f>
        <v>0</v>
      </c>
      <c r="Q143" s="23"/>
      <c r="R143" s="26" t="n">
        <f aca="false">N(O143)+N(P143)-N(Q143)</f>
        <v>0</v>
      </c>
      <c r="S143" s="37" t="n">
        <f aca="false">'Jun 2027'!V143</f>
        <v>0</v>
      </c>
      <c r="T143" s="37" t="n">
        <f aca="false">IF(B143="",0,N(Students!I132))</f>
        <v>0</v>
      </c>
      <c r="U143" s="23"/>
      <c r="V143" s="26" t="n">
        <f aca="false">N(S143)+N(T143)-N(U143)</f>
        <v>0</v>
      </c>
      <c r="W143" s="37" t="n">
        <f aca="false">'Jun 2027'!Z143</f>
        <v>0</v>
      </c>
      <c r="X143" s="37" t="n">
        <f aca="false">IF(B143="",0,N(Students!J132))</f>
        <v>0</v>
      </c>
      <c r="Y143" s="23"/>
      <c r="Z143" s="26" t="n">
        <f aca="false">N(W143)+N(X143)-N(Y143)</f>
        <v>0</v>
      </c>
      <c r="AA143" s="37" t="n">
        <f aca="false">N(E143)+N(I143)+N(M143)+N(Q143)+N(U143)+N(Y143)</f>
        <v>0</v>
      </c>
      <c r="AB143" s="26" t="n">
        <f aca="false">F143+J143+N143+R143+V143+Z143</f>
        <v>0</v>
      </c>
      <c r="AC143" s="83" t="str">
        <f aca="false">IF(B143="","",IF(AB143&lt;=0,"Clear",IF(AA143&gt;0,"Partial","Due")))</f>
        <v/>
      </c>
    </row>
    <row r="144" customFormat="false" ht="15" hidden="false" customHeight="false" outlineLevel="0" collapsed="false">
      <c r="A144" s="21" t="n">
        <v>129</v>
      </c>
      <c r="B144" s="46" t="str">
        <f aca="false">IF(Students!B133="","",Students!B133)</f>
        <v/>
      </c>
      <c r="C144" s="33" t="n">
        <f aca="false">'Jun 2027'!F144</f>
        <v>0</v>
      </c>
      <c r="D144" s="33" t="n">
        <f aca="false">IF(B144="",0,N(Students!E133))</f>
        <v>0</v>
      </c>
      <c r="E144" s="23"/>
      <c r="F144" s="24" t="n">
        <f aca="false">N(C144)+N(D144)-N(E144)</f>
        <v>0</v>
      </c>
      <c r="G144" s="33" t="n">
        <f aca="false">'Jun 2027'!J144</f>
        <v>0</v>
      </c>
      <c r="H144" s="33" t="n">
        <f aca="false">IF(B144="",0,N(Students!F133))</f>
        <v>0</v>
      </c>
      <c r="I144" s="23"/>
      <c r="J144" s="24" t="n">
        <f aca="false">N(G144)+N(H144)-N(I144)</f>
        <v>0</v>
      </c>
      <c r="K144" s="33" t="n">
        <f aca="false">'Jun 2027'!N144</f>
        <v>0</v>
      </c>
      <c r="L144" s="33" t="n">
        <f aca="false">IF(B144="",0,N(Students!G133))</f>
        <v>0</v>
      </c>
      <c r="M144" s="23"/>
      <c r="N144" s="24" t="n">
        <f aca="false">N(K144)+N(L144)-N(M144)</f>
        <v>0</v>
      </c>
      <c r="O144" s="33" t="n">
        <f aca="false">'Jun 2027'!R144</f>
        <v>0</v>
      </c>
      <c r="P144" s="33" t="n">
        <f aca="false">IF(B144="",0,N(Students!H133))</f>
        <v>0</v>
      </c>
      <c r="Q144" s="23"/>
      <c r="R144" s="24" t="n">
        <f aca="false">N(O144)+N(P144)-N(Q144)</f>
        <v>0</v>
      </c>
      <c r="S144" s="33" t="n">
        <f aca="false">'Jun 2027'!V144</f>
        <v>0</v>
      </c>
      <c r="T144" s="33" t="n">
        <f aca="false">IF(B144="",0,N(Students!I133))</f>
        <v>0</v>
      </c>
      <c r="U144" s="23"/>
      <c r="V144" s="24" t="n">
        <f aca="false">N(S144)+N(T144)-N(U144)</f>
        <v>0</v>
      </c>
      <c r="W144" s="33" t="n">
        <f aca="false">'Jun 2027'!Z144</f>
        <v>0</v>
      </c>
      <c r="X144" s="33" t="n">
        <f aca="false">IF(B144="",0,N(Students!J133))</f>
        <v>0</v>
      </c>
      <c r="Y144" s="23"/>
      <c r="Z144" s="24" t="n">
        <f aca="false">N(W144)+N(X144)-N(Y144)</f>
        <v>0</v>
      </c>
      <c r="AA144" s="33" t="n">
        <f aca="false">N(E144)+N(I144)+N(M144)+N(Q144)+N(U144)+N(Y144)</f>
        <v>0</v>
      </c>
      <c r="AB144" s="24" t="n">
        <f aca="false">F144+J144+N144+R144+V144+Z144</f>
        <v>0</v>
      </c>
      <c r="AC144" s="81" t="str">
        <f aca="false">IF(B144="","",IF(AB144&lt;=0,"Clear",IF(AA144&gt;0,"Partial","Due")))</f>
        <v/>
      </c>
    </row>
    <row r="145" customFormat="false" ht="15" hidden="false" customHeight="false" outlineLevel="0" collapsed="false">
      <c r="A145" s="25" t="n">
        <v>130</v>
      </c>
      <c r="B145" s="82" t="str">
        <f aca="false">IF(Students!B134="","",Students!B134)</f>
        <v/>
      </c>
      <c r="C145" s="37" t="n">
        <f aca="false">'Jun 2027'!F145</f>
        <v>0</v>
      </c>
      <c r="D145" s="37" t="n">
        <f aca="false">IF(B145="",0,N(Students!E134))</f>
        <v>0</v>
      </c>
      <c r="E145" s="23"/>
      <c r="F145" s="26" t="n">
        <f aca="false">N(C145)+N(D145)-N(E145)</f>
        <v>0</v>
      </c>
      <c r="G145" s="37" t="n">
        <f aca="false">'Jun 2027'!J145</f>
        <v>0</v>
      </c>
      <c r="H145" s="37" t="n">
        <f aca="false">IF(B145="",0,N(Students!F134))</f>
        <v>0</v>
      </c>
      <c r="I145" s="23"/>
      <c r="J145" s="26" t="n">
        <f aca="false">N(G145)+N(H145)-N(I145)</f>
        <v>0</v>
      </c>
      <c r="K145" s="37" t="n">
        <f aca="false">'Jun 2027'!N145</f>
        <v>0</v>
      </c>
      <c r="L145" s="37" t="n">
        <f aca="false">IF(B145="",0,N(Students!G134))</f>
        <v>0</v>
      </c>
      <c r="M145" s="23"/>
      <c r="N145" s="26" t="n">
        <f aca="false">N(K145)+N(L145)-N(M145)</f>
        <v>0</v>
      </c>
      <c r="O145" s="37" t="n">
        <f aca="false">'Jun 2027'!R145</f>
        <v>0</v>
      </c>
      <c r="P145" s="37" t="n">
        <f aca="false">IF(B145="",0,N(Students!H134))</f>
        <v>0</v>
      </c>
      <c r="Q145" s="23"/>
      <c r="R145" s="26" t="n">
        <f aca="false">N(O145)+N(P145)-N(Q145)</f>
        <v>0</v>
      </c>
      <c r="S145" s="37" t="n">
        <f aca="false">'Jun 2027'!V145</f>
        <v>0</v>
      </c>
      <c r="T145" s="37" t="n">
        <f aca="false">IF(B145="",0,N(Students!I134))</f>
        <v>0</v>
      </c>
      <c r="U145" s="23"/>
      <c r="V145" s="26" t="n">
        <f aca="false">N(S145)+N(T145)-N(U145)</f>
        <v>0</v>
      </c>
      <c r="W145" s="37" t="n">
        <f aca="false">'Jun 2027'!Z145</f>
        <v>0</v>
      </c>
      <c r="X145" s="37" t="n">
        <f aca="false">IF(B145="",0,N(Students!J134))</f>
        <v>0</v>
      </c>
      <c r="Y145" s="23"/>
      <c r="Z145" s="26" t="n">
        <f aca="false">N(W145)+N(X145)-N(Y145)</f>
        <v>0</v>
      </c>
      <c r="AA145" s="37" t="n">
        <f aca="false">N(E145)+N(I145)+N(M145)+N(Q145)+N(U145)+N(Y145)</f>
        <v>0</v>
      </c>
      <c r="AB145" s="26" t="n">
        <f aca="false">F145+J145+N145+R145+V145+Z145</f>
        <v>0</v>
      </c>
      <c r="AC145" s="83" t="str">
        <f aca="false">IF(B145="","",IF(AB145&lt;=0,"Clear",IF(AA145&gt;0,"Partial","Due")))</f>
        <v/>
      </c>
    </row>
    <row r="146" customFormat="false" ht="15" hidden="false" customHeight="false" outlineLevel="0" collapsed="false">
      <c r="A146" s="21" t="n">
        <v>131</v>
      </c>
      <c r="B146" s="46" t="str">
        <f aca="false">IF(Students!B135="","",Students!B135)</f>
        <v/>
      </c>
      <c r="C146" s="33" t="n">
        <f aca="false">'Jun 2027'!F146</f>
        <v>0</v>
      </c>
      <c r="D146" s="33" t="n">
        <f aca="false">IF(B146="",0,N(Students!E135))</f>
        <v>0</v>
      </c>
      <c r="E146" s="23"/>
      <c r="F146" s="24" t="n">
        <f aca="false">N(C146)+N(D146)-N(E146)</f>
        <v>0</v>
      </c>
      <c r="G146" s="33" t="n">
        <f aca="false">'Jun 2027'!J146</f>
        <v>0</v>
      </c>
      <c r="H146" s="33" t="n">
        <f aca="false">IF(B146="",0,N(Students!F135))</f>
        <v>0</v>
      </c>
      <c r="I146" s="23"/>
      <c r="J146" s="24" t="n">
        <f aca="false">N(G146)+N(H146)-N(I146)</f>
        <v>0</v>
      </c>
      <c r="K146" s="33" t="n">
        <f aca="false">'Jun 2027'!N146</f>
        <v>0</v>
      </c>
      <c r="L146" s="33" t="n">
        <f aca="false">IF(B146="",0,N(Students!G135))</f>
        <v>0</v>
      </c>
      <c r="M146" s="23"/>
      <c r="N146" s="24" t="n">
        <f aca="false">N(K146)+N(L146)-N(M146)</f>
        <v>0</v>
      </c>
      <c r="O146" s="33" t="n">
        <f aca="false">'Jun 2027'!R146</f>
        <v>0</v>
      </c>
      <c r="P146" s="33" t="n">
        <f aca="false">IF(B146="",0,N(Students!H135))</f>
        <v>0</v>
      </c>
      <c r="Q146" s="23"/>
      <c r="R146" s="24" t="n">
        <f aca="false">N(O146)+N(P146)-N(Q146)</f>
        <v>0</v>
      </c>
      <c r="S146" s="33" t="n">
        <f aca="false">'Jun 2027'!V146</f>
        <v>0</v>
      </c>
      <c r="T146" s="33" t="n">
        <f aca="false">IF(B146="",0,N(Students!I135))</f>
        <v>0</v>
      </c>
      <c r="U146" s="23"/>
      <c r="V146" s="24" t="n">
        <f aca="false">N(S146)+N(T146)-N(U146)</f>
        <v>0</v>
      </c>
      <c r="W146" s="33" t="n">
        <f aca="false">'Jun 2027'!Z146</f>
        <v>0</v>
      </c>
      <c r="X146" s="33" t="n">
        <f aca="false">IF(B146="",0,N(Students!J135))</f>
        <v>0</v>
      </c>
      <c r="Y146" s="23"/>
      <c r="Z146" s="24" t="n">
        <f aca="false">N(W146)+N(X146)-N(Y146)</f>
        <v>0</v>
      </c>
      <c r="AA146" s="33" t="n">
        <f aca="false">N(E146)+N(I146)+N(M146)+N(Q146)+N(U146)+N(Y146)</f>
        <v>0</v>
      </c>
      <c r="AB146" s="24" t="n">
        <f aca="false">F146+J146+N146+R146+V146+Z146</f>
        <v>0</v>
      </c>
      <c r="AC146" s="81" t="str">
        <f aca="false">IF(B146="","",IF(AB146&lt;=0,"Clear",IF(AA146&gt;0,"Partial","Due")))</f>
        <v/>
      </c>
    </row>
    <row r="147" customFormat="false" ht="15" hidden="false" customHeight="false" outlineLevel="0" collapsed="false">
      <c r="A147" s="25" t="n">
        <v>132</v>
      </c>
      <c r="B147" s="82" t="str">
        <f aca="false">IF(Students!B136="","",Students!B136)</f>
        <v/>
      </c>
      <c r="C147" s="37" t="n">
        <f aca="false">'Jun 2027'!F147</f>
        <v>0</v>
      </c>
      <c r="D147" s="37" t="n">
        <f aca="false">IF(B147="",0,N(Students!E136))</f>
        <v>0</v>
      </c>
      <c r="E147" s="23"/>
      <c r="F147" s="26" t="n">
        <f aca="false">N(C147)+N(D147)-N(E147)</f>
        <v>0</v>
      </c>
      <c r="G147" s="37" t="n">
        <f aca="false">'Jun 2027'!J147</f>
        <v>0</v>
      </c>
      <c r="H147" s="37" t="n">
        <f aca="false">IF(B147="",0,N(Students!F136))</f>
        <v>0</v>
      </c>
      <c r="I147" s="23"/>
      <c r="J147" s="26" t="n">
        <f aca="false">N(G147)+N(H147)-N(I147)</f>
        <v>0</v>
      </c>
      <c r="K147" s="37" t="n">
        <f aca="false">'Jun 2027'!N147</f>
        <v>0</v>
      </c>
      <c r="L147" s="37" t="n">
        <f aca="false">IF(B147="",0,N(Students!G136))</f>
        <v>0</v>
      </c>
      <c r="M147" s="23"/>
      <c r="N147" s="26" t="n">
        <f aca="false">N(K147)+N(L147)-N(M147)</f>
        <v>0</v>
      </c>
      <c r="O147" s="37" t="n">
        <f aca="false">'Jun 2027'!R147</f>
        <v>0</v>
      </c>
      <c r="P147" s="37" t="n">
        <f aca="false">IF(B147="",0,N(Students!H136))</f>
        <v>0</v>
      </c>
      <c r="Q147" s="23"/>
      <c r="R147" s="26" t="n">
        <f aca="false">N(O147)+N(P147)-N(Q147)</f>
        <v>0</v>
      </c>
      <c r="S147" s="37" t="n">
        <f aca="false">'Jun 2027'!V147</f>
        <v>0</v>
      </c>
      <c r="T147" s="37" t="n">
        <f aca="false">IF(B147="",0,N(Students!I136))</f>
        <v>0</v>
      </c>
      <c r="U147" s="23"/>
      <c r="V147" s="26" t="n">
        <f aca="false">N(S147)+N(T147)-N(U147)</f>
        <v>0</v>
      </c>
      <c r="W147" s="37" t="n">
        <f aca="false">'Jun 2027'!Z147</f>
        <v>0</v>
      </c>
      <c r="X147" s="37" t="n">
        <f aca="false">IF(B147="",0,N(Students!J136))</f>
        <v>0</v>
      </c>
      <c r="Y147" s="23"/>
      <c r="Z147" s="26" t="n">
        <f aca="false">N(W147)+N(X147)-N(Y147)</f>
        <v>0</v>
      </c>
      <c r="AA147" s="37" t="n">
        <f aca="false">N(E147)+N(I147)+N(M147)+N(Q147)+N(U147)+N(Y147)</f>
        <v>0</v>
      </c>
      <c r="AB147" s="26" t="n">
        <f aca="false">F147+J147+N147+R147+V147+Z147</f>
        <v>0</v>
      </c>
      <c r="AC147" s="83" t="str">
        <f aca="false">IF(B147="","",IF(AB147&lt;=0,"Clear",IF(AA147&gt;0,"Partial","Due")))</f>
        <v/>
      </c>
    </row>
    <row r="148" customFormat="false" ht="15" hidden="false" customHeight="false" outlineLevel="0" collapsed="false">
      <c r="A148" s="21" t="n">
        <v>133</v>
      </c>
      <c r="B148" s="46" t="str">
        <f aca="false">IF(Students!B137="","",Students!B137)</f>
        <v/>
      </c>
      <c r="C148" s="33" t="n">
        <f aca="false">'Jun 2027'!F148</f>
        <v>0</v>
      </c>
      <c r="D148" s="33" t="n">
        <f aca="false">IF(B148="",0,N(Students!E137))</f>
        <v>0</v>
      </c>
      <c r="E148" s="23"/>
      <c r="F148" s="24" t="n">
        <f aca="false">N(C148)+N(D148)-N(E148)</f>
        <v>0</v>
      </c>
      <c r="G148" s="33" t="n">
        <f aca="false">'Jun 2027'!J148</f>
        <v>0</v>
      </c>
      <c r="H148" s="33" t="n">
        <f aca="false">IF(B148="",0,N(Students!F137))</f>
        <v>0</v>
      </c>
      <c r="I148" s="23"/>
      <c r="J148" s="24" t="n">
        <f aca="false">N(G148)+N(H148)-N(I148)</f>
        <v>0</v>
      </c>
      <c r="K148" s="33" t="n">
        <f aca="false">'Jun 2027'!N148</f>
        <v>0</v>
      </c>
      <c r="L148" s="33" t="n">
        <f aca="false">IF(B148="",0,N(Students!G137))</f>
        <v>0</v>
      </c>
      <c r="M148" s="23"/>
      <c r="N148" s="24" t="n">
        <f aca="false">N(K148)+N(L148)-N(M148)</f>
        <v>0</v>
      </c>
      <c r="O148" s="33" t="n">
        <f aca="false">'Jun 2027'!R148</f>
        <v>0</v>
      </c>
      <c r="P148" s="33" t="n">
        <f aca="false">IF(B148="",0,N(Students!H137))</f>
        <v>0</v>
      </c>
      <c r="Q148" s="23"/>
      <c r="R148" s="24" t="n">
        <f aca="false">N(O148)+N(P148)-N(Q148)</f>
        <v>0</v>
      </c>
      <c r="S148" s="33" t="n">
        <f aca="false">'Jun 2027'!V148</f>
        <v>0</v>
      </c>
      <c r="T148" s="33" t="n">
        <f aca="false">IF(B148="",0,N(Students!I137))</f>
        <v>0</v>
      </c>
      <c r="U148" s="23"/>
      <c r="V148" s="24" t="n">
        <f aca="false">N(S148)+N(T148)-N(U148)</f>
        <v>0</v>
      </c>
      <c r="W148" s="33" t="n">
        <f aca="false">'Jun 2027'!Z148</f>
        <v>0</v>
      </c>
      <c r="X148" s="33" t="n">
        <f aca="false">IF(B148="",0,N(Students!J137))</f>
        <v>0</v>
      </c>
      <c r="Y148" s="23"/>
      <c r="Z148" s="24" t="n">
        <f aca="false">N(W148)+N(X148)-N(Y148)</f>
        <v>0</v>
      </c>
      <c r="AA148" s="33" t="n">
        <f aca="false">N(E148)+N(I148)+N(M148)+N(Q148)+N(U148)+N(Y148)</f>
        <v>0</v>
      </c>
      <c r="AB148" s="24" t="n">
        <f aca="false">F148+J148+N148+R148+V148+Z148</f>
        <v>0</v>
      </c>
      <c r="AC148" s="81" t="str">
        <f aca="false">IF(B148="","",IF(AB148&lt;=0,"Clear",IF(AA148&gt;0,"Partial","Due")))</f>
        <v/>
      </c>
    </row>
    <row r="149" customFormat="false" ht="15" hidden="false" customHeight="false" outlineLevel="0" collapsed="false">
      <c r="A149" s="25" t="n">
        <v>134</v>
      </c>
      <c r="B149" s="82" t="str">
        <f aca="false">IF(Students!B138="","",Students!B138)</f>
        <v/>
      </c>
      <c r="C149" s="37" t="n">
        <f aca="false">'Jun 2027'!F149</f>
        <v>0</v>
      </c>
      <c r="D149" s="37" t="n">
        <f aca="false">IF(B149="",0,N(Students!E138))</f>
        <v>0</v>
      </c>
      <c r="E149" s="23"/>
      <c r="F149" s="26" t="n">
        <f aca="false">N(C149)+N(D149)-N(E149)</f>
        <v>0</v>
      </c>
      <c r="G149" s="37" t="n">
        <f aca="false">'Jun 2027'!J149</f>
        <v>0</v>
      </c>
      <c r="H149" s="37" t="n">
        <f aca="false">IF(B149="",0,N(Students!F138))</f>
        <v>0</v>
      </c>
      <c r="I149" s="23"/>
      <c r="J149" s="26" t="n">
        <f aca="false">N(G149)+N(H149)-N(I149)</f>
        <v>0</v>
      </c>
      <c r="K149" s="37" t="n">
        <f aca="false">'Jun 2027'!N149</f>
        <v>0</v>
      </c>
      <c r="L149" s="37" t="n">
        <f aca="false">IF(B149="",0,N(Students!G138))</f>
        <v>0</v>
      </c>
      <c r="M149" s="23"/>
      <c r="N149" s="26" t="n">
        <f aca="false">N(K149)+N(L149)-N(M149)</f>
        <v>0</v>
      </c>
      <c r="O149" s="37" t="n">
        <f aca="false">'Jun 2027'!R149</f>
        <v>0</v>
      </c>
      <c r="P149" s="37" t="n">
        <f aca="false">IF(B149="",0,N(Students!H138))</f>
        <v>0</v>
      </c>
      <c r="Q149" s="23"/>
      <c r="R149" s="26" t="n">
        <f aca="false">N(O149)+N(P149)-N(Q149)</f>
        <v>0</v>
      </c>
      <c r="S149" s="37" t="n">
        <f aca="false">'Jun 2027'!V149</f>
        <v>0</v>
      </c>
      <c r="T149" s="37" t="n">
        <f aca="false">IF(B149="",0,N(Students!I138))</f>
        <v>0</v>
      </c>
      <c r="U149" s="23"/>
      <c r="V149" s="26" t="n">
        <f aca="false">N(S149)+N(T149)-N(U149)</f>
        <v>0</v>
      </c>
      <c r="W149" s="37" t="n">
        <f aca="false">'Jun 2027'!Z149</f>
        <v>0</v>
      </c>
      <c r="X149" s="37" t="n">
        <f aca="false">IF(B149="",0,N(Students!J138))</f>
        <v>0</v>
      </c>
      <c r="Y149" s="23"/>
      <c r="Z149" s="26" t="n">
        <f aca="false">N(W149)+N(X149)-N(Y149)</f>
        <v>0</v>
      </c>
      <c r="AA149" s="37" t="n">
        <f aca="false">N(E149)+N(I149)+N(M149)+N(Q149)+N(U149)+N(Y149)</f>
        <v>0</v>
      </c>
      <c r="AB149" s="26" t="n">
        <f aca="false">F149+J149+N149+R149+V149+Z149</f>
        <v>0</v>
      </c>
      <c r="AC149" s="83" t="str">
        <f aca="false">IF(B149="","",IF(AB149&lt;=0,"Clear",IF(AA149&gt;0,"Partial","Due")))</f>
        <v/>
      </c>
    </row>
    <row r="150" customFormat="false" ht="15" hidden="false" customHeight="false" outlineLevel="0" collapsed="false">
      <c r="A150" s="21" t="n">
        <v>135</v>
      </c>
      <c r="B150" s="46" t="str">
        <f aca="false">IF(Students!B139="","",Students!B139)</f>
        <v/>
      </c>
      <c r="C150" s="33" t="n">
        <f aca="false">'Jun 2027'!F150</f>
        <v>0</v>
      </c>
      <c r="D150" s="33" t="n">
        <f aca="false">IF(B150="",0,N(Students!E139))</f>
        <v>0</v>
      </c>
      <c r="E150" s="23"/>
      <c r="F150" s="24" t="n">
        <f aca="false">N(C150)+N(D150)-N(E150)</f>
        <v>0</v>
      </c>
      <c r="G150" s="33" t="n">
        <f aca="false">'Jun 2027'!J150</f>
        <v>0</v>
      </c>
      <c r="H150" s="33" t="n">
        <f aca="false">IF(B150="",0,N(Students!F139))</f>
        <v>0</v>
      </c>
      <c r="I150" s="23"/>
      <c r="J150" s="24" t="n">
        <f aca="false">N(G150)+N(H150)-N(I150)</f>
        <v>0</v>
      </c>
      <c r="K150" s="33" t="n">
        <f aca="false">'Jun 2027'!N150</f>
        <v>0</v>
      </c>
      <c r="L150" s="33" t="n">
        <f aca="false">IF(B150="",0,N(Students!G139))</f>
        <v>0</v>
      </c>
      <c r="M150" s="23"/>
      <c r="N150" s="24" t="n">
        <f aca="false">N(K150)+N(L150)-N(M150)</f>
        <v>0</v>
      </c>
      <c r="O150" s="33" t="n">
        <f aca="false">'Jun 2027'!R150</f>
        <v>0</v>
      </c>
      <c r="P150" s="33" t="n">
        <f aca="false">IF(B150="",0,N(Students!H139))</f>
        <v>0</v>
      </c>
      <c r="Q150" s="23"/>
      <c r="R150" s="24" t="n">
        <f aca="false">N(O150)+N(P150)-N(Q150)</f>
        <v>0</v>
      </c>
      <c r="S150" s="33" t="n">
        <f aca="false">'Jun 2027'!V150</f>
        <v>0</v>
      </c>
      <c r="T150" s="33" t="n">
        <f aca="false">IF(B150="",0,N(Students!I139))</f>
        <v>0</v>
      </c>
      <c r="U150" s="23"/>
      <c r="V150" s="24" t="n">
        <f aca="false">N(S150)+N(T150)-N(U150)</f>
        <v>0</v>
      </c>
      <c r="W150" s="33" t="n">
        <f aca="false">'Jun 2027'!Z150</f>
        <v>0</v>
      </c>
      <c r="X150" s="33" t="n">
        <f aca="false">IF(B150="",0,N(Students!J139))</f>
        <v>0</v>
      </c>
      <c r="Y150" s="23"/>
      <c r="Z150" s="24" t="n">
        <f aca="false">N(W150)+N(X150)-N(Y150)</f>
        <v>0</v>
      </c>
      <c r="AA150" s="33" t="n">
        <f aca="false">N(E150)+N(I150)+N(M150)+N(Q150)+N(U150)+N(Y150)</f>
        <v>0</v>
      </c>
      <c r="AB150" s="24" t="n">
        <f aca="false">F150+J150+N150+R150+V150+Z150</f>
        <v>0</v>
      </c>
      <c r="AC150" s="81" t="str">
        <f aca="false">IF(B150="","",IF(AB150&lt;=0,"Clear",IF(AA150&gt;0,"Partial","Due")))</f>
        <v/>
      </c>
    </row>
    <row r="151" customFormat="false" ht="15" hidden="false" customHeight="false" outlineLevel="0" collapsed="false">
      <c r="A151" s="25" t="n">
        <v>136</v>
      </c>
      <c r="B151" s="82" t="str">
        <f aca="false">IF(Students!B140="","",Students!B140)</f>
        <v/>
      </c>
      <c r="C151" s="37" t="n">
        <f aca="false">'Jun 2027'!F151</f>
        <v>0</v>
      </c>
      <c r="D151" s="37" t="n">
        <f aca="false">IF(B151="",0,N(Students!E140))</f>
        <v>0</v>
      </c>
      <c r="E151" s="23"/>
      <c r="F151" s="26" t="n">
        <f aca="false">N(C151)+N(D151)-N(E151)</f>
        <v>0</v>
      </c>
      <c r="G151" s="37" t="n">
        <f aca="false">'Jun 2027'!J151</f>
        <v>0</v>
      </c>
      <c r="H151" s="37" t="n">
        <f aca="false">IF(B151="",0,N(Students!F140))</f>
        <v>0</v>
      </c>
      <c r="I151" s="23"/>
      <c r="J151" s="26" t="n">
        <f aca="false">N(G151)+N(H151)-N(I151)</f>
        <v>0</v>
      </c>
      <c r="K151" s="37" t="n">
        <f aca="false">'Jun 2027'!N151</f>
        <v>0</v>
      </c>
      <c r="L151" s="37" t="n">
        <f aca="false">IF(B151="",0,N(Students!G140))</f>
        <v>0</v>
      </c>
      <c r="M151" s="23"/>
      <c r="N151" s="26" t="n">
        <f aca="false">N(K151)+N(L151)-N(M151)</f>
        <v>0</v>
      </c>
      <c r="O151" s="37" t="n">
        <f aca="false">'Jun 2027'!R151</f>
        <v>0</v>
      </c>
      <c r="P151" s="37" t="n">
        <f aca="false">IF(B151="",0,N(Students!H140))</f>
        <v>0</v>
      </c>
      <c r="Q151" s="23"/>
      <c r="R151" s="26" t="n">
        <f aca="false">N(O151)+N(P151)-N(Q151)</f>
        <v>0</v>
      </c>
      <c r="S151" s="37" t="n">
        <f aca="false">'Jun 2027'!V151</f>
        <v>0</v>
      </c>
      <c r="T151" s="37" t="n">
        <f aca="false">IF(B151="",0,N(Students!I140))</f>
        <v>0</v>
      </c>
      <c r="U151" s="23"/>
      <c r="V151" s="26" t="n">
        <f aca="false">N(S151)+N(T151)-N(U151)</f>
        <v>0</v>
      </c>
      <c r="W151" s="37" t="n">
        <f aca="false">'Jun 2027'!Z151</f>
        <v>0</v>
      </c>
      <c r="X151" s="37" t="n">
        <f aca="false">IF(B151="",0,N(Students!J140))</f>
        <v>0</v>
      </c>
      <c r="Y151" s="23"/>
      <c r="Z151" s="26" t="n">
        <f aca="false">N(W151)+N(X151)-N(Y151)</f>
        <v>0</v>
      </c>
      <c r="AA151" s="37" t="n">
        <f aca="false">N(E151)+N(I151)+N(M151)+N(Q151)+N(U151)+N(Y151)</f>
        <v>0</v>
      </c>
      <c r="AB151" s="26" t="n">
        <f aca="false">F151+J151+N151+R151+V151+Z151</f>
        <v>0</v>
      </c>
      <c r="AC151" s="83" t="str">
        <f aca="false">IF(B151="","",IF(AB151&lt;=0,"Clear",IF(AA151&gt;0,"Partial","Due")))</f>
        <v/>
      </c>
    </row>
    <row r="152" customFormat="false" ht="15" hidden="false" customHeight="false" outlineLevel="0" collapsed="false">
      <c r="A152" s="21" t="n">
        <v>137</v>
      </c>
      <c r="B152" s="46" t="str">
        <f aca="false">IF(Students!B141="","",Students!B141)</f>
        <v/>
      </c>
      <c r="C152" s="33" t="n">
        <f aca="false">'Jun 2027'!F152</f>
        <v>0</v>
      </c>
      <c r="D152" s="33" t="n">
        <f aca="false">IF(B152="",0,N(Students!E141))</f>
        <v>0</v>
      </c>
      <c r="E152" s="23"/>
      <c r="F152" s="24" t="n">
        <f aca="false">N(C152)+N(D152)-N(E152)</f>
        <v>0</v>
      </c>
      <c r="G152" s="33" t="n">
        <f aca="false">'Jun 2027'!J152</f>
        <v>0</v>
      </c>
      <c r="H152" s="33" t="n">
        <f aca="false">IF(B152="",0,N(Students!F141))</f>
        <v>0</v>
      </c>
      <c r="I152" s="23"/>
      <c r="J152" s="24" t="n">
        <f aca="false">N(G152)+N(H152)-N(I152)</f>
        <v>0</v>
      </c>
      <c r="K152" s="33" t="n">
        <f aca="false">'Jun 2027'!N152</f>
        <v>0</v>
      </c>
      <c r="L152" s="33" t="n">
        <f aca="false">IF(B152="",0,N(Students!G141))</f>
        <v>0</v>
      </c>
      <c r="M152" s="23"/>
      <c r="N152" s="24" t="n">
        <f aca="false">N(K152)+N(L152)-N(M152)</f>
        <v>0</v>
      </c>
      <c r="O152" s="33" t="n">
        <f aca="false">'Jun 2027'!R152</f>
        <v>0</v>
      </c>
      <c r="P152" s="33" t="n">
        <f aca="false">IF(B152="",0,N(Students!H141))</f>
        <v>0</v>
      </c>
      <c r="Q152" s="23"/>
      <c r="R152" s="24" t="n">
        <f aca="false">N(O152)+N(P152)-N(Q152)</f>
        <v>0</v>
      </c>
      <c r="S152" s="33" t="n">
        <f aca="false">'Jun 2027'!V152</f>
        <v>0</v>
      </c>
      <c r="T152" s="33" t="n">
        <f aca="false">IF(B152="",0,N(Students!I141))</f>
        <v>0</v>
      </c>
      <c r="U152" s="23"/>
      <c r="V152" s="24" t="n">
        <f aca="false">N(S152)+N(T152)-N(U152)</f>
        <v>0</v>
      </c>
      <c r="W152" s="33" t="n">
        <f aca="false">'Jun 2027'!Z152</f>
        <v>0</v>
      </c>
      <c r="X152" s="33" t="n">
        <f aca="false">IF(B152="",0,N(Students!J141))</f>
        <v>0</v>
      </c>
      <c r="Y152" s="23"/>
      <c r="Z152" s="24" t="n">
        <f aca="false">N(W152)+N(X152)-N(Y152)</f>
        <v>0</v>
      </c>
      <c r="AA152" s="33" t="n">
        <f aca="false">N(E152)+N(I152)+N(M152)+N(Q152)+N(U152)+N(Y152)</f>
        <v>0</v>
      </c>
      <c r="AB152" s="24" t="n">
        <f aca="false">F152+J152+N152+R152+V152+Z152</f>
        <v>0</v>
      </c>
      <c r="AC152" s="81" t="str">
        <f aca="false">IF(B152="","",IF(AB152&lt;=0,"Clear",IF(AA152&gt;0,"Partial","Due")))</f>
        <v/>
      </c>
    </row>
    <row r="153" customFormat="false" ht="15" hidden="false" customHeight="false" outlineLevel="0" collapsed="false">
      <c r="A153" s="25" t="n">
        <v>138</v>
      </c>
      <c r="B153" s="82" t="str">
        <f aca="false">IF(Students!B142="","",Students!B142)</f>
        <v/>
      </c>
      <c r="C153" s="37" t="n">
        <f aca="false">'Jun 2027'!F153</f>
        <v>0</v>
      </c>
      <c r="D153" s="37" t="n">
        <f aca="false">IF(B153="",0,N(Students!E142))</f>
        <v>0</v>
      </c>
      <c r="E153" s="23"/>
      <c r="F153" s="26" t="n">
        <f aca="false">N(C153)+N(D153)-N(E153)</f>
        <v>0</v>
      </c>
      <c r="G153" s="37" t="n">
        <f aca="false">'Jun 2027'!J153</f>
        <v>0</v>
      </c>
      <c r="H153" s="37" t="n">
        <f aca="false">IF(B153="",0,N(Students!F142))</f>
        <v>0</v>
      </c>
      <c r="I153" s="23"/>
      <c r="J153" s="26" t="n">
        <f aca="false">N(G153)+N(H153)-N(I153)</f>
        <v>0</v>
      </c>
      <c r="K153" s="37" t="n">
        <f aca="false">'Jun 2027'!N153</f>
        <v>0</v>
      </c>
      <c r="L153" s="37" t="n">
        <f aca="false">IF(B153="",0,N(Students!G142))</f>
        <v>0</v>
      </c>
      <c r="M153" s="23"/>
      <c r="N153" s="26" t="n">
        <f aca="false">N(K153)+N(L153)-N(M153)</f>
        <v>0</v>
      </c>
      <c r="O153" s="37" t="n">
        <f aca="false">'Jun 2027'!R153</f>
        <v>0</v>
      </c>
      <c r="P153" s="37" t="n">
        <f aca="false">IF(B153="",0,N(Students!H142))</f>
        <v>0</v>
      </c>
      <c r="Q153" s="23"/>
      <c r="R153" s="26" t="n">
        <f aca="false">N(O153)+N(P153)-N(Q153)</f>
        <v>0</v>
      </c>
      <c r="S153" s="37" t="n">
        <f aca="false">'Jun 2027'!V153</f>
        <v>0</v>
      </c>
      <c r="T153" s="37" t="n">
        <f aca="false">IF(B153="",0,N(Students!I142))</f>
        <v>0</v>
      </c>
      <c r="U153" s="23"/>
      <c r="V153" s="26" t="n">
        <f aca="false">N(S153)+N(T153)-N(U153)</f>
        <v>0</v>
      </c>
      <c r="W153" s="37" t="n">
        <f aca="false">'Jun 2027'!Z153</f>
        <v>0</v>
      </c>
      <c r="X153" s="37" t="n">
        <f aca="false">IF(B153="",0,N(Students!J142))</f>
        <v>0</v>
      </c>
      <c r="Y153" s="23"/>
      <c r="Z153" s="26" t="n">
        <f aca="false">N(W153)+N(X153)-N(Y153)</f>
        <v>0</v>
      </c>
      <c r="AA153" s="37" t="n">
        <f aca="false">N(E153)+N(I153)+N(M153)+N(Q153)+N(U153)+N(Y153)</f>
        <v>0</v>
      </c>
      <c r="AB153" s="26" t="n">
        <f aca="false">F153+J153+N153+R153+V153+Z153</f>
        <v>0</v>
      </c>
      <c r="AC153" s="83" t="str">
        <f aca="false">IF(B153="","",IF(AB153&lt;=0,"Clear",IF(AA153&gt;0,"Partial","Due")))</f>
        <v/>
      </c>
    </row>
    <row r="154" customFormat="false" ht="15" hidden="false" customHeight="false" outlineLevel="0" collapsed="false">
      <c r="A154" s="21" t="n">
        <v>139</v>
      </c>
      <c r="B154" s="46" t="str">
        <f aca="false">IF(Students!B143="","",Students!B143)</f>
        <v/>
      </c>
      <c r="C154" s="33" t="n">
        <f aca="false">'Jun 2027'!F154</f>
        <v>0</v>
      </c>
      <c r="D154" s="33" t="n">
        <f aca="false">IF(B154="",0,N(Students!E143))</f>
        <v>0</v>
      </c>
      <c r="E154" s="23"/>
      <c r="F154" s="24" t="n">
        <f aca="false">N(C154)+N(D154)-N(E154)</f>
        <v>0</v>
      </c>
      <c r="G154" s="33" t="n">
        <f aca="false">'Jun 2027'!J154</f>
        <v>0</v>
      </c>
      <c r="H154" s="33" t="n">
        <f aca="false">IF(B154="",0,N(Students!F143))</f>
        <v>0</v>
      </c>
      <c r="I154" s="23"/>
      <c r="J154" s="24" t="n">
        <f aca="false">N(G154)+N(H154)-N(I154)</f>
        <v>0</v>
      </c>
      <c r="K154" s="33" t="n">
        <f aca="false">'Jun 2027'!N154</f>
        <v>0</v>
      </c>
      <c r="L154" s="33" t="n">
        <f aca="false">IF(B154="",0,N(Students!G143))</f>
        <v>0</v>
      </c>
      <c r="M154" s="23"/>
      <c r="N154" s="24" t="n">
        <f aca="false">N(K154)+N(L154)-N(M154)</f>
        <v>0</v>
      </c>
      <c r="O154" s="33" t="n">
        <f aca="false">'Jun 2027'!R154</f>
        <v>0</v>
      </c>
      <c r="P154" s="33" t="n">
        <f aca="false">IF(B154="",0,N(Students!H143))</f>
        <v>0</v>
      </c>
      <c r="Q154" s="23"/>
      <c r="R154" s="24" t="n">
        <f aca="false">N(O154)+N(P154)-N(Q154)</f>
        <v>0</v>
      </c>
      <c r="S154" s="33" t="n">
        <f aca="false">'Jun 2027'!V154</f>
        <v>0</v>
      </c>
      <c r="T154" s="33" t="n">
        <f aca="false">IF(B154="",0,N(Students!I143))</f>
        <v>0</v>
      </c>
      <c r="U154" s="23"/>
      <c r="V154" s="24" t="n">
        <f aca="false">N(S154)+N(T154)-N(U154)</f>
        <v>0</v>
      </c>
      <c r="W154" s="33" t="n">
        <f aca="false">'Jun 2027'!Z154</f>
        <v>0</v>
      </c>
      <c r="X154" s="33" t="n">
        <f aca="false">IF(B154="",0,N(Students!J143))</f>
        <v>0</v>
      </c>
      <c r="Y154" s="23"/>
      <c r="Z154" s="24" t="n">
        <f aca="false">N(W154)+N(X154)-N(Y154)</f>
        <v>0</v>
      </c>
      <c r="AA154" s="33" t="n">
        <f aca="false">N(E154)+N(I154)+N(M154)+N(Q154)+N(U154)+N(Y154)</f>
        <v>0</v>
      </c>
      <c r="AB154" s="24" t="n">
        <f aca="false">F154+J154+N154+R154+V154+Z154</f>
        <v>0</v>
      </c>
      <c r="AC154" s="81" t="str">
        <f aca="false">IF(B154="","",IF(AB154&lt;=0,"Clear",IF(AA154&gt;0,"Partial","Due")))</f>
        <v/>
      </c>
    </row>
    <row r="155" customFormat="false" ht="15" hidden="false" customHeight="false" outlineLevel="0" collapsed="false">
      <c r="A155" s="25" t="n">
        <v>140</v>
      </c>
      <c r="B155" s="82" t="str">
        <f aca="false">IF(Students!B144="","",Students!B144)</f>
        <v/>
      </c>
      <c r="C155" s="37" t="n">
        <f aca="false">'Jun 2027'!F155</f>
        <v>0</v>
      </c>
      <c r="D155" s="37" t="n">
        <f aca="false">IF(B155="",0,N(Students!E144))</f>
        <v>0</v>
      </c>
      <c r="E155" s="23"/>
      <c r="F155" s="26" t="n">
        <f aca="false">N(C155)+N(D155)-N(E155)</f>
        <v>0</v>
      </c>
      <c r="G155" s="37" t="n">
        <f aca="false">'Jun 2027'!J155</f>
        <v>0</v>
      </c>
      <c r="H155" s="37" t="n">
        <f aca="false">IF(B155="",0,N(Students!F144))</f>
        <v>0</v>
      </c>
      <c r="I155" s="23"/>
      <c r="J155" s="26" t="n">
        <f aca="false">N(G155)+N(H155)-N(I155)</f>
        <v>0</v>
      </c>
      <c r="K155" s="37" t="n">
        <f aca="false">'Jun 2027'!N155</f>
        <v>0</v>
      </c>
      <c r="L155" s="37" t="n">
        <f aca="false">IF(B155="",0,N(Students!G144))</f>
        <v>0</v>
      </c>
      <c r="M155" s="23"/>
      <c r="N155" s="26" t="n">
        <f aca="false">N(K155)+N(L155)-N(M155)</f>
        <v>0</v>
      </c>
      <c r="O155" s="37" t="n">
        <f aca="false">'Jun 2027'!R155</f>
        <v>0</v>
      </c>
      <c r="P155" s="37" t="n">
        <f aca="false">IF(B155="",0,N(Students!H144))</f>
        <v>0</v>
      </c>
      <c r="Q155" s="23"/>
      <c r="R155" s="26" t="n">
        <f aca="false">N(O155)+N(P155)-N(Q155)</f>
        <v>0</v>
      </c>
      <c r="S155" s="37" t="n">
        <f aca="false">'Jun 2027'!V155</f>
        <v>0</v>
      </c>
      <c r="T155" s="37" t="n">
        <f aca="false">IF(B155="",0,N(Students!I144))</f>
        <v>0</v>
      </c>
      <c r="U155" s="23"/>
      <c r="V155" s="26" t="n">
        <f aca="false">N(S155)+N(T155)-N(U155)</f>
        <v>0</v>
      </c>
      <c r="W155" s="37" t="n">
        <f aca="false">'Jun 2027'!Z155</f>
        <v>0</v>
      </c>
      <c r="X155" s="37" t="n">
        <f aca="false">IF(B155="",0,N(Students!J144))</f>
        <v>0</v>
      </c>
      <c r="Y155" s="23"/>
      <c r="Z155" s="26" t="n">
        <f aca="false">N(W155)+N(X155)-N(Y155)</f>
        <v>0</v>
      </c>
      <c r="AA155" s="37" t="n">
        <f aca="false">N(E155)+N(I155)+N(M155)+N(Q155)+N(U155)+N(Y155)</f>
        <v>0</v>
      </c>
      <c r="AB155" s="26" t="n">
        <f aca="false">F155+J155+N155+R155+V155+Z155</f>
        <v>0</v>
      </c>
      <c r="AC155" s="83" t="str">
        <f aca="false">IF(B155="","",IF(AB155&lt;=0,"Clear",IF(AA155&gt;0,"Partial","Due")))</f>
        <v/>
      </c>
    </row>
    <row r="156" customFormat="false" ht="15" hidden="false" customHeight="false" outlineLevel="0" collapsed="false">
      <c r="A156" s="21" t="n">
        <v>141</v>
      </c>
      <c r="B156" s="46" t="str">
        <f aca="false">IF(Students!B145="","",Students!B145)</f>
        <v/>
      </c>
      <c r="C156" s="33" t="n">
        <f aca="false">'Jun 2027'!F156</f>
        <v>0</v>
      </c>
      <c r="D156" s="33" t="n">
        <f aca="false">IF(B156="",0,N(Students!E145))</f>
        <v>0</v>
      </c>
      <c r="E156" s="23"/>
      <c r="F156" s="24" t="n">
        <f aca="false">N(C156)+N(D156)-N(E156)</f>
        <v>0</v>
      </c>
      <c r="G156" s="33" t="n">
        <f aca="false">'Jun 2027'!J156</f>
        <v>0</v>
      </c>
      <c r="H156" s="33" t="n">
        <f aca="false">IF(B156="",0,N(Students!F145))</f>
        <v>0</v>
      </c>
      <c r="I156" s="23"/>
      <c r="J156" s="24" t="n">
        <f aca="false">N(G156)+N(H156)-N(I156)</f>
        <v>0</v>
      </c>
      <c r="K156" s="33" t="n">
        <f aca="false">'Jun 2027'!N156</f>
        <v>0</v>
      </c>
      <c r="L156" s="33" t="n">
        <f aca="false">IF(B156="",0,N(Students!G145))</f>
        <v>0</v>
      </c>
      <c r="M156" s="23"/>
      <c r="N156" s="24" t="n">
        <f aca="false">N(K156)+N(L156)-N(M156)</f>
        <v>0</v>
      </c>
      <c r="O156" s="33" t="n">
        <f aca="false">'Jun 2027'!R156</f>
        <v>0</v>
      </c>
      <c r="P156" s="33" t="n">
        <f aca="false">IF(B156="",0,N(Students!H145))</f>
        <v>0</v>
      </c>
      <c r="Q156" s="23"/>
      <c r="R156" s="24" t="n">
        <f aca="false">N(O156)+N(P156)-N(Q156)</f>
        <v>0</v>
      </c>
      <c r="S156" s="33" t="n">
        <f aca="false">'Jun 2027'!V156</f>
        <v>0</v>
      </c>
      <c r="T156" s="33" t="n">
        <f aca="false">IF(B156="",0,N(Students!I145))</f>
        <v>0</v>
      </c>
      <c r="U156" s="23"/>
      <c r="V156" s="24" t="n">
        <f aca="false">N(S156)+N(T156)-N(U156)</f>
        <v>0</v>
      </c>
      <c r="W156" s="33" t="n">
        <f aca="false">'Jun 2027'!Z156</f>
        <v>0</v>
      </c>
      <c r="X156" s="33" t="n">
        <f aca="false">IF(B156="",0,N(Students!J145))</f>
        <v>0</v>
      </c>
      <c r="Y156" s="23"/>
      <c r="Z156" s="24" t="n">
        <f aca="false">N(W156)+N(X156)-N(Y156)</f>
        <v>0</v>
      </c>
      <c r="AA156" s="33" t="n">
        <f aca="false">N(E156)+N(I156)+N(M156)+N(Q156)+N(U156)+N(Y156)</f>
        <v>0</v>
      </c>
      <c r="AB156" s="24" t="n">
        <f aca="false">F156+J156+N156+R156+V156+Z156</f>
        <v>0</v>
      </c>
      <c r="AC156" s="81" t="str">
        <f aca="false">IF(B156="","",IF(AB156&lt;=0,"Clear",IF(AA156&gt;0,"Partial","Due")))</f>
        <v/>
      </c>
    </row>
    <row r="157" customFormat="false" ht="15" hidden="false" customHeight="false" outlineLevel="0" collapsed="false">
      <c r="A157" s="25" t="n">
        <v>142</v>
      </c>
      <c r="B157" s="82" t="str">
        <f aca="false">IF(Students!B146="","",Students!B146)</f>
        <v/>
      </c>
      <c r="C157" s="37" t="n">
        <f aca="false">'Jun 2027'!F157</f>
        <v>0</v>
      </c>
      <c r="D157" s="37" t="n">
        <f aca="false">IF(B157="",0,N(Students!E146))</f>
        <v>0</v>
      </c>
      <c r="E157" s="23"/>
      <c r="F157" s="26" t="n">
        <f aca="false">N(C157)+N(D157)-N(E157)</f>
        <v>0</v>
      </c>
      <c r="G157" s="37" t="n">
        <f aca="false">'Jun 2027'!J157</f>
        <v>0</v>
      </c>
      <c r="H157" s="37" t="n">
        <f aca="false">IF(B157="",0,N(Students!F146))</f>
        <v>0</v>
      </c>
      <c r="I157" s="23"/>
      <c r="J157" s="26" t="n">
        <f aca="false">N(G157)+N(H157)-N(I157)</f>
        <v>0</v>
      </c>
      <c r="K157" s="37" t="n">
        <f aca="false">'Jun 2027'!N157</f>
        <v>0</v>
      </c>
      <c r="L157" s="37" t="n">
        <f aca="false">IF(B157="",0,N(Students!G146))</f>
        <v>0</v>
      </c>
      <c r="M157" s="23"/>
      <c r="N157" s="26" t="n">
        <f aca="false">N(K157)+N(L157)-N(M157)</f>
        <v>0</v>
      </c>
      <c r="O157" s="37" t="n">
        <f aca="false">'Jun 2027'!R157</f>
        <v>0</v>
      </c>
      <c r="P157" s="37" t="n">
        <f aca="false">IF(B157="",0,N(Students!H146))</f>
        <v>0</v>
      </c>
      <c r="Q157" s="23"/>
      <c r="R157" s="26" t="n">
        <f aca="false">N(O157)+N(P157)-N(Q157)</f>
        <v>0</v>
      </c>
      <c r="S157" s="37" t="n">
        <f aca="false">'Jun 2027'!V157</f>
        <v>0</v>
      </c>
      <c r="T157" s="37" t="n">
        <f aca="false">IF(B157="",0,N(Students!I146))</f>
        <v>0</v>
      </c>
      <c r="U157" s="23"/>
      <c r="V157" s="26" t="n">
        <f aca="false">N(S157)+N(T157)-N(U157)</f>
        <v>0</v>
      </c>
      <c r="W157" s="37" t="n">
        <f aca="false">'Jun 2027'!Z157</f>
        <v>0</v>
      </c>
      <c r="X157" s="37" t="n">
        <f aca="false">IF(B157="",0,N(Students!J146))</f>
        <v>0</v>
      </c>
      <c r="Y157" s="23"/>
      <c r="Z157" s="26" t="n">
        <f aca="false">N(W157)+N(X157)-N(Y157)</f>
        <v>0</v>
      </c>
      <c r="AA157" s="37" t="n">
        <f aca="false">N(E157)+N(I157)+N(M157)+N(Q157)+N(U157)+N(Y157)</f>
        <v>0</v>
      </c>
      <c r="AB157" s="26" t="n">
        <f aca="false">F157+J157+N157+R157+V157+Z157</f>
        <v>0</v>
      </c>
      <c r="AC157" s="83" t="str">
        <f aca="false">IF(B157="","",IF(AB157&lt;=0,"Clear",IF(AA157&gt;0,"Partial","Due")))</f>
        <v/>
      </c>
    </row>
    <row r="158" customFormat="false" ht="15" hidden="false" customHeight="false" outlineLevel="0" collapsed="false">
      <c r="A158" s="21" t="n">
        <v>143</v>
      </c>
      <c r="B158" s="46" t="str">
        <f aca="false">IF(Students!B147="","",Students!B147)</f>
        <v/>
      </c>
      <c r="C158" s="33" t="n">
        <f aca="false">'Jun 2027'!F158</f>
        <v>0</v>
      </c>
      <c r="D158" s="33" t="n">
        <f aca="false">IF(B158="",0,N(Students!E147))</f>
        <v>0</v>
      </c>
      <c r="E158" s="23"/>
      <c r="F158" s="24" t="n">
        <f aca="false">N(C158)+N(D158)-N(E158)</f>
        <v>0</v>
      </c>
      <c r="G158" s="33" t="n">
        <f aca="false">'Jun 2027'!J158</f>
        <v>0</v>
      </c>
      <c r="H158" s="33" t="n">
        <f aca="false">IF(B158="",0,N(Students!F147))</f>
        <v>0</v>
      </c>
      <c r="I158" s="23"/>
      <c r="J158" s="24" t="n">
        <f aca="false">N(G158)+N(H158)-N(I158)</f>
        <v>0</v>
      </c>
      <c r="K158" s="33" t="n">
        <f aca="false">'Jun 2027'!N158</f>
        <v>0</v>
      </c>
      <c r="L158" s="33" t="n">
        <f aca="false">IF(B158="",0,N(Students!G147))</f>
        <v>0</v>
      </c>
      <c r="M158" s="23"/>
      <c r="N158" s="24" t="n">
        <f aca="false">N(K158)+N(L158)-N(M158)</f>
        <v>0</v>
      </c>
      <c r="O158" s="33" t="n">
        <f aca="false">'Jun 2027'!R158</f>
        <v>0</v>
      </c>
      <c r="P158" s="33" t="n">
        <f aca="false">IF(B158="",0,N(Students!H147))</f>
        <v>0</v>
      </c>
      <c r="Q158" s="23"/>
      <c r="R158" s="24" t="n">
        <f aca="false">N(O158)+N(P158)-N(Q158)</f>
        <v>0</v>
      </c>
      <c r="S158" s="33" t="n">
        <f aca="false">'Jun 2027'!V158</f>
        <v>0</v>
      </c>
      <c r="T158" s="33" t="n">
        <f aca="false">IF(B158="",0,N(Students!I147))</f>
        <v>0</v>
      </c>
      <c r="U158" s="23"/>
      <c r="V158" s="24" t="n">
        <f aca="false">N(S158)+N(T158)-N(U158)</f>
        <v>0</v>
      </c>
      <c r="W158" s="33" t="n">
        <f aca="false">'Jun 2027'!Z158</f>
        <v>0</v>
      </c>
      <c r="X158" s="33" t="n">
        <f aca="false">IF(B158="",0,N(Students!J147))</f>
        <v>0</v>
      </c>
      <c r="Y158" s="23"/>
      <c r="Z158" s="24" t="n">
        <f aca="false">N(W158)+N(X158)-N(Y158)</f>
        <v>0</v>
      </c>
      <c r="AA158" s="33" t="n">
        <f aca="false">N(E158)+N(I158)+N(M158)+N(Q158)+N(U158)+N(Y158)</f>
        <v>0</v>
      </c>
      <c r="AB158" s="24" t="n">
        <f aca="false">F158+J158+N158+R158+V158+Z158</f>
        <v>0</v>
      </c>
      <c r="AC158" s="81" t="str">
        <f aca="false">IF(B158="","",IF(AB158&lt;=0,"Clear",IF(AA158&gt;0,"Partial","Due")))</f>
        <v/>
      </c>
    </row>
    <row r="159" customFormat="false" ht="15" hidden="false" customHeight="false" outlineLevel="0" collapsed="false">
      <c r="A159" s="25" t="n">
        <v>144</v>
      </c>
      <c r="B159" s="82" t="str">
        <f aca="false">IF(Students!B148="","",Students!B148)</f>
        <v/>
      </c>
      <c r="C159" s="37" t="n">
        <f aca="false">'Jun 2027'!F159</f>
        <v>0</v>
      </c>
      <c r="D159" s="37" t="n">
        <f aca="false">IF(B159="",0,N(Students!E148))</f>
        <v>0</v>
      </c>
      <c r="E159" s="23"/>
      <c r="F159" s="26" t="n">
        <f aca="false">N(C159)+N(D159)-N(E159)</f>
        <v>0</v>
      </c>
      <c r="G159" s="37" t="n">
        <f aca="false">'Jun 2027'!J159</f>
        <v>0</v>
      </c>
      <c r="H159" s="37" t="n">
        <f aca="false">IF(B159="",0,N(Students!F148))</f>
        <v>0</v>
      </c>
      <c r="I159" s="23"/>
      <c r="J159" s="26" t="n">
        <f aca="false">N(G159)+N(H159)-N(I159)</f>
        <v>0</v>
      </c>
      <c r="K159" s="37" t="n">
        <f aca="false">'Jun 2027'!N159</f>
        <v>0</v>
      </c>
      <c r="L159" s="37" t="n">
        <f aca="false">IF(B159="",0,N(Students!G148))</f>
        <v>0</v>
      </c>
      <c r="M159" s="23"/>
      <c r="N159" s="26" t="n">
        <f aca="false">N(K159)+N(L159)-N(M159)</f>
        <v>0</v>
      </c>
      <c r="O159" s="37" t="n">
        <f aca="false">'Jun 2027'!R159</f>
        <v>0</v>
      </c>
      <c r="P159" s="37" t="n">
        <f aca="false">IF(B159="",0,N(Students!H148))</f>
        <v>0</v>
      </c>
      <c r="Q159" s="23"/>
      <c r="R159" s="26" t="n">
        <f aca="false">N(O159)+N(P159)-N(Q159)</f>
        <v>0</v>
      </c>
      <c r="S159" s="37" t="n">
        <f aca="false">'Jun 2027'!V159</f>
        <v>0</v>
      </c>
      <c r="T159" s="37" t="n">
        <f aca="false">IF(B159="",0,N(Students!I148))</f>
        <v>0</v>
      </c>
      <c r="U159" s="23"/>
      <c r="V159" s="26" t="n">
        <f aca="false">N(S159)+N(T159)-N(U159)</f>
        <v>0</v>
      </c>
      <c r="W159" s="37" t="n">
        <f aca="false">'Jun 2027'!Z159</f>
        <v>0</v>
      </c>
      <c r="X159" s="37" t="n">
        <f aca="false">IF(B159="",0,N(Students!J148))</f>
        <v>0</v>
      </c>
      <c r="Y159" s="23"/>
      <c r="Z159" s="26" t="n">
        <f aca="false">N(W159)+N(X159)-N(Y159)</f>
        <v>0</v>
      </c>
      <c r="AA159" s="37" t="n">
        <f aca="false">N(E159)+N(I159)+N(M159)+N(Q159)+N(U159)+N(Y159)</f>
        <v>0</v>
      </c>
      <c r="AB159" s="26" t="n">
        <f aca="false">F159+J159+N159+R159+V159+Z159</f>
        <v>0</v>
      </c>
      <c r="AC159" s="83" t="str">
        <f aca="false">IF(B159="","",IF(AB159&lt;=0,"Clear",IF(AA159&gt;0,"Partial","Due")))</f>
        <v/>
      </c>
    </row>
    <row r="160" customFormat="false" ht="15" hidden="false" customHeight="false" outlineLevel="0" collapsed="false">
      <c r="A160" s="21" t="n">
        <v>145</v>
      </c>
      <c r="B160" s="46" t="str">
        <f aca="false">IF(Students!B149="","",Students!B149)</f>
        <v/>
      </c>
      <c r="C160" s="33" t="n">
        <f aca="false">'Jun 2027'!F160</f>
        <v>0</v>
      </c>
      <c r="D160" s="33" t="n">
        <f aca="false">IF(B160="",0,N(Students!E149))</f>
        <v>0</v>
      </c>
      <c r="E160" s="23"/>
      <c r="F160" s="24" t="n">
        <f aca="false">N(C160)+N(D160)-N(E160)</f>
        <v>0</v>
      </c>
      <c r="G160" s="33" t="n">
        <f aca="false">'Jun 2027'!J160</f>
        <v>0</v>
      </c>
      <c r="H160" s="33" t="n">
        <f aca="false">IF(B160="",0,N(Students!F149))</f>
        <v>0</v>
      </c>
      <c r="I160" s="23"/>
      <c r="J160" s="24" t="n">
        <f aca="false">N(G160)+N(H160)-N(I160)</f>
        <v>0</v>
      </c>
      <c r="K160" s="33" t="n">
        <f aca="false">'Jun 2027'!N160</f>
        <v>0</v>
      </c>
      <c r="L160" s="33" t="n">
        <f aca="false">IF(B160="",0,N(Students!G149))</f>
        <v>0</v>
      </c>
      <c r="M160" s="23"/>
      <c r="N160" s="24" t="n">
        <f aca="false">N(K160)+N(L160)-N(M160)</f>
        <v>0</v>
      </c>
      <c r="O160" s="33" t="n">
        <f aca="false">'Jun 2027'!R160</f>
        <v>0</v>
      </c>
      <c r="P160" s="33" t="n">
        <f aca="false">IF(B160="",0,N(Students!H149))</f>
        <v>0</v>
      </c>
      <c r="Q160" s="23"/>
      <c r="R160" s="24" t="n">
        <f aca="false">N(O160)+N(P160)-N(Q160)</f>
        <v>0</v>
      </c>
      <c r="S160" s="33" t="n">
        <f aca="false">'Jun 2027'!V160</f>
        <v>0</v>
      </c>
      <c r="T160" s="33" t="n">
        <f aca="false">IF(B160="",0,N(Students!I149))</f>
        <v>0</v>
      </c>
      <c r="U160" s="23"/>
      <c r="V160" s="24" t="n">
        <f aca="false">N(S160)+N(T160)-N(U160)</f>
        <v>0</v>
      </c>
      <c r="W160" s="33" t="n">
        <f aca="false">'Jun 2027'!Z160</f>
        <v>0</v>
      </c>
      <c r="X160" s="33" t="n">
        <f aca="false">IF(B160="",0,N(Students!J149))</f>
        <v>0</v>
      </c>
      <c r="Y160" s="23"/>
      <c r="Z160" s="24" t="n">
        <f aca="false">N(W160)+N(X160)-N(Y160)</f>
        <v>0</v>
      </c>
      <c r="AA160" s="33" t="n">
        <f aca="false">N(E160)+N(I160)+N(M160)+N(Q160)+N(U160)+N(Y160)</f>
        <v>0</v>
      </c>
      <c r="AB160" s="24" t="n">
        <f aca="false">F160+J160+N160+R160+V160+Z160</f>
        <v>0</v>
      </c>
      <c r="AC160" s="81" t="str">
        <f aca="false">IF(B160="","",IF(AB160&lt;=0,"Clear",IF(AA160&gt;0,"Partial","Due")))</f>
        <v/>
      </c>
    </row>
    <row r="161" customFormat="false" ht="15" hidden="false" customHeight="false" outlineLevel="0" collapsed="false">
      <c r="A161" s="25" t="n">
        <v>146</v>
      </c>
      <c r="B161" s="82" t="str">
        <f aca="false">IF(Students!B150="","",Students!B150)</f>
        <v/>
      </c>
      <c r="C161" s="37" t="n">
        <f aca="false">'Jun 2027'!F161</f>
        <v>0</v>
      </c>
      <c r="D161" s="37" t="n">
        <f aca="false">IF(B161="",0,N(Students!E150))</f>
        <v>0</v>
      </c>
      <c r="E161" s="23"/>
      <c r="F161" s="26" t="n">
        <f aca="false">N(C161)+N(D161)-N(E161)</f>
        <v>0</v>
      </c>
      <c r="G161" s="37" t="n">
        <f aca="false">'Jun 2027'!J161</f>
        <v>0</v>
      </c>
      <c r="H161" s="37" t="n">
        <f aca="false">IF(B161="",0,N(Students!F150))</f>
        <v>0</v>
      </c>
      <c r="I161" s="23"/>
      <c r="J161" s="26" t="n">
        <f aca="false">N(G161)+N(H161)-N(I161)</f>
        <v>0</v>
      </c>
      <c r="K161" s="37" t="n">
        <f aca="false">'Jun 2027'!N161</f>
        <v>0</v>
      </c>
      <c r="L161" s="37" t="n">
        <f aca="false">IF(B161="",0,N(Students!G150))</f>
        <v>0</v>
      </c>
      <c r="M161" s="23"/>
      <c r="N161" s="26" t="n">
        <f aca="false">N(K161)+N(L161)-N(M161)</f>
        <v>0</v>
      </c>
      <c r="O161" s="37" t="n">
        <f aca="false">'Jun 2027'!R161</f>
        <v>0</v>
      </c>
      <c r="P161" s="37" t="n">
        <f aca="false">IF(B161="",0,N(Students!H150))</f>
        <v>0</v>
      </c>
      <c r="Q161" s="23"/>
      <c r="R161" s="26" t="n">
        <f aca="false">N(O161)+N(P161)-N(Q161)</f>
        <v>0</v>
      </c>
      <c r="S161" s="37" t="n">
        <f aca="false">'Jun 2027'!V161</f>
        <v>0</v>
      </c>
      <c r="T161" s="37" t="n">
        <f aca="false">IF(B161="",0,N(Students!I150))</f>
        <v>0</v>
      </c>
      <c r="U161" s="23"/>
      <c r="V161" s="26" t="n">
        <f aca="false">N(S161)+N(T161)-N(U161)</f>
        <v>0</v>
      </c>
      <c r="W161" s="37" t="n">
        <f aca="false">'Jun 2027'!Z161</f>
        <v>0</v>
      </c>
      <c r="X161" s="37" t="n">
        <f aca="false">IF(B161="",0,N(Students!J150))</f>
        <v>0</v>
      </c>
      <c r="Y161" s="23"/>
      <c r="Z161" s="26" t="n">
        <f aca="false">N(W161)+N(X161)-N(Y161)</f>
        <v>0</v>
      </c>
      <c r="AA161" s="37" t="n">
        <f aca="false">N(E161)+N(I161)+N(M161)+N(Q161)+N(U161)+N(Y161)</f>
        <v>0</v>
      </c>
      <c r="AB161" s="26" t="n">
        <f aca="false">F161+J161+N161+R161+V161+Z161</f>
        <v>0</v>
      </c>
      <c r="AC161" s="83" t="str">
        <f aca="false">IF(B161="","",IF(AB161&lt;=0,"Clear",IF(AA161&gt;0,"Partial","Due")))</f>
        <v/>
      </c>
    </row>
    <row r="162" customFormat="false" ht="15" hidden="false" customHeight="false" outlineLevel="0" collapsed="false">
      <c r="A162" s="21" t="n">
        <v>147</v>
      </c>
      <c r="B162" s="46" t="str">
        <f aca="false">IF(Students!B151="","",Students!B151)</f>
        <v/>
      </c>
      <c r="C162" s="33" t="n">
        <f aca="false">'Jun 2027'!F162</f>
        <v>0</v>
      </c>
      <c r="D162" s="33" t="n">
        <f aca="false">IF(B162="",0,N(Students!E151))</f>
        <v>0</v>
      </c>
      <c r="E162" s="23"/>
      <c r="F162" s="24" t="n">
        <f aca="false">N(C162)+N(D162)-N(E162)</f>
        <v>0</v>
      </c>
      <c r="G162" s="33" t="n">
        <f aca="false">'Jun 2027'!J162</f>
        <v>0</v>
      </c>
      <c r="H162" s="33" t="n">
        <f aca="false">IF(B162="",0,N(Students!F151))</f>
        <v>0</v>
      </c>
      <c r="I162" s="23"/>
      <c r="J162" s="24" t="n">
        <f aca="false">N(G162)+N(H162)-N(I162)</f>
        <v>0</v>
      </c>
      <c r="K162" s="33" t="n">
        <f aca="false">'Jun 2027'!N162</f>
        <v>0</v>
      </c>
      <c r="L162" s="33" t="n">
        <f aca="false">IF(B162="",0,N(Students!G151))</f>
        <v>0</v>
      </c>
      <c r="M162" s="23"/>
      <c r="N162" s="24" t="n">
        <f aca="false">N(K162)+N(L162)-N(M162)</f>
        <v>0</v>
      </c>
      <c r="O162" s="33" t="n">
        <f aca="false">'Jun 2027'!R162</f>
        <v>0</v>
      </c>
      <c r="P162" s="33" t="n">
        <f aca="false">IF(B162="",0,N(Students!H151))</f>
        <v>0</v>
      </c>
      <c r="Q162" s="23"/>
      <c r="R162" s="24" t="n">
        <f aca="false">N(O162)+N(P162)-N(Q162)</f>
        <v>0</v>
      </c>
      <c r="S162" s="33" t="n">
        <f aca="false">'Jun 2027'!V162</f>
        <v>0</v>
      </c>
      <c r="T162" s="33" t="n">
        <f aca="false">IF(B162="",0,N(Students!I151))</f>
        <v>0</v>
      </c>
      <c r="U162" s="23"/>
      <c r="V162" s="24" t="n">
        <f aca="false">N(S162)+N(T162)-N(U162)</f>
        <v>0</v>
      </c>
      <c r="W162" s="33" t="n">
        <f aca="false">'Jun 2027'!Z162</f>
        <v>0</v>
      </c>
      <c r="X162" s="33" t="n">
        <f aca="false">IF(B162="",0,N(Students!J151))</f>
        <v>0</v>
      </c>
      <c r="Y162" s="23"/>
      <c r="Z162" s="24" t="n">
        <f aca="false">N(W162)+N(X162)-N(Y162)</f>
        <v>0</v>
      </c>
      <c r="AA162" s="33" t="n">
        <f aca="false">N(E162)+N(I162)+N(M162)+N(Q162)+N(U162)+N(Y162)</f>
        <v>0</v>
      </c>
      <c r="AB162" s="24" t="n">
        <f aca="false">F162+J162+N162+R162+V162+Z162</f>
        <v>0</v>
      </c>
      <c r="AC162" s="81" t="str">
        <f aca="false">IF(B162="","",IF(AB162&lt;=0,"Clear",IF(AA162&gt;0,"Partial","Due")))</f>
        <v/>
      </c>
    </row>
    <row r="163" customFormat="false" ht="15" hidden="false" customHeight="false" outlineLevel="0" collapsed="false">
      <c r="A163" s="25" t="n">
        <v>148</v>
      </c>
      <c r="B163" s="82" t="str">
        <f aca="false">IF(Students!B152="","",Students!B152)</f>
        <v/>
      </c>
      <c r="C163" s="37" t="n">
        <f aca="false">'Jun 2027'!F163</f>
        <v>0</v>
      </c>
      <c r="D163" s="37" t="n">
        <f aca="false">IF(B163="",0,N(Students!E152))</f>
        <v>0</v>
      </c>
      <c r="E163" s="23"/>
      <c r="F163" s="26" t="n">
        <f aca="false">N(C163)+N(D163)-N(E163)</f>
        <v>0</v>
      </c>
      <c r="G163" s="37" t="n">
        <f aca="false">'Jun 2027'!J163</f>
        <v>0</v>
      </c>
      <c r="H163" s="37" t="n">
        <f aca="false">IF(B163="",0,N(Students!F152))</f>
        <v>0</v>
      </c>
      <c r="I163" s="23"/>
      <c r="J163" s="26" t="n">
        <f aca="false">N(G163)+N(H163)-N(I163)</f>
        <v>0</v>
      </c>
      <c r="K163" s="37" t="n">
        <f aca="false">'Jun 2027'!N163</f>
        <v>0</v>
      </c>
      <c r="L163" s="37" t="n">
        <f aca="false">IF(B163="",0,N(Students!G152))</f>
        <v>0</v>
      </c>
      <c r="M163" s="23"/>
      <c r="N163" s="26" t="n">
        <f aca="false">N(K163)+N(L163)-N(M163)</f>
        <v>0</v>
      </c>
      <c r="O163" s="37" t="n">
        <f aca="false">'Jun 2027'!R163</f>
        <v>0</v>
      </c>
      <c r="P163" s="37" t="n">
        <f aca="false">IF(B163="",0,N(Students!H152))</f>
        <v>0</v>
      </c>
      <c r="Q163" s="23"/>
      <c r="R163" s="26" t="n">
        <f aca="false">N(O163)+N(P163)-N(Q163)</f>
        <v>0</v>
      </c>
      <c r="S163" s="37" t="n">
        <f aca="false">'Jun 2027'!V163</f>
        <v>0</v>
      </c>
      <c r="T163" s="37" t="n">
        <f aca="false">IF(B163="",0,N(Students!I152))</f>
        <v>0</v>
      </c>
      <c r="U163" s="23"/>
      <c r="V163" s="26" t="n">
        <f aca="false">N(S163)+N(T163)-N(U163)</f>
        <v>0</v>
      </c>
      <c r="W163" s="37" t="n">
        <f aca="false">'Jun 2027'!Z163</f>
        <v>0</v>
      </c>
      <c r="X163" s="37" t="n">
        <f aca="false">IF(B163="",0,N(Students!J152))</f>
        <v>0</v>
      </c>
      <c r="Y163" s="23"/>
      <c r="Z163" s="26" t="n">
        <f aca="false">N(W163)+N(X163)-N(Y163)</f>
        <v>0</v>
      </c>
      <c r="AA163" s="37" t="n">
        <f aca="false">N(E163)+N(I163)+N(M163)+N(Q163)+N(U163)+N(Y163)</f>
        <v>0</v>
      </c>
      <c r="AB163" s="26" t="n">
        <f aca="false">F163+J163+N163+R163+V163+Z163</f>
        <v>0</v>
      </c>
      <c r="AC163" s="83" t="str">
        <f aca="false">IF(B163="","",IF(AB163&lt;=0,"Clear",IF(AA163&gt;0,"Partial","Due")))</f>
        <v/>
      </c>
    </row>
    <row r="164" customFormat="false" ht="15" hidden="false" customHeight="false" outlineLevel="0" collapsed="false">
      <c r="A164" s="21" t="n">
        <v>149</v>
      </c>
      <c r="B164" s="46" t="str">
        <f aca="false">IF(Students!B153="","",Students!B153)</f>
        <v/>
      </c>
      <c r="C164" s="33" t="n">
        <f aca="false">'Jun 2027'!F164</f>
        <v>0</v>
      </c>
      <c r="D164" s="33" t="n">
        <f aca="false">IF(B164="",0,N(Students!E153))</f>
        <v>0</v>
      </c>
      <c r="E164" s="23"/>
      <c r="F164" s="24" t="n">
        <f aca="false">N(C164)+N(D164)-N(E164)</f>
        <v>0</v>
      </c>
      <c r="G164" s="33" t="n">
        <f aca="false">'Jun 2027'!J164</f>
        <v>0</v>
      </c>
      <c r="H164" s="33" t="n">
        <f aca="false">IF(B164="",0,N(Students!F153))</f>
        <v>0</v>
      </c>
      <c r="I164" s="23"/>
      <c r="J164" s="24" t="n">
        <f aca="false">N(G164)+N(H164)-N(I164)</f>
        <v>0</v>
      </c>
      <c r="K164" s="33" t="n">
        <f aca="false">'Jun 2027'!N164</f>
        <v>0</v>
      </c>
      <c r="L164" s="33" t="n">
        <f aca="false">IF(B164="",0,N(Students!G153))</f>
        <v>0</v>
      </c>
      <c r="M164" s="23"/>
      <c r="N164" s="24" t="n">
        <f aca="false">N(K164)+N(L164)-N(M164)</f>
        <v>0</v>
      </c>
      <c r="O164" s="33" t="n">
        <f aca="false">'Jun 2027'!R164</f>
        <v>0</v>
      </c>
      <c r="P164" s="33" t="n">
        <f aca="false">IF(B164="",0,N(Students!H153))</f>
        <v>0</v>
      </c>
      <c r="Q164" s="23"/>
      <c r="R164" s="24" t="n">
        <f aca="false">N(O164)+N(P164)-N(Q164)</f>
        <v>0</v>
      </c>
      <c r="S164" s="33" t="n">
        <f aca="false">'Jun 2027'!V164</f>
        <v>0</v>
      </c>
      <c r="T164" s="33" t="n">
        <f aca="false">IF(B164="",0,N(Students!I153))</f>
        <v>0</v>
      </c>
      <c r="U164" s="23"/>
      <c r="V164" s="24" t="n">
        <f aca="false">N(S164)+N(T164)-N(U164)</f>
        <v>0</v>
      </c>
      <c r="W164" s="33" t="n">
        <f aca="false">'Jun 2027'!Z164</f>
        <v>0</v>
      </c>
      <c r="X164" s="33" t="n">
        <f aca="false">IF(B164="",0,N(Students!J153))</f>
        <v>0</v>
      </c>
      <c r="Y164" s="23"/>
      <c r="Z164" s="24" t="n">
        <f aca="false">N(W164)+N(X164)-N(Y164)</f>
        <v>0</v>
      </c>
      <c r="AA164" s="33" t="n">
        <f aca="false">N(E164)+N(I164)+N(M164)+N(Q164)+N(U164)+N(Y164)</f>
        <v>0</v>
      </c>
      <c r="AB164" s="24" t="n">
        <f aca="false">F164+J164+N164+R164+V164+Z164</f>
        <v>0</v>
      </c>
      <c r="AC164" s="81" t="str">
        <f aca="false">IF(B164="","",IF(AB164&lt;=0,"Clear",IF(AA164&gt;0,"Partial","Due")))</f>
        <v/>
      </c>
    </row>
    <row r="165" customFormat="false" ht="15" hidden="false" customHeight="false" outlineLevel="0" collapsed="false">
      <c r="A165" s="25" t="n">
        <v>150</v>
      </c>
      <c r="B165" s="82" t="str">
        <f aca="false">IF(Students!B154="","",Students!B154)</f>
        <v/>
      </c>
      <c r="C165" s="37" t="n">
        <f aca="false">'Jun 2027'!F165</f>
        <v>0</v>
      </c>
      <c r="D165" s="37" t="n">
        <f aca="false">IF(B165="",0,N(Students!E154))</f>
        <v>0</v>
      </c>
      <c r="E165" s="23"/>
      <c r="F165" s="26" t="n">
        <f aca="false">N(C165)+N(D165)-N(E165)</f>
        <v>0</v>
      </c>
      <c r="G165" s="37" t="n">
        <f aca="false">'Jun 2027'!J165</f>
        <v>0</v>
      </c>
      <c r="H165" s="37" t="n">
        <f aca="false">IF(B165="",0,N(Students!F154))</f>
        <v>0</v>
      </c>
      <c r="I165" s="23"/>
      <c r="J165" s="26" t="n">
        <f aca="false">N(G165)+N(H165)-N(I165)</f>
        <v>0</v>
      </c>
      <c r="K165" s="37" t="n">
        <f aca="false">'Jun 2027'!N165</f>
        <v>0</v>
      </c>
      <c r="L165" s="37" t="n">
        <f aca="false">IF(B165="",0,N(Students!G154))</f>
        <v>0</v>
      </c>
      <c r="M165" s="23"/>
      <c r="N165" s="26" t="n">
        <f aca="false">N(K165)+N(L165)-N(M165)</f>
        <v>0</v>
      </c>
      <c r="O165" s="37" t="n">
        <f aca="false">'Jun 2027'!R165</f>
        <v>0</v>
      </c>
      <c r="P165" s="37" t="n">
        <f aca="false">IF(B165="",0,N(Students!H154))</f>
        <v>0</v>
      </c>
      <c r="Q165" s="23"/>
      <c r="R165" s="26" t="n">
        <f aca="false">N(O165)+N(P165)-N(Q165)</f>
        <v>0</v>
      </c>
      <c r="S165" s="37" t="n">
        <f aca="false">'Jun 2027'!V165</f>
        <v>0</v>
      </c>
      <c r="T165" s="37" t="n">
        <f aca="false">IF(B165="",0,N(Students!I154))</f>
        <v>0</v>
      </c>
      <c r="U165" s="23"/>
      <c r="V165" s="26" t="n">
        <f aca="false">N(S165)+N(T165)-N(U165)</f>
        <v>0</v>
      </c>
      <c r="W165" s="37" t="n">
        <f aca="false">'Jun 2027'!Z165</f>
        <v>0</v>
      </c>
      <c r="X165" s="37" t="n">
        <f aca="false">IF(B165="",0,N(Students!J154))</f>
        <v>0</v>
      </c>
      <c r="Y165" s="23"/>
      <c r="Z165" s="26" t="n">
        <f aca="false">N(W165)+N(X165)-N(Y165)</f>
        <v>0</v>
      </c>
      <c r="AA165" s="37" t="n">
        <f aca="false">N(E165)+N(I165)+N(M165)+N(Q165)+N(U165)+N(Y165)</f>
        <v>0</v>
      </c>
      <c r="AB165" s="26" t="n">
        <f aca="false">F165+J165+N165+R165+V165+Z165</f>
        <v>0</v>
      </c>
      <c r="AC165" s="83" t="str">
        <f aca="false">IF(B165="","",IF(AB165&lt;=0,"Clear",IF(AA165&gt;0,"Partial","Due")))</f>
        <v/>
      </c>
    </row>
    <row r="166" customFormat="false" ht="15" hidden="false" customHeight="true" outlineLevel="0" collapsed="false">
      <c r="A166" s="4" t="s">
        <v>79</v>
      </c>
      <c r="B166" s="4"/>
      <c r="C166" s="41" t="n">
        <f aca="false">SUM(C16:C165)</f>
        <v>0</v>
      </c>
      <c r="D166" s="41" t="n">
        <f aca="false">SUM(D16:D165)</f>
        <v>0</v>
      </c>
      <c r="E166" s="41" t="n">
        <f aca="false">SUM(E16:E165)</f>
        <v>0</v>
      </c>
      <c r="F166" s="41" t="n">
        <f aca="false">SUM(F16:F165)</f>
        <v>0</v>
      </c>
      <c r="G166" s="41" t="n">
        <f aca="false">SUM(G16:G165)</f>
        <v>16000</v>
      </c>
      <c r="H166" s="41" t="n">
        <f aca="false">SUM(H16:H165)</f>
        <v>2000</v>
      </c>
      <c r="I166" s="41" t="n">
        <f aca="false">SUM(I16:I165)</f>
        <v>0</v>
      </c>
      <c r="J166" s="41" t="n">
        <f aca="false">SUM(J16:J165)</f>
        <v>18000</v>
      </c>
      <c r="K166" s="41" t="n">
        <f aca="false">SUM(K16:K165)</f>
        <v>0</v>
      </c>
      <c r="L166" s="41" t="n">
        <f aca="false">SUM(L16:L165)</f>
        <v>0</v>
      </c>
      <c r="M166" s="41" t="n">
        <f aca="false">SUM(M16:M165)</f>
        <v>0</v>
      </c>
      <c r="N166" s="41" t="n">
        <f aca="false">SUM(N16:N165)</f>
        <v>0</v>
      </c>
      <c r="O166" s="41" t="n">
        <f aca="false">SUM(O16:O165)</f>
        <v>12500</v>
      </c>
      <c r="P166" s="41" t="n">
        <f aca="false">SUM(P16:P165)</f>
        <v>1500</v>
      </c>
      <c r="Q166" s="41" t="n">
        <f aca="false">SUM(Q16:Q165)</f>
        <v>0</v>
      </c>
      <c r="R166" s="41" t="n">
        <f aca="false">SUM(R16:R165)</f>
        <v>14000</v>
      </c>
      <c r="S166" s="41" t="n">
        <f aca="false">SUM(S16:S165)</f>
        <v>0</v>
      </c>
      <c r="T166" s="41" t="n">
        <f aca="false">SUM(T16:T165)</f>
        <v>0</v>
      </c>
      <c r="U166" s="41" t="n">
        <f aca="false">SUM(U16:U165)</f>
        <v>0</v>
      </c>
      <c r="V166" s="41" t="n">
        <f aca="false">SUM(V16:V165)</f>
        <v>0</v>
      </c>
      <c r="W166" s="41" t="n">
        <f aca="false">SUM(W16:W165)</f>
        <v>0</v>
      </c>
      <c r="X166" s="41" t="n">
        <f aca="false">SUM(X16:X165)</f>
        <v>0</v>
      </c>
      <c r="Y166" s="41" t="n">
        <f aca="false">SUM(Y16:Y165)</f>
        <v>0</v>
      </c>
      <c r="Z166" s="41" t="n">
        <f aca="false">SUM(Z16:Z165)</f>
        <v>0</v>
      </c>
      <c r="AA166" s="41" t="n">
        <f aca="false">SUM(AA16:AA165)</f>
        <v>0</v>
      </c>
      <c r="AB166" s="41" t="n">
        <f aca="false">SUM(AB16:AB165)</f>
        <v>32000</v>
      </c>
      <c r="AC166" s="43"/>
    </row>
  </sheetData>
  <mergeCells count="34">
    <mergeCell ref="A1:AC1"/>
    <mergeCell ref="A2:AC2"/>
    <mergeCell ref="B4:I4"/>
    <mergeCell ref="K4:N4"/>
    <mergeCell ref="C5:D5"/>
    <mergeCell ref="K5:M5"/>
    <mergeCell ref="P5:R5"/>
    <mergeCell ref="T5:V5"/>
    <mergeCell ref="X5:Z5"/>
    <mergeCell ref="C6:D6"/>
    <mergeCell ref="K6:M6"/>
    <mergeCell ref="P6:R7"/>
    <mergeCell ref="T6:V7"/>
    <mergeCell ref="X6:Z7"/>
    <mergeCell ref="C7:D7"/>
    <mergeCell ref="K7:M7"/>
    <mergeCell ref="C8:D8"/>
    <mergeCell ref="K8:M8"/>
    <mergeCell ref="C9:D9"/>
    <mergeCell ref="P9:Z9"/>
    <mergeCell ref="C10:D10"/>
    <mergeCell ref="K10:M10"/>
    <mergeCell ref="C11:D11"/>
    <mergeCell ref="K11:N11"/>
    <mergeCell ref="C12:D12"/>
    <mergeCell ref="A14:B14"/>
    <mergeCell ref="C14:F14"/>
    <mergeCell ref="G14:J14"/>
    <mergeCell ref="K14:N14"/>
    <mergeCell ref="O14:R14"/>
    <mergeCell ref="S14:V14"/>
    <mergeCell ref="W14:Z14"/>
    <mergeCell ref="AA14:AC14"/>
    <mergeCell ref="A166:B166"/>
  </mergeCells>
  <conditionalFormatting sqref="AC16:AC165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F16:F165 J16:J165 N16:N165 R16:R165 V16:V165 Z16:Z165 AB16:AB165">
    <cfRule type="cellIs" priority="5" operator="greaterThan" aboveAverage="0" equalAverage="0" bottom="0" percent="0" rank="0" text="" dxfId="0">
      <formula>0</formula>
    </cfRule>
  </conditionalFormatting>
  <conditionalFormatting sqref="N10"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AC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29" min="5" style="0" width="11.5"/>
  </cols>
  <sheetData>
    <row r="1" customFormat="false" ht="31.5" hidden="false" customHeight="true" outlineLevel="0" collapsed="false">
      <c r="A1" s="54" t="str">
        <f aca="false">UPPER(Setup!B3)</f>
        <v>FUTURE TALENT ACADEMY JAMSHORO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customFormat="false" ht="21.75" hidden="false" customHeight="true" outlineLevel="0" collapsed="false">
      <c r="A2" s="55" t="s">
        <v>112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customFormat="false" ht="15" hidden="false" customHeight="true" outlineLevel="0" collapsed="false">
      <c r="B4" s="4" t="s">
        <v>82</v>
      </c>
      <c r="C4" s="4"/>
      <c r="D4" s="4"/>
      <c r="E4" s="4"/>
      <c r="F4" s="4"/>
      <c r="G4" s="4"/>
      <c r="H4" s="4"/>
      <c r="I4" s="4"/>
      <c r="K4" s="28" t="s">
        <v>83</v>
      </c>
      <c r="L4" s="28"/>
      <c r="M4" s="28"/>
      <c r="N4" s="28"/>
    </row>
    <row r="5" customFormat="false" ht="22.35" hidden="false" customHeight="true" outlineLevel="0" collapsed="false">
      <c r="B5" s="56" t="s">
        <v>76</v>
      </c>
      <c r="C5" s="56" t="s">
        <v>77</v>
      </c>
      <c r="D5" s="56"/>
      <c r="E5" s="56" t="s">
        <v>84</v>
      </c>
      <c r="F5" s="56" t="s">
        <v>85</v>
      </c>
      <c r="G5" s="56" t="s">
        <v>5</v>
      </c>
      <c r="H5" s="56" t="s">
        <v>6</v>
      </c>
      <c r="I5" s="56" t="s">
        <v>86</v>
      </c>
      <c r="K5" s="57" t="s">
        <v>87</v>
      </c>
      <c r="L5" s="57"/>
      <c r="M5" s="57"/>
      <c r="N5" s="58" t="n">
        <f aca="false">H12</f>
        <v>0</v>
      </c>
      <c r="P5" s="59" t="s">
        <v>88</v>
      </c>
      <c r="Q5" s="59"/>
      <c r="R5" s="59"/>
      <c r="T5" s="60" t="s">
        <v>89</v>
      </c>
      <c r="U5" s="60"/>
      <c r="V5" s="60"/>
      <c r="X5" s="61" t="s">
        <v>90</v>
      </c>
      <c r="Y5" s="61"/>
      <c r="Z5" s="61"/>
    </row>
    <row r="6" customFormat="false" ht="15" hidden="false" customHeight="true" outlineLevel="0" collapsed="false">
      <c r="B6" s="62" t="str">
        <f aca="false">Setup!A6</f>
        <v>English</v>
      </c>
      <c r="C6" s="63" t="str">
        <f aca="false">Setup!B6</f>
        <v>Sir Sajjad Ali Birhmani</v>
      </c>
      <c r="D6" s="63"/>
      <c r="E6" s="64" t="n">
        <f aca="false">D166</f>
        <v>0</v>
      </c>
      <c r="F6" s="58" t="n">
        <f aca="false">E166</f>
        <v>0</v>
      </c>
      <c r="G6" s="65" t="n">
        <f aca="false">F6*Setup!C6</f>
        <v>0</v>
      </c>
      <c r="H6" s="66" t="n">
        <f aca="false">F6-G6</f>
        <v>0</v>
      </c>
      <c r="I6" s="67" t="n">
        <f aca="false">F166</f>
        <v>0</v>
      </c>
      <c r="K6" s="57" t="s">
        <v>91</v>
      </c>
      <c r="L6" s="57"/>
      <c r="M6" s="57"/>
      <c r="N6" s="65" t="n">
        <f aca="false">SUMIFS(Administration!$G$5:$G$304,Administration!$C$5:$C$304,"Aug 2027",Administration!$D$5:$D$304,"Other Income")</f>
        <v>0</v>
      </c>
      <c r="P6" s="68" t="n">
        <f aca="false">F12</f>
        <v>0</v>
      </c>
      <c r="Q6" s="68"/>
      <c r="R6" s="68"/>
      <c r="T6" s="69" t="n">
        <f aca="false">G12</f>
        <v>0</v>
      </c>
      <c r="U6" s="69"/>
      <c r="V6" s="69"/>
      <c r="X6" s="70" t="n">
        <f aca="false">I12</f>
        <v>35500</v>
      </c>
      <c r="Y6" s="70"/>
      <c r="Z6" s="70"/>
    </row>
    <row r="7" customFormat="false" ht="15" hidden="false" customHeight="true" outlineLevel="0" collapsed="false">
      <c r="B7" s="71" t="str">
        <f aca="false">Setup!A7</f>
        <v>Computer</v>
      </c>
      <c r="C7" s="63" t="str">
        <f aca="false">Setup!B7</f>
        <v>Sir Nazeer Ahmed Jamali</v>
      </c>
      <c r="D7" s="63"/>
      <c r="E7" s="64" t="n">
        <f aca="false">H166</f>
        <v>2000</v>
      </c>
      <c r="F7" s="58" t="n">
        <f aca="false">I166</f>
        <v>0</v>
      </c>
      <c r="G7" s="65" t="n">
        <f aca="false">F7*Setup!C7</f>
        <v>0</v>
      </c>
      <c r="H7" s="66" t="n">
        <f aca="false">F7-G7</f>
        <v>0</v>
      </c>
      <c r="I7" s="67" t="n">
        <f aca="false">J166</f>
        <v>20000</v>
      </c>
      <c r="K7" s="57" t="s">
        <v>92</v>
      </c>
      <c r="L7" s="57"/>
      <c r="M7" s="57"/>
      <c r="N7" s="72" t="n">
        <f aca="false">SUMIFS(Administration!$G$5:$G$304,Administration!$C$5:$C$304,"Aug 2027",Administration!$D$5:$D$304,"Expense")</f>
        <v>0</v>
      </c>
      <c r="P7" s="68"/>
      <c r="Q7" s="68"/>
      <c r="R7" s="68"/>
      <c r="T7" s="69"/>
      <c r="U7" s="69"/>
      <c r="V7" s="69"/>
      <c r="X7" s="70"/>
      <c r="Y7" s="70"/>
      <c r="Z7" s="70"/>
    </row>
    <row r="8" customFormat="false" ht="15" hidden="false" customHeight="true" outlineLevel="0" collapsed="false">
      <c r="B8" s="73" t="str">
        <f aca="false">Setup!A8</f>
        <v>Biology</v>
      </c>
      <c r="C8" s="63" t="str">
        <f aca="false">Setup!B8</f>
        <v>Sir Azhar Ali Chandio</v>
      </c>
      <c r="D8" s="63"/>
      <c r="E8" s="64" t="n">
        <f aca="false">L166</f>
        <v>0</v>
      </c>
      <c r="F8" s="58" t="n">
        <f aca="false">M166</f>
        <v>0</v>
      </c>
      <c r="G8" s="65" t="n">
        <f aca="false">F8*Setup!C8</f>
        <v>0</v>
      </c>
      <c r="H8" s="66" t="n">
        <f aca="false">F8-G8</f>
        <v>0</v>
      </c>
      <c r="I8" s="67" t="n">
        <f aca="false">N166</f>
        <v>0</v>
      </c>
      <c r="K8" s="57" t="s">
        <v>93</v>
      </c>
      <c r="L8" s="57"/>
      <c r="M8" s="57"/>
      <c r="N8" s="72" t="n">
        <f aca="false">SUMIFS(Administration!$G$5:$G$304,Administration!$C$5:$C$304,"Aug 2027",Administration!$D$5:$D$304,"Investment")</f>
        <v>0</v>
      </c>
    </row>
    <row r="9" customFormat="false" ht="15" hidden="false" customHeight="false" outlineLevel="0" collapsed="false">
      <c r="B9" s="74" t="str">
        <f aca="false">Setup!A9</f>
        <v>Math</v>
      </c>
      <c r="C9" s="63" t="str">
        <f aca="false">Setup!B9</f>
        <v>Sir M. Faheem</v>
      </c>
      <c r="D9" s="63"/>
      <c r="E9" s="64" t="n">
        <f aca="false">P166</f>
        <v>1500</v>
      </c>
      <c r="F9" s="58" t="n">
        <f aca="false">Q166</f>
        <v>0</v>
      </c>
      <c r="G9" s="65" t="n">
        <f aca="false">F9*Setup!C9</f>
        <v>0</v>
      </c>
      <c r="H9" s="66" t="n">
        <f aca="false">F9-G9</f>
        <v>0</v>
      </c>
      <c r="I9" s="67" t="n">
        <f aca="false">R166</f>
        <v>15500</v>
      </c>
      <c r="P9" s="75" t="str">
        <f aca="false">COUNTIF(AC16:AC165,"Clear")&amp;" students fully paid   •   "&amp;(COUNTIF(AC16:AC165,"Due")+COUNTIF(AC16:AC165,"Partial"))&amp;" students with dues"</f>
        <v>0 students fully paid   •   1 students with dues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15" hidden="false" customHeight="true" outlineLevel="0" collapsed="false">
      <c r="B10" s="76" t="str">
        <f aca="false">Setup!A10</f>
        <v>Kids Coaching (Class 1)</v>
      </c>
      <c r="C10" s="63" t="str">
        <f aca="false">Setup!B10</f>
        <v>Miss Farzana</v>
      </c>
      <c r="D10" s="63"/>
      <c r="E10" s="64" t="n">
        <f aca="false">T166</f>
        <v>0</v>
      </c>
      <c r="F10" s="58" t="n">
        <f aca="false">U166</f>
        <v>0</v>
      </c>
      <c r="G10" s="65" t="n">
        <f aca="false">F10*Setup!C10</f>
        <v>0</v>
      </c>
      <c r="H10" s="66" t="n">
        <f aca="false">F10-G10</f>
        <v>0</v>
      </c>
      <c r="I10" s="67" t="n">
        <f aca="false">V166</f>
        <v>0</v>
      </c>
      <c r="K10" s="77" t="s">
        <v>59</v>
      </c>
      <c r="L10" s="77"/>
      <c r="M10" s="77"/>
      <c r="N10" s="78" t="n">
        <f aca="false">N5+N6-N7-N8</f>
        <v>0</v>
      </c>
    </row>
    <row r="11" customFormat="false" ht="15" hidden="false" customHeight="true" outlineLevel="0" collapsed="false">
      <c r="B11" s="79" t="str">
        <f aca="false">Setup!A11</f>
        <v>Kids Coaching (Class 2)</v>
      </c>
      <c r="C11" s="63" t="str">
        <f aca="false">Setup!B11</f>
        <v>Miss Fozia</v>
      </c>
      <c r="D11" s="63"/>
      <c r="E11" s="64" t="n">
        <f aca="false">X166</f>
        <v>0</v>
      </c>
      <c r="F11" s="58" t="n">
        <f aca="false">Y166</f>
        <v>0</v>
      </c>
      <c r="G11" s="65" t="n">
        <f aca="false">F11*Setup!C11</f>
        <v>0</v>
      </c>
      <c r="H11" s="66" t="n">
        <f aca="false">F11-G11</f>
        <v>0</v>
      </c>
      <c r="I11" s="67" t="n">
        <f aca="false">Z166</f>
        <v>0</v>
      </c>
      <c r="K11" s="53" t="s">
        <v>94</v>
      </c>
      <c r="L11" s="53"/>
      <c r="M11" s="53"/>
      <c r="N11" s="53"/>
    </row>
    <row r="12" customFormat="false" ht="15" hidden="false" customHeight="false" outlineLevel="0" collapsed="false">
      <c r="B12" s="40" t="s">
        <v>79</v>
      </c>
      <c r="C12" s="43"/>
      <c r="D12" s="43"/>
      <c r="E12" s="41" t="n">
        <f aca="false">SUM(E6:E11)</f>
        <v>3500</v>
      </c>
      <c r="F12" s="41" t="n">
        <f aca="false">SUM(F6:F11)</f>
        <v>0</v>
      </c>
      <c r="G12" s="41" t="n">
        <f aca="false">SUM(G6:G11)</f>
        <v>0</v>
      </c>
      <c r="H12" s="41" t="n">
        <f aca="false">SUM(H6:H11)</f>
        <v>0</v>
      </c>
      <c r="I12" s="41" t="n">
        <f aca="false">SUM(I6:I11)</f>
        <v>35500</v>
      </c>
    </row>
    <row r="14" customFormat="false" ht="25.5" hidden="false" customHeight="true" outlineLevel="0" collapsed="false">
      <c r="A14" s="4" t="s">
        <v>28</v>
      </c>
      <c r="B14" s="4"/>
      <c r="C14" s="14" t="str">
        <f aca="false">Setup!A6&amp;" — "&amp;Setup!B6</f>
        <v>English — Sir Sajjad Ali Birhmani</v>
      </c>
      <c r="D14" s="14"/>
      <c r="E14" s="14"/>
      <c r="F14" s="14"/>
      <c r="G14" s="15" t="str">
        <f aca="false">Setup!A7&amp;" — "&amp;Setup!B7</f>
        <v>Computer — Sir Nazeer Ahmed Jamali</v>
      </c>
      <c r="H14" s="15"/>
      <c r="I14" s="15"/>
      <c r="J14" s="15"/>
      <c r="K14" s="16" t="str">
        <f aca="false">Setup!A8&amp;" — "&amp;Setup!B8</f>
        <v>Biology — Sir Azhar Ali Chandio</v>
      </c>
      <c r="L14" s="16"/>
      <c r="M14" s="16"/>
      <c r="N14" s="16"/>
      <c r="O14" s="17" t="str">
        <f aca="false">Setup!A9&amp;" — "&amp;Setup!B9</f>
        <v>Math — Sir M. Faheem</v>
      </c>
      <c r="P14" s="17"/>
      <c r="Q14" s="17"/>
      <c r="R14" s="17"/>
      <c r="S14" s="18" t="str">
        <f aca="false">Setup!A10&amp;" — "&amp;Setup!B10</f>
        <v>Kids Coaching (Class 1) — Miss Farzana</v>
      </c>
      <c r="T14" s="18"/>
      <c r="U14" s="18"/>
      <c r="V14" s="18"/>
      <c r="W14" s="19" t="str">
        <f aca="false">Setup!A11&amp;" — "&amp;Setup!B11</f>
        <v>Kids Coaching (Class 2) — Miss Fozia</v>
      </c>
      <c r="X14" s="19"/>
      <c r="Y14" s="19"/>
      <c r="Z14" s="19"/>
      <c r="AA14" s="80" t="s">
        <v>95</v>
      </c>
      <c r="AB14" s="80"/>
      <c r="AC14" s="80"/>
    </row>
    <row r="15" customFormat="false" ht="30" hidden="false" customHeight="true" outlineLevel="0" collapsed="false">
      <c r="A15" s="13" t="s">
        <v>30</v>
      </c>
      <c r="B15" s="13" t="s">
        <v>31</v>
      </c>
      <c r="C15" s="14" t="s">
        <v>96</v>
      </c>
      <c r="D15" s="14" t="s">
        <v>97</v>
      </c>
      <c r="E15" s="14" t="s">
        <v>98</v>
      </c>
      <c r="F15" s="14" t="s">
        <v>99</v>
      </c>
      <c r="G15" s="15" t="s">
        <v>96</v>
      </c>
      <c r="H15" s="15" t="s">
        <v>97</v>
      </c>
      <c r="I15" s="15" t="s">
        <v>98</v>
      </c>
      <c r="J15" s="15" t="s">
        <v>99</v>
      </c>
      <c r="K15" s="16" t="s">
        <v>96</v>
      </c>
      <c r="L15" s="16" t="s">
        <v>97</v>
      </c>
      <c r="M15" s="16" t="s">
        <v>98</v>
      </c>
      <c r="N15" s="16" t="s">
        <v>99</v>
      </c>
      <c r="O15" s="17" t="s">
        <v>96</v>
      </c>
      <c r="P15" s="17" t="s">
        <v>97</v>
      </c>
      <c r="Q15" s="17" t="s">
        <v>98</v>
      </c>
      <c r="R15" s="17" t="s">
        <v>99</v>
      </c>
      <c r="S15" s="18" t="s">
        <v>96</v>
      </c>
      <c r="T15" s="18" t="s">
        <v>97</v>
      </c>
      <c r="U15" s="18" t="s">
        <v>98</v>
      </c>
      <c r="V15" s="18" t="s">
        <v>99</v>
      </c>
      <c r="W15" s="19" t="s">
        <v>96</v>
      </c>
      <c r="X15" s="19" t="s">
        <v>97</v>
      </c>
      <c r="Y15" s="19" t="s">
        <v>98</v>
      </c>
      <c r="Z15" s="19" t="s">
        <v>99</v>
      </c>
      <c r="AA15" s="20" t="s">
        <v>100</v>
      </c>
      <c r="AB15" s="20" t="s">
        <v>101</v>
      </c>
      <c r="AC15" s="20" t="s">
        <v>102</v>
      </c>
    </row>
    <row r="16" customFormat="false" ht="15" hidden="false" customHeight="false" outlineLevel="0" collapsed="false">
      <c r="A16" s="21" t="n">
        <v>1</v>
      </c>
      <c r="B16" s="46" t="str">
        <f aca="false">IF(Students!B5="","",Students!B5)</f>
        <v>Ali (example)</v>
      </c>
      <c r="C16" s="33" t="n">
        <f aca="false">'Jul 2027'!F16</f>
        <v>0</v>
      </c>
      <c r="D16" s="33" t="n">
        <f aca="false">IF(B16="",0,N(Students!E5))</f>
        <v>0</v>
      </c>
      <c r="E16" s="23"/>
      <c r="F16" s="24" t="n">
        <f aca="false">N(C16)+N(D16)-N(E16)</f>
        <v>0</v>
      </c>
      <c r="G16" s="33" t="n">
        <f aca="false">'Jul 2027'!J16</f>
        <v>18000</v>
      </c>
      <c r="H16" s="33" t="n">
        <f aca="false">IF(B16="",0,N(Students!F5))</f>
        <v>2000</v>
      </c>
      <c r="I16" s="23"/>
      <c r="J16" s="24" t="n">
        <f aca="false">N(G16)+N(H16)-N(I16)</f>
        <v>20000</v>
      </c>
      <c r="K16" s="33" t="n">
        <f aca="false">'Jul 2027'!N16</f>
        <v>0</v>
      </c>
      <c r="L16" s="33" t="n">
        <f aca="false">IF(B16="",0,N(Students!G5))</f>
        <v>0</v>
      </c>
      <c r="M16" s="23"/>
      <c r="N16" s="24" t="n">
        <f aca="false">N(K16)+N(L16)-N(M16)</f>
        <v>0</v>
      </c>
      <c r="O16" s="33" t="n">
        <f aca="false">'Jul 2027'!R16</f>
        <v>14000</v>
      </c>
      <c r="P16" s="33" t="n">
        <f aca="false">IF(B16="",0,N(Students!H5))</f>
        <v>1500</v>
      </c>
      <c r="Q16" s="23"/>
      <c r="R16" s="24" t="n">
        <f aca="false">N(O16)+N(P16)-N(Q16)</f>
        <v>15500</v>
      </c>
      <c r="S16" s="33" t="n">
        <f aca="false">'Jul 2027'!V16</f>
        <v>0</v>
      </c>
      <c r="T16" s="33" t="n">
        <f aca="false">IF(B16="",0,N(Students!I5))</f>
        <v>0</v>
      </c>
      <c r="U16" s="23"/>
      <c r="V16" s="24" t="n">
        <f aca="false">N(S16)+N(T16)-N(U16)</f>
        <v>0</v>
      </c>
      <c r="W16" s="33" t="n">
        <f aca="false">'Jul 2027'!Z16</f>
        <v>0</v>
      </c>
      <c r="X16" s="33" t="n">
        <f aca="false">IF(B16="",0,N(Students!J5))</f>
        <v>0</v>
      </c>
      <c r="Y16" s="23"/>
      <c r="Z16" s="24" t="n">
        <f aca="false">N(W16)+N(X16)-N(Y16)</f>
        <v>0</v>
      </c>
      <c r="AA16" s="33" t="n">
        <f aca="false">N(E16)+N(I16)+N(M16)+N(Q16)+N(U16)+N(Y16)</f>
        <v>0</v>
      </c>
      <c r="AB16" s="24" t="n">
        <f aca="false">F16+J16+N16+R16+V16+Z16</f>
        <v>35500</v>
      </c>
      <c r="AC16" s="81" t="str">
        <f aca="false">IF(B16="","",IF(AB16&lt;=0,"Clear",IF(AA16&gt;0,"Partial","Due")))</f>
        <v>Due</v>
      </c>
    </row>
    <row r="17" customFormat="false" ht="15" hidden="false" customHeight="false" outlineLevel="0" collapsed="false">
      <c r="A17" s="25" t="n">
        <v>2</v>
      </c>
      <c r="B17" s="82" t="str">
        <f aca="false">IF(Students!B6="","",Students!B6)</f>
        <v/>
      </c>
      <c r="C17" s="37" t="n">
        <f aca="false">'Jul 2027'!F17</f>
        <v>0</v>
      </c>
      <c r="D17" s="37" t="n">
        <f aca="false">IF(B17="",0,N(Students!E6))</f>
        <v>0</v>
      </c>
      <c r="E17" s="23"/>
      <c r="F17" s="26" t="n">
        <f aca="false">N(C17)+N(D17)-N(E17)</f>
        <v>0</v>
      </c>
      <c r="G17" s="37" t="n">
        <f aca="false">'Jul 2027'!J17</f>
        <v>0</v>
      </c>
      <c r="H17" s="37" t="n">
        <f aca="false">IF(B17="",0,N(Students!F6))</f>
        <v>0</v>
      </c>
      <c r="I17" s="23"/>
      <c r="J17" s="26" t="n">
        <f aca="false">N(G17)+N(H17)-N(I17)</f>
        <v>0</v>
      </c>
      <c r="K17" s="37" t="n">
        <f aca="false">'Jul 2027'!N17</f>
        <v>0</v>
      </c>
      <c r="L17" s="37" t="n">
        <f aca="false">IF(B17="",0,N(Students!G6))</f>
        <v>0</v>
      </c>
      <c r="M17" s="23"/>
      <c r="N17" s="26" t="n">
        <f aca="false">N(K17)+N(L17)-N(M17)</f>
        <v>0</v>
      </c>
      <c r="O17" s="37" t="n">
        <f aca="false">'Jul 2027'!R17</f>
        <v>0</v>
      </c>
      <c r="P17" s="37" t="n">
        <f aca="false">IF(B17="",0,N(Students!H6))</f>
        <v>0</v>
      </c>
      <c r="Q17" s="23"/>
      <c r="R17" s="26" t="n">
        <f aca="false">N(O17)+N(P17)-N(Q17)</f>
        <v>0</v>
      </c>
      <c r="S17" s="37" t="n">
        <f aca="false">'Jul 2027'!V17</f>
        <v>0</v>
      </c>
      <c r="T17" s="37" t="n">
        <f aca="false">IF(B17="",0,N(Students!I6))</f>
        <v>0</v>
      </c>
      <c r="U17" s="23"/>
      <c r="V17" s="26" t="n">
        <f aca="false">N(S17)+N(T17)-N(U17)</f>
        <v>0</v>
      </c>
      <c r="W17" s="37" t="n">
        <f aca="false">'Jul 2027'!Z17</f>
        <v>0</v>
      </c>
      <c r="X17" s="37" t="n">
        <f aca="false">IF(B17="",0,N(Students!J6))</f>
        <v>0</v>
      </c>
      <c r="Y17" s="23"/>
      <c r="Z17" s="26" t="n">
        <f aca="false">N(W17)+N(X17)-N(Y17)</f>
        <v>0</v>
      </c>
      <c r="AA17" s="37" t="n">
        <f aca="false">N(E17)+N(I17)+N(M17)+N(Q17)+N(U17)+N(Y17)</f>
        <v>0</v>
      </c>
      <c r="AB17" s="26" t="n">
        <f aca="false">F17+J17+N17+R17+V17+Z17</f>
        <v>0</v>
      </c>
      <c r="AC17" s="83" t="str">
        <f aca="false">IF(B17="","",IF(AB17&lt;=0,"Clear",IF(AA17&gt;0,"Partial","Due")))</f>
        <v/>
      </c>
    </row>
    <row r="18" customFormat="false" ht="15" hidden="false" customHeight="false" outlineLevel="0" collapsed="false">
      <c r="A18" s="21" t="n">
        <v>3</v>
      </c>
      <c r="B18" s="46" t="str">
        <f aca="false">IF(Students!B7="","",Students!B7)</f>
        <v/>
      </c>
      <c r="C18" s="33" t="n">
        <f aca="false">'Jul 2027'!F18</f>
        <v>0</v>
      </c>
      <c r="D18" s="33" t="n">
        <f aca="false">IF(B18="",0,N(Students!E7))</f>
        <v>0</v>
      </c>
      <c r="E18" s="23"/>
      <c r="F18" s="24" t="n">
        <f aca="false">N(C18)+N(D18)-N(E18)</f>
        <v>0</v>
      </c>
      <c r="G18" s="33" t="n">
        <f aca="false">'Jul 2027'!J18</f>
        <v>0</v>
      </c>
      <c r="H18" s="33" t="n">
        <f aca="false">IF(B18="",0,N(Students!F7))</f>
        <v>0</v>
      </c>
      <c r="I18" s="23"/>
      <c r="J18" s="24" t="n">
        <f aca="false">N(G18)+N(H18)-N(I18)</f>
        <v>0</v>
      </c>
      <c r="K18" s="33" t="n">
        <f aca="false">'Jul 2027'!N18</f>
        <v>0</v>
      </c>
      <c r="L18" s="33" t="n">
        <f aca="false">IF(B18="",0,N(Students!G7))</f>
        <v>0</v>
      </c>
      <c r="M18" s="23"/>
      <c r="N18" s="24" t="n">
        <f aca="false">N(K18)+N(L18)-N(M18)</f>
        <v>0</v>
      </c>
      <c r="O18" s="33" t="n">
        <f aca="false">'Jul 2027'!R18</f>
        <v>0</v>
      </c>
      <c r="P18" s="33" t="n">
        <f aca="false">IF(B18="",0,N(Students!H7))</f>
        <v>0</v>
      </c>
      <c r="Q18" s="23"/>
      <c r="R18" s="24" t="n">
        <f aca="false">N(O18)+N(P18)-N(Q18)</f>
        <v>0</v>
      </c>
      <c r="S18" s="33" t="n">
        <f aca="false">'Jul 2027'!V18</f>
        <v>0</v>
      </c>
      <c r="T18" s="33" t="n">
        <f aca="false">IF(B18="",0,N(Students!I7))</f>
        <v>0</v>
      </c>
      <c r="U18" s="23"/>
      <c r="V18" s="24" t="n">
        <f aca="false">N(S18)+N(T18)-N(U18)</f>
        <v>0</v>
      </c>
      <c r="W18" s="33" t="n">
        <f aca="false">'Jul 2027'!Z18</f>
        <v>0</v>
      </c>
      <c r="X18" s="33" t="n">
        <f aca="false">IF(B18="",0,N(Students!J7))</f>
        <v>0</v>
      </c>
      <c r="Y18" s="23"/>
      <c r="Z18" s="24" t="n">
        <f aca="false">N(W18)+N(X18)-N(Y18)</f>
        <v>0</v>
      </c>
      <c r="AA18" s="33" t="n">
        <f aca="false">N(E18)+N(I18)+N(M18)+N(Q18)+N(U18)+N(Y18)</f>
        <v>0</v>
      </c>
      <c r="AB18" s="24" t="n">
        <f aca="false">F18+J18+N18+R18+V18+Z18</f>
        <v>0</v>
      </c>
      <c r="AC18" s="81" t="str">
        <f aca="false">IF(B18="","",IF(AB18&lt;=0,"Clear",IF(AA18&gt;0,"Partial","Due")))</f>
        <v/>
      </c>
    </row>
    <row r="19" customFormat="false" ht="15" hidden="false" customHeight="false" outlineLevel="0" collapsed="false">
      <c r="A19" s="25" t="n">
        <v>4</v>
      </c>
      <c r="B19" s="82" t="str">
        <f aca="false">IF(Students!B8="","",Students!B8)</f>
        <v/>
      </c>
      <c r="C19" s="37" t="n">
        <f aca="false">'Jul 2027'!F19</f>
        <v>0</v>
      </c>
      <c r="D19" s="37" t="n">
        <f aca="false">IF(B19="",0,N(Students!E8))</f>
        <v>0</v>
      </c>
      <c r="E19" s="23"/>
      <c r="F19" s="26" t="n">
        <f aca="false">N(C19)+N(D19)-N(E19)</f>
        <v>0</v>
      </c>
      <c r="G19" s="37" t="n">
        <f aca="false">'Jul 2027'!J19</f>
        <v>0</v>
      </c>
      <c r="H19" s="37" t="n">
        <f aca="false">IF(B19="",0,N(Students!F8))</f>
        <v>0</v>
      </c>
      <c r="I19" s="23"/>
      <c r="J19" s="26" t="n">
        <f aca="false">N(G19)+N(H19)-N(I19)</f>
        <v>0</v>
      </c>
      <c r="K19" s="37" t="n">
        <f aca="false">'Jul 2027'!N19</f>
        <v>0</v>
      </c>
      <c r="L19" s="37" t="n">
        <f aca="false">IF(B19="",0,N(Students!G8))</f>
        <v>0</v>
      </c>
      <c r="M19" s="23"/>
      <c r="N19" s="26" t="n">
        <f aca="false">N(K19)+N(L19)-N(M19)</f>
        <v>0</v>
      </c>
      <c r="O19" s="37" t="n">
        <f aca="false">'Jul 2027'!R19</f>
        <v>0</v>
      </c>
      <c r="P19" s="37" t="n">
        <f aca="false">IF(B19="",0,N(Students!H8))</f>
        <v>0</v>
      </c>
      <c r="Q19" s="23"/>
      <c r="R19" s="26" t="n">
        <f aca="false">N(O19)+N(P19)-N(Q19)</f>
        <v>0</v>
      </c>
      <c r="S19" s="37" t="n">
        <f aca="false">'Jul 2027'!V19</f>
        <v>0</v>
      </c>
      <c r="T19" s="37" t="n">
        <f aca="false">IF(B19="",0,N(Students!I8))</f>
        <v>0</v>
      </c>
      <c r="U19" s="23"/>
      <c r="V19" s="26" t="n">
        <f aca="false">N(S19)+N(T19)-N(U19)</f>
        <v>0</v>
      </c>
      <c r="W19" s="37" t="n">
        <f aca="false">'Jul 2027'!Z19</f>
        <v>0</v>
      </c>
      <c r="X19" s="37" t="n">
        <f aca="false">IF(B19="",0,N(Students!J8))</f>
        <v>0</v>
      </c>
      <c r="Y19" s="23"/>
      <c r="Z19" s="26" t="n">
        <f aca="false">N(W19)+N(X19)-N(Y19)</f>
        <v>0</v>
      </c>
      <c r="AA19" s="37" t="n">
        <f aca="false">N(E19)+N(I19)+N(M19)+N(Q19)+N(U19)+N(Y19)</f>
        <v>0</v>
      </c>
      <c r="AB19" s="26" t="n">
        <f aca="false">F19+J19+N19+R19+V19+Z19</f>
        <v>0</v>
      </c>
      <c r="AC19" s="83" t="str">
        <f aca="false">IF(B19="","",IF(AB19&lt;=0,"Clear",IF(AA19&gt;0,"Partial","Due")))</f>
        <v/>
      </c>
    </row>
    <row r="20" customFormat="false" ht="15" hidden="false" customHeight="false" outlineLevel="0" collapsed="false">
      <c r="A20" s="21" t="n">
        <v>5</v>
      </c>
      <c r="B20" s="46" t="str">
        <f aca="false">IF(Students!B9="","",Students!B9)</f>
        <v/>
      </c>
      <c r="C20" s="33" t="n">
        <f aca="false">'Jul 2027'!F20</f>
        <v>0</v>
      </c>
      <c r="D20" s="33" t="n">
        <f aca="false">IF(B20="",0,N(Students!E9))</f>
        <v>0</v>
      </c>
      <c r="E20" s="23"/>
      <c r="F20" s="24" t="n">
        <f aca="false">N(C20)+N(D20)-N(E20)</f>
        <v>0</v>
      </c>
      <c r="G20" s="33" t="n">
        <f aca="false">'Jul 2027'!J20</f>
        <v>0</v>
      </c>
      <c r="H20" s="33" t="n">
        <f aca="false">IF(B20="",0,N(Students!F9))</f>
        <v>0</v>
      </c>
      <c r="I20" s="23"/>
      <c r="J20" s="24" t="n">
        <f aca="false">N(G20)+N(H20)-N(I20)</f>
        <v>0</v>
      </c>
      <c r="K20" s="33" t="n">
        <f aca="false">'Jul 2027'!N20</f>
        <v>0</v>
      </c>
      <c r="L20" s="33" t="n">
        <f aca="false">IF(B20="",0,N(Students!G9))</f>
        <v>0</v>
      </c>
      <c r="M20" s="23"/>
      <c r="N20" s="24" t="n">
        <f aca="false">N(K20)+N(L20)-N(M20)</f>
        <v>0</v>
      </c>
      <c r="O20" s="33" t="n">
        <f aca="false">'Jul 2027'!R20</f>
        <v>0</v>
      </c>
      <c r="P20" s="33" t="n">
        <f aca="false">IF(B20="",0,N(Students!H9))</f>
        <v>0</v>
      </c>
      <c r="Q20" s="23"/>
      <c r="R20" s="24" t="n">
        <f aca="false">N(O20)+N(P20)-N(Q20)</f>
        <v>0</v>
      </c>
      <c r="S20" s="33" t="n">
        <f aca="false">'Jul 2027'!V20</f>
        <v>0</v>
      </c>
      <c r="T20" s="33" t="n">
        <f aca="false">IF(B20="",0,N(Students!I9))</f>
        <v>0</v>
      </c>
      <c r="U20" s="23"/>
      <c r="V20" s="24" t="n">
        <f aca="false">N(S20)+N(T20)-N(U20)</f>
        <v>0</v>
      </c>
      <c r="W20" s="33" t="n">
        <f aca="false">'Jul 2027'!Z20</f>
        <v>0</v>
      </c>
      <c r="X20" s="33" t="n">
        <f aca="false">IF(B20="",0,N(Students!J9))</f>
        <v>0</v>
      </c>
      <c r="Y20" s="23"/>
      <c r="Z20" s="24" t="n">
        <f aca="false">N(W20)+N(X20)-N(Y20)</f>
        <v>0</v>
      </c>
      <c r="AA20" s="33" t="n">
        <f aca="false">N(E20)+N(I20)+N(M20)+N(Q20)+N(U20)+N(Y20)</f>
        <v>0</v>
      </c>
      <c r="AB20" s="24" t="n">
        <f aca="false">F20+J20+N20+R20+V20+Z20</f>
        <v>0</v>
      </c>
      <c r="AC20" s="81" t="str">
        <f aca="false">IF(B20="","",IF(AB20&lt;=0,"Clear",IF(AA20&gt;0,"Partial","Due")))</f>
        <v/>
      </c>
    </row>
    <row r="21" customFormat="false" ht="15" hidden="false" customHeight="false" outlineLevel="0" collapsed="false">
      <c r="A21" s="25" t="n">
        <v>6</v>
      </c>
      <c r="B21" s="82" t="str">
        <f aca="false">IF(Students!B10="","",Students!B10)</f>
        <v/>
      </c>
      <c r="C21" s="37" t="n">
        <f aca="false">'Jul 2027'!F21</f>
        <v>0</v>
      </c>
      <c r="D21" s="37" t="n">
        <f aca="false">IF(B21="",0,N(Students!E10))</f>
        <v>0</v>
      </c>
      <c r="E21" s="23"/>
      <c r="F21" s="26" t="n">
        <f aca="false">N(C21)+N(D21)-N(E21)</f>
        <v>0</v>
      </c>
      <c r="G21" s="37" t="n">
        <f aca="false">'Jul 2027'!J21</f>
        <v>0</v>
      </c>
      <c r="H21" s="37" t="n">
        <f aca="false">IF(B21="",0,N(Students!F10))</f>
        <v>0</v>
      </c>
      <c r="I21" s="23"/>
      <c r="J21" s="26" t="n">
        <f aca="false">N(G21)+N(H21)-N(I21)</f>
        <v>0</v>
      </c>
      <c r="K21" s="37" t="n">
        <f aca="false">'Jul 2027'!N21</f>
        <v>0</v>
      </c>
      <c r="L21" s="37" t="n">
        <f aca="false">IF(B21="",0,N(Students!G10))</f>
        <v>0</v>
      </c>
      <c r="M21" s="23"/>
      <c r="N21" s="26" t="n">
        <f aca="false">N(K21)+N(L21)-N(M21)</f>
        <v>0</v>
      </c>
      <c r="O21" s="37" t="n">
        <f aca="false">'Jul 2027'!R21</f>
        <v>0</v>
      </c>
      <c r="P21" s="37" t="n">
        <f aca="false">IF(B21="",0,N(Students!H10))</f>
        <v>0</v>
      </c>
      <c r="Q21" s="23"/>
      <c r="R21" s="26" t="n">
        <f aca="false">N(O21)+N(P21)-N(Q21)</f>
        <v>0</v>
      </c>
      <c r="S21" s="37" t="n">
        <f aca="false">'Jul 2027'!V21</f>
        <v>0</v>
      </c>
      <c r="T21" s="37" t="n">
        <f aca="false">IF(B21="",0,N(Students!I10))</f>
        <v>0</v>
      </c>
      <c r="U21" s="23"/>
      <c r="V21" s="26" t="n">
        <f aca="false">N(S21)+N(T21)-N(U21)</f>
        <v>0</v>
      </c>
      <c r="W21" s="37" t="n">
        <f aca="false">'Jul 2027'!Z21</f>
        <v>0</v>
      </c>
      <c r="X21" s="37" t="n">
        <f aca="false">IF(B21="",0,N(Students!J10))</f>
        <v>0</v>
      </c>
      <c r="Y21" s="23"/>
      <c r="Z21" s="26" t="n">
        <f aca="false">N(W21)+N(X21)-N(Y21)</f>
        <v>0</v>
      </c>
      <c r="AA21" s="37" t="n">
        <f aca="false">N(E21)+N(I21)+N(M21)+N(Q21)+N(U21)+N(Y21)</f>
        <v>0</v>
      </c>
      <c r="AB21" s="26" t="n">
        <f aca="false">F21+J21+N21+R21+V21+Z21</f>
        <v>0</v>
      </c>
      <c r="AC21" s="83" t="str">
        <f aca="false">IF(B21="","",IF(AB21&lt;=0,"Clear",IF(AA21&gt;0,"Partial","Due")))</f>
        <v/>
      </c>
    </row>
    <row r="22" customFormat="false" ht="15" hidden="false" customHeight="false" outlineLevel="0" collapsed="false">
      <c r="A22" s="21" t="n">
        <v>7</v>
      </c>
      <c r="B22" s="46" t="str">
        <f aca="false">IF(Students!B11="","",Students!B11)</f>
        <v/>
      </c>
      <c r="C22" s="33" t="n">
        <f aca="false">'Jul 2027'!F22</f>
        <v>0</v>
      </c>
      <c r="D22" s="33" t="n">
        <f aca="false">IF(B22="",0,N(Students!E11))</f>
        <v>0</v>
      </c>
      <c r="E22" s="23"/>
      <c r="F22" s="24" t="n">
        <f aca="false">N(C22)+N(D22)-N(E22)</f>
        <v>0</v>
      </c>
      <c r="G22" s="33" t="n">
        <f aca="false">'Jul 2027'!J22</f>
        <v>0</v>
      </c>
      <c r="H22" s="33" t="n">
        <f aca="false">IF(B22="",0,N(Students!F11))</f>
        <v>0</v>
      </c>
      <c r="I22" s="23"/>
      <c r="J22" s="24" t="n">
        <f aca="false">N(G22)+N(H22)-N(I22)</f>
        <v>0</v>
      </c>
      <c r="K22" s="33" t="n">
        <f aca="false">'Jul 2027'!N22</f>
        <v>0</v>
      </c>
      <c r="L22" s="33" t="n">
        <f aca="false">IF(B22="",0,N(Students!G11))</f>
        <v>0</v>
      </c>
      <c r="M22" s="23"/>
      <c r="N22" s="24" t="n">
        <f aca="false">N(K22)+N(L22)-N(M22)</f>
        <v>0</v>
      </c>
      <c r="O22" s="33" t="n">
        <f aca="false">'Jul 2027'!R22</f>
        <v>0</v>
      </c>
      <c r="P22" s="33" t="n">
        <f aca="false">IF(B22="",0,N(Students!H11))</f>
        <v>0</v>
      </c>
      <c r="Q22" s="23"/>
      <c r="R22" s="24" t="n">
        <f aca="false">N(O22)+N(P22)-N(Q22)</f>
        <v>0</v>
      </c>
      <c r="S22" s="33" t="n">
        <f aca="false">'Jul 2027'!V22</f>
        <v>0</v>
      </c>
      <c r="T22" s="33" t="n">
        <f aca="false">IF(B22="",0,N(Students!I11))</f>
        <v>0</v>
      </c>
      <c r="U22" s="23"/>
      <c r="V22" s="24" t="n">
        <f aca="false">N(S22)+N(T22)-N(U22)</f>
        <v>0</v>
      </c>
      <c r="W22" s="33" t="n">
        <f aca="false">'Jul 2027'!Z22</f>
        <v>0</v>
      </c>
      <c r="X22" s="33" t="n">
        <f aca="false">IF(B22="",0,N(Students!J11))</f>
        <v>0</v>
      </c>
      <c r="Y22" s="23"/>
      <c r="Z22" s="24" t="n">
        <f aca="false">N(W22)+N(X22)-N(Y22)</f>
        <v>0</v>
      </c>
      <c r="AA22" s="33" t="n">
        <f aca="false">N(E22)+N(I22)+N(M22)+N(Q22)+N(U22)+N(Y22)</f>
        <v>0</v>
      </c>
      <c r="AB22" s="24" t="n">
        <f aca="false">F22+J22+N22+R22+V22+Z22</f>
        <v>0</v>
      </c>
      <c r="AC22" s="81" t="str">
        <f aca="false">IF(B22="","",IF(AB22&lt;=0,"Clear",IF(AA22&gt;0,"Partial","Due")))</f>
        <v/>
      </c>
    </row>
    <row r="23" customFormat="false" ht="15" hidden="false" customHeight="false" outlineLevel="0" collapsed="false">
      <c r="A23" s="25" t="n">
        <v>8</v>
      </c>
      <c r="B23" s="82" t="str">
        <f aca="false">IF(Students!B12="","",Students!B12)</f>
        <v/>
      </c>
      <c r="C23" s="37" t="n">
        <f aca="false">'Jul 2027'!F23</f>
        <v>0</v>
      </c>
      <c r="D23" s="37" t="n">
        <f aca="false">IF(B23="",0,N(Students!E12))</f>
        <v>0</v>
      </c>
      <c r="E23" s="23"/>
      <c r="F23" s="26" t="n">
        <f aca="false">N(C23)+N(D23)-N(E23)</f>
        <v>0</v>
      </c>
      <c r="G23" s="37" t="n">
        <f aca="false">'Jul 2027'!J23</f>
        <v>0</v>
      </c>
      <c r="H23" s="37" t="n">
        <f aca="false">IF(B23="",0,N(Students!F12))</f>
        <v>0</v>
      </c>
      <c r="I23" s="23"/>
      <c r="J23" s="26" t="n">
        <f aca="false">N(G23)+N(H23)-N(I23)</f>
        <v>0</v>
      </c>
      <c r="K23" s="37" t="n">
        <f aca="false">'Jul 2027'!N23</f>
        <v>0</v>
      </c>
      <c r="L23" s="37" t="n">
        <f aca="false">IF(B23="",0,N(Students!G12))</f>
        <v>0</v>
      </c>
      <c r="M23" s="23"/>
      <c r="N23" s="26" t="n">
        <f aca="false">N(K23)+N(L23)-N(M23)</f>
        <v>0</v>
      </c>
      <c r="O23" s="37" t="n">
        <f aca="false">'Jul 2027'!R23</f>
        <v>0</v>
      </c>
      <c r="P23" s="37" t="n">
        <f aca="false">IF(B23="",0,N(Students!H12))</f>
        <v>0</v>
      </c>
      <c r="Q23" s="23"/>
      <c r="R23" s="26" t="n">
        <f aca="false">N(O23)+N(P23)-N(Q23)</f>
        <v>0</v>
      </c>
      <c r="S23" s="37" t="n">
        <f aca="false">'Jul 2027'!V23</f>
        <v>0</v>
      </c>
      <c r="T23" s="37" t="n">
        <f aca="false">IF(B23="",0,N(Students!I12))</f>
        <v>0</v>
      </c>
      <c r="U23" s="23"/>
      <c r="V23" s="26" t="n">
        <f aca="false">N(S23)+N(T23)-N(U23)</f>
        <v>0</v>
      </c>
      <c r="W23" s="37" t="n">
        <f aca="false">'Jul 2027'!Z23</f>
        <v>0</v>
      </c>
      <c r="X23" s="37" t="n">
        <f aca="false">IF(B23="",0,N(Students!J12))</f>
        <v>0</v>
      </c>
      <c r="Y23" s="23"/>
      <c r="Z23" s="26" t="n">
        <f aca="false">N(W23)+N(X23)-N(Y23)</f>
        <v>0</v>
      </c>
      <c r="AA23" s="37" t="n">
        <f aca="false">N(E23)+N(I23)+N(M23)+N(Q23)+N(U23)+N(Y23)</f>
        <v>0</v>
      </c>
      <c r="AB23" s="26" t="n">
        <f aca="false">F23+J23+N23+R23+V23+Z23</f>
        <v>0</v>
      </c>
      <c r="AC23" s="83" t="str">
        <f aca="false">IF(B23="","",IF(AB23&lt;=0,"Clear",IF(AA23&gt;0,"Partial","Due")))</f>
        <v/>
      </c>
    </row>
    <row r="24" customFormat="false" ht="15" hidden="false" customHeight="false" outlineLevel="0" collapsed="false">
      <c r="A24" s="21" t="n">
        <v>9</v>
      </c>
      <c r="B24" s="46" t="str">
        <f aca="false">IF(Students!B13="","",Students!B13)</f>
        <v/>
      </c>
      <c r="C24" s="33" t="n">
        <f aca="false">'Jul 2027'!F24</f>
        <v>0</v>
      </c>
      <c r="D24" s="33" t="n">
        <f aca="false">IF(B24="",0,N(Students!E13))</f>
        <v>0</v>
      </c>
      <c r="E24" s="23"/>
      <c r="F24" s="24" t="n">
        <f aca="false">N(C24)+N(D24)-N(E24)</f>
        <v>0</v>
      </c>
      <c r="G24" s="33" t="n">
        <f aca="false">'Jul 2027'!J24</f>
        <v>0</v>
      </c>
      <c r="H24" s="33" t="n">
        <f aca="false">IF(B24="",0,N(Students!F13))</f>
        <v>0</v>
      </c>
      <c r="I24" s="23"/>
      <c r="J24" s="24" t="n">
        <f aca="false">N(G24)+N(H24)-N(I24)</f>
        <v>0</v>
      </c>
      <c r="K24" s="33" t="n">
        <f aca="false">'Jul 2027'!N24</f>
        <v>0</v>
      </c>
      <c r="L24" s="33" t="n">
        <f aca="false">IF(B24="",0,N(Students!G13))</f>
        <v>0</v>
      </c>
      <c r="M24" s="23"/>
      <c r="N24" s="24" t="n">
        <f aca="false">N(K24)+N(L24)-N(M24)</f>
        <v>0</v>
      </c>
      <c r="O24" s="33" t="n">
        <f aca="false">'Jul 2027'!R24</f>
        <v>0</v>
      </c>
      <c r="P24" s="33" t="n">
        <f aca="false">IF(B24="",0,N(Students!H13))</f>
        <v>0</v>
      </c>
      <c r="Q24" s="23"/>
      <c r="R24" s="24" t="n">
        <f aca="false">N(O24)+N(P24)-N(Q24)</f>
        <v>0</v>
      </c>
      <c r="S24" s="33" t="n">
        <f aca="false">'Jul 2027'!V24</f>
        <v>0</v>
      </c>
      <c r="T24" s="33" t="n">
        <f aca="false">IF(B24="",0,N(Students!I13))</f>
        <v>0</v>
      </c>
      <c r="U24" s="23"/>
      <c r="V24" s="24" t="n">
        <f aca="false">N(S24)+N(T24)-N(U24)</f>
        <v>0</v>
      </c>
      <c r="W24" s="33" t="n">
        <f aca="false">'Jul 2027'!Z24</f>
        <v>0</v>
      </c>
      <c r="X24" s="33" t="n">
        <f aca="false">IF(B24="",0,N(Students!J13))</f>
        <v>0</v>
      </c>
      <c r="Y24" s="23"/>
      <c r="Z24" s="24" t="n">
        <f aca="false">N(W24)+N(X24)-N(Y24)</f>
        <v>0</v>
      </c>
      <c r="AA24" s="33" t="n">
        <f aca="false">N(E24)+N(I24)+N(M24)+N(Q24)+N(U24)+N(Y24)</f>
        <v>0</v>
      </c>
      <c r="AB24" s="24" t="n">
        <f aca="false">F24+J24+N24+R24+V24+Z24</f>
        <v>0</v>
      </c>
      <c r="AC24" s="81" t="str">
        <f aca="false">IF(B24="","",IF(AB24&lt;=0,"Clear",IF(AA24&gt;0,"Partial","Due")))</f>
        <v/>
      </c>
    </row>
    <row r="25" customFormat="false" ht="15" hidden="false" customHeight="false" outlineLevel="0" collapsed="false">
      <c r="A25" s="25" t="n">
        <v>10</v>
      </c>
      <c r="B25" s="82" t="str">
        <f aca="false">IF(Students!B14="","",Students!B14)</f>
        <v/>
      </c>
      <c r="C25" s="37" t="n">
        <f aca="false">'Jul 2027'!F25</f>
        <v>0</v>
      </c>
      <c r="D25" s="37" t="n">
        <f aca="false">IF(B25="",0,N(Students!E14))</f>
        <v>0</v>
      </c>
      <c r="E25" s="23"/>
      <c r="F25" s="26" t="n">
        <f aca="false">N(C25)+N(D25)-N(E25)</f>
        <v>0</v>
      </c>
      <c r="G25" s="37" t="n">
        <f aca="false">'Jul 2027'!J25</f>
        <v>0</v>
      </c>
      <c r="H25" s="37" t="n">
        <f aca="false">IF(B25="",0,N(Students!F14))</f>
        <v>0</v>
      </c>
      <c r="I25" s="23"/>
      <c r="J25" s="26" t="n">
        <f aca="false">N(G25)+N(H25)-N(I25)</f>
        <v>0</v>
      </c>
      <c r="K25" s="37" t="n">
        <f aca="false">'Jul 2027'!N25</f>
        <v>0</v>
      </c>
      <c r="L25" s="37" t="n">
        <f aca="false">IF(B25="",0,N(Students!G14))</f>
        <v>0</v>
      </c>
      <c r="M25" s="23"/>
      <c r="N25" s="26" t="n">
        <f aca="false">N(K25)+N(L25)-N(M25)</f>
        <v>0</v>
      </c>
      <c r="O25" s="37" t="n">
        <f aca="false">'Jul 2027'!R25</f>
        <v>0</v>
      </c>
      <c r="P25" s="37" t="n">
        <f aca="false">IF(B25="",0,N(Students!H14))</f>
        <v>0</v>
      </c>
      <c r="Q25" s="23"/>
      <c r="R25" s="26" t="n">
        <f aca="false">N(O25)+N(P25)-N(Q25)</f>
        <v>0</v>
      </c>
      <c r="S25" s="37" t="n">
        <f aca="false">'Jul 2027'!V25</f>
        <v>0</v>
      </c>
      <c r="T25" s="37" t="n">
        <f aca="false">IF(B25="",0,N(Students!I14))</f>
        <v>0</v>
      </c>
      <c r="U25" s="23"/>
      <c r="V25" s="26" t="n">
        <f aca="false">N(S25)+N(T25)-N(U25)</f>
        <v>0</v>
      </c>
      <c r="W25" s="37" t="n">
        <f aca="false">'Jul 2027'!Z25</f>
        <v>0</v>
      </c>
      <c r="X25" s="37" t="n">
        <f aca="false">IF(B25="",0,N(Students!J14))</f>
        <v>0</v>
      </c>
      <c r="Y25" s="23"/>
      <c r="Z25" s="26" t="n">
        <f aca="false">N(W25)+N(X25)-N(Y25)</f>
        <v>0</v>
      </c>
      <c r="AA25" s="37" t="n">
        <f aca="false">N(E25)+N(I25)+N(M25)+N(Q25)+N(U25)+N(Y25)</f>
        <v>0</v>
      </c>
      <c r="AB25" s="26" t="n">
        <f aca="false">F25+J25+N25+R25+V25+Z25</f>
        <v>0</v>
      </c>
      <c r="AC25" s="83" t="str">
        <f aca="false">IF(B25="","",IF(AB25&lt;=0,"Clear",IF(AA25&gt;0,"Partial","Due")))</f>
        <v/>
      </c>
    </row>
    <row r="26" customFormat="false" ht="15" hidden="false" customHeight="false" outlineLevel="0" collapsed="false">
      <c r="A26" s="21" t="n">
        <v>11</v>
      </c>
      <c r="B26" s="46" t="str">
        <f aca="false">IF(Students!B15="","",Students!B15)</f>
        <v/>
      </c>
      <c r="C26" s="33" t="n">
        <f aca="false">'Jul 2027'!F26</f>
        <v>0</v>
      </c>
      <c r="D26" s="33" t="n">
        <f aca="false">IF(B26="",0,N(Students!E15))</f>
        <v>0</v>
      </c>
      <c r="E26" s="23"/>
      <c r="F26" s="24" t="n">
        <f aca="false">N(C26)+N(D26)-N(E26)</f>
        <v>0</v>
      </c>
      <c r="G26" s="33" t="n">
        <f aca="false">'Jul 2027'!J26</f>
        <v>0</v>
      </c>
      <c r="H26" s="33" t="n">
        <f aca="false">IF(B26="",0,N(Students!F15))</f>
        <v>0</v>
      </c>
      <c r="I26" s="23"/>
      <c r="J26" s="24" t="n">
        <f aca="false">N(G26)+N(H26)-N(I26)</f>
        <v>0</v>
      </c>
      <c r="K26" s="33" t="n">
        <f aca="false">'Jul 2027'!N26</f>
        <v>0</v>
      </c>
      <c r="L26" s="33" t="n">
        <f aca="false">IF(B26="",0,N(Students!G15))</f>
        <v>0</v>
      </c>
      <c r="M26" s="23"/>
      <c r="N26" s="24" t="n">
        <f aca="false">N(K26)+N(L26)-N(M26)</f>
        <v>0</v>
      </c>
      <c r="O26" s="33" t="n">
        <f aca="false">'Jul 2027'!R26</f>
        <v>0</v>
      </c>
      <c r="P26" s="33" t="n">
        <f aca="false">IF(B26="",0,N(Students!H15))</f>
        <v>0</v>
      </c>
      <c r="Q26" s="23"/>
      <c r="R26" s="24" t="n">
        <f aca="false">N(O26)+N(P26)-N(Q26)</f>
        <v>0</v>
      </c>
      <c r="S26" s="33" t="n">
        <f aca="false">'Jul 2027'!V26</f>
        <v>0</v>
      </c>
      <c r="T26" s="33" t="n">
        <f aca="false">IF(B26="",0,N(Students!I15))</f>
        <v>0</v>
      </c>
      <c r="U26" s="23"/>
      <c r="V26" s="24" t="n">
        <f aca="false">N(S26)+N(T26)-N(U26)</f>
        <v>0</v>
      </c>
      <c r="W26" s="33" t="n">
        <f aca="false">'Jul 2027'!Z26</f>
        <v>0</v>
      </c>
      <c r="X26" s="33" t="n">
        <f aca="false">IF(B26="",0,N(Students!J15))</f>
        <v>0</v>
      </c>
      <c r="Y26" s="23"/>
      <c r="Z26" s="24" t="n">
        <f aca="false">N(W26)+N(X26)-N(Y26)</f>
        <v>0</v>
      </c>
      <c r="AA26" s="33" t="n">
        <f aca="false">N(E26)+N(I26)+N(M26)+N(Q26)+N(U26)+N(Y26)</f>
        <v>0</v>
      </c>
      <c r="AB26" s="24" t="n">
        <f aca="false">F26+J26+N26+R26+V26+Z26</f>
        <v>0</v>
      </c>
      <c r="AC26" s="81" t="str">
        <f aca="false">IF(B26="","",IF(AB26&lt;=0,"Clear",IF(AA26&gt;0,"Partial","Due")))</f>
        <v/>
      </c>
    </row>
    <row r="27" customFormat="false" ht="15" hidden="false" customHeight="false" outlineLevel="0" collapsed="false">
      <c r="A27" s="25" t="n">
        <v>12</v>
      </c>
      <c r="B27" s="82" t="str">
        <f aca="false">IF(Students!B16="","",Students!B16)</f>
        <v/>
      </c>
      <c r="C27" s="37" t="n">
        <f aca="false">'Jul 2027'!F27</f>
        <v>0</v>
      </c>
      <c r="D27" s="37" t="n">
        <f aca="false">IF(B27="",0,N(Students!E16))</f>
        <v>0</v>
      </c>
      <c r="E27" s="23"/>
      <c r="F27" s="26" t="n">
        <f aca="false">N(C27)+N(D27)-N(E27)</f>
        <v>0</v>
      </c>
      <c r="G27" s="37" t="n">
        <f aca="false">'Jul 2027'!J27</f>
        <v>0</v>
      </c>
      <c r="H27" s="37" t="n">
        <f aca="false">IF(B27="",0,N(Students!F16))</f>
        <v>0</v>
      </c>
      <c r="I27" s="23"/>
      <c r="J27" s="26" t="n">
        <f aca="false">N(G27)+N(H27)-N(I27)</f>
        <v>0</v>
      </c>
      <c r="K27" s="37" t="n">
        <f aca="false">'Jul 2027'!N27</f>
        <v>0</v>
      </c>
      <c r="L27" s="37" t="n">
        <f aca="false">IF(B27="",0,N(Students!G16))</f>
        <v>0</v>
      </c>
      <c r="M27" s="23"/>
      <c r="N27" s="26" t="n">
        <f aca="false">N(K27)+N(L27)-N(M27)</f>
        <v>0</v>
      </c>
      <c r="O27" s="37" t="n">
        <f aca="false">'Jul 2027'!R27</f>
        <v>0</v>
      </c>
      <c r="P27" s="37" t="n">
        <f aca="false">IF(B27="",0,N(Students!H16))</f>
        <v>0</v>
      </c>
      <c r="Q27" s="23"/>
      <c r="R27" s="26" t="n">
        <f aca="false">N(O27)+N(P27)-N(Q27)</f>
        <v>0</v>
      </c>
      <c r="S27" s="37" t="n">
        <f aca="false">'Jul 2027'!V27</f>
        <v>0</v>
      </c>
      <c r="T27" s="37" t="n">
        <f aca="false">IF(B27="",0,N(Students!I16))</f>
        <v>0</v>
      </c>
      <c r="U27" s="23"/>
      <c r="V27" s="26" t="n">
        <f aca="false">N(S27)+N(T27)-N(U27)</f>
        <v>0</v>
      </c>
      <c r="W27" s="37" t="n">
        <f aca="false">'Jul 2027'!Z27</f>
        <v>0</v>
      </c>
      <c r="X27" s="37" t="n">
        <f aca="false">IF(B27="",0,N(Students!J16))</f>
        <v>0</v>
      </c>
      <c r="Y27" s="23"/>
      <c r="Z27" s="26" t="n">
        <f aca="false">N(W27)+N(X27)-N(Y27)</f>
        <v>0</v>
      </c>
      <c r="AA27" s="37" t="n">
        <f aca="false">N(E27)+N(I27)+N(M27)+N(Q27)+N(U27)+N(Y27)</f>
        <v>0</v>
      </c>
      <c r="AB27" s="26" t="n">
        <f aca="false">F27+J27+N27+R27+V27+Z27</f>
        <v>0</v>
      </c>
      <c r="AC27" s="83" t="str">
        <f aca="false">IF(B27="","",IF(AB27&lt;=0,"Clear",IF(AA27&gt;0,"Partial","Due")))</f>
        <v/>
      </c>
    </row>
    <row r="28" customFormat="false" ht="15" hidden="false" customHeight="false" outlineLevel="0" collapsed="false">
      <c r="A28" s="21" t="n">
        <v>13</v>
      </c>
      <c r="B28" s="46" t="str">
        <f aca="false">IF(Students!B17="","",Students!B17)</f>
        <v/>
      </c>
      <c r="C28" s="33" t="n">
        <f aca="false">'Jul 2027'!F28</f>
        <v>0</v>
      </c>
      <c r="D28" s="33" t="n">
        <f aca="false">IF(B28="",0,N(Students!E17))</f>
        <v>0</v>
      </c>
      <c r="E28" s="23"/>
      <c r="F28" s="24" t="n">
        <f aca="false">N(C28)+N(D28)-N(E28)</f>
        <v>0</v>
      </c>
      <c r="G28" s="33" t="n">
        <f aca="false">'Jul 2027'!J28</f>
        <v>0</v>
      </c>
      <c r="H28" s="33" t="n">
        <f aca="false">IF(B28="",0,N(Students!F17))</f>
        <v>0</v>
      </c>
      <c r="I28" s="23"/>
      <c r="J28" s="24" t="n">
        <f aca="false">N(G28)+N(H28)-N(I28)</f>
        <v>0</v>
      </c>
      <c r="K28" s="33" t="n">
        <f aca="false">'Jul 2027'!N28</f>
        <v>0</v>
      </c>
      <c r="L28" s="33" t="n">
        <f aca="false">IF(B28="",0,N(Students!G17))</f>
        <v>0</v>
      </c>
      <c r="M28" s="23"/>
      <c r="N28" s="24" t="n">
        <f aca="false">N(K28)+N(L28)-N(M28)</f>
        <v>0</v>
      </c>
      <c r="O28" s="33" t="n">
        <f aca="false">'Jul 2027'!R28</f>
        <v>0</v>
      </c>
      <c r="P28" s="33" t="n">
        <f aca="false">IF(B28="",0,N(Students!H17))</f>
        <v>0</v>
      </c>
      <c r="Q28" s="23"/>
      <c r="R28" s="24" t="n">
        <f aca="false">N(O28)+N(P28)-N(Q28)</f>
        <v>0</v>
      </c>
      <c r="S28" s="33" t="n">
        <f aca="false">'Jul 2027'!V28</f>
        <v>0</v>
      </c>
      <c r="T28" s="33" t="n">
        <f aca="false">IF(B28="",0,N(Students!I17))</f>
        <v>0</v>
      </c>
      <c r="U28" s="23"/>
      <c r="V28" s="24" t="n">
        <f aca="false">N(S28)+N(T28)-N(U28)</f>
        <v>0</v>
      </c>
      <c r="W28" s="33" t="n">
        <f aca="false">'Jul 2027'!Z28</f>
        <v>0</v>
      </c>
      <c r="X28" s="33" t="n">
        <f aca="false">IF(B28="",0,N(Students!J17))</f>
        <v>0</v>
      </c>
      <c r="Y28" s="23"/>
      <c r="Z28" s="24" t="n">
        <f aca="false">N(W28)+N(X28)-N(Y28)</f>
        <v>0</v>
      </c>
      <c r="AA28" s="33" t="n">
        <f aca="false">N(E28)+N(I28)+N(M28)+N(Q28)+N(U28)+N(Y28)</f>
        <v>0</v>
      </c>
      <c r="AB28" s="24" t="n">
        <f aca="false">F28+J28+N28+R28+V28+Z28</f>
        <v>0</v>
      </c>
      <c r="AC28" s="81" t="str">
        <f aca="false">IF(B28="","",IF(AB28&lt;=0,"Clear",IF(AA28&gt;0,"Partial","Due")))</f>
        <v/>
      </c>
    </row>
    <row r="29" customFormat="false" ht="15" hidden="false" customHeight="false" outlineLevel="0" collapsed="false">
      <c r="A29" s="25" t="n">
        <v>14</v>
      </c>
      <c r="B29" s="82" t="str">
        <f aca="false">IF(Students!B18="","",Students!B18)</f>
        <v/>
      </c>
      <c r="C29" s="37" t="n">
        <f aca="false">'Jul 2027'!F29</f>
        <v>0</v>
      </c>
      <c r="D29" s="37" t="n">
        <f aca="false">IF(B29="",0,N(Students!E18))</f>
        <v>0</v>
      </c>
      <c r="E29" s="23"/>
      <c r="F29" s="26" t="n">
        <f aca="false">N(C29)+N(D29)-N(E29)</f>
        <v>0</v>
      </c>
      <c r="G29" s="37" t="n">
        <f aca="false">'Jul 2027'!J29</f>
        <v>0</v>
      </c>
      <c r="H29" s="37" t="n">
        <f aca="false">IF(B29="",0,N(Students!F18))</f>
        <v>0</v>
      </c>
      <c r="I29" s="23"/>
      <c r="J29" s="26" t="n">
        <f aca="false">N(G29)+N(H29)-N(I29)</f>
        <v>0</v>
      </c>
      <c r="K29" s="37" t="n">
        <f aca="false">'Jul 2027'!N29</f>
        <v>0</v>
      </c>
      <c r="L29" s="37" t="n">
        <f aca="false">IF(B29="",0,N(Students!G18))</f>
        <v>0</v>
      </c>
      <c r="M29" s="23"/>
      <c r="N29" s="26" t="n">
        <f aca="false">N(K29)+N(L29)-N(M29)</f>
        <v>0</v>
      </c>
      <c r="O29" s="37" t="n">
        <f aca="false">'Jul 2027'!R29</f>
        <v>0</v>
      </c>
      <c r="P29" s="37" t="n">
        <f aca="false">IF(B29="",0,N(Students!H18))</f>
        <v>0</v>
      </c>
      <c r="Q29" s="23"/>
      <c r="R29" s="26" t="n">
        <f aca="false">N(O29)+N(P29)-N(Q29)</f>
        <v>0</v>
      </c>
      <c r="S29" s="37" t="n">
        <f aca="false">'Jul 2027'!V29</f>
        <v>0</v>
      </c>
      <c r="T29" s="37" t="n">
        <f aca="false">IF(B29="",0,N(Students!I18))</f>
        <v>0</v>
      </c>
      <c r="U29" s="23"/>
      <c r="V29" s="26" t="n">
        <f aca="false">N(S29)+N(T29)-N(U29)</f>
        <v>0</v>
      </c>
      <c r="W29" s="37" t="n">
        <f aca="false">'Jul 2027'!Z29</f>
        <v>0</v>
      </c>
      <c r="X29" s="37" t="n">
        <f aca="false">IF(B29="",0,N(Students!J18))</f>
        <v>0</v>
      </c>
      <c r="Y29" s="23"/>
      <c r="Z29" s="26" t="n">
        <f aca="false">N(W29)+N(X29)-N(Y29)</f>
        <v>0</v>
      </c>
      <c r="AA29" s="37" t="n">
        <f aca="false">N(E29)+N(I29)+N(M29)+N(Q29)+N(U29)+N(Y29)</f>
        <v>0</v>
      </c>
      <c r="AB29" s="26" t="n">
        <f aca="false">F29+J29+N29+R29+V29+Z29</f>
        <v>0</v>
      </c>
      <c r="AC29" s="83" t="str">
        <f aca="false">IF(B29="","",IF(AB29&lt;=0,"Clear",IF(AA29&gt;0,"Partial","Due")))</f>
        <v/>
      </c>
    </row>
    <row r="30" customFormat="false" ht="15" hidden="false" customHeight="false" outlineLevel="0" collapsed="false">
      <c r="A30" s="21" t="n">
        <v>15</v>
      </c>
      <c r="B30" s="46" t="str">
        <f aca="false">IF(Students!B19="","",Students!B19)</f>
        <v/>
      </c>
      <c r="C30" s="33" t="n">
        <f aca="false">'Jul 2027'!F30</f>
        <v>0</v>
      </c>
      <c r="D30" s="33" t="n">
        <f aca="false">IF(B30="",0,N(Students!E19))</f>
        <v>0</v>
      </c>
      <c r="E30" s="23"/>
      <c r="F30" s="24" t="n">
        <f aca="false">N(C30)+N(D30)-N(E30)</f>
        <v>0</v>
      </c>
      <c r="G30" s="33" t="n">
        <f aca="false">'Jul 2027'!J30</f>
        <v>0</v>
      </c>
      <c r="H30" s="33" t="n">
        <f aca="false">IF(B30="",0,N(Students!F19))</f>
        <v>0</v>
      </c>
      <c r="I30" s="23"/>
      <c r="J30" s="24" t="n">
        <f aca="false">N(G30)+N(H30)-N(I30)</f>
        <v>0</v>
      </c>
      <c r="K30" s="33" t="n">
        <f aca="false">'Jul 2027'!N30</f>
        <v>0</v>
      </c>
      <c r="L30" s="33" t="n">
        <f aca="false">IF(B30="",0,N(Students!G19))</f>
        <v>0</v>
      </c>
      <c r="M30" s="23"/>
      <c r="N30" s="24" t="n">
        <f aca="false">N(K30)+N(L30)-N(M30)</f>
        <v>0</v>
      </c>
      <c r="O30" s="33" t="n">
        <f aca="false">'Jul 2027'!R30</f>
        <v>0</v>
      </c>
      <c r="P30" s="33" t="n">
        <f aca="false">IF(B30="",0,N(Students!H19))</f>
        <v>0</v>
      </c>
      <c r="Q30" s="23"/>
      <c r="R30" s="24" t="n">
        <f aca="false">N(O30)+N(P30)-N(Q30)</f>
        <v>0</v>
      </c>
      <c r="S30" s="33" t="n">
        <f aca="false">'Jul 2027'!V30</f>
        <v>0</v>
      </c>
      <c r="T30" s="33" t="n">
        <f aca="false">IF(B30="",0,N(Students!I19))</f>
        <v>0</v>
      </c>
      <c r="U30" s="23"/>
      <c r="V30" s="24" t="n">
        <f aca="false">N(S30)+N(T30)-N(U30)</f>
        <v>0</v>
      </c>
      <c r="W30" s="33" t="n">
        <f aca="false">'Jul 2027'!Z30</f>
        <v>0</v>
      </c>
      <c r="X30" s="33" t="n">
        <f aca="false">IF(B30="",0,N(Students!J19))</f>
        <v>0</v>
      </c>
      <c r="Y30" s="23"/>
      <c r="Z30" s="24" t="n">
        <f aca="false">N(W30)+N(X30)-N(Y30)</f>
        <v>0</v>
      </c>
      <c r="AA30" s="33" t="n">
        <f aca="false">N(E30)+N(I30)+N(M30)+N(Q30)+N(U30)+N(Y30)</f>
        <v>0</v>
      </c>
      <c r="AB30" s="24" t="n">
        <f aca="false">F30+J30+N30+R30+V30+Z30</f>
        <v>0</v>
      </c>
      <c r="AC30" s="81" t="str">
        <f aca="false">IF(B30="","",IF(AB30&lt;=0,"Clear",IF(AA30&gt;0,"Partial","Due")))</f>
        <v/>
      </c>
    </row>
    <row r="31" customFormat="false" ht="15" hidden="false" customHeight="false" outlineLevel="0" collapsed="false">
      <c r="A31" s="25" t="n">
        <v>16</v>
      </c>
      <c r="B31" s="82" t="str">
        <f aca="false">IF(Students!B20="","",Students!B20)</f>
        <v/>
      </c>
      <c r="C31" s="37" t="n">
        <f aca="false">'Jul 2027'!F31</f>
        <v>0</v>
      </c>
      <c r="D31" s="37" t="n">
        <f aca="false">IF(B31="",0,N(Students!E20))</f>
        <v>0</v>
      </c>
      <c r="E31" s="23"/>
      <c r="F31" s="26" t="n">
        <f aca="false">N(C31)+N(D31)-N(E31)</f>
        <v>0</v>
      </c>
      <c r="G31" s="37" t="n">
        <f aca="false">'Jul 2027'!J31</f>
        <v>0</v>
      </c>
      <c r="H31" s="37" t="n">
        <f aca="false">IF(B31="",0,N(Students!F20))</f>
        <v>0</v>
      </c>
      <c r="I31" s="23"/>
      <c r="J31" s="26" t="n">
        <f aca="false">N(G31)+N(H31)-N(I31)</f>
        <v>0</v>
      </c>
      <c r="K31" s="37" t="n">
        <f aca="false">'Jul 2027'!N31</f>
        <v>0</v>
      </c>
      <c r="L31" s="37" t="n">
        <f aca="false">IF(B31="",0,N(Students!G20))</f>
        <v>0</v>
      </c>
      <c r="M31" s="23"/>
      <c r="N31" s="26" t="n">
        <f aca="false">N(K31)+N(L31)-N(M31)</f>
        <v>0</v>
      </c>
      <c r="O31" s="37" t="n">
        <f aca="false">'Jul 2027'!R31</f>
        <v>0</v>
      </c>
      <c r="P31" s="37" t="n">
        <f aca="false">IF(B31="",0,N(Students!H20))</f>
        <v>0</v>
      </c>
      <c r="Q31" s="23"/>
      <c r="R31" s="26" t="n">
        <f aca="false">N(O31)+N(P31)-N(Q31)</f>
        <v>0</v>
      </c>
      <c r="S31" s="37" t="n">
        <f aca="false">'Jul 2027'!V31</f>
        <v>0</v>
      </c>
      <c r="T31" s="37" t="n">
        <f aca="false">IF(B31="",0,N(Students!I20))</f>
        <v>0</v>
      </c>
      <c r="U31" s="23"/>
      <c r="V31" s="26" t="n">
        <f aca="false">N(S31)+N(T31)-N(U31)</f>
        <v>0</v>
      </c>
      <c r="W31" s="37" t="n">
        <f aca="false">'Jul 2027'!Z31</f>
        <v>0</v>
      </c>
      <c r="X31" s="37" t="n">
        <f aca="false">IF(B31="",0,N(Students!J20))</f>
        <v>0</v>
      </c>
      <c r="Y31" s="23"/>
      <c r="Z31" s="26" t="n">
        <f aca="false">N(W31)+N(X31)-N(Y31)</f>
        <v>0</v>
      </c>
      <c r="AA31" s="37" t="n">
        <f aca="false">N(E31)+N(I31)+N(M31)+N(Q31)+N(U31)+N(Y31)</f>
        <v>0</v>
      </c>
      <c r="AB31" s="26" t="n">
        <f aca="false">F31+J31+N31+R31+V31+Z31</f>
        <v>0</v>
      </c>
      <c r="AC31" s="83" t="str">
        <f aca="false">IF(B31="","",IF(AB31&lt;=0,"Clear",IF(AA31&gt;0,"Partial","Due")))</f>
        <v/>
      </c>
    </row>
    <row r="32" customFormat="false" ht="15" hidden="false" customHeight="false" outlineLevel="0" collapsed="false">
      <c r="A32" s="21" t="n">
        <v>17</v>
      </c>
      <c r="B32" s="46" t="str">
        <f aca="false">IF(Students!B21="","",Students!B21)</f>
        <v/>
      </c>
      <c r="C32" s="33" t="n">
        <f aca="false">'Jul 2027'!F32</f>
        <v>0</v>
      </c>
      <c r="D32" s="33" t="n">
        <f aca="false">IF(B32="",0,N(Students!E21))</f>
        <v>0</v>
      </c>
      <c r="E32" s="23"/>
      <c r="F32" s="24" t="n">
        <f aca="false">N(C32)+N(D32)-N(E32)</f>
        <v>0</v>
      </c>
      <c r="G32" s="33" t="n">
        <f aca="false">'Jul 2027'!J32</f>
        <v>0</v>
      </c>
      <c r="H32" s="33" t="n">
        <f aca="false">IF(B32="",0,N(Students!F21))</f>
        <v>0</v>
      </c>
      <c r="I32" s="23"/>
      <c r="J32" s="24" t="n">
        <f aca="false">N(G32)+N(H32)-N(I32)</f>
        <v>0</v>
      </c>
      <c r="K32" s="33" t="n">
        <f aca="false">'Jul 2027'!N32</f>
        <v>0</v>
      </c>
      <c r="L32" s="33" t="n">
        <f aca="false">IF(B32="",0,N(Students!G21))</f>
        <v>0</v>
      </c>
      <c r="M32" s="23"/>
      <c r="N32" s="24" t="n">
        <f aca="false">N(K32)+N(L32)-N(M32)</f>
        <v>0</v>
      </c>
      <c r="O32" s="33" t="n">
        <f aca="false">'Jul 2027'!R32</f>
        <v>0</v>
      </c>
      <c r="P32" s="33" t="n">
        <f aca="false">IF(B32="",0,N(Students!H21))</f>
        <v>0</v>
      </c>
      <c r="Q32" s="23"/>
      <c r="R32" s="24" t="n">
        <f aca="false">N(O32)+N(P32)-N(Q32)</f>
        <v>0</v>
      </c>
      <c r="S32" s="33" t="n">
        <f aca="false">'Jul 2027'!V32</f>
        <v>0</v>
      </c>
      <c r="T32" s="33" t="n">
        <f aca="false">IF(B32="",0,N(Students!I21))</f>
        <v>0</v>
      </c>
      <c r="U32" s="23"/>
      <c r="V32" s="24" t="n">
        <f aca="false">N(S32)+N(T32)-N(U32)</f>
        <v>0</v>
      </c>
      <c r="W32" s="33" t="n">
        <f aca="false">'Jul 2027'!Z32</f>
        <v>0</v>
      </c>
      <c r="X32" s="33" t="n">
        <f aca="false">IF(B32="",0,N(Students!J21))</f>
        <v>0</v>
      </c>
      <c r="Y32" s="23"/>
      <c r="Z32" s="24" t="n">
        <f aca="false">N(W32)+N(X32)-N(Y32)</f>
        <v>0</v>
      </c>
      <c r="AA32" s="33" t="n">
        <f aca="false">N(E32)+N(I32)+N(M32)+N(Q32)+N(U32)+N(Y32)</f>
        <v>0</v>
      </c>
      <c r="AB32" s="24" t="n">
        <f aca="false">F32+J32+N32+R32+V32+Z32</f>
        <v>0</v>
      </c>
      <c r="AC32" s="81" t="str">
        <f aca="false">IF(B32="","",IF(AB32&lt;=0,"Clear",IF(AA32&gt;0,"Partial","Due")))</f>
        <v/>
      </c>
    </row>
    <row r="33" customFormat="false" ht="15" hidden="false" customHeight="false" outlineLevel="0" collapsed="false">
      <c r="A33" s="25" t="n">
        <v>18</v>
      </c>
      <c r="B33" s="82" t="str">
        <f aca="false">IF(Students!B22="","",Students!B22)</f>
        <v/>
      </c>
      <c r="C33" s="37" t="n">
        <f aca="false">'Jul 2027'!F33</f>
        <v>0</v>
      </c>
      <c r="D33" s="37" t="n">
        <f aca="false">IF(B33="",0,N(Students!E22))</f>
        <v>0</v>
      </c>
      <c r="E33" s="23"/>
      <c r="F33" s="26" t="n">
        <f aca="false">N(C33)+N(D33)-N(E33)</f>
        <v>0</v>
      </c>
      <c r="G33" s="37" t="n">
        <f aca="false">'Jul 2027'!J33</f>
        <v>0</v>
      </c>
      <c r="H33" s="37" t="n">
        <f aca="false">IF(B33="",0,N(Students!F22))</f>
        <v>0</v>
      </c>
      <c r="I33" s="23"/>
      <c r="J33" s="26" t="n">
        <f aca="false">N(G33)+N(H33)-N(I33)</f>
        <v>0</v>
      </c>
      <c r="K33" s="37" t="n">
        <f aca="false">'Jul 2027'!N33</f>
        <v>0</v>
      </c>
      <c r="L33" s="37" t="n">
        <f aca="false">IF(B33="",0,N(Students!G22))</f>
        <v>0</v>
      </c>
      <c r="M33" s="23"/>
      <c r="N33" s="26" t="n">
        <f aca="false">N(K33)+N(L33)-N(M33)</f>
        <v>0</v>
      </c>
      <c r="O33" s="37" t="n">
        <f aca="false">'Jul 2027'!R33</f>
        <v>0</v>
      </c>
      <c r="P33" s="37" t="n">
        <f aca="false">IF(B33="",0,N(Students!H22))</f>
        <v>0</v>
      </c>
      <c r="Q33" s="23"/>
      <c r="R33" s="26" t="n">
        <f aca="false">N(O33)+N(P33)-N(Q33)</f>
        <v>0</v>
      </c>
      <c r="S33" s="37" t="n">
        <f aca="false">'Jul 2027'!V33</f>
        <v>0</v>
      </c>
      <c r="T33" s="37" t="n">
        <f aca="false">IF(B33="",0,N(Students!I22))</f>
        <v>0</v>
      </c>
      <c r="U33" s="23"/>
      <c r="V33" s="26" t="n">
        <f aca="false">N(S33)+N(T33)-N(U33)</f>
        <v>0</v>
      </c>
      <c r="W33" s="37" t="n">
        <f aca="false">'Jul 2027'!Z33</f>
        <v>0</v>
      </c>
      <c r="X33" s="37" t="n">
        <f aca="false">IF(B33="",0,N(Students!J22))</f>
        <v>0</v>
      </c>
      <c r="Y33" s="23"/>
      <c r="Z33" s="26" t="n">
        <f aca="false">N(W33)+N(X33)-N(Y33)</f>
        <v>0</v>
      </c>
      <c r="AA33" s="37" t="n">
        <f aca="false">N(E33)+N(I33)+N(M33)+N(Q33)+N(U33)+N(Y33)</f>
        <v>0</v>
      </c>
      <c r="AB33" s="26" t="n">
        <f aca="false">F33+J33+N33+R33+V33+Z33</f>
        <v>0</v>
      </c>
      <c r="AC33" s="83" t="str">
        <f aca="false">IF(B33="","",IF(AB33&lt;=0,"Clear",IF(AA33&gt;0,"Partial","Due")))</f>
        <v/>
      </c>
    </row>
    <row r="34" customFormat="false" ht="15" hidden="false" customHeight="false" outlineLevel="0" collapsed="false">
      <c r="A34" s="21" t="n">
        <v>19</v>
      </c>
      <c r="B34" s="46" t="str">
        <f aca="false">IF(Students!B23="","",Students!B23)</f>
        <v/>
      </c>
      <c r="C34" s="33" t="n">
        <f aca="false">'Jul 2027'!F34</f>
        <v>0</v>
      </c>
      <c r="D34" s="33" t="n">
        <f aca="false">IF(B34="",0,N(Students!E23))</f>
        <v>0</v>
      </c>
      <c r="E34" s="23"/>
      <c r="F34" s="24" t="n">
        <f aca="false">N(C34)+N(D34)-N(E34)</f>
        <v>0</v>
      </c>
      <c r="G34" s="33" t="n">
        <f aca="false">'Jul 2027'!J34</f>
        <v>0</v>
      </c>
      <c r="H34" s="33" t="n">
        <f aca="false">IF(B34="",0,N(Students!F23))</f>
        <v>0</v>
      </c>
      <c r="I34" s="23"/>
      <c r="J34" s="24" t="n">
        <f aca="false">N(G34)+N(H34)-N(I34)</f>
        <v>0</v>
      </c>
      <c r="K34" s="33" t="n">
        <f aca="false">'Jul 2027'!N34</f>
        <v>0</v>
      </c>
      <c r="L34" s="33" t="n">
        <f aca="false">IF(B34="",0,N(Students!G23))</f>
        <v>0</v>
      </c>
      <c r="M34" s="23"/>
      <c r="N34" s="24" t="n">
        <f aca="false">N(K34)+N(L34)-N(M34)</f>
        <v>0</v>
      </c>
      <c r="O34" s="33" t="n">
        <f aca="false">'Jul 2027'!R34</f>
        <v>0</v>
      </c>
      <c r="P34" s="33" t="n">
        <f aca="false">IF(B34="",0,N(Students!H23))</f>
        <v>0</v>
      </c>
      <c r="Q34" s="23"/>
      <c r="R34" s="24" t="n">
        <f aca="false">N(O34)+N(P34)-N(Q34)</f>
        <v>0</v>
      </c>
      <c r="S34" s="33" t="n">
        <f aca="false">'Jul 2027'!V34</f>
        <v>0</v>
      </c>
      <c r="T34" s="33" t="n">
        <f aca="false">IF(B34="",0,N(Students!I23))</f>
        <v>0</v>
      </c>
      <c r="U34" s="23"/>
      <c r="V34" s="24" t="n">
        <f aca="false">N(S34)+N(T34)-N(U34)</f>
        <v>0</v>
      </c>
      <c r="W34" s="33" t="n">
        <f aca="false">'Jul 2027'!Z34</f>
        <v>0</v>
      </c>
      <c r="X34" s="33" t="n">
        <f aca="false">IF(B34="",0,N(Students!J23))</f>
        <v>0</v>
      </c>
      <c r="Y34" s="23"/>
      <c r="Z34" s="24" t="n">
        <f aca="false">N(W34)+N(X34)-N(Y34)</f>
        <v>0</v>
      </c>
      <c r="AA34" s="33" t="n">
        <f aca="false">N(E34)+N(I34)+N(M34)+N(Q34)+N(U34)+N(Y34)</f>
        <v>0</v>
      </c>
      <c r="AB34" s="24" t="n">
        <f aca="false">F34+J34+N34+R34+V34+Z34</f>
        <v>0</v>
      </c>
      <c r="AC34" s="81" t="str">
        <f aca="false">IF(B34="","",IF(AB34&lt;=0,"Clear",IF(AA34&gt;0,"Partial","Due")))</f>
        <v/>
      </c>
    </row>
    <row r="35" customFormat="false" ht="15" hidden="false" customHeight="false" outlineLevel="0" collapsed="false">
      <c r="A35" s="25" t="n">
        <v>20</v>
      </c>
      <c r="B35" s="82" t="str">
        <f aca="false">IF(Students!B24="","",Students!B24)</f>
        <v/>
      </c>
      <c r="C35" s="37" t="n">
        <f aca="false">'Jul 2027'!F35</f>
        <v>0</v>
      </c>
      <c r="D35" s="37" t="n">
        <f aca="false">IF(B35="",0,N(Students!E24))</f>
        <v>0</v>
      </c>
      <c r="E35" s="23"/>
      <c r="F35" s="26" t="n">
        <f aca="false">N(C35)+N(D35)-N(E35)</f>
        <v>0</v>
      </c>
      <c r="G35" s="37" t="n">
        <f aca="false">'Jul 2027'!J35</f>
        <v>0</v>
      </c>
      <c r="H35" s="37" t="n">
        <f aca="false">IF(B35="",0,N(Students!F24))</f>
        <v>0</v>
      </c>
      <c r="I35" s="23"/>
      <c r="J35" s="26" t="n">
        <f aca="false">N(G35)+N(H35)-N(I35)</f>
        <v>0</v>
      </c>
      <c r="K35" s="37" t="n">
        <f aca="false">'Jul 2027'!N35</f>
        <v>0</v>
      </c>
      <c r="L35" s="37" t="n">
        <f aca="false">IF(B35="",0,N(Students!G24))</f>
        <v>0</v>
      </c>
      <c r="M35" s="23"/>
      <c r="N35" s="26" t="n">
        <f aca="false">N(K35)+N(L35)-N(M35)</f>
        <v>0</v>
      </c>
      <c r="O35" s="37" t="n">
        <f aca="false">'Jul 2027'!R35</f>
        <v>0</v>
      </c>
      <c r="P35" s="37" t="n">
        <f aca="false">IF(B35="",0,N(Students!H24))</f>
        <v>0</v>
      </c>
      <c r="Q35" s="23"/>
      <c r="R35" s="26" t="n">
        <f aca="false">N(O35)+N(P35)-N(Q35)</f>
        <v>0</v>
      </c>
      <c r="S35" s="37" t="n">
        <f aca="false">'Jul 2027'!V35</f>
        <v>0</v>
      </c>
      <c r="T35" s="37" t="n">
        <f aca="false">IF(B35="",0,N(Students!I24))</f>
        <v>0</v>
      </c>
      <c r="U35" s="23"/>
      <c r="V35" s="26" t="n">
        <f aca="false">N(S35)+N(T35)-N(U35)</f>
        <v>0</v>
      </c>
      <c r="W35" s="37" t="n">
        <f aca="false">'Jul 2027'!Z35</f>
        <v>0</v>
      </c>
      <c r="X35" s="37" t="n">
        <f aca="false">IF(B35="",0,N(Students!J24))</f>
        <v>0</v>
      </c>
      <c r="Y35" s="23"/>
      <c r="Z35" s="26" t="n">
        <f aca="false">N(W35)+N(X35)-N(Y35)</f>
        <v>0</v>
      </c>
      <c r="AA35" s="37" t="n">
        <f aca="false">N(E35)+N(I35)+N(M35)+N(Q35)+N(U35)+N(Y35)</f>
        <v>0</v>
      </c>
      <c r="AB35" s="26" t="n">
        <f aca="false">F35+J35+N35+R35+V35+Z35</f>
        <v>0</v>
      </c>
      <c r="AC35" s="83" t="str">
        <f aca="false">IF(B35="","",IF(AB35&lt;=0,"Clear",IF(AA35&gt;0,"Partial","Due")))</f>
        <v/>
      </c>
    </row>
    <row r="36" customFormat="false" ht="15" hidden="false" customHeight="false" outlineLevel="0" collapsed="false">
      <c r="A36" s="21" t="n">
        <v>21</v>
      </c>
      <c r="B36" s="46" t="str">
        <f aca="false">IF(Students!B25="","",Students!B25)</f>
        <v/>
      </c>
      <c r="C36" s="33" t="n">
        <f aca="false">'Jul 2027'!F36</f>
        <v>0</v>
      </c>
      <c r="D36" s="33" t="n">
        <f aca="false">IF(B36="",0,N(Students!E25))</f>
        <v>0</v>
      </c>
      <c r="E36" s="23"/>
      <c r="F36" s="24" t="n">
        <f aca="false">N(C36)+N(D36)-N(E36)</f>
        <v>0</v>
      </c>
      <c r="G36" s="33" t="n">
        <f aca="false">'Jul 2027'!J36</f>
        <v>0</v>
      </c>
      <c r="H36" s="33" t="n">
        <f aca="false">IF(B36="",0,N(Students!F25))</f>
        <v>0</v>
      </c>
      <c r="I36" s="23"/>
      <c r="J36" s="24" t="n">
        <f aca="false">N(G36)+N(H36)-N(I36)</f>
        <v>0</v>
      </c>
      <c r="K36" s="33" t="n">
        <f aca="false">'Jul 2027'!N36</f>
        <v>0</v>
      </c>
      <c r="L36" s="33" t="n">
        <f aca="false">IF(B36="",0,N(Students!G25))</f>
        <v>0</v>
      </c>
      <c r="M36" s="23"/>
      <c r="N36" s="24" t="n">
        <f aca="false">N(K36)+N(L36)-N(M36)</f>
        <v>0</v>
      </c>
      <c r="O36" s="33" t="n">
        <f aca="false">'Jul 2027'!R36</f>
        <v>0</v>
      </c>
      <c r="P36" s="33" t="n">
        <f aca="false">IF(B36="",0,N(Students!H25))</f>
        <v>0</v>
      </c>
      <c r="Q36" s="23"/>
      <c r="R36" s="24" t="n">
        <f aca="false">N(O36)+N(P36)-N(Q36)</f>
        <v>0</v>
      </c>
      <c r="S36" s="33" t="n">
        <f aca="false">'Jul 2027'!V36</f>
        <v>0</v>
      </c>
      <c r="T36" s="33" t="n">
        <f aca="false">IF(B36="",0,N(Students!I25))</f>
        <v>0</v>
      </c>
      <c r="U36" s="23"/>
      <c r="V36" s="24" t="n">
        <f aca="false">N(S36)+N(T36)-N(U36)</f>
        <v>0</v>
      </c>
      <c r="W36" s="33" t="n">
        <f aca="false">'Jul 2027'!Z36</f>
        <v>0</v>
      </c>
      <c r="X36" s="33" t="n">
        <f aca="false">IF(B36="",0,N(Students!J25))</f>
        <v>0</v>
      </c>
      <c r="Y36" s="23"/>
      <c r="Z36" s="24" t="n">
        <f aca="false">N(W36)+N(X36)-N(Y36)</f>
        <v>0</v>
      </c>
      <c r="AA36" s="33" t="n">
        <f aca="false">N(E36)+N(I36)+N(M36)+N(Q36)+N(U36)+N(Y36)</f>
        <v>0</v>
      </c>
      <c r="AB36" s="24" t="n">
        <f aca="false">F36+J36+N36+R36+V36+Z36</f>
        <v>0</v>
      </c>
      <c r="AC36" s="81" t="str">
        <f aca="false">IF(B36="","",IF(AB36&lt;=0,"Clear",IF(AA36&gt;0,"Partial","Due")))</f>
        <v/>
      </c>
    </row>
    <row r="37" customFormat="false" ht="15" hidden="false" customHeight="false" outlineLevel="0" collapsed="false">
      <c r="A37" s="25" t="n">
        <v>22</v>
      </c>
      <c r="B37" s="82" t="str">
        <f aca="false">IF(Students!B26="","",Students!B26)</f>
        <v/>
      </c>
      <c r="C37" s="37" t="n">
        <f aca="false">'Jul 2027'!F37</f>
        <v>0</v>
      </c>
      <c r="D37" s="37" t="n">
        <f aca="false">IF(B37="",0,N(Students!E26))</f>
        <v>0</v>
      </c>
      <c r="E37" s="23"/>
      <c r="F37" s="26" t="n">
        <f aca="false">N(C37)+N(D37)-N(E37)</f>
        <v>0</v>
      </c>
      <c r="G37" s="37" t="n">
        <f aca="false">'Jul 2027'!J37</f>
        <v>0</v>
      </c>
      <c r="H37" s="37" t="n">
        <f aca="false">IF(B37="",0,N(Students!F26))</f>
        <v>0</v>
      </c>
      <c r="I37" s="23"/>
      <c r="J37" s="26" t="n">
        <f aca="false">N(G37)+N(H37)-N(I37)</f>
        <v>0</v>
      </c>
      <c r="K37" s="37" t="n">
        <f aca="false">'Jul 2027'!N37</f>
        <v>0</v>
      </c>
      <c r="L37" s="37" t="n">
        <f aca="false">IF(B37="",0,N(Students!G26))</f>
        <v>0</v>
      </c>
      <c r="M37" s="23"/>
      <c r="N37" s="26" t="n">
        <f aca="false">N(K37)+N(L37)-N(M37)</f>
        <v>0</v>
      </c>
      <c r="O37" s="37" t="n">
        <f aca="false">'Jul 2027'!R37</f>
        <v>0</v>
      </c>
      <c r="P37" s="37" t="n">
        <f aca="false">IF(B37="",0,N(Students!H26))</f>
        <v>0</v>
      </c>
      <c r="Q37" s="23"/>
      <c r="R37" s="26" t="n">
        <f aca="false">N(O37)+N(P37)-N(Q37)</f>
        <v>0</v>
      </c>
      <c r="S37" s="37" t="n">
        <f aca="false">'Jul 2027'!V37</f>
        <v>0</v>
      </c>
      <c r="T37" s="37" t="n">
        <f aca="false">IF(B37="",0,N(Students!I26))</f>
        <v>0</v>
      </c>
      <c r="U37" s="23"/>
      <c r="V37" s="26" t="n">
        <f aca="false">N(S37)+N(T37)-N(U37)</f>
        <v>0</v>
      </c>
      <c r="W37" s="37" t="n">
        <f aca="false">'Jul 2027'!Z37</f>
        <v>0</v>
      </c>
      <c r="X37" s="37" t="n">
        <f aca="false">IF(B37="",0,N(Students!J26))</f>
        <v>0</v>
      </c>
      <c r="Y37" s="23"/>
      <c r="Z37" s="26" t="n">
        <f aca="false">N(W37)+N(X37)-N(Y37)</f>
        <v>0</v>
      </c>
      <c r="AA37" s="37" t="n">
        <f aca="false">N(E37)+N(I37)+N(M37)+N(Q37)+N(U37)+N(Y37)</f>
        <v>0</v>
      </c>
      <c r="AB37" s="26" t="n">
        <f aca="false">F37+J37+N37+R37+V37+Z37</f>
        <v>0</v>
      </c>
      <c r="AC37" s="83" t="str">
        <f aca="false">IF(B37="","",IF(AB37&lt;=0,"Clear",IF(AA37&gt;0,"Partial","Due")))</f>
        <v/>
      </c>
    </row>
    <row r="38" customFormat="false" ht="15" hidden="false" customHeight="false" outlineLevel="0" collapsed="false">
      <c r="A38" s="21" t="n">
        <v>23</v>
      </c>
      <c r="B38" s="46" t="str">
        <f aca="false">IF(Students!B27="","",Students!B27)</f>
        <v/>
      </c>
      <c r="C38" s="33" t="n">
        <f aca="false">'Jul 2027'!F38</f>
        <v>0</v>
      </c>
      <c r="D38" s="33" t="n">
        <f aca="false">IF(B38="",0,N(Students!E27))</f>
        <v>0</v>
      </c>
      <c r="E38" s="23"/>
      <c r="F38" s="24" t="n">
        <f aca="false">N(C38)+N(D38)-N(E38)</f>
        <v>0</v>
      </c>
      <c r="G38" s="33" t="n">
        <f aca="false">'Jul 2027'!J38</f>
        <v>0</v>
      </c>
      <c r="H38" s="33" t="n">
        <f aca="false">IF(B38="",0,N(Students!F27))</f>
        <v>0</v>
      </c>
      <c r="I38" s="23"/>
      <c r="J38" s="24" t="n">
        <f aca="false">N(G38)+N(H38)-N(I38)</f>
        <v>0</v>
      </c>
      <c r="K38" s="33" t="n">
        <f aca="false">'Jul 2027'!N38</f>
        <v>0</v>
      </c>
      <c r="L38" s="33" t="n">
        <f aca="false">IF(B38="",0,N(Students!G27))</f>
        <v>0</v>
      </c>
      <c r="M38" s="23"/>
      <c r="N38" s="24" t="n">
        <f aca="false">N(K38)+N(L38)-N(M38)</f>
        <v>0</v>
      </c>
      <c r="O38" s="33" t="n">
        <f aca="false">'Jul 2027'!R38</f>
        <v>0</v>
      </c>
      <c r="P38" s="33" t="n">
        <f aca="false">IF(B38="",0,N(Students!H27))</f>
        <v>0</v>
      </c>
      <c r="Q38" s="23"/>
      <c r="R38" s="24" t="n">
        <f aca="false">N(O38)+N(P38)-N(Q38)</f>
        <v>0</v>
      </c>
      <c r="S38" s="33" t="n">
        <f aca="false">'Jul 2027'!V38</f>
        <v>0</v>
      </c>
      <c r="T38" s="33" t="n">
        <f aca="false">IF(B38="",0,N(Students!I27))</f>
        <v>0</v>
      </c>
      <c r="U38" s="23"/>
      <c r="V38" s="24" t="n">
        <f aca="false">N(S38)+N(T38)-N(U38)</f>
        <v>0</v>
      </c>
      <c r="W38" s="33" t="n">
        <f aca="false">'Jul 2027'!Z38</f>
        <v>0</v>
      </c>
      <c r="X38" s="33" t="n">
        <f aca="false">IF(B38="",0,N(Students!J27))</f>
        <v>0</v>
      </c>
      <c r="Y38" s="23"/>
      <c r="Z38" s="24" t="n">
        <f aca="false">N(W38)+N(X38)-N(Y38)</f>
        <v>0</v>
      </c>
      <c r="AA38" s="33" t="n">
        <f aca="false">N(E38)+N(I38)+N(M38)+N(Q38)+N(U38)+N(Y38)</f>
        <v>0</v>
      </c>
      <c r="AB38" s="24" t="n">
        <f aca="false">F38+J38+N38+R38+V38+Z38</f>
        <v>0</v>
      </c>
      <c r="AC38" s="81" t="str">
        <f aca="false">IF(B38="","",IF(AB38&lt;=0,"Clear",IF(AA38&gt;0,"Partial","Due")))</f>
        <v/>
      </c>
    </row>
    <row r="39" customFormat="false" ht="15" hidden="false" customHeight="false" outlineLevel="0" collapsed="false">
      <c r="A39" s="25" t="n">
        <v>24</v>
      </c>
      <c r="B39" s="82" t="str">
        <f aca="false">IF(Students!B28="","",Students!B28)</f>
        <v/>
      </c>
      <c r="C39" s="37" t="n">
        <f aca="false">'Jul 2027'!F39</f>
        <v>0</v>
      </c>
      <c r="D39" s="37" t="n">
        <f aca="false">IF(B39="",0,N(Students!E28))</f>
        <v>0</v>
      </c>
      <c r="E39" s="23"/>
      <c r="F39" s="26" t="n">
        <f aca="false">N(C39)+N(D39)-N(E39)</f>
        <v>0</v>
      </c>
      <c r="G39" s="37" t="n">
        <f aca="false">'Jul 2027'!J39</f>
        <v>0</v>
      </c>
      <c r="H39" s="37" t="n">
        <f aca="false">IF(B39="",0,N(Students!F28))</f>
        <v>0</v>
      </c>
      <c r="I39" s="23"/>
      <c r="J39" s="26" t="n">
        <f aca="false">N(G39)+N(H39)-N(I39)</f>
        <v>0</v>
      </c>
      <c r="K39" s="37" t="n">
        <f aca="false">'Jul 2027'!N39</f>
        <v>0</v>
      </c>
      <c r="L39" s="37" t="n">
        <f aca="false">IF(B39="",0,N(Students!G28))</f>
        <v>0</v>
      </c>
      <c r="M39" s="23"/>
      <c r="N39" s="26" t="n">
        <f aca="false">N(K39)+N(L39)-N(M39)</f>
        <v>0</v>
      </c>
      <c r="O39" s="37" t="n">
        <f aca="false">'Jul 2027'!R39</f>
        <v>0</v>
      </c>
      <c r="P39" s="37" t="n">
        <f aca="false">IF(B39="",0,N(Students!H28))</f>
        <v>0</v>
      </c>
      <c r="Q39" s="23"/>
      <c r="R39" s="26" t="n">
        <f aca="false">N(O39)+N(P39)-N(Q39)</f>
        <v>0</v>
      </c>
      <c r="S39" s="37" t="n">
        <f aca="false">'Jul 2027'!V39</f>
        <v>0</v>
      </c>
      <c r="T39" s="37" t="n">
        <f aca="false">IF(B39="",0,N(Students!I28))</f>
        <v>0</v>
      </c>
      <c r="U39" s="23"/>
      <c r="V39" s="26" t="n">
        <f aca="false">N(S39)+N(T39)-N(U39)</f>
        <v>0</v>
      </c>
      <c r="W39" s="37" t="n">
        <f aca="false">'Jul 2027'!Z39</f>
        <v>0</v>
      </c>
      <c r="X39" s="37" t="n">
        <f aca="false">IF(B39="",0,N(Students!J28))</f>
        <v>0</v>
      </c>
      <c r="Y39" s="23"/>
      <c r="Z39" s="26" t="n">
        <f aca="false">N(W39)+N(X39)-N(Y39)</f>
        <v>0</v>
      </c>
      <c r="AA39" s="37" t="n">
        <f aca="false">N(E39)+N(I39)+N(M39)+N(Q39)+N(U39)+N(Y39)</f>
        <v>0</v>
      </c>
      <c r="AB39" s="26" t="n">
        <f aca="false">F39+J39+N39+R39+V39+Z39</f>
        <v>0</v>
      </c>
      <c r="AC39" s="83" t="str">
        <f aca="false">IF(B39="","",IF(AB39&lt;=0,"Clear",IF(AA39&gt;0,"Partial","Due")))</f>
        <v/>
      </c>
    </row>
    <row r="40" customFormat="false" ht="15" hidden="false" customHeight="false" outlineLevel="0" collapsed="false">
      <c r="A40" s="21" t="n">
        <v>25</v>
      </c>
      <c r="B40" s="46" t="str">
        <f aca="false">IF(Students!B29="","",Students!B29)</f>
        <v/>
      </c>
      <c r="C40" s="33" t="n">
        <f aca="false">'Jul 2027'!F40</f>
        <v>0</v>
      </c>
      <c r="D40" s="33" t="n">
        <f aca="false">IF(B40="",0,N(Students!E29))</f>
        <v>0</v>
      </c>
      <c r="E40" s="23"/>
      <c r="F40" s="24" t="n">
        <f aca="false">N(C40)+N(D40)-N(E40)</f>
        <v>0</v>
      </c>
      <c r="G40" s="33" t="n">
        <f aca="false">'Jul 2027'!J40</f>
        <v>0</v>
      </c>
      <c r="H40" s="33" t="n">
        <f aca="false">IF(B40="",0,N(Students!F29))</f>
        <v>0</v>
      </c>
      <c r="I40" s="23"/>
      <c r="J40" s="24" t="n">
        <f aca="false">N(G40)+N(H40)-N(I40)</f>
        <v>0</v>
      </c>
      <c r="K40" s="33" t="n">
        <f aca="false">'Jul 2027'!N40</f>
        <v>0</v>
      </c>
      <c r="L40" s="33" t="n">
        <f aca="false">IF(B40="",0,N(Students!G29))</f>
        <v>0</v>
      </c>
      <c r="M40" s="23"/>
      <c r="N40" s="24" t="n">
        <f aca="false">N(K40)+N(L40)-N(M40)</f>
        <v>0</v>
      </c>
      <c r="O40" s="33" t="n">
        <f aca="false">'Jul 2027'!R40</f>
        <v>0</v>
      </c>
      <c r="P40" s="33" t="n">
        <f aca="false">IF(B40="",0,N(Students!H29))</f>
        <v>0</v>
      </c>
      <c r="Q40" s="23"/>
      <c r="R40" s="24" t="n">
        <f aca="false">N(O40)+N(P40)-N(Q40)</f>
        <v>0</v>
      </c>
      <c r="S40" s="33" t="n">
        <f aca="false">'Jul 2027'!V40</f>
        <v>0</v>
      </c>
      <c r="T40" s="33" t="n">
        <f aca="false">IF(B40="",0,N(Students!I29))</f>
        <v>0</v>
      </c>
      <c r="U40" s="23"/>
      <c r="V40" s="24" t="n">
        <f aca="false">N(S40)+N(T40)-N(U40)</f>
        <v>0</v>
      </c>
      <c r="W40" s="33" t="n">
        <f aca="false">'Jul 2027'!Z40</f>
        <v>0</v>
      </c>
      <c r="X40" s="33" t="n">
        <f aca="false">IF(B40="",0,N(Students!J29))</f>
        <v>0</v>
      </c>
      <c r="Y40" s="23"/>
      <c r="Z40" s="24" t="n">
        <f aca="false">N(W40)+N(X40)-N(Y40)</f>
        <v>0</v>
      </c>
      <c r="AA40" s="33" t="n">
        <f aca="false">N(E40)+N(I40)+N(M40)+N(Q40)+N(U40)+N(Y40)</f>
        <v>0</v>
      </c>
      <c r="AB40" s="24" t="n">
        <f aca="false">F40+J40+N40+R40+V40+Z40</f>
        <v>0</v>
      </c>
      <c r="AC40" s="81" t="str">
        <f aca="false">IF(B40="","",IF(AB40&lt;=0,"Clear",IF(AA40&gt;0,"Partial","Due")))</f>
        <v/>
      </c>
    </row>
    <row r="41" customFormat="false" ht="15" hidden="false" customHeight="false" outlineLevel="0" collapsed="false">
      <c r="A41" s="25" t="n">
        <v>26</v>
      </c>
      <c r="B41" s="82" t="str">
        <f aca="false">IF(Students!B30="","",Students!B30)</f>
        <v/>
      </c>
      <c r="C41" s="37" t="n">
        <f aca="false">'Jul 2027'!F41</f>
        <v>0</v>
      </c>
      <c r="D41" s="37" t="n">
        <f aca="false">IF(B41="",0,N(Students!E30))</f>
        <v>0</v>
      </c>
      <c r="E41" s="23"/>
      <c r="F41" s="26" t="n">
        <f aca="false">N(C41)+N(D41)-N(E41)</f>
        <v>0</v>
      </c>
      <c r="G41" s="37" t="n">
        <f aca="false">'Jul 2027'!J41</f>
        <v>0</v>
      </c>
      <c r="H41" s="37" t="n">
        <f aca="false">IF(B41="",0,N(Students!F30))</f>
        <v>0</v>
      </c>
      <c r="I41" s="23"/>
      <c r="J41" s="26" t="n">
        <f aca="false">N(G41)+N(H41)-N(I41)</f>
        <v>0</v>
      </c>
      <c r="K41" s="37" t="n">
        <f aca="false">'Jul 2027'!N41</f>
        <v>0</v>
      </c>
      <c r="L41" s="37" t="n">
        <f aca="false">IF(B41="",0,N(Students!G30))</f>
        <v>0</v>
      </c>
      <c r="M41" s="23"/>
      <c r="N41" s="26" t="n">
        <f aca="false">N(K41)+N(L41)-N(M41)</f>
        <v>0</v>
      </c>
      <c r="O41" s="37" t="n">
        <f aca="false">'Jul 2027'!R41</f>
        <v>0</v>
      </c>
      <c r="P41" s="37" t="n">
        <f aca="false">IF(B41="",0,N(Students!H30))</f>
        <v>0</v>
      </c>
      <c r="Q41" s="23"/>
      <c r="R41" s="26" t="n">
        <f aca="false">N(O41)+N(P41)-N(Q41)</f>
        <v>0</v>
      </c>
      <c r="S41" s="37" t="n">
        <f aca="false">'Jul 2027'!V41</f>
        <v>0</v>
      </c>
      <c r="T41" s="37" t="n">
        <f aca="false">IF(B41="",0,N(Students!I30))</f>
        <v>0</v>
      </c>
      <c r="U41" s="23"/>
      <c r="V41" s="26" t="n">
        <f aca="false">N(S41)+N(T41)-N(U41)</f>
        <v>0</v>
      </c>
      <c r="W41" s="37" t="n">
        <f aca="false">'Jul 2027'!Z41</f>
        <v>0</v>
      </c>
      <c r="X41" s="37" t="n">
        <f aca="false">IF(B41="",0,N(Students!J30))</f>
        <v>0</v>
      </c>
      <c r="Y41" s="23"/>
      <c r="Z41" s="26" t="n">
        <f aca="false">N(W41)+N(X41)-N(Y41)</f>
        <v>0</v>
      </c>
      <c r="AA41" s="37" t="n">
        <f aca="false">N(E41)+N(I41)+N(M41)+N(Q41)+N(U41)+N(Y41)</f>
        <v>0</v>
      </c>
      <c r="AB41" s="26" t="n">
        <f aca="false">F41+J41+N41+R41+V41+Z41</f>
        <v>0</v>
      </c>
      <c r="AC41" s="83" t="str">
        <f aca="false">IF(B41="","",IF(AB41&lt;=0,"Clear",IF(AA41&gt;0,"Partial","Due")))</f>
        <v/>
      </c>
    </row>
    <row r="42" customFormat="false" ht="15" hidden="false" customHeight="false" outlineLevel="0" collapsed="false">
      <c r="A42" s="21" t="n">
        <v>27</v>
      </c>
      <c r="B42" s="46" t="str">
        <f aca="false">IF(Students!B31="","",Students!B31)</f>
        <v/>
      </c>
      <c r="C42" s="33" t="n">
        <f aca="false">'Jul 2027'!F42</f>
        <v>0</v>
      </c>
      <c r="D42" s="33" t="n">
        <f aca="false">IF(B42="",0,N(Students!E31))</f>
        <v>0</v>
      </c>
      <c r="E42" s="23"/>
      <c r="F42" s="24" t="n">
        <f aca="false">N(C42)+N(D42)-N(E42)</f>
        <v>0</v>
      </c>
      <c r="G42" s="33" t="n">
        <f aca="false">'Jul 2027'!J42</f>
        <v>0</v>
      </c>
      <c r="H42" s="33" t="n">
        <f aca="false">IF(B42="",0,N(Students!F31))</f>
        <v>0</v>
      </c>
      <c r="I42" s="23"/>
      <c r="J42" s="24" t="n">
        <f aca="false">N(G42)+N(H42)-N(I42)</f>
        <v>0</v>
      </c>
      <c r="K42" s="33" t="n">
        <f aca="false">'Jul 2027'!N42</f>
        <v>0</v>
      </c>
      <c r="L42" s="33" t="n">
        <f aca="false">IF(B42="",0,N(Students!G31))</f>
        <v>0</v>
      </c>
      <c r="M42" s="23"/>
      <c r="N42" s="24" t="n">
        <f aca="false">N(K42)+N(L42)-N(M42)</f>
        <v>0</v>
      </c>
      <c r="O42" s="33" t="n">
        <f aca="false">'Jul 2027'!R42</f>
        <v>0</v>
      </c>
      <c r="P42" s="33" t="n">
        <f aca="false">IF(B42="",0,N(Students!H31))</f>
        <v>0</v>
      </c>
      <c r="Q42" s="23"/>
      <c r="R42" s="24" t="n">
        <f aca="false">N(O42)+N(P42)-N(Q42)</f>
        <v>0</v>
      </c>
      <c r="S42" s="33" t="n">
        <f aca="false">'Jul 2027'!V42</f>
        <v>0</v>
      </c>
      <c r="T42" s="33" t="n">
        <f aca="false">IF(B42="",0,N(Students!I31))</f>
        <v>0</v>
      </c>
      <c r="U42" s="23"/>
      <c r="V42" s="24" t="n">
        <f aca="false">N(S42)+N(T42)-N(U42)</f>
        <v>0</v>
      </c>
      <c r="W42" s="33" t="n">
        <f aca="false">'Jul 2027'!Z42</f>
        <v>0</v>
      </c>
      <c r="X42" s="33" t="n">
        <f aca="false">IF(B42="",0,N(Students!J31))</f>
        <v>0</v>
      </c>
      <c r="Y42" s="23"/>
      <c r="Z42" s="24" t="n">
        <f aca="false">N(W42)+N(X42)-N(Y42)</f>
        <v>0</v>
      </c>
      <c r="AA42" s="33" t="n">
        <f aca="false">N(E42)+N(I42)+N(M42)+N(Q42)+N(U42)+N(Y42)</f>
        <v>0</v>
      </c>
      <c r="AB42" s="24" t="n">
        <f aca="false">F42+J42+N42+R42+V42+Z42</f>
        <v>0</v>
      </c>
      <c r="AC42" s="81" t="str">
        <f aca="false">IF(B42="","",IF(AB42&lt;=0,"Clear",IF(AA42&gt;0,"Partial","Due")))</f>
        <v/>
      </c>
    </row>
    <row r="43" customFormat="false" ht="15" hidden="false" customHeight="false" outlineLevel="0" collapsed="false">
      <c r="A43" s="25" t="n">
        <v>28</v>
      </c>
      <c r="B43" s="82" t="str">
        <f aca="false">IF(Students!B32="","",Students!B32)</f>
        <v/>
      </c>
      <c r="C43" s="37" t="n">
        <f aca="false">'Jul 2027'!F43</f>
        <v>0</v>
      </c>
      <c r="D43" s="37" t="n">
        <f aca="false">IF(B43="",0,N(Students!E32))</f>
        <v>0</v>
      </c>
      <c r="E43" s="23"/>
      <c r="F43" s="26" t="n">
        <f aca="false">N(C43)+N(D43)-N(E43)</f>
        <v>0</v>
      </c>
      <c r="G43" s="37" t="n">
        <f aca="false">'Jul 2027'!J43</f>
        <v>0</v>
      </c>
      <c r="H43" s="37" t="n">
        <f aca="false">IF(B43="",0,N(Students!F32))</f>
        <v>0</v>
      </c>
      <c r="I43" s="23"/>
      <c r="J43" s="26" t="n">
        <f aca="false">N(G43)+N(H43)-N(I43)</f>
        <v>0</v>
      </c>
      <c r="K43" s="37" t="n">
        <f aca="false">'Jul 2027'!N43</f>
        <v>0</v>
      </c>
      <c r="L43" s="37" t="n">
        <f aca="false">IF(B43="",0,N(Students!G32))</f>
        <v>0</v>
      </c>
      <c r="M43" s="23"/>
      <c r="N43" s="26" t="n">
        <f aca="false">N(K43)+N(L43)-N(M43)</f>
        <v>0</v>
      </c>
      <c r="O43" s="37" t="n">
        <f aca="false">'Jul 2027'!R43</f>
        <v>0</v>
      </c>
      <c r="P43" s="37" t="n">
        <f aca="false">IF(B43="",0,N(Students!H32))</f>
        <v>0</v>
      </c>
      <c r="Q43" s="23"/>
      <c r="R43" s="26" t="n">
        <f aca="false">N(O43)+N(P43)-N(Q43)</f>
        <v>0</v>
      </c>
      <c r="S43" s="37" t="n">
        <f aca="false">'Jul 2027'!V43</f>
        <v>0</v>
      </c>
      <c r="T43" s="37" t="n">
        <f aca="false">IF(B43="",0,N(Students!I32))</f>
        <v>0</v>
      </c>
      <c r="U43" s="23"/>
      <c r="V43" s="26" t="n">
        <f aca="false">N(S43)+N(T43)-N(U43)</f>
        <v>0</v>
      </c>
      <c r="W43" s="37" t="n">
        <f aca="false">'Jul 2027'!Z43</f>
        <v>0</v>
      </c>
      <c r="X43" s="37" t="n">
        <f aca="false">IF(B43="",0,N(Students!J32))</f>
        <v>0</v>
      </c>
      <c r="Y43" s="23"/>
      <c r="Z43" s="26" t="n">
        <f aca="false">N(W43)+N(X43)-N(Y43)</f>
        <v>0</v>
      </c>
      <c r="AA43" s="37" t="n">
        <f aca="false">N(E43)+N(I43)+N(M43)+N(Q43)+N(U43)+N(Y43)</f>
        <v>0</v>
      </c>
      <c r="AB43" s="26" t="n">
        <f aca="false">F43+J43+N43+R43+V43+Z43</f>
        <v>0</v>
      </c>
      <c r="AC43" s="83" t="str">
        <f aca="false">IF(B43="","",IF(AB43&lt;=0,"Clear",IF(AA43&gt;0,"Partial","Due")))</f>
        <v/>
      </c>
    </row>
    <row r="44" customFormat="false" ht="15" hidden="false" customHeight="false" outlineLevel="0" collapsed="false">
      <c r="A44" s="21" t="n">
        <v>29</v>
      </c>
      <c r="B44" s="46" t="str">
        <f aca="false">IF(Students!B33="","",Students!B33)</f>
        <v/>
      </c>
      <c r="C44" s="33" t="n">
        <f aca="false">'Jul 2027'!F44</f>
        <v>0</v>
      </c>
      <c r="D44" s="33" t="n">
        <f aca="false">IF(B44="",0,N(Students!E33))</f>
        <v>0</v>
      </c>
      <c r="E44" s="23"/>
      <c r="F44" s="24" t="n">
        <f aca="false">N(C44)+N(D44)-N(E44)</f>
        <v>0</v>
      </c>
      <c r="G44" s="33" t="n">
        <f aca="false">'Jul 2027'!J44</f>
        <v>0</v>
      </c>
      <c r="H44" s="33" t="n">
        <f aca="false">IF(B44="",0,N(Students!F33))</f>
        <v>0</v>
      </c>
      <c r="I44" s="23"/>
      <c r="J44" s="24" t="n">
        <f aca="false">N(G44)+N(H44)-N(I44)</f>
        <v>0</v>
      </c>
      <c r="K44" s="33" t="n">
        <f aca="false">'Jul 2027'!N44</f>
        <v>0</v>
      </c>
      <c r="L44" s="33" t="n">
        <f aca="false">IF(B44="",0,N(Students!G33))</f>
        <v>0</v>
      </c>
      <c r="M44" s="23"/>
      <c r="N44" s="24" t="n">
        <f aca="false">N(K44)+N(L44)-N(M44)</f>
        <v>0</v>
      </c>
      <c r="O44" s="33" t="n">
        <f aca="false">'Jul 2027'!R44</f>
        <v>0</v>
      </c>
      <c r="P44" s="33" t="n">
        <f aca="false">IF(B44="",0,N(Students!H33))</f>
        <v>0</v>
      </c>
      <c r="Q44" s="23"/>
      <c r="R44" s="24" t="n">
        <f aca="false">N(O44)+N(P44)-N(Q44)</f>
        <v>0</v>
      </c>
      <c r="S44" s="33" t="n">
        <f aca="false">'Jul 2027'!V44</f>
        <v>0</v>
      </c>
      <c r="T44" s="33" t="n">
        <f aca="false">IF(B44="",0,N(Students!I33))</f>
        <v>0</v>
      </c>
      <c r="U44" s="23"/>
      <c r="V44" s="24" t="n">
        <f aca="false">N(S44)+N(T44)-N(U44)</f>
        <v>0</v>
      </c>
      <c r="W44" s="33" t="n">
        <f aca="false">'Jul 2027'!Z44</f>
        <v>0</v>
      </c>
      <c r="X44" s="33" t="n">
        <f aca="false">IF(B44="",0,N(Students!J33))</f>
        <v>0</v>
      </c>
      <c r="Y44" s="23"/>
      <c r="Z44" s="24" t="n">
        <f aca="false">N(W44)+N(X44)-N(Y44)</f>
        <v>0</v>
      </c>
      <c r="AA44" s="33" t="n">
        <f aca="false">N(E44)+N(I44)+N(M44)+N(Q44)+N(U44)+N(Y44)</f>
        <v>0</v>
      </c>
      <c r="AB44" s="24" t="n">
        <f aca="false">F44+J44+N44+R44+V44+Z44</f>
        <v>0</v>
      </c>
      <c r="AC44" s="81" t="str">
        <f aca="false">IF(B44="","",IF(AB44&lt;=0,"Clear",IF(AA44&gt;0,"Partial","Due")))</f>
        <v/>
      </c>
    </row>
    <row r="45" customFormat="false" ht="15" hidden="false" customHeight="false" outlineLevel="0" collapsed="false">
      <c r="A45" s="25" t="n">
        <v>30</v>
      </c>
      <c r="B45" s="82" t="str">
        <f aca="false">IF(Students!B34="","",Students!B34)</f>
        <v/>
      </c>
      <c r="C45" s="37" t="n">
        <f aca="false">'Jul 2027'!F45</f>
        <v>0</v>
      </c>
      <c r="D45" s="37" t="n">
        <f aca="false">IF(B45="",0,N(Students!E34))</f>
        <v>0</v>
      </c>
      <c r="E45" s="23"/>
      <c r="F45" s="26" t="n">
        <f aca="false">N(C45)+N(D45)-N(E45)</f>
        <v>0</v>
      </c>
      <c r="G45" s="37" t="n">
        <f aca="false">'Jul 2027'!J45</f>
        <v>0</v>
      </c>
      <c r="H45" s="37" t="n">
        <f aca="false">IF(B45="",0,N(Students!F34))</f>
        <v>0</v>
      </c>
      <c r="I45" s="23"/>
      <c r="J45" s="26" t="n">
        <f aca="false">N(G45)+N(H45)-N(I45)</f>
        <v>0</v>
      </c>
      <c r="K45" s="37" t="n">
        <f aca="false">'Jul 2027'!N45</f>
        <v>0</v>
      </c>
      <c r="L45" s="37" t="n">
        <f aca="false">IF(B45="",0,N(Students!G34))</f>
        <v>0</v>
      </c>
      <c r="M45" s="23"/>
      <c r="N45" s="26" t="n">
        <f aca="false">N(K45)+N(L45)-N(M45)</f>
        <v>0</v>
      </c>
      <c r="O45" s="37" t="n">
        <f aca="false">'Jul 2027'!R45</f>
        <v>0</v>
      </c>
      <c r="P45" s="37" t="n">
        <f aca="false">IF(B45="",0,N(Students!H34))</f>
        <v>0</v>
      </c>
      <c r="Q45" s="23"/>
      <c r="R45" s="26" t="n">
        <f aca="false">N(O45)+N(P45)-N(Q45)</f>
        <v>0</v>
      </c>
      <c r="S45" s="37" t="n">
        <f aca="false">'Jul 2027'!V45</f>
        <v>0</v>
      </c>
      <c r="T45" s="37" t="n">
        <f aca="false">IF(B45="",0,N(Students!I34))</f>
        <v>0</v>
      </c>
      <c r="U45" s="23"/>
      <c r="V45" s="26" t="n">
        <f aca="false">N(S45)+N(T45)-N(U45)</f>
        <v>0</v>
      </c>
      <c r="W45" s="37" t="n">
        <f aca="false">'Jul 2027'!Z45</f>
        <v>0</v>
      </c>
      <c r="X45" s="37" t="n">
        <f aca="false">IF(B45="",0,N(Students!J34))</f>
        <v>0</v>
      </c>
      <c r="Y45" s="23"/>
      <c r="Z45" s="26" t="n">
        <f aca="false">N(W45)+N(X45)-N(Y45)</f>
        <v>0</v>
      </c>
      <c r="AA45" s="37" t="n">
        <f aca="false">N(E45)+N(I45)+N(M45)+N(Q45)+N(U45)+N(Y45)</f>
        <v>0</v>
      </c>
      <c r="AB45" s="26" t="n">
        <f aca="false">F45+J45+N45+R45+V45+Z45</f>
        <v>0</v>
      </c>
      <c r="AC45" s="83" t="str">
        <f aca="false">IF(B45="","",IF(AB45&lt;=0,"Clear",IF(AA45&gt;0,"Partial","Due")))</f>
        <v/>
      </c>
    </row>
    <row r="46" customFormat="false" ht="15" hidden="false" customHeight="false" outlineLevel="0" collapsed="false">
      <c r="A46" s="21" t="n">
        <v>31</v>
      </c>
      <c r="B46" s="46" t="str">
        <f aca="false">IF(Students!B35="","",Students!B35)</f>
        <v/>
      </c>
      <c r="C46" s="33" t="n">
        <f aca="false">'Jul 2027'!F46</f>
        <v>0</v>
      </c>
      <c r="D46" s="33" t="n">
        <f aca="false">IF(B46="",0,N(Students!E35))</f>
        <v>0</v>
      </c>
      <c r="E46" s="23"/>
      <c r="F46" s="24" t="n">
        <f aca="false">N(C46)+N(D46)-N(E46)</f>
        <v>0</v>
      </c>
      <c r="G46" s="33" t="n">
        <f aca="false">'Jul 2027'!J46</f>
        <v>0</v>
      </c>
      <c r="H46" s="33" t="n">
        <f aca="false">IF(B46="",0,N(Students!F35))</f>
        <v>0</v>
      </c>
      <c r="I46" s="23"/>
      <c r="J46" s="24" t="n">
        <f aca="false">N(G46)+N(H46)-N(I46)</f>
        <v>0</v>
      </c>
      <c r="K46" s="33" t="n">
        <f aca="false">'Jul 2027'!N46</f>
        <v>0</v>
      </c>
      <c r="L46" s="33" t="n">
        <f aca="false">IF(B46="",0,N(Students!G35))</f>
        <v>0</v>
      </c>
      <c r="M46" s="23"/>
      <c r="N46" s="24" t="n">
        <f aca="false">N(K46)+N(L46)-N(M46)</f>
        <v>0</v>
      </c>
      <c r="O46" s="33" t="n">
        <f aca="false">'Jul 2027'!R46</f>
        <v>0</v>
      </c>
      <c r="P46" s="33" t="n">
        <f aca="false">IF(B46="",0,N(Students!H35))</f>
        <v>0</v>
      </c>
      <c r="Q46" s="23"/>
      <c r="R46" s="24" t="n">
        <f aca="false">N(O46)+N(P46)-N(Q46)</f>
        <v>0</v>
      </c>
      <c r="S46" s="33" t="n">
        <f aca="false">'Jul 2027'!V46</f>
        <v>0</v>
      </c>
      <c r="T46" s="33" t="n">
        <f aca="false">IF(B46="",0,N(Students!I35))</f>
        <v>0</v>
      </c>
      <c r="U46" s="23"/>
      <c r="V46" s="24" t="n">
        <f aca="false">N(S46)+N(T46)-N(U46)</f>
        <v>0</v>
      </c>
      <c r="W46" s="33" t="n">
        <f aca="false">'Jul 2027'!Z46</f>
        <v>0</v>
      </c>
      <c r="X46" s="33" t="n">
        <f aca="false">IF(B46="",0,N(Students!J35))</f>
        <v>0</v>
      </c>
      <c r="Y46" s="23"/>
      <c r="Z46" s="24" t="n">
        <f aca="false">N(W46)+N(X46)-N(Y46)</f>
        <v>0</v>
      </c>
      <c r="AA46" s="33" t="n">
        <f aca="false">N(E46)+N(I46)+N(M46)+N(Q46)+N(U46)+N(Y46)</f>
        <v>0</v>
      </c>
      <c r="AB46" s="24" t="n">
        <f aca="false">F46+J46+N46+R46+V46+Z46</f>
        <v>0</v>
      </c>
      <c r="AC46" s="81" t="str">
        <f aca="false">IF(B46="","",IF(AB46&lt;=0,"Clear",IF(AA46&gt;0,"Partial","Due")))</f>
        <v/>
      </c>
    </row>
    <row r="47" customFormat="false" ht="15" hidden="false" customHeight="false" outlineLevel="0" collapsed="false">
      <c r="A47" s="25" t="n">
        <v>32</v>
      </c>
      <c r="B47" s="82" t="str">
        <f aca="false">IF(Students!B36="","",Students!B36)</f>
        <v/>
      </c>
      <c r="C47" s="37" t="n">
        <f aca="false">'Jul 2027'!F47</f>
        <v>0</v>
      </c>
      <c r="D47" s="37" t="n">
        <f aca="false">IF(B47="",0,N(Students!E36))</f>
        <v>0</v>
      </c>
      <c r="E47" s="23"/>
      <c r="F47" s="26" t="n">
        <f aca="false">N(C47)+N(D47)-N(E47)</f>
        <v>0</v>
      </c>
      <c r="G47" s="37" t="n">
        <f aca="false">'Jul 2027'!J47</f>
        <v>0</v>
      </c>
      <c r="H47" s="37" t="n">
        <f aca="false">IF(B47="",0,N(Students!F36))</f>
        <v>0</v>
      </c>
      <c r="I47" s="23"/>
      <c r="J47" s="26" t="n">
        <f aca="false">N(G47)+N(H47)-N(I47)</f>
        <v>0</v>
      </c>
      <c r="K47" s="37" t="n">
        <f aca="false">'Jul 2027'!N47</f>
        <v>0</v>
      </c>
      <c r="L47" s="37" t="n">
        <f aca="false">IF(B47="",0,N(Students!G36))</f>
        <v>0</v>
      </c>
      <c r="M47" s="23"/>
      <c r="N47" s="26" t="n">
        <f aca="false">N(K47)+N(L47)-N(M47)</f>
        <v>0</v>
      </c>
      <c r="O47" s="37" t="n">
        <f aca="false">'Jul 2027'!R47</f>
        <v>0</v>
      </c>
      <c r="P47" s="37" t="n">
        <f aca="false">IF(B47="",0,N(Students!H36))</f>
        <v>0</v>
      </c>
      <c r="Q47" s="23"/>
      <c r="R47" s="26" t="n">
        <f aca="false">N(O47)+N(P47)-N(Q47)</f>
        <v>0</v>
      </c>
      <c r="S47" s="37" t="n">
        <f aca="false">'Jul 2027'!V47</f>
        <v>0</v>
      </c>
      <c r="T47" s="37" t="n">
        <f aca="false">IF(B47="",0,N(Students!I36))</f>
        <v>0</v>
      </c>
      <c r="U47" s="23"/>
      <c r="V47" s="26" t="n">
        <f aca="false">N(S47)+N(T47)-N(U47)</f>
        <v>0</v>
      </c>
      <c r="W47" s="37" t="n">
        <f aca="false">'Jul 2027'!Z47</f>
        <v>0</v>
      </c>
      <c r="X47" s="37" t="n">
        <f aca="false">IF(B47="",0,N(Students!J36))</f>
        <v>0</v>
      </c>
      <c r="Y47" s="23"/>
      <c r="Z47" s="26" t="n">
        <f aca="false">N(W47)+N(X47)-N(Y47)</f>
        <v>0</v>
      </c>
      <c r="AA47" s="37" t="n">
        <f aca="false">N(E47)+N(I47)+N(M47)+N(Q47)+N(U47)+N(Y47)</f>
        <v>0</v>
      </c>
      <c r="AB47" s="26" t="n">
        <f aca="false">F47+J47+N47+R47+V47+Z47</f>
        <v>0</v>
      </c>
      <c r="AC47" s="83" t="str">
        <f aca="false">IF(B47="","",IF(AB47&lt;=0,"Clear",IF(AA47&gt;0,"Partial","Due")))</f>
        <v/>
      </c>
    </row>
    <row r="48" customFormat="false" ht="15" hidden="false" customHeight="false" outlineLevel="0" collapsed="false">
      <c r="A48" s="21" t="n">
        <v>33</v>
      </c>
      <c r="B48" s="46" t="str">
        <f aca="false">IF(Students!B37="","",Students!B37)</f>
        <v/>
      </c>
      <c r="C48" s="33" t="n">
        <f aca="false">'Jul 2027'!F48</f>
        <v>0</v>
      </c>
      <c r="D48" s="33" t="n">
        <f aca="false">IF(B48="",0,N(Students!E37))</f>
        <v>0</v>
      </c>
      <c r="E48" s="23"/>
      <c r="F48" s="24" t="n">
        <f aca="false">N(C48)+N(D48)-N(E48)</f>
        <v>0</v>
      </c>
      <c r="G48" s="33" t="n">
        <f aca="false">'Jul 2027'!J48</f>
        <v>0</v>
      </c>
      <c r="H48" s="33" t="n">
        <f aca="false">IF(B48="",0,N(Students!F37))</f>
        <v>0</v>
      </c>
      <c r="I48" s="23"/>
      <c r="J48" s="24" t="n">
        <f aca="false">N(G48)+N(H48)-N(I48)</f>
        <v>0</v>
      </c>
      <c r="K48" s="33" t="n">
        <f aca="false">'Jul 2027'!N48</f>
        <v>0</v>
      </c>
      <c r="L48" s="33" t="n">
        <f aca="false">IF(B48="",0,N(Students!G37))</f>
        <v>0</v>
      </c>
      <c r="M48" s="23"/>
      <c r="N48" s="24" t="n">
        <f aca="false">N(K48)+N(L48)-N(M48)</f>
        <v>0</v>
      </c>
      <c r="O48" s="33" t="n">
        <f aca="false">'Jul 2027'!R48</f>
        <v>0</v>
      </c>
      <c r="P48" s="33" t="n">
        <f aca="false">IF(B48="",0,N(Students!H37))</f>
        <v>0</v>
      </c>
      <c r="Q48" s="23"/>
      <c r="R48" s="24" t="n">
        <f aca="false">N(O48)+N(P48)-N(Q48)</f>
        <v>0</v>
      </c>
      <c r="S48" s="33" t="n">
        <f aca="false">'Jul 2027'!V48</f>
        <v>0</v>
      </c>
      <c r="T48" s="33" t="n">
        <f aca="false">IF(B48="",0,N(Students!I37))</f>
        <v>0</v>
      </c>
      <c r="U48" s="23"/>
      <c r="V48" s="24" t="n">
        <f aca="false">N(S48)+N(T48)-N(U48)</f>
        <v>0</v>
      </c>
      <c r="W48" s="33" t="n">
        <f aca="false">'Jul 2027'!Z48</f>
        <v>0</v>
      </c>
      <c r="X48" s="33" t="n">
        <f aca="false">IF(B48="",0,N(Students!J37))</f>
        <v>0</v>
      </c>
      <c r="Y48" s="23"/>
      <c r="Z48" s="24" t="n">
        <f aca="false">N(W48)+N(X48)-N(Y48)</f>
        <v>0</v>
      </c>
      <c r="AA48" s="33" t="n">
        <f aca="false">N(E48)+N(I48)+N(M48)+N(Q48)+N(U48)+N(Y48)</f>
        <v>0</v>
      </c>
      <c r="AB48" s="24" t="n">
        <f aca="false">F48+J48+N48+R48+V48+Z48</f>
        <v>0</v>
      </c>
      <c r="AC48" s="81" t="str">
        <f aca="false">IF(B48="","",IF(AB48&lt;=0,"Clear",IF(AA48&gt;0,"Partial","Due")))</f>
        <v/>
      </c>
    </row>
    <row r="49" customFormat="false" ht="15" hidden="false" customHeight="false" outlineLevel="0" collapsed="false">
      <c r="A49" s="25" t="n">
        <v>34</v>
      </c>
      <c r="B49" s="82" t="str">
        <f aca="false">IF(Students!B38="","",Students!B38)</f>
        <v/>
      </c>
      <c r="C49" s="37" t="n">
        <f aca="false">'Jul 2027'!F49</f>
        <v>0</v>
      </c>
      <c r="D49" s="37" t="n">
        <f aca="false">IF(B49="",0,N(Students!E38))</f>
        <v>0</v>
      </c>
      <c r="E49" s="23"/>
      <c r="F49" s="26" t="n">
        <f aca="false">N(C49)+N(D49)-N(E49)</f>
        <v>0</v>
      </c>
      <c r="G49" s="37" t="n">
        <f aca="false">'Jul 2027'!J49</f>
        <v>0</v>
      </c>
      <c r="H49" s="37" t="n">
        <f aca="false">IF(B49="",0,N(Students!F38))</f>
        <v>0</v>
      </c>
      <c r="I49" s="23"/>
      <c r="J49" s="26" t="n">
        <f aca="false">N(G49)+N(H49)-N(I49)</f>
        <v>0</v>
      </c>
      <c r="K49" s="37" t="n">
        <f aca="false">'Jul 2027'!N49</f>
        <v>0</v>
      </c>
      <c r="L49" s="37" t="n">
        <f aca="false">IF(B49="",0,N(Students!G38))</f>
        <v>0</v>
      </c>
      <c r="M49" s="23"/>
      <c r="N49" s="26" t="n">
        <f aca="false">N(K49)+N(L49)-N(M49)</f>
        <v>0</v>
      </c>
      <c r="O49" s="37" t="n">
        <f aca="false">'Jul 2027'!R49</f>
        <v>0</v>
      </c>
      <c r="P49" s="37" t="n">
        <f aca="false">IF(B49="",0,N(Students!H38))</f>
        <v>0</v>
      </c>
      <c r="Q49" s="23"/>
      <c r="R49" s="26" t="n">
        <f aca="false">N(O49)+N(P49)-N(Q49)</f>
        <v>0</v>
      </c>
      <c r="S49" s="37" t="n">
        <f aca="false">'Jul 2027'!V49</f>
        <v>0</v>
      </c>
      <c r="T49" s="37" t="n">
        <f aca="false">IF(B49="",0,N(Students!I38))</f>
        <v>0</v>
      </c>
      <c r="U49" s="23"/>
      <c r="V49" s="26" t="n">
        <f aca="false">N(S49)+N(T49)-N(U49)</f>
        <v>0</v>
      </c>
      <c r="W49" s="37" t="n">
        <f aca="false">'Jul 2027'!Z49</f>
        <v>0</v>
      </c>
      <c r="X49" s="37" t="n">
        <f aca="false">IF(B49="",0,N(Students!J38))</f>
        <v>0</v>
      </c>
      <c r="Y49" s="23"/>
      <c r="Z49" s="26" t="n">
        <f aca="false">N(W49)+N(X49)-N(Y49)</f>
        <v>0</v>
      </c>
      <c r="AA49" s="37" t="n">
        <f aca="false">N(E49)+N(I49)+N(M49)+N(Q49)+N(U49)+N(Y49)</f>
        <v>0</v>
      </c>
      <c r="AB49" s="26" t="n">
        <f aca="false">F49+J49+N49+R49+V49+Z49</f>
        <v>0</v>
      </c>
      <c r="AC49" s="83" t="str">
        <f aca="false">IF(B49="","",IF(AB49&lt;=0,"Clear",IF(AA49&gt;0,"Partial","Due")))</f>
        <v/>
      </c>
    </row>
    <row r="50" customFormat="false" ht="15" hidden="false" customHeight="false" outlineLevel="0" collapsed="false">
      <c r="A50" s="21" t="n">
        <v>35</v>
      </c>
      <c r="B50" s="46" t="str">
        <f aca="false">IF(Students!B39="","",Students!B39)</f>
        <v/>
      </c>
      <c r="C50" s="33" t="n">
        <f aca="false">'Jul 2027'!F50</f>
        <v>0</v>
      </c>
      <c r="D50" s="33" t="n">
        <f aca="false">IF(B50="",0,N(Students!E39))</f>
        <v>0</v>
      </c>
      <c r="E50" s="23"/>
      <c r="F50" s="24" t="n">
        <f aca="false">N(C50)+N(D50)-N(E50)</f>
        <v>0</v>
      </c>
      <c r="G50" s="33" t="n">
        <f aca="false">'Jul 2027'!J50</f>
        <v>0</v>
      </c>
      <c r="H50" s="33" t="n">
        <f aca="false">IF(B50="",0,N(Students!F39))</f>
        <v>0</v>
      </c>
      <c r="I50" s="23"/>
      <c r="J50" s="24" t="n">
        <f aca="false">N(G50)+N(H50)-N(I50)</f>
        <v>0</v>
      </c>
      <c r="K50" s="33" t="n">
        <f aca="false">'Jul 2027'!N50</f>
        <v>0</v>
      </c>
      <c r="L50" s="33" t="n">
        <f aca="false">IF(B50="",0,N(Students!G39))</f>
        <v>0</v>
      </c>
      <c r="M50" s="23"/>
      <c r="N50" s="24" t="n">
        <f aca="false">N(K50)+N(L50)-N(M50)</f>
        <v>0</v>
      </c>
      <c r="O50" s="33" t="n">
        <f aca="false">'Jul 2027'!R50</f>
        <v>0</v>
      </c>
      <c r="P50" s="33" t="n">
        <f aca="false">IF(B50="",0,N(Students!H39))</f>
        <v>0</v>
      </c>
      <c r="Q50" s="23"/>
      <c r="R50" s="24" t="n">
        <f aca="false">N(O50)+N(P50)-N(Q50)</f>
        <v>0</v>
      </c>
      <c r="S50" s="33" t="n">
        <f aca="false">'Jul 2027'!V50</f>
        <v>0</v>
      </c>
      <c r="T50" s="33" t="n">
        <f aca="false">IF(B50="",0,N(Students!I39))</f>
        <v>0</v>
      </c>
      <c r="U50" s="23"/>
      <c r="V50" s="24" t="n">
        <f aca="false">N(S50)+N(T50)-N(U50)</f>
        <v>0</v>
      </c>
      <c r="W50" s="33" t="n">
        <f aca="false">'Jul 2027'!Z50</f>
        <v>0</v>
      </c>
      <c r="X50" s="33" t="n">
        <f aca="false">IF(B50="",0,N(Students!J39))</f>
        <v>0</v>
      </c>
      <c r="Y50" s="23"/>
      <c r="Z50" s="24" t="n">
        <f aca="false">N(W50)+N(X50)-N(Y50)</f>
        <v>0</v>
      </c>
      <c r="AA50" s="33" t="n">
        <f aca="false">N(E50)+N(I50)+N(M50)+N(Q50)+N(U50)+N(Y50)</f>
        <v>0</v>
      </c>
      <c r="AB50" s="24" t="n">
        <f aca="false">F50+J50+N50+R50+V50+Z50</f>
        <v>0</v>
      </c>
      <c r="AC50" s="81" t="str">
        <f aca="false">IF(B50="","",IF(AB50&lt;=0,"Clear",IF(AA50&gt;0,"Partial","Due")))</f>
        <v/>
      </c>
    </row>
    <row r="51" customFormat="false" ht="15" hidden="false" customHeight="false" outlineLevel="0" collapsed="false">
      <c r="A51" s="25" t="n">
        <v>36</v>
      </c>
      <c r="B51" s="82" t="str">
        <f aca="false">IF(Students!B40="","",Students!B40)</f>
        <v/>
      </c>
      <c r="C51" s="37" t="n">
        <f aca="false">'Jul 2027'!F51</f>
        <v>0</v>
      </c>
      <c r="D51" s="37" t="n">
        <f aca="false">IF(B51="",0,N(Students!E40))</f>
        <v>0</v>
      </c>
      <c r="E51" s="23"/>
      <c r="F51" s="26" t="n">
        <f aca="false">N(C51)+N(D51)-N(E51)</f>
        <v>0</v>
      </c>
      <c r="G51" s="37" t="n">
        <f aca="false">'Jul 2027'!J51</f>
        <v>0</v>
      </c>
      <c r="H51" s="37" t="n">
        <f aca="false">IF(B51="",0,N(Students!F40))</f>
        <v>0</v>
      </c>
      <c r="I51" s="23"/>
      <c r="J51" s="26" t="n">
        <f aca="false">N(G51)+N(H51)-N(I51)</f>
        <v>0</v>
      </c>
      <c r="K51" s="37" t="n">
        <f aca="false">'Jul 2027'!N51</f>
        <v>0</v>
      </c>
      <c r="L51" s="37" t="n">
        <f aca="false">IF(B51="",0,N(Students!G40))</f>
        <v>0</v>
      </c>
      <c r="M51" s="23"/>
      <c r="N51" s="26" t="n">
        <f aca="false">N(K51)+N(L51)-N(M51)</f>
        <v>0</v>
      </c>
      <c r="O51" s="37" t="n">
        <f aca="false">'Jul 2027'!R51</f>
        <v>0</v>
      </c>
      <c r="P51" s="37" t="n">
        <f aca="false">IF(B51="",0,N(Students!H40))</f>
        <v>0</v>
      </c>
      <c r="Q51" s="23"/>
      <c r="R51" s="26" t="n">
        <f aca="false">N(O51)+N(P51)-N(Q51)</f>
        <v>0</v>
      </c>
      <c r="S51" s="37" t="n">
        <f aca="false">'Jul 2027'!V51</f>
        <v>0</v>
      </c>
      <c r="T51" s="37" t="n">
        <f aca="false">IF(B51="",0,N(Students!I40))</f>
        <v>0</v>
      </c>
      <c r="U51" s="23"/>
      <c r="V51" s="26" t="n">
        <f aca="false">N(S51)+N(T51)-N(U51)</f>
        <v>0</v>
      </c>
      <c r="W51" s="37" t="n">
        <f aca="false">'Jul 2027'!Z51</f>
        <v>0</v>
      </c>
      <c r="X51" s="37" t="n">
        <f aca="false">IF(B51="",0,N(Students!J40))</f>
        <v>0</v>
      </c>
      <c r="Y51" s="23"/>
      <c r="Z51" s="26" t="n">
        <f aca="false">N(W51)+N(X51)-N(Y51)</f>
        <v>0</v>
      </c>
      <c r="AA51" s="37" t="n">
        <f aca="false">N(E51)+N(I51)+N(M51)+N(Q51)+N(U51)+N(Y51)</f>
        <v>0</v>
      </c>
      <c r="AB51" s="26" t="n">
        <f aca="false">F51+J51+N51+R51+V51+Z51</f>
        <v>0</v>
      </c>
      <c r="AC51" s="83" t="str">
        <f aca="false">IF(B51="","",IF(AB51&lt;=0,"Clear",IF(AA51&gt;0,"Partial","Due")))</f>
        <v/>
      </c>
    </row>
    <row r="52" customFormat="false" ht="15" hidden="false" customHeight="false" outlineLevel="0" collapsed="false">
      <c r="A52" s="21" t="n">
        <v>37</v>
      </c>
      <c r="B52" s="46" t="str">
        <f aca="false">IF(Students!B41="","",Students!B41)</f>
        <v/>
      </c>
      <c r="C52" s="33" t="n">
        <f aca="false">'Jul 2027'!F52</f>
        <v>0</v>
      </c>
      <c r="D52" s="33" t="n">
        <f aca="false">IF(B52="",0,N(Students!E41))</f>
        <v>0</v>
      </c>
      <c r="E52" s="23"/>
      <c r="F52" s="24" t="n">
        <f aca="false">N(C52)+N(D52)-N(E52)</f>
        <v>0</v>
      </c>
      <c r="G52" s="33" t="n">
        <f aca="false">'Jul 2027'!J52</f>
        <v>0</v>
      </c>
      <c r="H52" s="33" t="n">
        <f aca="false">IF(B52="",0,N(Students!F41))</f>
        <v>0</v>
      </c>
      <c r="I52" s="23"/>
      <c r="J52" s="24" t="n">
        <f aca="false">N(G52)+N(H52)-N(I52)</f>
        <v>0</v>
      </c>
      <c r="K52" s="33" t="n">
        <f aca="false">'Jul 2027'!N52</f>
        <v>0</v>
      </c>
      <c r="L52" s="33" t="n">
        <f aca="false">IF(B52="",0,N(Students!G41))</f>
        <v>0</v>
      </c>
      <c r="M52" s="23"/>
      <c r="N52" s="24" t="n">
        <f aca="false">N(K52)+N(L52)-N(M52)</f>
        <v>0</v>
      </c>
      <c r="O52" s="33" t="n">
        <f aca="false">'Jul 2027'!R52</f>
        <v>0</v>
      </c>
      <c r="P52" s="33" t="n">
        <f aca="false">IF(B52="",0,N(Students!H41))</f>
        <v>0</v>
      </c>
      <c r="Q52" s="23"/>
      <c r="R52" s="24" t="n">
        <f aca="false">N(O52)+N(P52)-N(Q52)</f>
        <v>0</v>
      </c>
      <c r="S52" s="33" t="n">
        <f aca="false">'Jul 2027'!V52</f>
        <v>0</v>
      </c>
      <c r="T52" s="33" t="n">
        <f aca="false">IF(B52="",0,N(Students!I41))</f>
        <v>0</v>
      </c>
      <c r="U52" s="23"/>
      <c r="V52" s="24" t="n">
        <f aca="false">N(S52)+N(T52)-N(U52)</f>
        <v>0</v>
      </c>
      <c r="W52" s="33" t="n">
        <f aca="false">'Jul 2027'!Z52</f>
        <v>0</v>
      </c>
      <c r="X52" s="33" t="n">
        <f aca="false">IF(B52="",0,N(Students!J41))</f>
        <v>0</v>
      </c>
      <c r="Y52" s="23"/>
      <c r="Z52" s="24" t="n">
        <f aca="false">N(W52)+N(X52)-N(Y52)</f>
        <v>0</v>
      </c>
      <c r="AA52" s="33" t="n">
        <f aca="false">N(E52)+N(I52)+N(M52)+N(Q52)+N(U52)+N(Y52)</f>
        <v>0</v>
      </c>
      <c r="AB52" s="24" t="n">
        <f aca="false">F52+J52+N52+R52+V52+Z52</f>
        <v>0</v>
      </c>
      <c r="AC52" s="81" t="str">
        <f aca="false">IF(B52="","",IF(AB52&lt;=0,"Clear",IF(AA52&gt;0,"Partial","Due")))</f>
        <v/>
      </c>
    </row>
    <row r="53" customFormat="false" ht="15" hidden="false" customHeight="false" outlineLevel="0" collapsed="false">
      <c r="A53" s="25" t="n">
        <v>38</v>
      </c>
      <c r="B53" s="82" t="str">
        <f aca="false">IF(Students!B42="","",Students!B42)</f>
        <v/>
      </c>
      <c r="C53" s="37" t="n">
        <f aca="false">'Jul 2027'!F53</f>
        <v>0</v>
      </c>
      <c r="D53" s="37" t="n">
        <f aca="false">IF(B53="",0,N(Students!E42))</f>
        <v>0</v>
      </c>
      <c r="E53" s="23"/>
      <c r="F53" s="26" t="n">
        <f aca="false">N(C53)+N(D53)-N(E53)</f>
        <v>0</v>
      </c>
      <c r="G53" s="37" t="n">
        <f aca="false">'Jul 2027'!J53</f>
        <v>0</v>
      </c>
      <c r="H53" s="37" t="n">
        <f aca="false">IF(B53="",0,N(Students!F42))</f>
        <v>0</v>
      </c>
      <c r="I53" s="23"/>
      <c r="J53" s="26" t="n">
        <f aca="false">N(G53)+N(H53)-N(I53)</f>
        <v>0</v>
      </c>
      <c r="K53" s="37" t="n">
        <f aca="false">'Jul 2027'!N53</f>
        <v>0</v>
      </c>
      <c r="L53" s="37" t="n">
        <f aca="false">IF(B53="",0,N(Students!G42))</f>
        <v>0</v>
      </c>
      <c r="M53" s="23"/>
      <c r="N53" s="26" t="n">
        <f aca="false">N(K53)+N(L53)-N(M53)</f>
        <v>0</v>
      </c>
      <c r="O53" s="37" t="n">
        <f aca="false">'Jul 2027'!R53</f>
        <v>0</v>
      </c>
      <c r="P53" s="37" t="n">
        <f aca="false">IF(B53="",0,N(Students!H42))</f>
        <v>0</v>
      </c>
      <c r="Q53" s="23"/>
      <c r="R53" s="26" t="n">
        <f aca="false">N(O53)+N(P53)-N(Q53)</f>
        <v>0</v>
      </c>
      <c r="S53" s="37" t="n">
        <f aca="false">'Jul 2027'!V53</f>
        <v>0</v>
      </c>
      <c r="T53" s="37" t="n">
        <f aca="false">IF(B53="",0,N(Students!I42))</f>
        <v>0</v>
      </c>
      <c r="U53" s="23"/>
      <c r="V53" s="26" t="n">
        <f aca="false">N(S53)+N(T53)-N(U53)</f>
        <v>0</v>
      </c>
      <c r="W53" s="37" t="n">
        <f aca="false">'Jul 2027'!Z53</f>
        <v>0</v>
      </c>
      <c r="X53" s="37" t="n">
        <f aca="false">IF(B53="",0,N(Students!J42))</f>
        <v>0</v>
      </c>
      <c r="Y53" s="23"/>
      <c r="Z53" s="26" t="n">
        <f aca="false">N(W53)+N(X53)-N(Y53)</f>
        <v>0</v>
      </c>
      <c r="AA53" s="37" t="n">
        <f aca="false">N(E53)+N(I53)+N(M53)+N(Q53)+N(U53)+N(Y53)</f>
        <v>0</v>
      </c>
      <c r="AB53" s="26" t="n">
        <f aca="false">F53+J53+N53+R53+V53+Z53</f>
        <v>0</v>
      </c>
      <c r="AC53" s="83" t="str">
        <f aca="false">IF(B53="","",IF(AB53&lt;=0,"Clear",IF(AA53&gt;0,"Partial","Due")))</f>
        <v/>
      </c>
    </row>
    <row r="54" customFormat="false" ht="15" hidden="false" customHeight="false" outlineLevel="0" collapsed="false">
      <c r="A54" s="21" t="n">
        <v>39</v>
      </c>
      <c r="B54" s="46" t="str">
        <f aca="false">IF(Students!B43="","",Students!B43)</f>
        <v/>
      </c>
      <c r="C54" s="33" t="n">
        <f aca="false">'Jul 2027'!F54</f>
        <v>0</v>
      </c>
      <c r="D54" s="33" t="n">
        <f aca="false">IF(B54="",0,N(Students!E43))</f>
        <v>0</v>
      </c>
      <c r="E54" s="23"/>
      <c r="F54" s="24" t="n">
        <f aca="false">N(C54)+N(D54)-N(E54)</f>
        <v>0</v>
      </c>
      <c r="G54" s="33" t="n">
        <f aca="false">'Jul 2027'!J54</f>
        <v>0</v>
      </c>
      <c r="H54" s="33" t="n">
        <f aca="false">IF(B54="",0,N(Students!F43))</f>
        <v>0</v>
      </c>
      <c r="I54" s="23"/>
      <c r="J54" s="24" t="n">
        <f aca="false">N(G54)+N(H54)-N(I54)</f>
        <v>0</v>
      </c>
      <c r="K54" s="33" t="n">
        <f aca="false">'Jul 2027'!N54</f>
        <v>0</v>
      </c>
      <c r="L54" s="33" t="n">
        <f aca="false">IF(B54="",0,N(Students!G43))</f>
        <v>0</v>
      </c>
      <c r="M54" s="23"/>
      <c r="N54" s="24" t="n">
        <f aca="false">N(K54)+N(L54)-N(M54)</f>
        <v>0</v>
      </c>
      <c r="O54" s="33" t="n">
        <f aca="false">'Jul 2027'!R54</f>
        <v>0</v>
      </c>
      <c r="P54" s="33" t="n">
        <f aca="false">IF(B54="",0,N(Students!H43))</f>
        <v>0</v>
      </c>
      <c r="Q54" s="23"/>
      <c r="R54" s="24" t="n">
        <f aca="false">N(O54)+N(P54)-N(Q54)</f>
        <v>0</v>
      </c>
      <c r="S54" s="33" t="n">
        <f aca="false">'Jul 2027'!V54</f>
        <v>0</v>
      </c>
      <c r="T54" s="33" t="n">
        <f aca="false">IF(B54="",0,N(Students!I43))</f>
        <v>0</v>
      </c>
      <c r="U54" s="23"/>
      <c r="V54" s="24" t="n">
        <f aca="false">N(S54)+N(T54)-N(U54)</f>
        <v>0</v>
      </c>
      <c r="W54" s="33" t="n">
        <f aca="false">'Jul 2027'!Z54</f>
        <v>0</v>
      </c>
      <c r="X54" s="33" t="n">
        <f aca="false">IF(B54="",0,N(Students!J43))</f>
        <v>0</v>
      </c>
      <c r="Y54" s="23"/>
      <c r="Z54" s="24" t="n">
        <f aca="false">N(W54)+N(X54)-N(Y54)</f>
        <v>0</v>
      </c>
      <c r="AA54" s="33" t="n">
        <f aca="false">N(E54)+N(I54)+N(M54)+N(Q54)+N(U54)+N(Y54)</f>
        <v>0</v>
      </c>
      <c r="AB54" s="24" t="n">
        <f aca="false">F54+J54+N54+R54+V54+Z54</f>
        <v>0</v>
      </c>
      <c r="AC54" s="81" t="str">
        <f aca="false">IF(B54="","",IF(AB54&lt;=0,"Clear",IF(AA54&gt;0,"Partial","Due")))</f>
        <v/>
      </c>
    </row>
    <row r="55" customFormat="false" ht="15" hidden="false" customHeight="false" outlineLevel="0" collapsed="false">
      <c r="A55" s="25" t="n">
        <v>40</v>
      </c>
      <c r="B55" s="82" t="str">
        <f aca="false">IF(Students!B44="","",Students!B44)</f>
        <v/>
      </c>
      <c r="C55" s="37" t="n">
        <f aca="false">'Jul 2027'!F55</f>
        <v>0</v>
      </c>
      <c r="D55" s="37" t="n">
        <f aca="false">IF(B55="",0,N(Students!E44))</f>
        <v>0</v>
      </c>
      <c r="E55" s="23"/>
      <c r="F55" s="26" t="n">
        <f aca="false">N(C55)+N(D55)-N(E55)</f>
        <v>0</v>
      </c>
      <c r="G55" s="37" t="n">
        <f aca="false">'Jul 2027'!J55</f>
        <v>0</v>
      </c>
      <c r="H55" s="37" t="n">
        <f aca="false">IF(B55="",0,N(Students!F44))</f>
        <v>0</v>
      </c>
      <c r="I55" s="23"/>
      <c r="J55" s="26" t="n">
        <f aca="false">N(G55)+N(H55)-N(I55)</f>
        <v>0</v>
      </c>
      <c r="K55" s="37" t="n">
        <f aca="false">'Jul 2027'!N55</f>
        <v>0</v>
      </c>
      <c r="L55" s="37" t="n">
        <f aca="false">IF(B55="",0,N(Students!G44))</f>
        <v>0</v>
      </c>
      <c r="M55" s="23"/>
      <c r="N55" s="26" t="n">
        <f aca="false">N(K55)+N(L55)-N(M55)</f>
        <v>0</v>
      </c>
      <c r="O55" s="37" t="n">
        <f aca="false">'Jul 2027'!R55</f>
        <v>0</v>
      </c>
      <c r="P55" s="37" t="n">
        <f aca="false">IF(B55="",0,N(Students!H44))</f>
        <v>0</v>
      </c>
      <c r="Q55" s="23"/>
      <c r="R55" s="26" t="n">
        <f aca="false">N(O55)+N(P55)-N(Q55)</f>
        <v>0</v>
      </c>
      <c r="S55" s="37" t="n">
        <f aca="false">'Jul 2027'!V55</f>
        <v>0</v>
      </c>
      <c r="T55" s="37" t="n">
        <f aca="false">IF(B55="",0,N(Students!I44))</f>
        <v>0</v>
      </c>
      <c r="U55" s="23"/>
      <c r="V55" s="26" t="n">
        <f aca="false">N(S55)+N(T55)-N(U55)</f>
        <v>0</v>
      </c>
      <c r="W55" s="37" t="n">
        <f aca="false">'Jul 2027'!Z55</f>
        <v>0</v>
      </c>
      <c r="X55" s="37" t="n">
        <f aca="false">IF(B55="",0,N(Students!J44))</f>
        <v>0</v>
      </c>
      <c r="Y55" s="23"/>
      <c r="Z55" s="26" t="n">
        <f aca="false">N(W55)+N(X55)-N(Y55)</f>
        <v>0</v>
      </c>
      <c r="AA55" s="37" t="n">
        <f aca="false">N(E55)+N(I55)+N(M55)+N(Q55)+N(U55)+N(Y55)</f>
        <v>0</v>
      </c>
      <c r="AB55" s="26" t="n">
        <f aca="false">F55+J55+N55+R55+V55+Z55</f>
        <v>0</v>
      </c>
      <c r="AC55" s="83" t="str">
        <f aca="false">IF(B55="","",IF(AB55&lt;=0,"Clear",IF(AA55&gt;0,"Partial","Due")))</f>
        <v/>
      </c>
    </row>
    <row r="56" customFormat="false" ht="15" hidden="false" customHeight="false" outlineLevel="0" collapsed="false">
      <c r="A56" s="21" t="n">
        <v>41</v>
      </c>
      <c r="B56" s="46" t="str">
        <f aca="false">IF(Students!B45="","",Students!B45)</f>
        <v/>
      </c>
      <c r="C56" s="33" t="n">
        <f aca="false">'Jul 2027'!F56</f>
        <v>0</v>
      </c>
      <c r="D56" s="33" t="n">
        <f aca="false">IF(B56="",0,N(Students!E45))</f>
        <v>0</v>
      </c>
      <c r="E56" s="23"/>
      <c r="F56" s="24" t="n">
        <f aca="false">N(C56)+N(D56)-N(E56)</f>
        <v>0</v>
      </c>
      <c r="G56" s="33" t="n">
        <f aca="false">'Jul 2027'!J56</f>
        <v>0</v>
      </c>
      <c r="H56" s="33" t="n">
        <f aca="false">IF(B56="",0,N(Students!F45))</f>
        <v>0</v>
      </c>
      <c r="I56" s="23"/>
      <c r="J56" s="24" t="n">
        <f aca="false">N(G56)+N(H56)-N(I56)</f>
        <v>0</v>
      </c>
      <c r="K56" s="33" t="n">
        <f aca="false">'Jul 2027'!N56</f>
        <v>0</v>
      </c>
      <c r="L56" s="33" t="n">
        <f aca="false">IF(B56="",0,N(Students!G45))</f>
        <v>0</v>
      </c>
      <c r="M56" s="23"/>
      <c r="N56" s="24" t="n">
        <f aca="false">N(K56)+N(L56)-N(M56)</f>
        <v>0</v>
      </c>
      <c r="O56" s="33" t="n">
        <f aca="false">'Jul 2027'!R56</f>
        <v>0</v>
      </c>
      <c r="P56" s="33" t="n">
        <f aca="false">IF(B56="",0,N(Students!H45))</f>
        <v>0</v>
      </c>
      <c r="Q56" s="23"/>
      <c r="R56" s="24" t="n">
        <f aca="false">N(O56)+N(P56)-N(Q56)</f>
        <v>0</v>
      </c>
      <c r="S56" s="33" t="n">
        <f aca="false">'Jul 2027'!V56</f>
        <v>0</v>
      </c>
      <c r="T56" s="33" t="n">
        <f aca="false">IF(B56="",0,N(Students!I45))</f>
        <v>0</v>
      </c>
      <c r="U56" s="23"/>
      <c r="V56" s="24" t="n">
        <f aca="false">N(S56)+N(T56)-N(U56)</f>
        <v>0</v>
      </c>
      <c r="W56" s="33" t="n">
        <f aca="false">'Jul 2027'!Z56</f>
        <v>0</v>
      </c>
      <c r="X56" s="33" t="n">
        <f aca="false">IF(B56="",0,N(Students!J45))</f>
        <v>0</v>
      </c>
      <c r="Y56" s="23"/>
      <c r="Z56" s="24" t="n">
        <f aca="false">N(W56)+N(X56)-N(Y56)</f>
        <v>0</v>
      </c>
      <c r="AA56" s="33" t="n">
        <f aca="false">N(E56)+N(I56)+N(M56)+N(Q56)+N(U56)+N(Y56)</f>
        <v>0</v>
      </c>
      <c r="AB56" s="24" t="n">
        <f aca="false">F56+J56+N56+R56+V56+Z56</f>
        <v>0</v>
      </c>
      <c r="AC56" s="81" t="str">
        <f aca="false">IF(B56="","",IF(AB56&lt;=0,"Clear",IF(AA56&gt;0,"Partial","Due")))</f>
        <v/>
      </c>
    </row>
    <row r="57" customFormat="false" ht="15" hidden="false" customHeight="false" outlineLevel="0" collapsed="false">
      <c r="A57" s="25" t="n">
        <v>42</v>
      </c>
      <c r="B57" s="82" t="str">
        <f aca="false">IF(Students!B46="","",Students!B46)</f>
        <v/>
      </c>
      <c r="C57" s="37" t="n">
        <f aca="false">'Jul 2027'!F57</f>
        <v>0</v>
      </c>
      <c r="D57" s="37" t="n">
        <f aca="false">IF(B57="",0,N(Students!E46))</f>
        <v>0</v>
      </c>
      <c r="E57" s="23"/>
      <c r="F57" s="26" t="n">
        <f aca="false">N(C57)+N(D57)-N(E57)</f>
        <v>0</v>
      </c>
      <c r="G57" s="37" t="n">
        <f aca="false">'Jul 2027'!J57</f>
        <v>0</v>
      </c>
      <c r="H57" s="37" t="n">
        <f aca="false">IF(B57="",0,N(Students!F46))</f>
        <v>0</v>
      </c>
      <c r="I57" s="23"/>
      <c r="J57" s="26" t="n">
        <f aca="false">N(G57)+N(H57)-N(I57)</f>
        <v>0</v>
      </c>
      <c r="K57" s="37" t="n">
        <f aca="false">'Jul 2027'!N57</f>
        <v>0</v>
      </c>
      <c r="L57" s="37" t="n">
        <f aca="false">IF(B57="",0,N(Students!G46))</f>
        <v>0</v>
      </c>
      <c r="M57" s="23"/>
      <c r="N57" s="26" t="n">
        <f aca="false">N(K57)+N(L57)-N(M57)</f>
        <v>0</v>
      </c>
      <c r="O57" s="37" t="n">
        <f aca="false">'Jul 2027'!R57</f>
        <v>0</v>
      </c>
      <c r="P57" s="37" t="n">
        <f aca="false">IF(B57="",0,N(Students!H46))</f>
        <v>0</v>
      </c>
      <c r="Q57" s="23"/>
      <c r="R57" s="26" t="n">
        <f aca="false">N(O57)+N(P57)-N(Q57)</f>
        <v>0</v>
      </c>
      <c r="S57" s="37" t="n">
        <f aca="false">'Jul 2027'!V57</f>
        <v>0</v>
      </c>
      <c r="T57" s="37" t="n">
        <f aca="false">IF(B57="",0,N(Students!I46))</f>
        <v>0</v>
      </c>
      <c r="U57" s="23"/>
      <c r="V57" s="26" t="n">
        <f aca="false">N(S57)+N(T57)-N(U57)</f>
        <v>0</v>
      </c>
      <c r="W57" s="37" t="n">
        <f aca="false">'Jul 2027'!Z57</f>
        <v>0</v>
      </c>
      <c r="X57" s="37" t="n">
        <f aca="false">IF(B57="",0,N(Students!J46))</f>
        <v>0</v>
      </c>
      <c r="Y57" s="23"/>
      <c r="Z57" s="26" t="n">
        <f aca="false">N(W57)+N(X57)-N(Y57)</f>
        <v>0</v>
      </c>
      <c r="AA57" s="37" t="n">
        <f aca="false">N(E57)+N(I57)+N(M57)+N(Q57)+N(U57)+N(Y57)</f>
        <v>0</v>
      </c>
      <c r="AB57" s="26" t="n">
        <f aca="false">F57+J57+N57+R57+V57+Z57</f>
        <v>0</v>
      </c>
      <c r="AC57" s="83" t="str">
        <f aca="false">IF(B57="","",IF(AB57&lt;=0,"Clear",IF(AA57&gt;0,"Partial","Due")))</f>
        <v/>
      </c>
    </row>
    <row r="58" customFormat="false" ht="15" hidden="false" customHeight="false" outlineLevel="0" collapsed="false">
      <c r="A58" s="21" t="n">
        <v>43</v>
      </c>
      <c r="B58" s="46" t="str">
        <f aca="false">IF(Students!B47="","",Students!B47)</f>
        <v/>
      </c>
      <c r="C58" s="33" t="n">
        <f aca="false">'Jul 2027'!F58</f>
        <v>0</v>
      </c>
      <c r="D58" s="33" t="n">
        <f aca="false">IF(B58="",0,N(Students!E47))</f>
        <v>0</v>
      </c>
      <c r="E58" s="23"/>
      <c r="F58" s="24" t="n">
        <f aca="false">N(C58)+N(D58)-N(E58)</f>
        <v>0</v>
      </c>
      <c r="G58" s="33" t="n">
        <f aca="false">'Jul 2027'!J58</f>
        <v>0</v>
      </c>
      <c r="H58" s="33" t="n">
        <f aca="false">IF(B58="",0,N(Students!F47))</f>
        <v>0</v>
      </c>
      <c r="I58" s="23"/>
      <c r="J58" s="24" t="n">
        <f aca="false">N(G58)+N(H58)-N(I58)</f>
        <v>0</v>
      </c>
      <c r="K58" s="33" t="n">
        <f aca="false">'Jul 2027'!N58</f>
        <v>0</v>
      </c>
      <c r="L58" s="33" t="n">
        <f aca="false">IF(B58="",0,N(Students!G47))</f>
        <v>0</v>
      </c>
      <c r="M58" s="23"/>
      <c r="N58" s="24" t="n">
        <f aca="false">N(K58)+N(L58)-N(M58)</f>
        <v>0</v>
      </c>
      <c r="O58" s="33" t="n">
        <f aca="false">'Jul 2027'!R58</f>
        <v>0</v>
      </c>
      <c r="P58" s="33" t="n">
        <f aca="false">IF(B58="",0,N(Students!H47))</f>
        <v>0</v>
      </c>
      <c r="Q58" s="23"/>
      <c r="R58" s="24" t="n">
        <f aca="false">N(O58)+N(P58)-N(Q58)</f>
        <v>0</v>
      </c>
      <c r="S58" s="33" t="n">
        <f aca="false">'Jul 2027'!V58</f>
        <v>0</v>
      </c>
      <c r="T58" s="33" t="n">
        <f aca="false">IF(B58="",0,N(Students!I47))</f>
        <v>0</v>
      </c>
      <c r="U58" s="23"/>
      <c r="V58" s="24" t="n">
        <f aca="false">N(S58)+N(T58)-N(U58)</f>
        <v>0</v>
      </c>
      <c r="W58" s="33" t="n">
        <f aca="false">'Jul 2027'!Z58</f>
        <v>0</v>
      </c>
      <c r="X58" s="33" t="n">
        <f aca="false">IF(B58="",0,N(Students!J47))</f>
        <v>0</v>
      </c>
      <c r="Y58" s="23"/>
      <c r="Z58" s="24" t="n">
        <f aca="false">N(W58)+N(X58)-N(Y58)</f>
        <v>0</v>
      </c>
      <c r="AA58" s="33" t="n">
        <f aca="false">N(E58)+N(I58)+N(M58)+N(Q58)+N(U58)+N(Y58)</f>
        <v>0</v>
      </c>
      <c r="AB58" s="24" t="n">
        <f aca="false">F58+J58+N58+R58+V58+Z58</f>
        <v>0</v>
      </c>
      <c r="AC58" s="81" t="str">
        <f aca="false">IF(B58="","",IF(AB58&lt;=0,"Clear",IF(AA58&gt;0,"Partial","Due")))</f>
        <v/>
      </c>
    </row>
    <row r="59" customFormat="false" ht="15" hidden="false" customHeight="false" outlineLevel="0" collapsed="false">
      <c r="A59" s="25" t="n">
        <v>44</v>
      </c>
      <c r="B59" s="82" t="str">
        <f aca="false">IF(Students!B48="","",Students!B48)</f>
        <v/>
      </c>
      <c r="C59" s="37" t="n">
        <f aca="false">'Jul 2027'!F59</f>
        <v>0</v>
      </c>
      <c r="D59" s="37" t="n">
        <f aca="false">IF(B59="",0,N(Students!E48))</f>
        <v>0</v>
      </c>
      <c r="E59" s="23"/>
      <c r="F59" s="26" t="n">
        <f aca="false">N(C59)+N(D59)-N(E59)</f>
        <v>0</v>
      </c>
      <c r="G59" s="37" t="n">
        <f aca="false">'Jul 2027'!J59</f>
        <v>0</v>
      </c>
      <c r="H59" s="37" t="n">
        <f aca="false">IF(B59="",0,N(Students!F48))</f>
        <v>0</v>
      </c>
      <c r="I59" s="23"/>
      <c r="J59" s="26" t="n">
        <f aca="false">N(G59)+N(H59)-N(I59)</f>
        <v>0</v>
      </c>
      <c r="K59" s="37" t="n">
        <f aca="false">'Jul 2027'!N59</f>
        <v>0</v>
      </c>
      <c r="L59" s="37" t="n">
        <f aca="false">IF(B59="",0,N(Students!G48))</f>
        <v>0</v>
      </c>
      <c r="M59" s="23"/>
      <c r="N59" s="26" t="n">
        <f aca="false">N(K59)+N(L59)-N(M59)</f>
        <v>0</v>
      </c>
      <c r="O59" s="37" t="n">
        <f aca="false">'Jul 2027'!R59</f>
        <v>0</v>
      </c>
      <c r="P59" s="37" t="n">
        <f aca="false">IF(B59="",0,N(Students!H48))</f>
        <v>0</v>
      </c>
      <c r="Q59" s="23"/>
      <c r="R59" s="26" t="n">
        <f aca="false">N(O59)+N(P59)-N(Q59)</f>
        <v>0</v>
      </c>
      <c r="S59" s="37" t="n">
        <f aca="false">'Jul 2027'!V59</f>
        <v>0</v>
      </c>
      <c r="T59" s="37" t="n">
        <f aca="false">IF(B59="",0,N(Students!I48))</f>
        <v>0</v>
      </c>
      <c r="U59" s="23"/>
      <c r="V59" s="26" t="n">
        <f aca="false">N(S59)+N(T59)-N(U59)</f>
        <v>0</v>
      </c>
      <c r="W59" s="37" t="n">
        <f aca="false">'Jul 2027'!Z59</f>
        <v>0</v>
      </c>
      <c r="X59" s="37" t="n">
        <f aca="false">IF(B59="",0,N(Students!J48))</f>
        <v>0</v>
      </c>
      <c r="Y59" s="23"/>
      <c r="Z59" s="26" t="n">
        <f aca="false">N(W59)+N(X59)-N(Y59)</f>
        <v>0</v>
      </c>
      <c r="AA59" s="37" t="n">
        <f aca="false">N(E59)+N(I59)+N(M59)+N(Q59)+N(U59)+N(Y59)</f>
        <v>0</v>
      </c>
      <c r="AB59" s="26" t="n">
        <f aca="false">F59+J59+N59+R59+V59+Z59</f>
        <v>0</v>
      </c>
      <c r="AC59" s="83" t="str">
        <f aca="false">IF(B59="","",IF(AB59&lt;=0,"Clear",IF(AA59&gt;0,"Partial","Due")))</f>
        <v/>
      </c>
    </row>
    <row r="60" customFormat="false" ht="15" hidden="false" customHeight="false" outlineLevel="0" collapsed="false">
      <c r="A60" s="21" t="n">
        <v>45</v>
      </c>
      <c r="B60" s="46" t="str">
        <f aca="false">IF(Students!B49="","",Students!B49)</f>
        <v/>
      </c>
      <c r="C60" s="33" t="n">
        <f aca="false">'Jul 2027'!F60</f>
        <v>0</v>
      </c>
      <c r="D60" s="33" t="n">
        <f aca="false">IF(B60="",0,N(Students!E49))</f>
        <v>0</v>
      </c>
      <c r="E60" s="23"/>
      <c r="F60" s="24" t="n">
        <f aca="false">N(C60)+N(D60)-N(E60)</f>
        <v>0</v>
      </c>
      <c r="G60" s="33" t="n">
        <f aca="false">'Jul 2027'!J60</f>
        <v>0</v>
      </c>
      <c r="H60" s="33" t="n">
        <f aca="false">IF(B60="",0,N(Students!F49))</f>
        <v>0</v>
      </c>
      <c r="I60" s="23"/>
      <c r="J60" s="24" t="n">
        <f aca="false">N(G60)+N(H60)-N(I60)</f>
        <v>0</v>
      </c>
      <c r="K60" s="33" t="n">
        <f aca="false">'Jul 2027'!N60</f>
        <v>0</v>
      </c>
      <c r="L60" s="33" t="n">
        <f aca="false">IF(B60="",0,N(Students!G49))</f>
        <v>0</v>
      </c>
      <c r="M60" s="23"/>
      <c r="N60" s="24" t="n">
        <f aca="false">N(K60)+N(L60)-N(M60)</f>
        <v>0</v>
      </c>
      <c r="O60" s="33" t="n">
        <f aca="false">'Jul 2027'!R60</f>
        <v>0</v>
      </c>
      <c r="P60" s="33" t="n">
        <f aca="false">IF(B60="",0,N(Students!H49))</f>
        <v>0</v>
      </c>
      <c r="Q60" s="23"/>
      <c r="R60" s="24" t="n">
        <f aca="false">N(O60)+N(P60)-N(Q60)</f>
        <v>0</v>
      </c>
      <c r="S60" s="33" t="n">
        <f aca="false">'Jul 2027'!V60</f>
        <v>0</v>
      </c>
      <c r="T60" s="33" t="n">
        <f aca="false">IF(B60="",0,N(Students!I49))</f>
        <v>0</v>
      </c>
      <c r="U60" s="23"/>
      <c r="V60" s="24" t="n">
        <f aca="false">N(S60)+N(T60)-N(U60)</f>
        <v>0</v>
      </c>
      <c r="W60" s="33" t="n">
        <f aca="false">'Jul 2027'!Z60</f>
        <v>0</v>
      </c>
      <c r="X60" s="33" t="n">
        <f aca="false">IF(B60="",0,N(Students!J49))</f>
        <v>0</v>
      </c>
      <c r="Y60" s="23"/>
      <c r="Z60" s="24" t="n">
        <f aca="false">N(W60)+N(X60)-N(Y60)</f>
        <v>0</v>
      </c>
      <c r="AA60" s="33" t="n">
        <f aca="false">N(E60)+N(I60)+N(M60)+N(Q60)+N(U60)+N(Y60)</f>
        <v>0</v>
      </c>
      <c r="AB60" s="24" t="n">
        <f aca="false">F60+J60+N60+R60+V60+Z60</f>
        <v>0</v>
      </c>
      <c r="AC60" s="81" t="str">
        <f aca="false">IF(B60="","",IF(AB60&lt;=0,"Clear",IF(AA60&gt;0,"Partial","Due")))</f>
        <v/>
      </c>
    </row>
    <row r="61" customFormat="false" ht="15" hidden="false" customHeight="false" outlineLevel="0" collapsed="false">
      <c r="A61" s="25" t="n">
        <v>46</v>
      </c>
      <c r="B61" s="82" t="str">
        <f aca="false">IF(Students!B50="","",Students!B50)</f>
        <v/>
      </c>
      <c r="C61" s="37" t="n">
        <f aca="false">'Jul 2027'!F61</f>
        <v>0</v>
      </c>
      <c r="D61" s="37" t="n">
        <f aca="false">IF(B61="",0,N(Students!E50))</f>
        <v>0</v>
      </c>
      <c r="E61" s="23"/>
      <c r="F61" s="26" t="n">
        <f aca="false">N(C61)+N(D61)-N(E61)</f>
        <v>0</v>
      </c>
      <c r="G61" s="37" t="n">
        <f aca="false">'Jul 2027'!J61</f>
        <v>0</v>
      </c>
      <c r="H61" s="37" t="n">
        <f aca="false">IF(B61="",0,N(Students!F50))</f>
        <v>0</v>
      </c>
      <c r="I61" s="23"/>
      <c r="J61" s="26" t="n">
        <f aca="false">N(G61)+N(H61)-N(I61)</f>
        <v>0</v>
      </c>
      <c r="K61" s="37" t="n">
        <f aca="false">'Jul 2027'!N61</f>
        <v>0</v>
      </c>
      <c r="L61" s="37" t="n">
        <f aca="false">IF(B61="",0,N(Students!G50))</f>
        <v>0</v>
      </c>
      <c r="M61" s="23"/>
      <c r="N61" s="26" t="n">
        <f aca="false">N(K61)+N(L61)-N(M61)</f>
        <v>0</v>
      </c>
      <c r="O61" s="37" t="n">
        <f aca="false">'Jul 2027'!R61</f>
        <v>0</v>
      </c>
      <c r="P61" s="37" t="n">
        <f aca="false">IF(B61="",0,N(Students!H50))</f>
        <v>0</v>
      </c>
      <c r="Q61" s="23"/>
      <c r="R61" s="26" t="n">
        <f aca="false">N(O61)+N(P61)-N(Q61)</f>
        <v>0</v>
      </c>
      <c r="S61" s="37" t="n">
        <f aca="false">'Jul 2027'!V61</f>
        <v>0</v>
      </c>
      <c r="T61" s="37" t="n">
        <f aca="false">IF(B61="",0,N(Students!I50))</f>
        <v>0</v>
      </c>
      <c r="U61" s="23"/>
      <c r="V61" s="26" t="n">
        <f aca="false">N(S61)+N(T61)-N(U61)</f>
        <v>0</v>
      </c>
      <c r="W61" s="37" t="n">
        <f aca="false">'Jul 2027'!Z61</f>
        <v>0</v>
      </c>
      <c r="X61" s="37" t="n">
        <f aca="false">IF(B61="",0,N(Students!J50))</f>
        <v>0</v>
      </c>
      <c r="Y61" s="23"/>
      <c r="Z61" s="26" t="n">
        <f aca="false">N(W61)+N(X61)-N(Y61)</f>
        <v>0</v>
      </c>
      <c r="AA61" s="37" t="n">
        <f aca="false">N(E61)+N(I61)+N(M61)+N(Q61)+N(U61)+N(Y61)</f>
        <v>0</v>
      </c>
      <c r="AB61" s="26" t="n">
        <f aca="false">F61+J61+N61+R61+V61+Z61</f>
        <v>0</v>
      </c>
      <c r="AC61" s="83" t="str">
        <f aca="false">IF(B61="","",IF(AB61&lt;=0,"Clear",IF(AA61&gt;0,"Partial","Due")))</f>
        <v/>
      </c>
    </row>
    <row r="62" customFormat="false" ht="15" hidden="false" customHeight="false" outlineLevel="0" collapsed="false">
      <c r="A62" s="21" t="n">
        <v>47</v>
      </c>
      <c r="B62" s="46" t="str">
        <f aca="false">IF(Students!B51="","",Students!B51)</f>
        <v/>
      </c>
      <c r="C62" s="33" t="n">
        <f aca="false">'Jul 2027'!F62</f>
        <v>0</v>
      </c>
      <c r="D62" s="33" t="n">
        <f aca="false">IF(B62="",0,N(Students!E51))</f>
        <v>0</v>
      </c>
      <c r="E62" s="23"/>
      <c r="F62" s="24" t="n">
        <f aca="false">N(C62)+N(D62)-N(E62)</f>
        <v>0</v>
      </c>
      <c r="G62" s="33" t="n">
        <f aca="false">'Jul 2027'!J62</f>
        <v>0</v>
      </c>
      <c r="H62" s="33" t="n">
        <f aca="false">IF(B62="",0,N(Students!F51))</f>
        <v>0</v>
      </c>
      <c r="I62" s="23"/>
      <c r="J62" s="24" t="n">
        <f aca="false">N(G62)+N(H62)-N(I62)</f>
        <v>0</v>
      </c>
      <c r="K62" s="33" t="n">
        <f aca="false">'Jul 2027'!N62</f>
        <v>0</v>
      </c>
      <c r="L62" s="33" t="n">
        <f aca="false">IF(B62="",0,N(Students!G51))</f>
        <v>0</v>
      </c>
      <c r="M62" s="23"/>
      <c r="N62" s="24" t="n">
        <f aca="false">N(K62)+N(L62)-N(M62)</f>
        <v>0</v>
      </c>
      <c r="O62" s="33" t="n">
        <f aca="false">'Jul 2027'!R62</f>
        <v>0</v>
      </c>
      <c r="P62" s="33" t="n">
        <f aca="false">IF(B62="",0,N(Students!H51))</f>
        <v>0</v>
      </c>
      <c r="Q62" s="23"/>
      <c r="R62" s="24" t="n">
        <f aca="false">N(O62)+N(P62)-N(Q62)</f>
        <v>0</v>
      </c>
      <c r="S62" s="33" t="n">
        <f aca="false">'Jul 2027'!V62</f>
        <v>0</v>
      </c>
      <c r="T62" s="33" t="n">
        <f aca="false">IF(B62="",0,N(Students!I51))</f>
        <v>0</v>
      </c>
      <c r="U62" s="23"/>
      <c r="V62" s="24" t="n">
        <f aca="false">N(S62)+N(T62)-N(U62)</f>
        <v>0</v>
      </c>
      <c r="W62" s="33" t="n">
        <f aca="false">'Jul 2027'!Z62</f>
        <v>0</v>
      </c>
      <c r="X62" s="33" t="n">
        <f aca="false">IF(B62="",0,N(Students!J51))</f>
        <v>0</v>
      </c>
      <c r="Y62" s="23"/>
      <c r="Z62" s="24" t="n">
        <f aca="false">N(W62)+N(X62)-N(Y62)</f>
        <v>0</v>
      </c>
      <c r="AA62" s="33" t="n">
        <f aca="false">N(E62)+N(I62)+N(M62)+N(Q62)+N(U62)+N(Y62)</f>
        <v>0</v>
      </c>
      <c r="AB62" s="24" t="n">
        <f aca="false">F62+J62+N62+R62+V62+Z62</f>
        <v>0</v>
      </c>
      <c r="AC62" s="81" t="str">
        <f aca="false">IF(B62="","",IF(AB62&lt;=0,"Clear",IF(AA62&gt;0,"Partial","Due")))</f>
        <v/>
      </c>
    </row>
    <row r="63" customFormat="false" ht="15" hidden="false" customHeight="false" outlineLevel="0" collapsed="false">
      <c r="A63" s="25" t="n">
        <v>48</v>
      </c>
      <c r="B63" s="82" t="str">
        <f aca="false">IF(Students!B52="","",Students!B52)</f>
        <v/>
      </c>
      <c r="C63" s="37" t="n">
        <f aca="false">'Jul 2027'!F63</f>
        <v>0</v>
      </c>
      <c r="D63" s="37" t="n">
        <f aca="false">IF(B63="",0,N(Students!E52))</f>
        <v>0</v>
      </c>
      <c r="E63" s="23"/>
      <c r="F63" s="26" t="n">
        <f aca="false">N(C63)+N(D63)-N(E63)</f>
        <v>0</v>
      </c>
      <c r="G63" s="37" t="n">
        <f aca="false">'Jul 2027'!J63</f>
        <v>0</v>
      </c>
      <c r="H63" s="37" t="n">
        <f aca="false">IF(B63="",0,N(Students!F52))</f>
        <v>0</v>
      </c>
      <c r="I63" s="23"/>
      <c r="J63" s="26" t="n">
        <f aca="false">N(G63)+N(H63)-N(I63)</f>
        <v>0</v>
      </c>
      <c r="K63" s="37" t="n">
        <f aca="false">'Jul 2027'!N63</f>
        <v>0</v>
      </c>
      <c r="L63" s="37" t="n">
        <f aca="false">IF(B63="",0,N(Students!G52))</f>
        <v>0</v>
      </c>
      <c r="M63" s="23"/>
      <c r="N63" s="26" t="n">
        <f aca="false">N(K63)+N(L63)-N(M63)</f>
        <v>0</v>
      </c>
      <c r="O63" s="37" t="n">
        <f aca="false">'Jul 2027'!R63</f>
        <v>0</v>
      </c>
      <c r="P63" s="37" t="n">
        <f aca="false">IF(B63="",0,N(Students!H52))</f>
        <v>0</v>
      </c>
      <c r="Q63" s="23"/>
      <c r="R63" s="26" t="n">
        <f aca="false">N(O63)+N(P63)-N(Q63)</f>
        <v>0</v>
      </c>
      <c r="S63" s="37" t="n">
        <f aca="false">'Jul 2027'!V63</f>
        <v>0</v>
      </c>
      <c r="T63" s="37" t="n">
        <f aca="false">IF(B63="",0,N(Students!I52))</f>
        <v>0</v>
      </c>
      <c r="U63" s="23"/>
      <c r="V63" s="26" t="n">
        <f aca="false">N(S63)+N(T63)-N(U63)</f>
        <v>0</v>
      </c>
      <c r="W63" s="37" t="n">
        <f aca="false">'Jul 2027'!Z63</f>
        <v>0</v>
      </c>
      <c r="X63" s="37" t="n">
        <f aca="false">IF(B63="",0,N(Students!J52))</f>
        <v>0</v>
      </c>
      <c r="Y63" s="23"/>
      <c r="Z63" s="26" t="n">
        <f aca="false">N(W63)+N(X63)-N(Y63)</f>
        <v>0</v>
      </c>
      <c r="AA63" s="37" t="n">
        <f aca="false">N(E63)+N(I63)+N(M63)+N(Q63)+N(U63)+N(Y63)</f>
        <v>0</v>
      </c>
      <c r="AB63" s="26" t="n">
        <f aca="false">F63+J63+N63+R63+V63+Z63</f>
        <v>0</v>
      </c>
      <c r="AC63" s="83" t="str">
        <f aca="false">IF(B63="","",IF(AB63&lt;=0,"Clear",IF(AA63&gt;0,"Partial","Due")))</f>
        <v/>
      </c>
    </row>
    <row r="64" customFormat="false" ht="15" hidden="false" customHeight="false" outlineLevel="0" collapsed="false">
      <c r="A64" s="21" t="n">
        <v>49</v>
      </c>
      <c r="B64" s="46" t="str">
        <f aca="false">IF(Students!B53="","",Students!B53)</f>
        <v/>
      </c>
      <c r="C64" s="33" t="n">
        <f aca="false">'Jul 2027'!F64</f>
        <v>0</v>
      </c>
      <c r="D64" s="33" t="n">
        <f aca="false">IF(B64="",0,N(Students!E53))</f>
        <v>0</v>
      </c>
      <c r="E64" s="23"/>
      <c r="F64" s="24" t="n">
        <f aca="false">N(C64)+N(D64)-N(E64)</f>
        <v>0</v>
      </c>
      <c r="G64" s="33" t="n">
        <f aca="false">'Jul 2027'!J64</f>
        <v>0</v>
      </c>
      <c r="H64" s="33" t="n">
        <f aca="false">IF(B64="",0,N(Students!F53))</f>
        <v>0</v>
      </c>
      <c r="I64" s="23"/>
      <c r="J64" s="24" t="n">
        <f aca="false">N(G64)+N(H64)-N(I64)</f>
        <v>0</v>
      </c>
      <c r="K64" s="33" t="n">
        <f aca="false">'Jul 2027'!N64</f>
        <v>0</v>
      </c>
      <c r="L64" s="33" t="n">
        <f aca="false">IF(B64="",0,N(Students!G53))</f>
        <v>0</v>
      </c>
      <c r="M64" s="23"/>
      <c r="N64" s="24" t="n">
        <f aca="false">N(K64)+N(L64)-N(M64)</f>
        <v>0</v>
      </c>
      <c r="O64" s="33" t="n">
        <f aca="false">'Jul 2027'!R64</f>
        <v>0</v>
      </c>
      <c r="P64" s="33" t="n">
        <f aca="false">IF(B64="",0,N(Students!H53))</f>
        <v>0</v>
      </c>
      <c r="Q64" s="23"/>
      <c r="R64" s="24" t="n">
        <f aca="false">N(O64)+N(P64)-N(Q64)</f>
        <v>0</v>
      </c>
      <c r="S64" s="33" t="n">
        <f aca="false">'Jul 2027'!V64</f>
        <v>0</v>
      </c>
      <c r="T64" s="33" t="n">
        <f aca="false">IF(B64="",0,N(Students!I53))</f>
        <v>0</v>
      </c>
      <c r="U64" s="23"/>
      <c r="V64" s="24" t="n">
        <f aca="false">N(S64)+N(T64)-N(U64)</f>
        <v>0</v>
      </c>
      <c r="W64" s="33" t="n">
        <f aca="false">'Jul 2027'!Z64</f>
        <v>0</v>
      </c>
      <c r="X64" s="33" t="n">
        <f aca="false">IF(B64="",0,N(Students!J53))</f>
        <v>0</v>
      </c>
      <c r="Y64" s="23"/>
      <c r="Z64" s="24" t="n">
        <f aca="false">N(W64)+N(X64)-N(Y64)</f>
        <v>0</v>
      </c>
      <c r="AA64" s="33" t="n">
        <f aca="false">N(E64)+N(I64)+N(M64)+N(Q64)+N(U64)+N(Y64)</f>
        <v>0</v>
      </c>
      <c r="AB64" s="24" t="n">
        <f aca="false">F64+J64+N64+R64+V64+Z64</f>
        <v>0</v>
      </c>
      <c r="AC64" s="81" t="str">
        <f aca="false">IF(B64="","",IF(AB64&lt;=0,"Clear",IF(AA64&gt;0,"Partial","Due")))</f>
        <v/>
      </c>
    </row>
    <row r="65" customFormat="false" ht="15" hidden="false" customHeight="false" outlineLevel="0" collapsed="false">
      <c r="A65" s="25" t="n">
        <v>50</v>
      </c>
      <c r="B65" s="82" t="str">
        <f aca="false">IF(Students!B54="","",Students!B54)</f>
        <v/>
      </c>
      <c r="C65" s="37" t="n">
        <f aca="false">'Jul 2027'!F65</f>
        <v>0</v>
      </c>
      <c r="D65" s="37" t="n">
        <f aca="false">IF(B65="",0,N(Students!E54))</f>
        <v>0</v>
      </c>
      <c r="E65" s="23"/>
      <c r="F65" s="26" t="n">
        <f aca="false">N(C65)+N(D65)-N(E65)</f>
        <v>0</v>
      </c>
      <c r="G65" s="37" t="n">
        <f aca="false">'Jul 2027'!J65</f>
        <v>0</v>
      </c>
      <c r="H65" s="37" t="n">
        <f aca="false">IF(B65="",0,N(Students!F54))</f>
        <v>0</v>
      </c>
      <c r="I65" s="23"/>
      <c r="J65" s="26" t="n">
        <f aca="false">N(G65)+N(H65)-N(I65)</f>
        <v>0</v>
      </c>
      <c r="K65" s="37" t="n">
        <f aca="false">'Jul 2027'!N65</f>
        <v>0</v>
      </c>
      <c r="L65" s="37" t="n">
        <f aca="false">IF(B65="",0,N(Students!G54))</f>
        <v>0</v>
      </c>
      <c r="M65" s="23"/>
      <c r="N65" s="26" t="n">
        <f aca="false">N(K65)+N(L65)-N(M65)</f>
        <v>0</v>
      </c>
      <c r="O65" s="37" t="n">
        <f aca="false">'Jul 2027'!R65</f>
        <v>0</v>
      </c>
      <c r="P65" s="37" t="n">
        <f aca="false">IF(B65="",0,N(Students!H54))</f>
        <v>0</v>
      </c>
      <c r="Q65" s="23"/>
      <c r="R65" s="26" t="n">
        <f aca="false">N(O65)+N(P65)-N(Q65)</f>
        <v>0</v>
      </c>
      <c r="S65" s="37" t="n">
        <f aca="false">'Jul 2027'!V65</f>
        <v>0</v>
      </c>
      <c r="T65" s="37" t="n">
        <f aca="false">IF(B65="",0,N(Students!I54))</f>
        <v>0</v>
      </c>
      <c r="U65" s="23"/>
      <c r="V65" s="26" t="n">
        <f aca="false">N(S65)+N(T65)-N(U65)</f>
        <v>0</v>
      </c>
      <c r="W65" s="37" t="n">
        <f aca="false">'Jul 2027'!Z65</f>
        <v>0</v>
      </c>
      <c r="X65" s="37" t="n">
        <f aca="false">IF(B65="",0,N(Students!J54))</f>
        <v>0</v>
      </c>
      <c r="Y65" s="23"/>
      <c r="Z65" s="26" t="n">
        <f aca="false">N(W65)+N(X65)-N(Y65)</f>
        <v>0</v>
      </c>
      <c r="AA65" s="37" t="n">
        <f aca="false">N(E65)+N(I65)+N(M65)+N(Q65)+N(U65)+N(Y65)</f>
        <v>0</v>
      </c>
      <c r="AB65" s="26" t="n">
        <f aca="false">F65+J65+N65+R65+V65+Z65</f>
        <v>0</v>
      </c>
      <c r="AC65" s="83" t="str">
        <f aca="false">IF(B65="","",IF(AB65&lt;=0,"Clear",IF(AA65&gt;0,"Partial","Due")))</f>
        <v/>
      </c>
    </row>
    <row r="66" customFormat="false" ht="15" hidden="false" customHeight="false" outlineLevel="0" collapsed="false">
      <c r="A66" s="21" t="n">
        <v>51</v>
      </c>
      <c r="B66" s="46" t="str">
        <f aca="false">IF(Students!B55="","",Students!B55)</f>
        <v/>
      </c>
      <c r="C66" s="33" t="n">
        <f aca="false">'Jul 2027'!F66</f>
        <v>0</v>
      </c>
      <c r="D66" s="33" t="n">
        <f aca="false">IF(B66="",0,N(Students!E55))</f>
        <v>0</v>
      </c>
      <c r="E66" s="23"/>
      <c r="F66" s="24" t="n">
        <f aca="false">N(C66)+N(D66)-N(E66)</f>
        <v>0</v>
      </c>
      <c r="G66" s="33" t="n">
        <f aca="false">'Jul 2027'!J66</f>
        <v>0</v>
      </c>
      <c r="H66" s="33" t="n">
        <f aca="false">IF(B66="",0,N(Students!F55))</f>
        <v>0</v>
      </c>
      <c r="I66" s="23"/>
      <c r="J66" s="24" t="n">
        <f aca="false">N(G66)+N(H66)-N(I66)</f>
        <v>0</v>
      </c>
      <c r="K66" s="33" t="n">
        <f aca="false">'Jul 2027'!N66</f>
        <v>0</v>
      </c>
      <c r="L66" s="33" t="n">
        <f aca="false">IF(B66="",0,N(Students!G55))</f>
        <v>0</v>
      </c>
      <c r="M66" s="23"/>
      <c r="N66" s="24" t="n">
        <f aca="false">N(K66)+N(L66)-N(M66)</f>
        <v>0</v>
      </c>
      <c r="O66" s="33" t="n">
        <f aca="false">'Jul 2027'!R66</f>
        <v>0</v>
      </c>
      <c r="P66" s="33" t="n">
        <f aca="false">IF(B66="",0,N(Students!H55))</f>
        <v>0</v>
      </c>
      <c r="Q66" s="23"/>
      <c r="R66" s="24" t="n">
        <f aca="false">N(O66)+N(P66)-N(Q66)</f>
        <v>0</v>
      </c>
      <c r="S66" s="33" t="n">
        <f aca="false">'Jul 2027'!V66</f>
        <v>0</v>
      </c>
      <c r="T66" s="33" t="n">
        <f aca="false">IF(B66="",0,N(Students!I55))</f>
        <v>0</v>
      </c>
      <c r="U66" s="23"/>
      <c r="V66" s="24" t="n">
        <f aca="false">N(S66)+N(T66)-N(U66)</f>
        <v>0</v>
      </c>
      <c r="W66" s="33" t="n">
        <f aca="false">'Jul 2027'!Z66</f>
        <v>0</v>
      </c>
      <c r="X66" s="33" t="n">
        <f aca="false">IF(B66="",0,N(Students!J55))</f>
        <v>0</v>
      </c>
      <c r="Y66" s="23"/>
      <c r="Z66" s="24" t="n">
        <f aca="false">N(W66)+N(X66)-N(Y66)</f>
        <v>0</v>
      </c>
      <c r="AA66" s="33" t="n">
        <f aca="false">N(E66)+N(I66)+N(M66)+N(Q66)+N(U66)+N(Y66)</f>
        <v>0</v>
      </c>
      <c r="AB66" s="24" t="n">
        <f aca="false">F66+J66+N66+R66+V66+Z66</f>
        <v>0</v>
      </c>
      <c r="AC66" s="81" t="str">
        <f aca="false">IF(B66="","",IF(AB66&lt;=0,"Clear",IF(AA66&gt;0,"Partial","Due")))</f>
        <v/>
      </c>
    </row>
    <row r="67" customFormat="false" ht="15" hidden="false" customHeight="false" outlineLevel="0" collapsed="false">
      <c r="A67" s="25" t="n">
        <v>52</v>
      </c>
      <c r="B67" s="82" t="str">
        <f aca="false">IF(Students!B56="","",Students!B56)</f>
        <v/>
      </c>
      <c r="C67" s="37" t="n">
        <f aca="false">'Jul 2027'!F67</f>
        <v>0</v>
      </c>
      <c r="D67" s="37" t="n">
        <f aca="false">IF(B67="",0,N(Students!E56))</f>
        <v>0</v>
      </c>
      <c r="E67" s="23"/>
      <c r="F67" s="26" t="n">
        <f aca="false">N(C67)+N(D67)-N(E67)</f>
        <v>0</v>
      </c>
      <c r="G67" s="37" t="n">
        <f aca="false">'Jul 2027'!J67</f>
        <v>0</v>
      </c>
      <c r="H67" s="37" t="n">
        <f aca="false">IF(B67="",0,N(Students!F56))</f>
        <v>0</v>
      </c>
      <c r="I67" s="23"/>
      <c r="J67" s="26" t="n">
        <f aca="false">N(G67)+N(H67)-N(I67)</f>
        <v>0</v>
      </c>
      <c r="K67" s="37" t="n">
        <f aca="false">'Jul 2027'!N67</f>
        <v>0</v>
      </c>
      <c r="L67" s="37" t="n">
        <f aca="false">IF(B67="",0,N(Students!G56))</f>
        <v>0</v>
      </c>
      <c r="M67" s="23"/>
      <c r="N67" s="26" t="n">
        <f aca="false">N(K67)+N(L67)-N(M67)</f>
        <v>0</v>
      </c>
      <c r="O67" s="37" t="n">
        <f aca="false">'Jul 2027'!R67</f>
        <v>0</v>
      </c>
      <c r="P67" s="37" t="n">
        <f aca="false">IF(B67="",0,N(Students!H56))</f>
        <v>0</v>
      </c>
      <c r="Q67" s="23"/>
      <c r="R67" s="26" t="n">
        <f aca="false">N(O67)+N(P67)-N(Q67)</f>
        <v>0</v>
      </c>
      <c r="S67" s="37" t="n">
        <f aca="false">'Jul 2027'!V67</f>
        <v>0</v>
      </c>
      <c r="T67" s="37" t="n">
        <f aca="false">IF(B67="",0,N(Students!I56))</f>
        <v>0</v>
      </c>
      <c r="U67" s="23"/>
      <c r="V67" s="26" t="n">
        <f aca="false">N(S67)+N(T67)-N(U67)</f>
        <v>0</v>
      </c>
      <c r="W67" s="37" t="n">
        <f aca="false">'Jul 2027'!Z67</f>
        <v>0</v>
      </c>
      <c r="X67" s="37" t="n">
        <f aca="false">IF(B67="",0,N(Students!J56))</f>
        <v>0</v>
      </c>
      <c r="Y67" s="23"/>
      <c r="Z67" s="26" t="n">
        <f aca="false">N(W67)+N(X67)-N(Y67)</f>
        <v>0</v>
      </c>
      <c r="AA67" s="37" t="n">
        <f aca="false">N(E67)+N(I67)+N(M67)+N(Q67)+N(U67)+N(Y67)</f>
        <v>0</v>
      </c>
      <c r="AB67" s="26" t="n">
        <f aca="false">F67+J67+N67+R67+V67+Z67</f>
        <v>0</v>
      </c>
      <c r="AC67" s="83" t="str">
        <f aca="false">IF(B67="","",IF(AB67&lt;=0,"Clear",IF(AA67&gt;0,"Partial","Due")))</f>
        <v/>
      </c>
    </row>
    <row r="68" customFormat="false" ht="15" hidden="false" customHeight="false" outlineLevel="0" collapsed="false">
      <c r="A68" s="21" t="n">
        <v>53</v>
      </c>
      <c r="B68" s="46" t="str">
        <f aca="false">IF(Students!B57="","",Students!B57)</f>
        <v/>
      </c>
      <c r="C68" s="33" t="n">
        <f aca="false">'Jul 2027'!F68</f>
        <v>0</v>
      </c>
      <c r="D68" s="33" t="n">
        <f aca="false">IF(B68="",0,N(Students!E57))</f>
        <v>0</v>
      </c>
      <c r="E68" s="23"/>
      <c r="F68" s="24" t="n">
        <f aca="false">N(C68)+N(D68)-N(E68)</f>
        <v>0</v>
      </c>
      <c r="G68" s="33" t="n">
        <f aca="false">'Jul 2027'!J68</f>
        <v>0</v>
      </c>
      <c r="H68" s="33" t="n">
        <f aca="false">IF(B68="",0,N(Students!F57))</f>
        <v>0</v>
      </c>
      <c r="I68" s="23"/>
      <c r="J68" s="24" t="n">
        <f aca="false">N(G68)+N(H68)-N(I68)</f>
        <v>0</v>
      </c>
      <c r="K68" s="33" t="n">
        <f aca="false">'Jul 2027'!N68</f>
        <v>0</v>
      </c>
      <c r="L68" s="33" t="n">
        <f aca="false">IF(B68="",0,N(Students!G57))</f>
        <v>0</v>
      </c>
      <c r="M68" s="23"/>
      <c r="N68" s="24" t="n">
        <f aca="false">N(K68)+N(L68)-N(M68)</f>
        <v>0</v>
      </c>
      <c r="O68" s="33" t="n">
        <f aca="false">'Jul 2027'!R68</f>
        <v>0</v>
      </c>
      <c r="P68" s="33" t="n">
        <f aca="false">IF(B68="",0,N(Students!H57))</f>
        <v>0</v>
      </c>
      <c r="Q68" s="23"/>
      <c r="R68" s="24" t="n">
        <f aca="false">N(O68)+N(P68)-N(Q68)</f>
        <v>0</v>
      </c>
      <c r="S68" s="33" t="n">
        <f aca="false">'Jul 2027'!V68</f>
        <v>0</v>
      </c>
      <c r="T68" s="33" t="n">
        <f aca="false">IF(B68="",0,N(Students!I57))</f>
        <v>0</v>
      </c>
      <c r="U68" s="23"/>
      <c r="V68" s="24" t="n">
        <f aca="false">N(S68)+N(T68)-N(U68)</f>
        <v>0</v>
      </c>
      <c r="W68" s="33" t="n">
        <f aca="false">'Jul 2027'!Z68</f>
        <v>0</v>
      </c>
      <c r="X68" s="33" t="n">
        <f aca="false">IF(B68="",0,N(Students!J57))</f>
        <v>0</v>
      </c>
      <c r="Y68" s="23"/>
      <c r="Z68" s="24" t="n">
        <f aca="false">N(W68)+N(X68)-N(Y68)</f>
        <v>0</v>
      </c>
      <c r="AA68" s="33" t="n">
        <f aca="false">N(E68)+N(I68)+N(M68)+N(Q68)+N(U68)+N(Y68)</f>
        <v>0</v>
      </c>
      <c r="AB68" s="24" t="n">
        <f aca="false">F68+J68+N68+R68+V68+Z68</f>
        <v>0</v>
      </c>
      <c r="AC68" s="81" t="str">
        <f aca="false">IF(B68="","",IF(AB68&lt;=0,"Clear",IF(AA68&gt;0,"Partial","Due")))</f>
        <v/>
      </c>
    </row>
    <row r="69" customFormat="false" ht="15" hidden="false" customHeight="false" outlineLevel="0" collapsed="false">
      <c r="A69" s="25" t="n">
        <v>54</v>
      </c>
      <c r="B69" s="82" t="str">
        <f aca="false">IF(Students!B58="","",Students!B58)</f>
        <v/>
      </c>
      <c r="C69" s="37" t="n">
        <f aca="false">'Jul 2027'!F69</f>
        <v>0</v>
      </c>
      <c r="D69" s="37" t="n">
        <f aca="false">IF(B69="",0,N(Students!E58))</f>
        <v>0</v>
      </c>
      <c r="E69" s="23"/>
      <c r="F69" s="26" t="n">
        <f aca="false">N(C69)+N(D69)-N(E69)</f>
        <v>0</v>
      </c>
      <c r="G69" s="37" t="n">
        <f aca="false">'Jul 2027'!J69</f>
        <v>0</v>
      </c>
      <c r="H69" s="37" t="n">
        <f aca="false">IF(B69="",0,N(Students!F58))</f>
        <v>0</v>
      </c>
      <c r="I69" s="23"/>
      <c r="J69" s="26" t="n">
        <f aca="false">N(G69)+N(H69)-N(I69)</f>
        <v>0</v>
      </c>
      <c r="K69" s="37" t="n">
        <f aca="false">'Jul 2027'!N69</f>
        <v>0</v>
      </c>
      <c r="L69" s="37" t="n">
        <f aca="false">IF(B69="",0,N(Students!G58))</f>
        <v>0</v>
      </c>
      <c r="M69" s="23"/>
      <c r="N69" s="26" t="n">
        <f aca="false">N(K69)+N(L69)-N(M69)</f>
        <v>0</v>
      </c>
      <c r="O69" s="37" t="n">
        <f aca="false">'Jul 2027'!R69</f>
        <v>0</v>
      </c>
      <c r="P69" s="37" t="n">
        <f aca="false">IF(B69="",0,N(Students!H58))</f>
        <v>0</v>
      </c>
      <c r="Q69" s="23"/>
      <c r="R69" s="26" t="n">
        <f aca="false">N(O69)+N(P69)-N(Q69)</f>
        <v>0</v>
      </c>
      <c r="S69" s="37" t="n">
        <f aca="false">'Jul 2027'!V69</f>
        <v>0</v>
      </c>
      <c r="T69" s="37" t="n">
        <f aca="false">IF(B69="",0,N(Students!I58))</f>
        <v>0</v>
      </c>
      <c r="U69" s="23"/>
      <c r="V69" s="26" t="n">
        <f aca="false">N(S69)+N(T69)-N(U69)</f>
        <v>0</v>
      </c>
      <c r="W69" s="37" t="n">
        <f aca="false">'Jul 2027'!Z69</f>
        <v>0</v>
      </c>
      <c r="X69" s="37" t="n">
        <f aca="false">IF(B69="",0,N(Students!J58))</f>
        <v>0</v>
      </c>
      <c r="Y69" s="23"/>
      <c r="Z69" s="26" t="n">
        <f aca="false">N(W69)+N(X69)-N(Y69)</f>
        <v>0</v>
      </c>
      <c r="AA69" s="37" t="n">
        <f aca="false">N(E69)+N(I69)+N(M69)+N(Q69)+N(U69)+N(Y69)</f>
        <v>0</v>
      </c>
      <c r="AB69" s="26" t="n">
        <f aca="false">F69+J69+N69+R69+V69+Z69</f>
        <v>0</v>
      </c>
      <c r="AC69" s="83" t="str">
        <f aca="false">IF(B69="","",IF(AB69&lt;=0,"Clear",IF(AA69&gt;0,"Partial","Due")))</f>
        <v/>
      </c>
    </row>
    <row r="70" customFormat="false" ht="15" hidden="false" customHeight="false" outlineLevel="0" collapsed="false">
      <c r="A70" s="21" t="n">
        <v>55</v>
      </c>
      <c r="B70" s="46" t="str">
        <f aca="false">IF(Students!B59="","",Students!B59)</f>
        <v/>
      </c>
      <c r="C70" s="33" t="n">
        <f aca="false">'Jul 2027'!F70</f>
        <v>0</v>
      </c>
      <c r="D70" s="33" t="n">
        <f aca="false">IF(B70="",0,N(Students!E59))</f>
        <v>0</v>
      </c>
      <c r="E70" s="23"/>
      <c r="F70" s="24" t="n">
        <f aca="false">N(C70)+N(D70)-N(E70)</f>
        <v>0</v>
      </c>
      <c r="G70" s="33" t="n">
        <f aca="false">'Jul 2027'!J70</f>
        <v>0</v>
      </c>
      <c r="H70" s="33" t="n">
        <f aca="false">IF(B70="",0,N(Students!F59))</f>
        <v>0</v>
      </c>
      <c r="I70" s="23"/>
      <c r="J70" s="24" t="n">
        <f aca="false">N(G70)+N(H70)-N(I70)</f>
        <v>0</v>
      </c>
      <c r="K70" s="33" t="n">
        <f aca="false">'Jul 2027'!N70</f>
        <v>0</v>
      </c>
      <c r="L70" s="33" t="n">
        <f aca="false">IF(B70="",0,N(Students!G59))</f>
        <v>0</v>
      </c>
      <c r="M70" s="23"/>
      <c r="N70" s="24" t="n">
        <f aca="false">N(K70)+N(L70)-N(M70)</f>
        <v>0</v>
      </c>
      <c r="O70" s="33" t="n">
        <f aca="false">'Jul 2027'!R70</f>
        <v>0</v>
      </c>
      <c r="P70" s="33" t="n">
        <f aca="false">IF(B70="",0,N(Students!H59))</f>
        <v>0</v>
      </c>
      <c r="Q70" s="23"/>
      <c r="R70" s="24" t="n">
        <f aca="false">N(O70)+N(P70)-N(Q70)</f>
        <v>0</v>
      </c>
      <c r="S70" s="33" t="n">
        <f aca="false">'Jul 2027'!V70</f>
        <v>0</v>
      </c>
      <c r="T70" s="33" t="n">
        <f aca="false">IF(B70="",0,N(Students!I59))</f>
        <v>0</v>
      </c>
      <c r="U70" s="23"/>
      <c r="V70" s="24" t="n">
        <f aca="false">N(S70)+N(T70)-N(U70)</f>
        <v>0</v>
      </c>
      <c r="W70" s="33" t="n">
        <f aca="false">'Jul 2027'!Z70</f>
        <v>0</v>
      </c>
      <c r="X70" s="33" t="n">
        <f aca="false">IF(B70="",0,N(Students!J59))</f>
        <v>0</v>
      </c>
      <c r="Y70" s="23"/>
      <c r="Z70" s="24" t="n">
        <f aca="false">N(W70)+N(X70)-N(Y70)</f>
        <v>0</v>
      </c>
      <c r="AA70" s="33" t="n">
        <f aca="false">N(E70)+N(I70)+N(M70)+N(Q70)+N(U70)+N(Y70)</f>
        <v>0</v>
      </c>
      <c r="AB70" s="24" t="n">
        <f aca="false">F70+J70+N70+R70+V70+Z70</f>
        <v>0</v>
      </c>
      <c r="AC70" s="81" t="str">
        <f aca="false">IF(B70="","",IF(AB70&lt;=0,"Clear",IF(AA70&gt;0,"Partial","Due")))</f>
        <v/>
      </c>
    </row>
    <row r="71" customFormat="false" ht="15" hidden="false" customHeight="false" outlineLevel="0" collapsed="false">
      <c r="A71" s="25" t="n">
        <v>56</v>
      </c>
      <c r="B71" s="82" t="str">
        <f aca="false">IF(Students!B60="","",Students!B60)</f>
        <v/>
      </c>
      <c r="C71" s="37" t="n">
        <f aca="false">'Jul 2027'!F71</f>
        <v>0</v>
      </c>
      <c r="D71" s="37" t="n">
        <f aca="false">IF(B71="",0,N(Students!E60))</f>
        <v>0</v>
      </c>
      <c r="E71" s="23"/>
      <c r="F71" s="26" t="n">
        <f aca="false">N(C71)+N(D71)-N(E71)</f>
        <v>0</v>
      </c>
      <c r="G71" s="37" t="n">
        <f aca="false">'Jul 2027'!J71</f>
        <v>0</v>
      </c>
      <c r="H71" s="37" t="n">
        <f aca="false">IF(B71="",0,N(Students!F60))</f>
        <v>0</v>
      </c>
      <c r="I71" s="23"/>
      <c r="J71" s="26" t="n">
        <f aca="false">N(G71)+N(H71)-N(I71)</f>
        <v>0</v>
      </c>
      <c r="K71" s="37" t="n">
        <f aca="false">'Jul 2027'!N71</f>
        <v>0</v>
      </c>
      <c r="L71" s="37" t="n">
        <f aca="false">IF(B71="",0,N(Students!G60))</f>
        <v>0</v>
      </c>
      <c r="M71" s="23"/>
      <c r="N71" s="26" t="n">
        <f aca="false">N(K71)+N(L71)-N(M71)</f>
        <v>0</v>
      </c>
      <c r="O71" s="37" t="n">
        <f aca="false">'Jul 2027'!R71</f>
        <v>0</v>
      </c>
      <c r="P71" s="37" t="n">
        <f aca="false">IF(B71="",0,N(Students!H60))</f>
        <v>0</v>
      </c>
      <c r="Q71" s="23"/>
      <c r="R71" s="26" t="n">
        <f aca="false">N(O71)+N(P71)-N(Q71)</f>
        <v>0</v>
      </c>
      <c r="S71" s="37" t="n">
        <f aca="false">'Jul 2027'!V71</f>
        <v>0</v>
      </c>
      <c r="T71" s="37" t="n">
        <f aca="false">IF(B71="",0,N(Students!I60))</f>
        <v>0</v>
      </c>
      <c r="U71" s="23"/>
      <c r="V71" s="26" t="n">
        <f aca="false">N(S71)+N(T71)-N(U71)</f>
        <v>0</v>
      </c>
      <c r="W71" s="37" t="n">
        <f aca="false">'Jul 2027'!Z71</f>
        <v>0</v>
      </c>
      <c r="X71" s="37" t="n">
        <f aca="false">IF(B71="",0,N(Students!J60))</f>
        <v>0</v>
      </c>
      <c r="Y71" s="23"/>
      <c r="Z71" s="26" t="n">
        <f aca="false">N(W71)+N(X71)-N(Y71)</f>
        <v>0</v>
      </c>
      <c r="AA71" s="37" t="n">
        <f aca="false">N(E71)+N(I71)+N(M71)+N(Q71)+N(U71)+N(Y71)</f>
        <v>0</v>
      </c>
      <c r="AB71" s="26" t="n">
        <f aca="false">F71+J71+N71+R71+V71+Z71</f>
        <v>0</v>
      </c>
      <c r="AC71" s="83" t="str">
        <f aca="false">IF(B71="","",IF(AB71&lt;=0,"Clear",IF(AA71&gt;0,"Partial","Due")))</f>
        <v/>
      </c>
    </row>
    <row r="72" customFormat="false" ht="15" hidden="false" customHeight="false" outlineLevel="0" collapsed="false">
      <c r="A72" s="21" t="n">
        <v>57</v>
      </c>
      <c r="B72" s="46" t="str">
        <f aca="false">IF(Students!B61="","",Students!B61)</f>
        <v/>
      </c>
      <c r="C72" s="33" t="n">
        <f aca="false">'Jul 2027'!F72</f>
        <v>0</v>
      </c>
      <c r="D72" s="33" t="n">
        <f aca="false">IF(B72="",0,N(Students!E61))</f>
        <v>0</v>
      </c>
      <c r="E72" s="23"/>
      <c r="F72" s="24" t="n">
        <f aca="false">N(C72)+N(D72)-N(E72)</f>
        <v>0</v>
      </c>
      <c r="G72" s="33" t="n">
        <f aca="false">'Jul 2027'!J72</f>
        <v>0</v>
      </c>
      <c r="H72" s="33" t="n">
        <f aca="false">IF(B72="",0,N(Students!F61))</f>
        <v>0</v>
      </c>
      <c r="I72" s="23"/>
      <c r="J72" s="24" t="n">
        <f aca="false">N(G72)+N(H72)-N(I72)</f>
        <v>0</v>
      </c>
      <c r="K72" s="33" t="n">
        <f aca="false">'Jul 2027'!N72</f>
        <v>0</v>
      </c>
      <c r="L72" s="33" t="n">
        <f aca="false">IF(B72="",0,N(Students!G61))</f>
        <v>0</v>
      </c>
      <c r="M72" s="23"/>
      <c r="N72" s="24" t="n">
        <f aca="false">N(K72)+N(L72)-N(M72)</f>
        <v>0</v>
      </c>
      <c r="O72" s="33" t="n">
        <f aca="false">'Jul 2027'!R72</f>
        <v>0</v>
      </c>
      <c r="P72" s="33" t="n">
        <f aca="false">IF(B72="",0,N(Students!H61))</f>
        <v>0</v>
      </c>
      <c r="Q72" s="23"/>
      <c r="R72" s="24" t="n">
        <f aca="false">N(O72)+N(P72)-N(Q72)</f>
        <v>0</v>
      </c>
      <c r="S72" s="33" t="n">
        <f aca="false">'Jul 2027'!V72</f>
        <v>0</v>
      </c>
      <c r="T72" s="33" t="n">
        <f aca="false">IF(B72="",0,N(Students!I61))</f>
        <v>0</v>
      </c>
      <c r="U72" s="23"/>
      <c r="V72" s="24" t="n">
        <f aca="false">N(S72)+N(T72)-N(U72)</f>
        <v>0</v>
      </c>
      <c r="W72" s="33" t="n">
        <f aca="false">'Jul 2027'!Z72</f>
        <v>0</v>
      </c>
      <c r="X72" s="33" t="n">
        <f aca="false">IF(B72="",0,N(Students!J61))</f>
        <v>0</v>
      </c>
      <c r="Y72" s="23"/>
      <c r="Z72" s="24" t="n">
        <f aca="false">N(W72)+N(X72)-N(Y72)</f>
        <v>0</v>
      </c>
      <c r="AA72" s="33" t="n">
        <f aca="false">N(E72)+N(I72)+N(M72)+N(Q72)+N(U72)+N(Y72)</f>
        <v>0</v>
      </c>
      <c r="AB72" s="24" t="n">
        <f aca="false">F72+J72+N72+R72+V72+Z72</f>
        <v>0</v>
      </c>
      <c r="AC72" s="81" t="str">
        <f aca="false">IF(B72="","",IF(AB72&lt;=0,"Clear",IF(AA72&gt;0,"Partial","Due")))</f>
        <v/>
      </c>
    </row>
    <row r="73" customFormat="false" ht="15" hidden="false" customHeight="false" outlineLevel="0" collapsed="false">
      <c r="A73" s="25" t="n">
        <v>58</v>
      </c>
      <c r="B73" s="82" t="str">
        <f aca="false">IF(Students!B62="","",Students!B62)</f>
        <v/>
      </c>
      <c r="C73" s="37" t="n">
        <f aca="false">'Jul 2027'!F73</f>
        <v>0</v>
      </c>
      <c r="D73" s="37" t="n">
        <f aca="false">IF(B73="",0,N(Students!E62))</f>
        <v>0</v>
      </c>
      <c r="E73" s="23"/>
      <c r="F73" s="26" t="n">
        <f aca="false">N(C73)+N(D73)-N(E73)</f>
        <v>0</v>
      </c>
      <c r="G73" s="37" t="n">
        <f aca="false">'Jul 2027'!J73</f>
        <v>0</v>
      </c>
      <c r="H73" s="37" t="n">
        <f aca="false">IF(B73="",0,N(Students!F62))</f>
        <v>0</v>
      </c>
      <c r="I73" s="23"/>
      <c r="J73" s="26" t="n">
        <f aca="false">N(G73)+N(H73)-N(I73)</f>
        <v>0</v>
      </c>
      <c r="K73" s="37" t="n">
        <f aca="false">'Jul 2027'!N73</f>
        <v>0</v>
      </c>
      <c r="L73" s="37" t="n">
        <f aca="false">IF(B73="",0,N(Students!G62))</f>
        <v>0</v>
      </c>
      <c r="M73" s="23"/>
      <c r="N73" s="26" t="n">
        <f aca="false">N(K73)+N(L73)-N(M73)</f>
        <v>0</v>
      </c>
      <c r="O73" s="37" t="n">
        <f aca="false">'Jul 2027'!R73</f>
        <v>0</v>
      </c>
      <c r="P73" s="37" t="n">
        <f aca="false">IF(B73="",0,N(Students!H62))</f>
        <v>0</v>
      </c>
      <c r="Q73" s="23"/>
      <c r="R73" s="26" t="n">
        <f aca="false">N(O73)+N(P73)-N(Q73)</f>
        <v>0</v>
      </c>
      <c r="S73" s="37" t="n">
        <f aca="false">'Jul 2027'!V73</f>
        <v>0</v>
      </c>
      <c r="T73" s="37" t="n">
        <f aca="false">IF(B73="",0,N(Students!I62))</f>
        <v>0</v>
      </c>
      <c r="U73" s="23"/>
      <c r="V73" s="26" t="n">
        <f aca="false">N(S73)+N(T73)-N(U73)</f>
        <v>0</v>
      </c>
      <c r="W73" s="37" t="n">
        <f aca="false">'Jul 2027'!Z73</f>
        <v>0</v>
      </c>
      <c r="X73" s="37" t="n">
        <f aca="false">IF(B73="",0,N(Students!J62))</f>
        <v>0</v>
      </c>
      <c r="Y73" s="23"/>
      <c r="Z73" s="26" t="n">
        <f aca="false">N(W73)+N(X73)-N(Y73)</f>
        <v>0</v>
      </c>
      <c r="AA73" s="37" t="n">
        <f aca="false">N(E73)+N(I73)+N(M73)+N(Q73)+N(U73)+N(Y73)</f>
        <v>0</v>
      </c>
      <c r="AB73" s="26" t="n">
        <f aca="false">F73+J73+N73+R73+V73+Z73</f>
        <v>0</v>
      </c>
      <c r="AC73" s="83" t="str">
        <f aca="false">IF(B73="","",IF(AB73&lt;=0,"Clear",IF(AA73&gt;0,"Partial","Due")))</f>
        <v/>
      </c>
    </row>
    <row r="74" customFormat="false" ht="15" hidden="false" customHeight="false" outlineLevel="0" collapsed="false">
      <c r="A74" s="21" t="n">
        <v>59</v>
      </c>
      <c r="B74" s="46" t="str">
        <f aca="false">IF(Students!B63="","",Students!B63)</f>
        <v/>
      </c>
      <c r="C74" s="33" t="n">
        <f aca="false">'Jul 2027'!F74</f>
        <v>0</v>
      </c>
      <c r="D74" s="33" t="n">
        <f aca="false">IF(B74="",0,N(Students!E63))</f>
        <v>0</v>
      </c>
      <c r="E74" s="23"/>
      <c r="F74" s="24" t="n">
        <f aca="false">N(C74)+N(D74)-N(E74)</f>
        <v>0</v>
      </c>
      <c r="G74" s="33" t="n">
        <f aca="false">'Jul 2027'!J74</f>
        <v>0</v>
      </c>
      <c r="H74" s="33" t="n">
        <f aca="false">IF(B74="",0,N(Students!F63))</f>
        <v>0</v>
      </c>
      <c r="I74" s="23"/>
      <c r="J74" s="24" t="n">
        <f aca="false">N(G74)+N(H74)-N(I74)</f>
        <v>0</v>
      </c>
      <c r="K74" s="33" t="n">
        <f aca="false">'Jul 2027'!N74</f>
        <v>0</v>
      </c>
      <c r="L74" s="33" t="n">
        <f aca="false">IF(B74="",0,N(Students!G63))</f>
        <v>0</v>
      </c>
      <c r="M74" s="23"/>
      <c r="N74" s="24" t="n">
        <f aca="false">N(K74)+N(L74)-N(M74)</f>
        <v>0</v>
      </c>
      <c r="O74" s="33" t="n">
        <f aca="false">'Jul 2027'!R74</f>
        <v>0</v>
      </c>
      <c r="P74" s="33" t="n">
        <f aca="false">IF(B74="",0,N(Students!H63))</f>
        <v>0</v>
      </c>
      <c r="Q74" s="23"/>
      <c r="R74" s="24" t="n">
        <f aca="false">N(O74)+N(P74)-N(Q74)</f>
        <v>0</v>
      </c>
      <c r="S74" s="33" t="n">
        <f aca="false">'Jul 2027'!V74</f>
        <v>0</v>
      </c>
      <c r="T74" s="33" t="n">
        <f aca="false">IF(B74="",0,N(Students!I63))</f>
        <v>0</v>
      </c>
      <c r="U74" s="23"/>
      <c r="V74" s="24" t="n">
        <f aca="false">N(S74)+N(T74)-N(U74)</f>
        <v>0</v>
      </c>
      <c r="W74" s="33" t="n">
        <f aca="false">'Jul 2027'!Z74</f>
        <v>0</v>
      </c>
      <c r="X74" s="33" t="n">
        <f aca="false">IF(B74="",0,N(Students!J63))</f>
        <v>0</v>
      </c>
      <c r="Y74" s="23"/>
      <c r="Z74" s="24" t="n">
        <f aca="false">N(W74)+N(X74)-N(Y74)</f>
        <v>0</v>
      </c>
      <c r="AA74" s="33" t="n">
        <f aca="false">N(E74)+N(I74)+N(M74)+N(Q74)+N(U74)+N(Y74)</f>
        <v>0</v>
      </c>
      <c r="AB74" s="24" t="n">
        <f aca="false">F74+J74+N74+R74+V74+Z74</f>
        <v>0</v>
      </c>
      <c r="AC74" s="81" t="str">
        <f aca="false">IF(B74="","",IF(AB74&lt;=0,"Clear",IF(AA74&gt;0,"Partial","Due")))</f>
        <v/>
      </c>
    </row>
    <row r="75" customFormat="false" ht="15" hidden="false" customHeight="false" outlineLevel="0" collapsed="false">
      <c r="A75" s="25" t="n">
        <v>60</v>
      </c>
      <c r="B75" s="82" t="str">
        <f aca="false">IF(Students!B64="","",Students!B64)</f>
        <v/>
      </c>
      <c r="C75" s="37" t="n">
        <f aca="false">'Jul 2027'!F75</f>
        <v>0</v>
      </c>
      <c r="D75" s="37" t="n">
        <f aca="false">IF(B75="",0,N(Students!E64))</f>
        <v>0</v>
      </c>
      <c r="E75" s="23"/>
      <c r="F75" s="26" t="n">
        <f aca="false">N(C75)+N(D75)-N(E75)</f>
        <v>0</v>
      </c>
      <c r="G75" s="37" t="n">
        <f aca="false">'Jul 2027'!J75</f>
        <v>0</v>
      </c>
      <c r="H75" s="37" t="n">
        <f aca="false">IF(B75="",0,N(Students!F64))</f>
        <v>0</v>
      </c>
      <c r="I75" s="23"/>
      <c r="J75" s="26" t="n">
        <f aca="false">N(G75)+N(H75)-N(I75)</f>
        <v>0</v>
      </c>
      <c r="K75" s="37" t="n">
        <f aca="false">'Jul 2027'!N75</f>
        <v>0</v>
      </c>
      <c r="L75" s="37" t="n">
        <f aca="false">IF(B75="",0,N(Students!G64))</f>
        <v>0</v>
      </c>
      <c r="M75" s="23"/>
      <c r="N75" s="26" t="n">
        <f aca="false">N(K75)+N(L75)-N(M75)</f>
        <v>0</v>
      </c>
      <c r="O75" s="37" t="n">
        <f aca="false">'Jul 2027'!R75</f>
        <v>0</v>
      </c>
      <c r="P75" s="37" t="n">
        <f aca="false">IF(B75="",0,N(Students!H64))</f>
        <v>0</v>
      </c>
      <c r="Q75" s="23"/>
      <c r="R75" s="26" t="n">
        <f aca="false">N(O75)+N(P75)-N(Q75)</f>
        <v>0</v>
      </c>
      <c r="S75" s="37" t="n">
        <f aca="false">'Jul 2027'!V75</f>
        <v>0</v>
      </c>
      <c r="T75" s="37" t="n">
        <f aca="false">IF(B75="",0,N(Students!I64))</f>
        <v>0</v>
      </c>
      <c r="U75" s="23"/>
      <c r="V75" s="26" t="n">
        <f aca="false">N(S75)+N(T75)-N(U75)</f>
        <v>0</v>
      </c>
      <c r="W75" s="37" t="n">
        <f aca="false">'Jul 2027'!Z75</f>
        <v>0</v>
      </c>
      <c r="X75" s="37" t="n">
        <f aca="false">IF(B75="",0,N(Students!J64))</f>
        <v>0</v>
      </c>
      <c r="Y75" s="23"/>
      <c r="Z75" s="26" t="n">
        <f aca="false">N(W75)+N(X75)-N(Y75)</f>
        <v>0</v>
      </c>
      <c r="AA75" s="37" t="n">
        <f aca="false">N(E75)+N(I75)+N(M75)+N(Q75)+N(U75)+N(Y75)</f>
        <v>0</v>
      </c>
      <c r="AB75" s="26" t="n">
        <f aca="false">F75+J75+N75+R75+V75+Z75</f>
        <v>0</v>
      </c>
      <c r="AC75" s="83" t="str">
        <f aca="false">IF(B75="","",IF(AB75&lt;=0,"Clear",IF(AA75&gt;0,"Partial","Due")))</f>
        <v/>
      </c>
    </row>
    <row r="76" customFormat="false" ht="15" hidden="false" customHeight="false" outlineLevel="0" collapsed="false">
      <c r="A76" s="21" t="n">
        <v>61</v>
      </c>
      <c r="B76" s="46" t="str">
        <f aca="false">IF(Students!B65="","",Students!B65)</f>
        <v/>
      </c>
      <c r="C76" s="33" t="n">
        <f aca="false">'Jul 2027'!F76</f>
        <v>0</v>
      </c>
      <c r="D76" s="33" t="n">
        <f aca="false">IF(B76="",0,N(Students!E65))</f>
        <v>0</v>
      </c>
      <c r="E76" s="23"/>
      <c r="F76" s="24" t="n">
        <f aca="false">N(C76)+N(D76)-N(E76)</f>
        <v>0</v>
      </c>
      <c r="G76" s="33" t="n">
        <f aca="false">'Jul 2027'!J76</f>
        <v>0</v>
      </c>
      <c r="H76" s="33" t="n">
        <f aca="false">IF(B76="",0,N(Students!F65))</f>
        <v>0</v>
      </c>
      <c r="I76" s="23"/>
      <c r="J76" s="24" t="n">
        <f aca="false">N(G76)+N(H76)-N(I76)</f>
        <v>0</v>
      </c>
      <c r="K76" s="33" t="n">
        <f aca="false">'Jul 2027'!N76</f>
        <v>0</v>
      </c>
      <c r="L76" s="33" t="n">
        <f aca="false">IF(B76="",0,N(Students!G65))</f>
        <v>0</v>
      </c>
      <c r="M76" s="23"/>
      <c r="N76" s="24" t="n">
        <f aca="false">N(K76)+N(L76)-N(M76)</f>
        <v>0</v>
      </c>
      <c r="O76" s="33" t="n">
        <f aca="false">'Jul 2027'!R76</f>
        <v>0</v>
      </c>
      <c r="P76" s="33" t="n">
        <f aca="false">IF(B76="",0,N(Students!H65))</f>
        <v>0</v>
      </c>
      <c r="Q76" s="23"/>
      <c r="R76" s="24" t="n">
        <f aca="false">N(O76)+N(P76)-N(Q76)</f>
        <v>0</v>
      </c>
      <c r="S76" s="33" t="n">
        <f aca="false">'Jul 2027'!V76</f>
        <v>0</v>
      </c>
      <c r="T76" s="33" t="n">
        <f aca="false">IF(B76="",0,N(Students!I65))</f>
        <v>0</v>
      </c>
      <c r="U76" s="23"/>
      <c r="V76" s="24" t="n">
        <f aca="false">N(S76)+N(T76)-N(U76)</f>
        <v>0</v>
      </c>
      <c r="W76" s="33" t="n">
        <f aca="false">'Jul 2027'!Z76</f>
        <v>0</v>
      </c>
      <c r="X76" s="33" t="n">
        <f aca="false">IF(B76="",0,N(Students!J65))</f>
        <v>0</v>
      </c>
      <c r="Y76" s="23"/>
      <c r="Z76" s="24" t="n">
        <f aca="false">N(W76)+N(X76)-N(Y76)</f>
        <v>0</v>
      </c>
      <c r="AA76" s="33" t="n">
        <f aca="false">N(E76)+N(I76)+N(M76)+N(Q76)+N(U76)+N(Y76)</f>
        <v>0</v>
      </c>
      <c r="AB76" s="24" t="n">
        <f aca="false">F76+J76+N76+R76+V76+Z76</f>
        <v>0</v>
      </c>
      <c r="AC76" s="81" t="str">
        <f aca="false">IF(B76="","",IF(AB76&lt;=0,"Clear",IF(AA76&gt;0,"Partial","Due")))</f>
        <v/>
      </c>
    </row>
    <row r="77" customFormat="false" ht="15" hidden="false" customHeight="false" outlineLevel="0" collapsed="false">
      <c r="A77" s="25" t="n">
        <v>62</v>
      </c>
      <c r="B77" s="82" t="str">
        <f aca="false">IF(Students!B66="","",Students!B66)</f>
        <v/>
      </c>
      <c r="C77" s="37" t="n">
        <f aca="false">'Jul 2027'!F77</f>
        <v>0</v>
      </c>
      <c r="D77" s="37" t="n">
        <f aca="false">IF(B77="",0,N(Students!E66))</f>
        <v>0</v>
      </c>
      <c r="E77" s="23"/>
      <c r="F77" s="26" t="n">
        <f aca="false">N(C77)+N(D77)-N(E77)</f>
        <v>0</v>
      </c>
      <c r="G77" s="37" t="n">
        <f aca="false">'Jul 2027'!J77</f>
        <v>0</v>
      </c>
      <c r="H77" s="37" t="n">
        <f aca="false">IF(B77="",0,N(Students!F66))</f>
        <v>0</v>
      </c>
      <c r="I77" s="23"/>
      <c r="J77" s="26" t="n">
        <f aca="false">N(G77)+N(H77)-N(I77)</f>
        <v>0</v>
      </c>
      <c r="K77" s="37" t="n">
        <f aca="false">'Jul 2027'!N77</f>
        <v>0</v>
      </c>
      <c r="L77" s="37" t="n">
        <f aca="false">IF(B77="",0,N(Students!G66))</f>
        <v>0</v>
      </c>
      <c r="M77" s="23"/>
      <c r="N77" s="26" t="n">
        <f aca="false">N(K77)+N(L77)-N(M77)</f>
        <v>0</v>
      </c>
      <c r="O77" s="37" t="n">
        <f aca="false">'Jul 2027'!R77</f>
        <v>0</v>
      </c>
      <c r="P77" s="37" t="n">
        <f aca="false">IF(B77="",0,N(Students!H66))</f>
        <v>0</v>
      </c>
      <c r="Q77" s="23"/>
      <c r="R77" s="26" t="n">
        <f aca="false">N(O77)+N(P77)-N(Q77)</f>
        <v>0</v>
      </c>
      <c r="S77" s="37" t="n">
        <f aca="false">'Jul 2027'!V77</f>
        <v>0</v>
      </c>
      <c r="T77" s="37" t="n">
        <f aca="false">IF(B77="",0,N(Students!I66))</f>
        <v>0</v>
      </c>
      <c r="U77" s="23"/>
      <c r="V77" s="26" t="n">
        <f aca="false">N(S77)+N(T77)-N(U77)</f>
        <v>0</v>
      </c>
      <c r="W77" s="37" t="n">
        <f aca="false">'Jul 2027'!Z77</f>
        <v>0</v>
      </c>
      <c r="X77" s="37" t="n">
        <f aca="false">IF(B77="",0,N(Students!J66))</f>
        <v>0</v>
      </c>
      <c r="Y77" s="23"/>
      <c r="Z77" s="26" t="n">
        <f aca="false">N(W77)+N(X77)-N(Y77)</f>
        <v>0</v>
      </c>
      <c r="AA77" s="37" t="n">
        <f aca="false">N(E77)+N(I77)+N(M77)+N(Q77)+N(U77)+N(Y77)</f>
        <v>0</v>
      </c>
      <c r="AB77" s="26" t="n">
        <f aca="false">F77+J77+N77+R77+V77+Z77</f>
        <v>0</v>
      </c>
      <c r="AC77" s="83" t="str">
        <f aca="false">IF(B77="","",IF(AB77&lt;=0,"Clear",IF(AA77&gt;0,"Partial","Due")))</f>
        <v/>
      </c>
    </row>
    <row r="78" customFormat="false" ht="15" hidden="false" customHeight="false" outlineLevel="0" collapsed="false">
      <c r="A78" s="21" t="n">
        <v>63</v>
      </c>
      <c r="B78" s="46" t="str">
        <f aca="false">IF(Students!B67="","",Students!B67)</f>
        <v/>
      </c>
      <c r="C78" s="33" t="n">
        <f aca="false">'Jul 2027'!F78</f>
        <v>0</v>
      </c>
      <c r="D78" s="33" t="n">
        <f aca="false">IF(B78="",0,N(Students!E67))</f>
        <v>0</v>
      </c>
      <c r="E78" s="23"/>
      <c r="F78" s="24" t="n">
        <f aca="false">N(C78)+N(D78)-N(E78)</f>
        <v>0</v>
      </c>
      <c r="G78" s="33" t="n">
        <f aca="false">'Jul 2027'!J78</f>
        <v>0</v>
      </c>
      <c r="H78" s="33" t="n">
        <f aca="false">IF(B78="",0,N(Students!F67))</f>
        <v>0</v>
      </c>
      <c r="I78" s="23"/>
      <c r="J78" s="24" t="n">
        <f aca="false">N(G78)+N(H78)-N(I78)</f>
        <v>0</v>
      </c>
      <c r="K78" s="33" t="n">
        <f aca="false">'Jul 2027'!N78</f>
        <v>0</v>
      </c>
      <c r="L78" s="33" t="n">
        <f aca="false">IF(B78="",0,N(Students!G67))</f>
        <v>0</v>
      </c>
      <c r="M78" s="23"/>
      <c r="N78" s="24" t="n">
        <f aca="false">N(K78)+N(L78)-N(M78)</f>
        <v>0</v>
      </c>
      <c r="O78" s="33" t="n">
        <f aca="false">'Jul 2027'!R78</f>
        <v>0</v>
      </c>
      <c r="P78" s="33" t="n">
        <f aca="false">IF(B78="",0,N(Students!H67))</f>
        <v>0</v>
      </c>
      <c r="Q78" s="23"/>
      <c r="R78" s="24" t="n">
        <f aca="false">N(O78)+N(P78)-N(Q78)</f>
        <v>0</v>
      </c>
      <c r="S78" s="33" t="n">
        <f aca="false">'Jul 2027'!V78</f>
        <v>0</v>
      </c>
      <c r="T78" s="33" t="n">
        <f aca="false">IF(B78="",0,N(Students!I67))</f>
        <v>0</v>
      </c>
      <c r="U78" s="23"/>
      <c r="V78" s="24" t="n">
        <f aca="false">N(S78)+N(T78)-N(U78)</f>
        <v>0</v>
      </c>
      <c r="W78" s="33" t="n">
        <f aca="false">'Jul 2027'!Z78</f>
        <v>0</v>
      </c>
      <c r="X78" s="33" t="n">
        <f aca="false">IF(B78="",0,N(Students!J67))</f>
        <v>0</v>
      </c>
      <c r="Y78" s="23"/>
      <c r="Z78" s="24" t="n">
        <f aca="false">N(W78)+N(X78)-N(Y78)</f>
        <v>0</v>
      </c>
      <c r="AA78" s="33" t="n">
        <f aca="false">N(E78)+N(I78)+N(M78)+N(Q78)+N(U78)+N(Y78)</f>
        <v>0</v>
      </c>
      <c r="AB78" s="24" t="n">
        <f aca="false">F78+J78+N78+R78+V78+Z78</f>
        <v>0</v>
      </c>
      <c r="AC78" s="81" t="str">
        <f aca="false">IF(B78="","",IF(AB78&lt;=0,"Clear",IF(AA78&gt;0,"Partial","Due")))</f>
        <v/>
      </c>
    </row>
    <row r="79" customFormat="false" ht="15" hidden="false" customHeight="false" outlineLevel="0" collapsed="false">
      <c r="A79" s="25" t="n">
        <v>64</v>
      </c>
      <c r="B79" s="82" t="str">
        <f aca="false">IF(Students!B68="","",Students!B68)</f>
        <v/>
      </c>
      <c r="C79" s="37" t="n">
        <f aca="false">'Jul 2027'!F79</f>
        <v>0</v>
      </c>
      <c r="D79" s="37" t="n">
        <f aca="false">IF(B79="",0,N(Students!E68))</f>
        <v>0</v>
      </c>
      <c r="E79" s="23"/>
      <c r="F79" s="26" t="n">
        <f aca="false">N(C79)+N(D79)-N(E79)</f>
        <v>0</v>
      </c>
      <c r="G79" s="37" t="n">
        <f aca="false">'Jul 2027'!J79</f>
        <v>0</v>
      </c>
      <c r="H79" s="37" t="n">
        <f aca="false">IF(B79="",0,N(Students!F68))</f>
        <v>0</v>
      </c>
      <c r="I79" s="23"/>
      <c r="J79" s="26" t="n">
        <f aca="false">N(G79)+N(H79)-N(I79)</f>
        <v>0</v>
      </c>
      <c r="K79" s="37" t="n">
        <f aca="false">'Jul 2027'!N79</f>
        <v>0</v>
      </c>
      <c r="L79" s="37" t="n">
        <f aca="false">IF(B79="",0,N(Students!G68))</f>
        <v>0</v>
      </c>
      <c r="M79" s="23"/>
      <c r="N79" s="26" t="n">
        <f aca="false">N(K79)+N(L79)-N(M79)</f>
        <v>0</v>
      </c>
      <c r="O79" s="37" t="n">
        <f aca="false">'Jul 2027'!R79</f>
        <v>0</v>
      </c>
      <c r="P79" s="37" t="n">
        <f aca="false">IF(B79="",0,N(Students!H68))</f>
        <v>0</v>
      </c>
      <c r="Q79" s="23"/>
      <c r="R79" s="26" t="n">
        <f aca="false">N(O79)+N(P79)-N(Q79)</f>
        <v>0</v>
      </c>
      <c r="S79" s="37" t="n">
        <f aca="false">'Jul 2027'!V79</f>
        <v>0</v>
      </c>
      <c r="T79" s="37" t="n">
        <f aca="false">IF(B79="",0,N(Students!I68))</f>
        <v>0</v>
      </c>
      <c r="U79" s="23"/>
      <c r="V79" s="26" t="n">
        <f aca="false">N(S79)+N(T79)-N(U79)</f>
        <v>0</v>
      </c>
      <c r="W79" s="37" t="n">
        <f aca="false">'Jul 2027'!Z79</f>
        <v>0</v>
      </c>
      <c r="X79" s="37" t="n">
        <f aca="false">IF(B79="",0,N(Students!J68))</f>
        <v>0</v>
      </c>
      <c r="Y79" s="23"/>
      <c r="Z79" s="26" t="n">
        <f aca="false">N(W79)+N(X79)-N(Y79)</f>
        <v>0</v>
      </c>
      <c r="AA79" s="37" t="n">
        <f aca="false">N(E79)+N(I79)+N(M79)+N(Q79)+N(U79)+N(Y79)</f>
        <v>0</v>
      </c>
      <c r="AB79" s="26" t="n">
        <f aca="false">F79+J79+N79+R79+V79+Z79</f>
        <v>0</v>
      </c>
      <c r="AC79" s="83" t="str">
        <f aca="false">IF(B79="","",IF(AB79&lt;=0,"Clear",IF(AA79&gt;0,"Partial","Due")))</f>
        <v/>
      </c>
    </row>
    <row r="80" customFormat="false" ht="15" hidden="false" customHeight="false" outlineLevel="0" collapsed="false">
      <c r="A80" s="21" t="n">
        <v>65</v>
      </c>
      <c r="B80" s="46" t="str">
        <f aca="false">IF(Students!B69="","",Students!B69)</f>
        <v/>
      </c>
      <c r="C80" s="33" t="n">
        <f aca="false">'Jul 2027'!F80</f>
        <v>0</v>
      </c>
      <c r="D80" s="33" t="n">
        <f aca="false">IF(B80="",0,N(Students!E69))</f>
        <v>0</v>
      </c>
      <c r="E80" s="23"/>
      <c r="F80" s="24" t="n">
        <f aca="false">N(C80)+N(D80)-N(E80)</f>
        <v>0</v>
      </c>
      <c r="G80" s="33" t="n">
        <f aca="false">'Jul 2027'!J80</f>
        <v>0</v>
      </c>
      <c r="H80" s="33" t="n">
        <f aca="false">IF(B80="",0,N(Students!F69))</f>
        <v>0</v>
      </c>
      <c r="I80" s="23"/>
      <c r="J80" s="24" t="n">
        <f aca="false">N(G80)+N(H80)-N(I80)</f>
        <v>0</v>
      </c>
      <c r="K80" s="33" t="n">
        <f aca="false">'Jul 2027'!N80</f>
        <v>0</v>
      </c>
      <c r="L80" s="33" t="n">
        <f aca="false">IF(B80="",0,N(Students!G69))</f>
        <v>0</v>
      </c>
      <c r="M80" s="23"/>
      <c r="N80" s="24" t="n">
        <f aca="false">N(K80)+N(L80)-N(M80)</f>
        <v>0</v>
      </c>
      <c r="O80" s="33" t="n">
        <f aca="false">'Jul 2027'!R80</f>
        <v>0</v>
      </c>
      <c r="P80" s="33" t="n">
        <f aca="false">IF(B80="",0,N(Students!H69))</f>
        <v>0</v>
      </c>
      <c r="Q80" s="23"/>
      <c r="R80" s="24" t="n">
        <f aca="false">N(O80)+N(P80)-N(Q80)</f>
        <v>0</v>
      </c>
      <c r="S80" s="33" t="n">
        <f aca="false">'Jul 2027'!V80</f>
        <v>0</v>
      </c>
      <c r="T80" s="33" t="n">
        <f aca="false">IF(B80="",0,N(Students!I69))</f>
        <v>0</v>
      </c>
      <c r="U80" s="23"/>
      <c r="V80" s="24" t="n">
        <f aca="false">N(S80)+N(T80)-N(U80)</f>
        <v>0</v>
      </c>
      <c r="W80" s="33" t="n">
        <f aca="false">'Jul 2027'!Z80</f>
        <v>0</v>
      </c>
      <c r="X80" s="33" t="n">
        <f aca="false">IF(B80="",0,N(Students!J69))</f>
        <v>0</v>
      </c>
      <c r="Y80" s="23"/>
      <c r="Z80" s="24" t="n">
        <f aca="false">N(W80)+N(X80)-N(Y80)</f>
        <v>0</v>
      </c>
      <c r="AA80" s="33" t="n">
        <f aca="false">N(E80)+N(I80)+N(M80)+N(Q80)+N(U80)+N(Y80)</f>
        <v>0</v>
      </c>
      <c r="AB80" s="24" t="n">
        <f aca="false">F80+J80+N80+R80+V80+Z80</f>
        <v>0</v>
      </c>
      <c r="AC80" s="81" t="str">
        <f aca="false">IF(B80="","",IF(AB80&lt;=0,"Clear",IF(AA80&gt;0,"Partial","Due")))</f>
        <v/>
      </c>
    </row>
    <row r="81" customFormat="false" ht="15" hidden="false" customHeight="false" outlineLevel="0" collapsed="false">
      <c r="A81" s="25" t="n">
        <v>66</v>
      </c>
      <c r="B81" s="82" t="str">
        <f aca="false">IF(Students!B70="","",Students!B70)</f>
        <v/>
      </c>
      <c r="C81" s="37" t="n">
        <f aca="false">'Jul 2027'!F81</f>
        <v>0</v>
      </c>
      <c r="D81" s="37" t="n">
        <f aca="false">IF(B81="",0,N(Students!E70))</f>
        <v>0</v>
      </c>
      <c r="E81" s="23"/>
      <c r="F81" s="26" t="n">
        <f aca="false">N(C81)+N(D81)-N(E81)</f>
        <v>0</v>
      </c>
      <c r="G81" s="37" t="n">
        <f aca="false">'Jul 2027'!J81</f>
        <v>0</v>
      </c>
      <c r="H81" s="37" t="n">
        <f aca="false">IF(B81="",0,N(Students!F70))</f>
        <v>0</v>
      </c>
      <c r="I81" s="23"/>
      <c r="J81" s="26" t="n">
        <f aca="false">N(G81)+N(H81)-N(I81)</f>
        <v>0</v>
      </c>
      <c r="K81" s="37" t="n">
        <f aca="false">'Jul 2027'!N81</f>
        <v>0</v>
      </c>
      <c r="L81" s="37" t="n">
        <f aca="false">IF(B81="",0,N(Students!G70))</f>
        <v>0</v>
      </c>
      <c r="M81" s="23"/>
      <c r="N81" s="26" t="n">
        <f aca="false">N(K81)+N(L81)-N(M81)</f>
        <v>0</v>
      </c>
      <c r="O81" s="37" t="n">
        <f aca="false">'Jul 2027'!R81</f>
        <v>0</v>
      </c>
      <c r="P81" s="37" t="n">
        <f aca="false">IF(B81="",0,N(Students!H70))</f>
        <v>0</v>
      </c>
      <c r="Q81" s="23"/>
      <c r="R81" s="26" t="n">
        <f aca="false">N(O81)+N(P81)-N(Q81)</f>
        <v>0</v>
      </c>
      <c r="S81" s="37" t="n">
        <f aca="false">'Jul 2027'!V81</f>
        <v>0</v>
      </c>
      <c r="T81" s="37" t="n">
        <f aca="false">IF(B81="",0,N(Students!I70))</f>
        <v>0</v>
      </c>
      <c r="U81" s="23"/>
      <c r="V81" s="26" t="n">
        <f aca="false">N(S81)+N(T81)-N(U81)</f>
        <v>0</v>
      </c>
      <c r="W81" s="37" t="n">
        <f aca="false">'Jul 2027'!Z81</f>
        <v>0</v>
      </c>
      <c r="X81" s="37" t="n">
        <f aca="false">IF(B81="",0,N(Students!J70))</f>
        <v>0</v>
      </c>
      <c r="Y81" s="23"/>
      <c r="Z81" s="26" t="n">
        <f aca="false">N(W81)+N(X81)-N(Y81)</f>
        <v>0</v>
      </c>
      <c r="AA81" s="37" t="n">
        <f aca="false">N(E81)+N(I81)+N(M81)+N(Q81)+N(U81)+N(Y81)</f>
        <v>0</v>
      </c>
      <c r="AB81" s="26" t="n">
        <f aca="false">F81+J81+N81+R81+V81+Z81</f>
        <v>0</v>
      </c>
      <c r="AC81" s="83" t="str">
        <f aca="false">IF(B81="","",IF(AB81&lt;=0,"Clear",IF(AA81&gt;0,"Partial","Due")))</f>
        <v/>
      </c>
    </row>
    <row r="82" customFormat="false" ht="15" hidden="false" customHeight="false" outlineLevel="0" collapsed="false">
      <c r="A82" s="21" t="n">
        <v>67</v>
      </c>
      <c r="B82" s="46" t="str">
        <f aca="false">IF(Students!B71="","",Students!B71)</f>
        <v/>
      </c>
      <c r="C82" s="33" t="n">
        <f aca="false">'Jul 2027'!F82</f>
        <v>0</v>
      </c>
      <c r="D82" s="33" t="n">
        <f aca="false">IF(B82="",0,N(Students!E71))</f>
        <v>0</v>
      </c>
      <c r="E82" s="23"/>
      <c r="F82" s="24" t="n">
        <f aca="false">N(C82)+N(D82)-N(E82)</f>
        <v>0</v>
      </c>
      <c r="G82" s="33" t="n">
        <f aca="false">'Jul 2027'!J82</f>
        <v>0</v>
      </c>
      <c r="H82" s="33" t="n">
        <f aca="false">IF(B82="",0,N(Students!F71))</f>
        <v>0</v>
      </c>
      <c r="I82" s="23"/>
      <c r="J82" s="24" t="n">
        <f aca="false">N(G82)+N(H82)-N(I82)</f>
        <v>0</v>
      </c>
      <c r="K82" s="33" t="n">
        <f aca="false">'Jul 2027'!N82</f>
        <v>0</v>
      </c>
      <c r="L82" s="33" t="n">
        <f aca="false">IF(B82="",0,N(Students!G71))</f>
        <v>0</v>
      </c>
      <c r="M82" s="23"/>
      <c r="N82" s="24" t="n">
        <f aca="false">N(K82)+N(L82)-N(M82)</f>
        <v>0</v>
      </c>
      <c r="O82" s="33" t="n">
        <f aca="false">'Jul 2027'!R82</f>
        <v>0</v>
      </c>
      <c r="P82" s="33" t="n">
        <f aca="false">IF(B82="",0,N(Students!H71))</f>
        <v>0</v>
      </c>
      <c r="Q82" s="23"/>
      <c r="R82" s="24" t="n">
        <f aca="false">N(O82)+N(P82)-N(Q82)</f>
        <v>0</v>
      </c>
      <c r="S82" s="33" t="n">
        <f aca="false">'Jul 2027'!V82</f>
        <v>0</v>
      </c>
      <c r="T82" s="33" t="n">
        <f aca="false">IF(B82="",0,N(Students!I71))</f>
        <v>0</v>
      </c>
      <c r="U82" s="23"/>
      <c r="V82" s="24" t="n">
        <f aca="false">N(S82)+N(T82)-N(U82)</f>
        <v>0</v>
      </c>
      <c r="W82" s="33" t="n">
        <f aca="false">'Jul 2027'!Z82</f>
        <v>0</v>
      </c>
      <c r="X82" s="33" t="n">
        <f aca="false">IF(B82="",0,N(Students!J71))</f>
        <v>0</v>
      </c>
      <c r="Y82" s="23"/>
      <c r="Z82" s="24" t="n">
        <f aca="false">N(W82)+N(X82)-N(Y82)</f>
        <v>0</v>
      </c>
      <c r="AA82" s="33" t="n">
        <f aca="false">N(E82)+N(I82)+N(M82)+N(Q82)+N(U82)+N(Y82)</f>
        <v>0</v>
      </c>
      <c r="AB82" s="24" t="n">
        <f aca="false">F82+J82+N82+R82+V82+Z82</f>
        <v>0</v>
      </c>
      <c r="AC82" s="81" t="str">
        <f aca="false">IF(B82="","",IF(AB82&lt;=0,"Clear",IF(AA82&gt;0,"Partial","Due")))</f>
        <v/>
      </c>
    </row>
    <row r="83" customFormat="false" ht="15" hidden="false" customHeight="false" outlineLevel="0" collapsed="false">
      <c r="A83" s="25" t="n">
        <v>68</v>
      </c>
      <c r="B83" s="82" t="str">
        <f aca="false">IF(Students!B72="","",Students!B72)</f>
        <v/>
      </c>
      <c r="C83" s="37" t="n">
        <f aca="false">'Jul 2027'!F83</f>
        <v>0</v>
      </c>
      <c r="D83" s="37" t="n">
        <f aca="false">IF(B83="",0,N(Students!E72))</f>
        <v>0</v>
      </c>
      <c r="E83" s="23"/>
      <c r="F83" s="26" t="n">
        <f aca="false">N(C83)+N(D83)-N(E83)</f>
        <v>0</v>
      </c>
      <c r="G83" s="37" t="n">
        <f aca="false">'Jul 2027'!J83</f>
        <v>0</v>
      </c>
      <c r="H83" s="37" t="n">
        <f aca="false">IF(B83="",0,N(Students!F72))</f>
        <v>0</v>
      </c>
      <c r="I83" s="23"/>
      <c r="J83" s="26" t="n">
        <f aca="false">N(G83)+N(H83)-N(I83)</f>
        <v>0</v>
      </c>
      <c r="K83" s="37" t="n">
        <f aca="false">'Jul 2027'!N83</f>
        <v>0</v>
      </c>
      <c r="L83" s="37" t="n">
        <f aca="false">IF(B83="",0,N(Students!G72))</f>
        <v>0</v>
      </c>
      <c r="M83" s="23"/>
      <c r="N83" s="26" t="n">
        <f aca="false">N(K83)+N(L83)-N(M83)</f>
        <v>0</v>
      </c>
      <c r="O83" s="37" t="n">
        <f aca="false">'Jul 2027'!R83</f>
        <v>0</v>
      </c>
      <c r="P83" s="37" t="n">
        <f aca="false">IF(B83="",0,N(Students!H72))</f>
        <v>0</v>
      </c>
      <c r="Q83" s="23"/>
      <c r="R83" s="26" t="n">
        <f aca="false">N(O83)+N(P83)-N(Q83)</f>
        <v>0</v>
      </c>
      <c r="S83" s="37" t="n">
        <f aca="false">'Jul 2027'!V83</f>
        <v>0</v>
      </c>
      <c r="T83" s="37" t="n">
        <f aca="false">IF(B83="",0,N(Students!I72))</f>
        <v>0</v>
      </c>
      <c r="U83" s="23"/>
      <c r="V83" s="26" t="n">
        <f aca="false">N(S83)+N(T83)-N(U83)</f>
        <v>0</v>
      </c>
      <c r="W83" s="37" t="n">
        <f aca="false">'Jul 2027'!Z83</f>
        <v>0</v>
      </c>
      <c r="X83" s="37" t="n">
        <f aca="false">IF(B83="",0,N(Students!J72))</f>
        <v>0</v>
      </c>
      <c r="Y83" s="23"/>
      <c r="Z83" s="26" t="n">
        <f aca="false">N(W83)+N(X83)-N(Y83)</f>
        <v>0</v>
      </c>
      <c r="AA83" s="37" t="n">
        <f aca="false">N(E83)+N(I83)+N(M83)+N(Q83)+N(U83)+N(Y83)</f>
        <v>0</v>
      </c>
      <c r="AB83" s="26" t="n">
        <f aca="false">F83+J83+N83+R83+V83+Z83</f>
        <v>0</v>
      </c>
      <c r="AC83" s="83" t="str">
        <f aca="false">IF(B83="","",IF(AB83&lt;=0,"Clear",IF(AA83&gt;0,"Partial","Due")))</f>
        <v/>
      </c>
    </row>
    <row r="84" customFormat="false" ht="15" hidden="false" customHeight="false" outlineLevel="0" collapsed="false">
      <c r="A84" s="21" t="n">
        <v>69</v>
      </c>
      <c r="B84" s="46" t="str">
        <f aca="false">IF(Students!B73="","",Students!B73)</f>
        <v/>
      </c>
      <c r="C84" s="33" t="n">
        <f aca="false">'Jul 2027'!F84</f>
        <v>0</v>
      </c>
      <c r="D84" s="33" t="n">
        <f aca="false">IF(B84="",0,N(Students!E73))</f>
        <v>0</v>
      </c>
      <c r="E84" s="23"/>
      <c r="F84" s="24" t="n">
        <f aca="false">N(C84)+N(D84)-N(E84)</f>
        <v>0</v>
      </c>
      <c r="G84" s="33" t="n">
        <f aca="false">'Jul 2027'!J84</f>
        <v>0</v>
      </c>
      <c r="H84" s="33" t="n">
        <f aca="false">IF(B84="",0,N(Students!F73))</f>
        <v>0</v>
      </c>
      <c r="I84" s="23"/>
      <c r="J84" s="24" t="n">
        <f aca="false">N(G84)+N(H84)-N(I84)</f>
        <v>0</v>
      </c>
      <c r="K84" s="33" t="n">
        <f aca="false">'Jul 2027'!N84</f>
        <v>0</v>
      </c>
      <c r="L84" s="33" t="n">
        <f aca="false">IF(B84="",0,N(Students!G73))</f>
        <v>0</v>
      </c>
      <c r="M84" s="23"/>
      <c r="N84" s="24" t="n">
        <f aca="false">N(K84)+N(L84)-N(M84)</f>
        <v>0</v>
      </c>
      <c r="O84" s="33" t="n">
        <f aca="false">'Jul 2027'!R84</f>
        <v>0</v>
      </c>
      <c r="P84" s="33" t="n">
        <f aca="false">IF(B84="",0,N(Students!H73))</f>
        <v>0</v>
      </c>
      <c r="Q84" s="23"/>
      <c r="R84" s="24" t="n">
        <f aca="false">N(O84)+N(P84)-N(Q84)</f>
        <v>0</v>
      </c>
      <c r="S84" s="33" t="n">
        <f aca="false">'Jul 2027'!V84</f>
        <v>0</v>
      </c>
      <c r="T84" s="33" t="n">
        <f aca="false">IF(B84="",0,N(Students!I73))</f>
        <v>0</v>
      </c>
      <c r="U84" s="23"/>
      <c r="V84" s="24" t="n">
        <f aca="false">N(S84)+N(T84)-N(U84)</f>
        <v>0</v>
      </c>
      <c r="W84" s="33" t="n">
        <f aca="false">'Jul 2027'!Z84</f>
        <v>0</v>
      </c>
      <c r="X84" s="33" t="n">
        <f aca="false">IF(B84="",0,N(Students!J73))</f>
        <v>0</v>
      </c>
      <c r="Y84" s="23"/>
      <c r="Z84" s="24" t="n">
        <f aca="false">N(W84)+N(X84)-N(Y84)</f>
        <v>0</v>
      </c>
      <c r="AA84" s="33" t="n">
        <f aca="false">N(E84)+N(I84)+N(M84)+N(Q84)+N(U84)+N(Y84)</f>
        <v>0</v>
      </c>
      <c r="AB84" s="24" t="n">
        <f aca="false">F84+J84+N84+R84+V84+Z84</f>
        <v>0</v>
      </c>
      <c r="AC84" s="81" t="str">
        <f aca="false">IF(B84="","",IF(AB84&lt;=0,"Clear",IF(AA84&gt;0,"Partial","Due")))</f>
        <v/>
      </c>
    </row>
    <row r="85" customFormat="false" ht="15" hidden="false" customHeight="false" outlineLevel="0" collapsed="false">
      <c r="A85" s="25" t="n">
        <v>70</v>
      </c>
      <c r="B85" s="82" t="str">
        <f aca="false">IF(Students!B74="","",Students!B74)</f>
        <v/>
      </c>
      <c r="C85" s="37" t="n">
        <f aca="false">'Jul 2027'!F85</f>
        <v>0</v>
      </c>
      <c r="D85" s="37" t="n">
        <f aca="false">IF(B85="",0,N(Students!E74))</f>
        <v>0</v>
      </c>
      <c r="E85" s="23"/>
      <c r="F85" s="26" t="n">
        <f aca="false">N(C85)+N(D85)-N(E85)</f>
        <v>0</v>
      </c>
      <c r="G85" s="37" t="n">
        <f aca="false">'Jul 2027'!J85</f>
        <v>0</v>
      </c>
      <c r="H85" s="37" t="n">
        <f aca="false">IF(B85="",0,N(Students!F74))</f>
        <v>0</v>
      </c>
      <c r="I85" s="23"/>
      <c r="J85" s="26" t="n">
        <f aca="false">N(G85)+N(H85)-N(I85)</f>
        <v>0</v>
      </c>
      <c r="K85" s="37" t="n">
        <f aca="false">'Jul 2027'!N85</f>
        <v>0</v>
      </c>
      <c r="L85" s="37" t="n">
        <f aca="false">IF(B85="",0,N(Students!G74))</f>
        <v>0</v>
      </c>
      <c r="M85" s="23"/>
      <c r="N85" s="26" t="n">
        <f aca="false">N(K85)+N(L85)-N(M85)</f>
        <v>0</v>
      </c>
      <c r="O85" s="37" t="n">
        <f aca="false">'Jul 2027'!R85</f>
        <v>0</v>
      </c>
      <c r="P85" s="37" t="n">
        <f aca="false">IF(B85="",0,N(Students!H74))</f>
        <v>0</v>
      </c>
      <c r="Q85" s="23"/>
      <c r="R85" s="26" t="n">
        <f aca="false">N(O85)+N(P85)-N(Q85)</f>
        <v>0</v>
      </c>
      <c r="S85" s="37" t="n">
        <f aca="false">'Jul 2027'!V85</f>
        <v>0</v>
      </c>
      <c r="T85" s="37" t="n">
        <f aca="false">IF(B85="",0,N(Students!I74))</f>
        <v>0</v>
      </c>
      <c r="U85" s="23"/>
      <c r="V85" s="26" t="n">
        <f aca="false">N(S85)+N(T85)-N(U85)</f>
        <v>0</v>
      </c>
      <c r="W85" s="37" t="n">
        <f aca="false">'Jul 2027'!Z85</f>
        <v>0</v>
      </c>
      <c r="X85" s="37" t="n">
        <f aca="false">IF(B85="",0,N(Students!J74))</f>
        <v>0</v>
      </c>
      <c r="Y85" s="23"/>
      <c r="Z85" s="26" t="n">
        <f aca="false">N(W85)+N(X85)-N(Y85)</f>
        <v>0</v>
      </c>
      <c r="AA85" s="37" t="n">
        <f aca="false">N(E85)+N(I85)+N(M85)+N(Q85)+N(U85)+N(Y85)</f>
        <v>0</v>
      </c>
      <c r="AB85" s="26" t="n">
        <f aca="false">F85+J85+N85+R85+V85+Z85</f>
        <v>0</v>
      </c>
      <c r="AC85" s="83" t="str">
        <f aca="false">IF(B85="","",IF(AB85&lt;=0,"Clear",IF(AA85&gt;0,"Partial","Due")))</f>
        <v/>
      </c>
    </row>
    <row r="86" customFormat="false" ht="15" hidden="false" customHeight="false" outlineLevel="0" collapsed="false">
      <c r="A86" s="21" t="n">
        <v>71</v>
      </c>
      <c r="B86" s="46" t="str">
        <f aca="false">IF(Students!B75="","",Students!B75)</f>
        <v/>
      </c>
      <c r="C86" s="33" t="n">
        <f aca="false">'Jul 2027'!F86</f>
        <v>0</v>
      </c>
      <c r="D86" s="33" t="n">
        <f aca="false">IF(B86="",0,N(Students!E75))</f>
        <v>0</v>
      </c>
      <c r="E86" s="23"/>
      <c r="F86" s="24" t="n">
        <f aca="false">N(C86)+N(D86)-N(E86)</f>
        <v>0</v>
      </c>
      <c r="G86" s="33" t="n">
        <f aca="false">'Jul 2027'!J86</f>
        <v>0</v>
      </c>
      <c r="H86" s="33" t="n">
        <f aca="false">IF(B86="",0,N(Students!F75))</f>
        <v>0</v>
      </c>
      <c r="I86" s="23"/>
      <c r="J86" s="24" t="n">
        <f aca="false">N(G86)+N(H86)-N(I86)</f>
        <v>0</v>
      </c>
      <c r="K86" s="33" t="n">
        <f aca="false">'Jul 2027'!N86</f>
        <v>0</v>
      </c>
      <c r="L86" s="33" t="n">
        <f aca="false">IF(B86="",0,N(Students!G75))</f>
        <v>0</v>
      </c>
      <c r="M86" s="23"/>
      <c r="N86" s="24" t="n">
        <f aca="false">N(K86)+N(L86)-N(M86)</f>
        <v>0</v>
      </c>
      <c r="O86" s="33" t="n">
        <f aca="false">'Jul 2027'!R86</f>
        <v>0</v>
      </c>
      <c r="P86" s="33" t="n">
        <f aca="false">IF(B86="",0,N(Students!H75))</f>
        <v>0</v>
      </c>
      <c r="Q86" s="23"/>
      <c r="R86" s="24" t="n">
        <f aca="false">N(O86)+N(P86)-N(Q86)</f>
        <v>0</v>
      </c>
      <c r="S86" s="33" t="n">
        <f aca="false">'Jul 2027'!V86</f>
        <v>0</v>
      </c>
      <c r="T86" s="33" t="n">
        <f aca="false">IF(B86="",0,N(Students!I75))</f>
        <v>0</v>
      </c>
      <c r="U86" s="23"/>
      <c r="V86" s="24" t="n">
        <f aca="false">N(S86)+N(T86)-N(U86)</f>
        <v>0</v>
      </c>
      <c r="W86" s="33" t="n">
        <f aca="false">'Jul 2027'!Z86</f>
        <v>0</v>
      </c>
      <c r="X86" s="33" t="n">
        <f aca="false">IF(B86="",0,N(Students!J75))</f>
        <v>0</v>
      </c>
      <c r="Y86" s="23"/>
      <c r="Z86" s="24" t="n">
        <f aca="false">N(W86)+N(X86)-N(Y86)</f>
        <v>0</v>
      </c>
      <c r="AA86" s="33" t="n">
        <f aca="false">N(E86)+N(I86)+N(M86)+N(Q86)+N(U86)+N(Y86)</f>
        <v>0</v>
      </c>
      <c r="AB86" s="24" t="n">
        <f aca="false">F86+J86+N86+R86+V86+Z86</f>
        <v>0</v>
      </c>
      <c r="AC86" s="81" t="str">
        <f aca="false">IF(B86="","",IF(AB86&lt;=0,"Clear",IF(AA86&gt;0,"Partial","Due")))</f>
        <v/>
      </c>
    </row>
    <row r="87" customFormat="false" ht="15" hidden="false" customHeight="false" outlineLevel="0" collapsed="false">
      <c r="A87" s="25" t="n">
        <v>72</v>
      </c>
      <c r="B87" s="82" t="str">
        <f aca="false">IF(Students!B76="","",Students!B76)</f>
        <v/>
      </c>
      <c r="C87" s="37" t="n">
        <f aca="false">'Jul 2027'!F87</f>
        <v>0</v>
      </c>
      <c r="D87" s="37" t="n">
        <f aca="false">IF(B87="",0,N(Students!E76))</f>
        <v>0</v>
      </c>
      <c r="E87" s="23"/>
      <c r="F87" s="26" t="n">
        <f aca="false">N(C87)+N(D87)-N(E87)</f>
        <v>0</v>
      </c>
      <c r="G87" s="37" t="n">
        <f aca="false">'Jul 2027'!J87</f>
        <v>0</v>
      </c>
      <c r="H87" s="37" t="n">
        <f aca="false">IF(B87="",0,N(Students!F76))</f>
        <v>0</v>
      </c>
      <c r="I87" s="23"/>
      <c r="J87" s="26" t="n">
        <f aca="false">N(G87)+N(H87)-N(I87)</f>
        <v>0</v>
      </c>
      <c r="K87" s="37" t="n">
        <f aca="false">'Jul 2027'!N87</f>
        <v>0</v>
      </c>
      <c r="L87" s="37" t="n">
        <f aca="false">IF(B87="",0,N(Students!G76))</f>
        <v>0</v>
      </c>
      <c r="M87" s="23"/>
      <c r="N87" s="26" t="n">
        <f aca="false">N(K87)+N(L87)-N(M87)</f>
        <v>0</v>
      </c>
      <c r="O87" s="37" t="n">
        <f aca="false">'Jul 2027'!R87</f>
        <v>0</v>
      </c>
      <c r="P87" s="37" t="n">
        <f aca="false">IF(B87="",0,N(Students!H76))</f>
        <v>0</v>
      </c>
      <c r="Q87" s="23"/>
      <c r="R87" s="26" t="n">
        <f aca="false">N(O87)+N(P87)-N(Q87)</f>
        <v>0</v>
      </c>
      <c r="S87" s="37" t="n">
        <f aca="false">'Jul 2027'!V87</f>
        <v>0</v>
      </c>
      <c r="T87" s="37" t="n">
        <f aca="false">IF(B87="",0,N(Students!I76))</f>
        <v>0</v>
      </c>
      <c r="U87" s="23"/>
      <c r="V87" s="26" t="n">
        <f aca="false">N(S87)+N(T87)-N(U87)</f>
        <v>0</v>
      </c>
      <c r="W87" s="37" t="n">
        <f aca="false">'Jul 2027'!Z87</f>
        <v>0</v>
      </c>
      <c r="X87" s="37" t="n">
        <f aca="false">IF(B87="",0,N(Students!J76))</f>
        <v>0</v>
      </c>
      <c r="Y87" s="23"/>
      <c r="Z87" s="26" t="n">
        <f aca="false">N(W87)+N(X87)-N(Y87)</f>
        <v>0</v>
      </c>
      <c r="AA87" s="37" t="n">
        <f aca="false">N(E87)+N(I87)+N(M87)+N(Q87)+N(U87)+N(Y87)</f>
        <v>0</v>
      </c>
      <c r="AB87" s="26" t="n">
        <f aca="false">F87+J87+N87+R87+V87+Z87</f>
        <v>0</v>
      </c>
      <c r="AC87" s="83" t="str">
        <f aca="false">IF(B87="","",IF(AB87&lt;=0,"Clear",IF(AA87&gt;0,"Partial","Due")))</f>
        <v/>
      </c>
    </row>
    <row r="88" customFormat="false" ht="15" hidden="false" customHeight="false" outlineLevel="0" collapsed="false">
      <c r="A88" s="21" t="n">
        <v>73</v>
      </c>
      <c r="B88" s="46" t="str">
        <f aca="false">IF(Students!B77="","",Students!B77)</f>
        <v/>
      </c>
      <c r="C88" s="33" t="n">
        <f aca="false">'Jul 2027'!F88</f>
        <v>0</v>
      </c>
      <c r="D88" s="33" t="n">
        <f aca="false">IF(B88="",0,N(Students!E77))</f>
        <v>0</v>
      </c>
      <c r="E88" s="23"/>
      <c r="F88" s="24" t="n">
        <f aca="false">N(C88)+N(D88)-N(E88)</f>
        <v>0</v>
      </c>
      <c r="G88" s="33" t="n">
        <f aca="false">'Jul 2027'!J88</f>
        <v>0</v>
      </c>
      <c r="H88" s="33" t="n">
        <f aca="false">IF(B88="",0,N(Students!F77))</f>
        <v>0</v>
      </c>
      <c r="I88" s="23"/>
      <c r="J88" s="24" t="n">
        <f aca="false">N(G88)+N(H88)-N(I88)</f>
        <v>0</v>
      </c>
      <c r="K88" s="33" t="n">
        <f aca="false">'Jul 2027'!N88</f>
        <v>0</v>
      </c>
      <c r="L88" s="33" t="n">
        <f aca="false">IF(B88="",0,N(Students!G77))</f>
        <v>0</v>
      </c>
      <c r="M88" s="23"/>
      <c r="N88" s="24" t="n">
        <f aca="false">N(K88)+N(L88)-N(M88)</f>
        <v>0</v>
      </c>
      <c r="O88" s="33" t="n">
        <f aca="false">'Jul 2027'!R88</f>
        <v>0</v>
      </c>
      <c r="P88" s="33" t="n">
        <f aca="false">IF(B88="",0,N(Students!H77))</f>
        <v>0</v>
      </c>
      <c r="Q88" s="23"/>
      <c r="R88" s="24" t="n">
        <f aca="false">N(O88)+N(P88)-N(Q88)</f>
        <v>0</v>
      </c>
      <c r="S88" s="33" t="n">
        <f aca="false">'Jul 2027'!V88</f>
        <v>0</v>
      </c>
      <c r="T88" s="33" t="n">
        <f aca="false">IF(B88="",0,N(Students!I77))</f>
        <v>0</v>
      </c>
      <c r="U88" s="23"/>
      <c r="V88" s="24" t="n">
        <f aca="false">N(S88)+N(T88)-N(U88)</f>
        <v>0</v>
      </c>
      <c r="W88" s="33" t="n">
        <f aca="false">'Jul 2027'!Z88</f>
        <v>0</v>
      </c>
      <c r="X88" s="33" t="n">
        <f aca="false">IF(B88="",0,N(Students!J77))</f>
        <v>0</v>
      </c>
      <c r="Y88" s="23"/>
      <c r="Z88" s="24" t="n">
        <f aca="false">N(W88)+N(X88)-N(Y88)</f>
        <v>0</v>
      </c>
      <c r="AA88" s="33" t="n">
        <f aca="false">N(E88)+N(I88)+N(M88)+N(Q88)+N(U88)+N(Y88)</f>
        <v>0</v>
      </c>
      <c r="AB88" s="24" t="n">
        <f aca="false">F88+J88+N88+R88+V88+Z88</f>
        <v>0</v>
      </c>
      <c r="AC88" s="81" t="str">
        <f aca="false">IF(B88="","",IF(AB88&lt;=0,"Clear",IF(AA88&gt;0,"Partial","Due")))</f>
        <v/>
      </c>
    </row>
    <row r="89" customFormat="false" ht="15" hidden="false" customHeight="false" outlineLevel="0" collapsed="false">
      <c r="A89" s="25" t="n">
        <v>74</v>
      </c>
      <c r="B89" s="82" t="str">
        <f aca="false">IF(Students!B78="","",Students!B78)</f>
        <v/>
      </c>
      <c r="C89" s="37" t="n">
        <f aca="false">'Jul 2027'!F89</f>
        <v>0</v>
      </c>
      <c r="D89" s="37" t="n">
        <f aca="false">IF(B89="",0,N(Students!E78))</f>
        <v>0</v>
      </c>
      <c r="E89" s="23"/>
      <c r="F89" s="26" t="n">
        <f aca="false">N(C89)+N(D89)-N(E89)</f>
        <v>0</v>
      </c>
      <c r="G89" s="37" t="n">
        <f aca="false">'Jul 2027'!J89</f>
        <v>0</v>
      </c>
      <c r="H89" s="37" t="n">
        <f aca="false">IF(B89="",0,N(Students!F78))</f>
        <v>0</v>
      </c>
      <c r="I89" s="23"/>
      <c r="J89" s="26" t="n">
        <f aca="false">N(G89)+N(H89)-N(I89)</f>
        <v>0</v>
      </c>
      <c r="K89" s="37" t="n">
        <f aca="false">'Jul 2027'!N89</f>
        <v>0</v>
      </c>
      <c r="L89" s="37" t="n">
        <f aca="false">IF(B89="",0,N(Students!G78))</f>
        <v>0</v>
      </c>
      <c r="M89" s="23"/>
      <c r="N89" s="26" t="n">
        <f aca="false">N(K89)+N(L89)-N(M89)</f>
        <v>0</v>
      </c>
      <c r="O89" s="37" t="n">
        <f aca="false">'Jul 2027'!R89</f>
        <v>0</v>
      </c>
      <c r="P89" s="37" t="n">
        <f aca="false">IF(B89="",0,N(Students!H78))</f>
        <v>0</v>
      </c>
      <c r="Q89" s="23"/>
      <c r="R89" s="26" t="n">
        <f aca="false">N(O89)+N(P89)-N(Q89)</f>
        <v>0</v>
      </c>
      <c r="S89" s="37" t="n">
        <f aca="false">'Jul 2027'!V89</f>
        <v>0</v>
      </c>
      <c r="T89" s="37" t="n">
        <f aca="false">IF(B89="",0,N(Students!I78))</f>
        <v>0</v>
      </c>
      <c r="U89" s="23"/>
      <c r="V89" s="26" t="n">
        <f aca="false">N(S89)+N(T89)-N(U89)</f>
        <v>0</v>
      </c>
      <c r="W89" s="37" t="n">
        <f aca="false">'Jul 2027'!Z89</f>
        <v>0</v>
      </c>
      <c r="X89" s="37" t="n">
        <f aca="false">IF(B89="",0,N(Students!J78))</f>
        <v>0</v>
      </c>
      <c r="Y89" s="23"/>
      <c r="Z89" s="26" t="n">
        <f aca="false">N(W89)+N(X89)-N(Y89)</f>
        <v>0</v>
      </c>
      <c r="AA89" s="37" t="n">
        <f aca="false">N(E89)+N(I89)+N(M89)+N(Q89)+N(U89)+N(Y89)</f>
        <v>0</v>
      </c>
      <c r="AB89" s="26" t="n">
        <f aca="false">F89+J89+N89+R89+V89+Z89</f>
        <v>0</v>
      </c>
      <c r="AC89" s="83" t="str">
        <f aca="false">IF(B89="","",IF(AB89&lt;=0,"Clear",IF(AA89&gt;0,"Partial","Due")))</f>
        <v/>
      </c>
    </row>
    <row r="90" customFormat="false" ht="15" hidden="false" customHeight="false" outlineLevel="0" collapsed="false">
      <c r="A90" s="21" t="n">
        <v>75</v>
      </c>
      <c r="B90" s="46" t="str">
        <f aca="false">IF(Students!B79="","",Students!B79)</f>
        <v/>
      </c>
      <c r="C90" s="33" t="n">
        <f aca="false">'Jul 2027'!F90</f>
        <v>0</v>
      </c>
      <c r="D90" s="33" t="n">
        <f aca="false">IF(B90="",0,N(Students!E79))</f>
        <v>0</v>
      </c>
      <c r="E90" s="23"/>
      <c r="F90" s="24" t="n">
        <f aca="false">N(C90)+N(D90)-N(E90)</f>
        <v>0</v>
      </c>
      <c r="G90" s="33" t="n">
        <f aca="false">'Jul 2027'!J90</f>
        <v>0</v>
      </c>
      <c r="H90" s="33" t="n">
        <f aca="false">IF(B90="",0,N(Students!F79))</f>
        <v>0</v>
      </c>
      <c r="I90" s="23"/>
      <c r="J90" s="24" t="n">
        <f aca="false">N(G90)+N(H90)-N(I90)</f>
        <v>0</v>
      </c>
      <c r="K90" s="33" t="n">
        <f aca="false">'Jul 2027'!N90</f>
        <v>0</v>
      </c>
      <c r="L90" s="33" t="n">
        <f aca="false">IF(B90="",0,N(Students!G79))</f>
        <v>0</v>
      </c>
      <c r="M90" s="23"/>
      <c r="N90" s="24" t="n">
        <f aca="false">N(K90)+N(L90)-N(M90)</f>
        <v>0</v>
      </c>
      <c r="O90" s="33" t="n">
        <f aca="false">'Jul 2027'!R90</f>
        <v>0</v>
      </c>
      <c r="P90" s="33" t="n">
        <f aca="false">IF(B90="",0,N(Students!H79))</f>
        <v>0</v>
      </c>
      <c r="Q90" s="23"/>
      <c r="R90" s="24" t="n">
        <f aca="false">N(O90)+N(P90)-N(Q90)</f>
        <v>0</v>
      </c>
      <c r="S90" s="33" t="n">
        <f aca="false">'Jul 2027'!V90</f>
        <v>0</v>
      </c>
      <c r="T90" s="33" t="n">
        <f aca="false">IF(B90="",0,N(Students!I79))</f>
        <v>0</v>
      </c>
      <c r="U90" s="23"/>
      <c r="V90" s="24" t="n">
        <f aca="false">N(S90)+N(T90)-N(U90)</f>
        <v>0</v>
      </c>
      <c r="W90" s="33" t="n">
        <f aca="false">'Jul 2027'!Z90</f>
        <v>0</v>
      </c>
      <c r="X90" s="33" t="n">
        <f aca="false">IF(B90="",0,N(Students!J79))</f>
        <v>0</v>
      </c>
      <c r="Y90" s="23"/>
      <c r="Z90" s="24" t="n">
        <f aca="false">N(W90)+N(X90)-N(Y90)</f>
        <v>0</v>
      </c>
      <c r="AA90" s="33" t="n">
        <f aca="false">N(E90)+N(I90)+N(M90)+N(Q90)+N(U90)+N(Y90)</f>
        <v>0</v>
      </c>
      <c r="AB90" s="24" t="n">
        <f aca="false">F90+J90+N90+R90+V90+Z90</f>
        <v>0</v>
      </c>
      <c r="AC90" s="81" t="str">
        <f aca="false">IF(B90="","",IF(AB90&lt;=0,"Clear",IF(AA90&gt;0,"Partial","Due")))</f>
        <v/>
      </c>
    </row>
    <row r="91" customFormat="false" ht="15" hidden="false" customHeight="false" outlineLevel="0" collapsed="false">
      <c r="A91" s="25" t="n">
        <v>76</v>
      </c>
      <c r="B91" s="82" t="str">
        <f aca="false">IF(Students!B80="","",Students!B80)</f>
        <v/>
      </c>
      <c r="C91" s="37" t="n">
        <f aca="false">'Jul 2027'!F91</f>
        <v>0</v>
      </c>
      <c r="D91" s="37" t="n">
        <f aca="false">IF(B91="",0,N(Students!E80))</f>
        <v>0</v>
      </c>
      <c r="E91" s="23"/>
      <c r="F91" s="26" t="n">
        <f aca="false">N(C91)+N(D91)-N(E91)</f>
        <v>0</v>
      </c>
      <c r="G91" s="37" t="n">
        <f aca="false">'Jul 2027'!J91</f>
        <v>0</v>
      </c>
      <c r="H91" s="37" t="n">
        <f aca="false">IF(B91="",0,N(Students!F80))</f>
        <v>0</v>
      </c>
      <c r="I91" s="23"/>
      <c r="J91" s="26" t="n">
        <f aca="false">N(G91)+N(H91)-N(I91)</f>
        <v>0</v>
      </c>
      <c r="K91" s="37" t="n">
        <f aca="false">'Jul 2027'!N91</f>
        <v>0</v>
      </c>
      <c r="L91" s="37" t="n">
        <f aca="false">IF(B91="",0,N(Students!G80))</f>
        <v>0</v>
      </c>
      <c r="M91" s="23"/>
      <c r="N91" s="26" t="n">
        <f aca="false">N(K91)+N(L91)-N(M91)</f>
        <v>0</v>
      </c>
      <c r="O91" s="37" t="n">
        <f aca="false">'Jul 2027'!R91</f>
        <v>0</v>
      </c>
      <c r="P91" s="37" t="n">
        <f aca="false">IF(B91="",0,N(Students!H80))</f>
        <v>0</v>
      </c>
      <c r="Q91" s="23"/>
      <c r="R91" s="26" t="n">
        <f aca="false">N(O91)+N(P91)-N(Q91)</f>
        <v>0</v>
      </c>
      <c r="S91" s="37" t="n">
        <f aca="false">'Jul 2027'!V91</f>
        <v>0</v>
      </c>
      <c r="T91" s="37" t="n">
        <f aca="false">IF(B91="",0,N(Students!I80))</f>
        <v>0</v>
      </c>
      <c r="U91" s="23"/>
      <c r="V91" s="26" t="n">
        <f aca="false">N(S91)+N(T91)-N(U91)</f>
        <v>0</v>
      </c>
      <c r="W91" s="37" t="n">
        <f aca="false">'Jul 2027'!Z91</f>
        <v>0</v>
      </c>
      <c r="X91" s="37" t="n">
        <f aca="false">IF(B91="",0,N(Students!J80))</f>
        <v>0</v>
      </c>
      <c r="Y91" s="23"/>
      <c r="Z91" s="26" t="n">
        <f aca="false">N(W91)+N(X91)-N(Y91)</f>
        <v>0</v>
      </c>
      <c r="AA91" s="37" t="n">
        <f aca="false">N(E91)+N(I91)+N(M91)+N(Q91)+N(U91)+N(Y91)</f>
        <v>0</v>
      </c>
      <c r="AB91" s="26" t="n">
        <f aca="false">F91+J91+N91+R91+V91+Z91</f>
        <v>0</v>
      </c>
      <c r="AC91" s="83" t="str">
        <f aca="false">IF(B91="","",IF(AB91&lt;=0,"Clear",IF(AA91&gt;0,"Partial","Due")))</f>
        <v/>
      </c>
    </row>
    <row r="92" customFormat="false" ht="15" hidden="false" customHeight="false" outlineLevel="0" collapsed="false">
      <c r="A92" s="21" t="n">
        <v>77</v>
      </c>
      <c r="B92" s="46" t="str">
        <f aca="false">IF(Students!B81="","",Students!B81)</f>
        <v/>
      </c>
      <c r="C92" s="33" t="n">
        <f aca="false">'Jul 2027'!F92</f>
        <v>0</v>
      </c>
      <c r="D92" s="33" t="n">
        <f aca="false">IF(B92="",0,N(Students!E81))</f>
        <v>0</v>
      </c>
      <c r="E92" s="23"/>
      <c r="F92" s="24" t="n">
        <f aca="false">N(C92)+N(D92)-N(E92)</f>
        <v>0</v>
      </c>
      <c r="G92" s="33" t="n">
        <f aca="false">'Jul 2027'!J92</f>
        <v>0</v>
      </c>
      <c r="H92" s="33" t="n">
        <f aca="false">IF(B92="",0,N(Students!F81))</f>
        <v>0</v>
      </c>
      <c r="I92" s="23"/>
      <c r="J92" s="24" t="n">
        <f aca="false">N(G92)+N(H92)-N(I92)</f>
        <v>0</v>
      </c>
      <c r="K92" s="33" t="n">
        <f aca="false">'Jul 2027'!N92</f>
        <v>0</v>
      </c>
      <c r="L92" s="33" t="n">
        <f aca="false">IF(B92="",0,N(Students!G81))</f>
        <v>0</v>
      </c>
      <c r="M92" s="23"/>
      <c r="N92" s="24" t="n">
        <f aca="false">N(K92)+N(L92)-N(M92)</f>
        <v>0</v>
      </c>
      <c r="O92" s="33" t="n">
        <f aca="false">'Jul 2027'!R92</f>
        <v>0</v>
      </c>
      <c r="P92" s="33" t="n">
        <f aca="false">IF(B92="",0,N(Students!H81))</f>
        <v>0</v>
      </c>
      <c r="Q92" s="23"/>
      <c r="R92" s="24" t="n">
        <f aca="false">N(O92)+N(P92)-N(Q92)</f>
        <v>0</v>
      </c>
      <c r="S92" s="33" t="n">
        <f aca="false">'Jul 2027'!V92</f>
        <v>0</v>
      </c>
      <c r="T92" s="33" t="n">
        <f aca="false">IF(B92="",0,N(Students!I81))</f>
        <v>0</v>
      </c>
      <c r="U92" s="23"/>
      <c r="V92" s="24" t="n">
        <f aca="false">N(S92)+N(T92)-N(U92)</f>
        <v>0</v>
      </c>
      <c r="W92" s="33" t="n">
        <f aca="false">'Jul 2027'!Z92</f>
        <v>0</v>
      </c>
      <c r="X92" s="33" t="n">
        <f aca="false">IF(B92="",0,N(Students!J81))</f>
        <v>0</v>
      </c>
      <c r="Y92" s="23"/>
      <c r="Z92" s="24" t="n">
        <f aca="false">N(W92)+N(X92)-N(Y92)</f>
        <v>0</v>
      </c>
      <c r="AA92" s="33" t="n">
        <f aca="false">N(E92)+N(I92)+N(M92)+N(Q92)+N(U92)+N(Y92)</f>
        <v>0</v>
      </c>
      <c r="AB92" s="24" t="n">
        <f aca="false">F92+J92+N92+R92+V92+Z92</f>
        <v>0</v>
      </c>
      <c r="AC92" s="81" t="str">
        <f aca="false">IF(B92="","",IF(AB92&lt;=0,"Clear",IF(AA92&gt;0,"Partial","Due")))</f>
        <v/>
      </c>
    </row>
    <row r="93" customFormat="false" ht="15" hidden="false" customHeight="false" outlineLevel="0" collapsed="false">
      <c r="A93" s="25" t="n">
        <v>78</v>
      </c>
      <c r="B93" s="82" t="str">
        <f aca="false">IF(Students!B82="","",Students!B82)</f>
        <v/>
      </c>
      <c r="C93" s="37" t="n">
        <f aca="false">'Jul 2027'!F93</f>
        <v>0</v>
      </c>
      <c r="D93" s="37" t="n">
        <f aca="false">IF(B93="",0,N(Students!E82))</f>
        <v>0</v>
      </c>
      <c r="E93" s="23"/>
      <c r="F93" s="26" t="n">
        <f aca="false">N(C93)+N(D93)-N(E93)</f>
        <v>0</v>
      </c>
      <c r="G93" s="37" t="n">
        <f aca="false">'Jul 2027'!J93</f>
        <v>0</v>
      </c>
      <c r="H93" s="37" t="n">
        <f aca="false">IF(B93="",0,N(Students!F82))</f>
        <v>0</v>
      </c>
      <c r="I93" s="23"/>
      <c r="J93" s="26" t="n">
        <f aca="false">N(G93)+N(H93)-N(I93)</f>
        <v>0</v>
      </c>
      <c r="K93" s="37" t="n">
        <f aca="false">'Jul 2027'!N93</f>
        <v>0</v>
      </c>
      <c r="L93" s="37" t="n">
        <f aca="false">IF(B93="",0,N(Students!G82))</f>
        <v>0</v>
      </c>
      <c r="M93" s="23"/>
      <c r="N93" s="26" t="n">
        <f aca="false">N(K93)+N(L93)-N(M93)</f>
        <v>0</v>
      </c>
      <c r="O93" s="37" t="n">
        <f aca="false">'Jul 2027'!R93</f>
        <v>0</v>
      </c>
      <c r="P93" s="37" t="n">
        <f aca="false">IF(B93="",0,N(Students!H82))</f>
        <v>0</v>
      </c>
      <c r="Q93" s="23"/>
      <c r="R93" s="26" t="n">
        <f aca="false">N(O93)+N(P93)-N(Q93)</f>
        <v>0</v>
      </c>
      <c r="S93" s="37" t="n">
        <f aca="false">'Jul 2027'!V93</f>
        <v>0</v>
      </c>
      <c r="T93" s="37" t="n">
        <f aca="false">IF(B93="",0,N(Students!I82))</f>
        <v>0</v>
      </c>
      <c r="U93" s="23"/>
      <c r="V93" s="26" t="n">
        <f aca="false">N(S93)+N(T93)-N(U93)</f>
        <v>0</v>
      </c>
      <c r="W93" s="37" t="n">
        <f aca="false">'Jul 2027'!Z93</f>
        <v>0</v>
      </c>
      <c r="X93" s="37" t="n">
        <f aca="false">IF(B93="",0,N(Students!J82))</f>
        <v>0</v>
      </c>
      <c r="Y93" s="23"/>
      <c r="Z93" s="26" t="n">
        <f aca="false">N(W93)+N(X93)-N(Y93)</f>
        <v>0</v>
      </c>
      <c r="AA93" s="37" t="n">
        <f aca="false">N(E93)+N(I93)+N(M93)+N(Q93)+N(U93)+N(Y93)</f>
        <v>0</v>
      </c>
      <c r="AB93" s="26" t="n">
        <f aca="false">F93+J93+N93+R93+V93+Z93</f>
        <v>0</v>
      </c>
      <c r="AC93" s="83" t="str">
        <f aca="false">IF(B93="","",IF(AB93&lt;=0,"Clear",IF(AA93&gt;0,"Partial","Due")))</f>
        <v/>
      </c>
    </row>
    <row r="94" customFormat="false" ht="15" hidden="false" customHeight="false" outlineLevel="0" collapsed="false">
      <c r="A94" s="21" t="n">
        <v>79</v>
      </c>
      <c r="B94" s="46" t="str">
        <f aca="false">IF(Students!B83="","",Students!B83)</f>
        <v/>
      </c>
      <c r="C94" s="33" t="n">
        <f aca="false">'Jul 2027'!F94</f>
        <v>0</v>
      </c>
      <c r="D94" s="33" t="n">
        <f aca="false">IF(B94="",0,N(Students!E83))</f>
        <v>0</v>
      </c>
      <c r="E94" s="23"/>
      <c r="F94" s="24" t="n">
        <f aca="false">N(C94)+N(D94)-N(E94)</f>
        <v>0</v>
      </c>
      <c r="G94" s="33" t="n">
        <f aca="false">'Jul 2027'!J94</f>
        <v>0</v>
      </c>
      <c r="H94" s="33" t="n">
        <f aca="false">IF(B94="",0,N(Students!F83))</f>
        <v>0</v>
      </c>
      <c r="I94" s="23"/>
      <c r="J94" s="24" t="n">
        <f aca="false">N(G94)+N(H94)-N(I94)</f>
        <v>0</v>
      </c>
      <c r="K94" s="33" t="n">
        <f aca="false">'Jul 2027'!N94</f>
        <v>0</v>
      </c>
      <c r="L94" s="33" t="n">
        <f aca="false">IF(B94="",0,N(Students!G83))</f>
        <v>0</v>
      </c>
      <c r="M94" s="23"/>
      <c r="N94" s="24" t="n">
        <f aca="false">N(K94)+N(L94)-N(M94)</f>
        <v>0</v>
      </c>
      <c r="O94" s="33" t="n">
        <f aca="false">'Jul 2027'!R94</f>
        <v>0</v>
      </c>
      <c r="P94" s="33" t="n">
        <f aca="false">IF(B94="",0,N(Students!H83))</f>
        <v>0</v>
      </c>
      <c r="Q94" s="23"/>
      <c r="R94" s="24" t="n">
        <f aca="false">N(O94)+N(P94)-N(Q94)</f>
        <v>0</v>
      </c>
      <c r="S94" s="33" t="n">
        <f aca="false">'Jul 2027'!V94</f>
        <v>0</v>
      </c>
      <c r="T94" s="33" t="n">
        <f aca="false">IF(B94="",0,N(Students!I83))</f>
        <v>0</v>
      </c>
      <c r="U94" s="23"/>
      <c r="V94" s="24" t="n">
        <f aca="false">N(S94)+N(T94)-N(U94)</f>
        <v>0</v>
      </c>
      <c r="W94" s="33" t="n">
        <f aca="false">'Jul 2027'!Z94</f>
        <v>0</v>
      </c>
      <c r="X94" s="33" t="n">
        <f aca="false">IF(B94="",0,N(Students!J83))</f>
        <v>0</v>
      </c>
      <c r="Y94" s="23"/>
      <c r="Z94" s="24" t="n">
        <f aca="false">N(W94)+N(X94)-N(Y94)</f>
        <v>0</v>
      </c>
      <c r="AA94" s="33" t="n">
        <f aca="false">N(E94)+N(I94)+N(M94)+N(Q94)+N(U94)+N(Y94)</f>
        <v>0</v>
      </c>
      <c r="AB94" s="24" t="n">
        <f aca="false">F94+J94+N94+R94+V94+Z94</f>
        <v>0</v>
      </c>
      <c r="AC94" s="81" t="str">
        <f aca="false">IF(B94="","",IF(AB94&lt;=0,"Clear",IF(AA94&gt;0,"Partial","Due")))</f>
        <v/>
      </c>
    </row>
    <row r="95" customFormat="false" ht="15" hidden="false" customHeight="false" outlineLevel="0" collapsed="false">
      <c r="A95" s="25" t="n">
        <v>80</v>
      </c>
      <c r="B95" s="82" t="str">
        <f aca="false">IF(Students!B84="","",Students!B84)</f>
        <v/>
      </c>
      <c r="C95" s="37" t="n">
        <f aca="false">'Jul 2027'!F95</f>
        <v>0</v>
      </c>
      <c r="D95" s="37" t="n">
        <f aca="false">IF(B95="",0,N(Students!E84))</f>
        <v>0</v>
      </c>
      <c r="E95" s="23"/>
      <c r="F95" s="26" t="n">
        <f aca="false">N(C95)+N(D95)-N(E95)</f>
        <v>0</v>
      </c>
      <c r="G95" s="37" t="n">
        <f aca="false">'Jul 2027'!J95</f>
        <v>0</v>
      </c>
      <c r="H95" s="37" t="n">
        <f aca="false">IF(B95="",0,N(Students!F84))</f>
        <v>0</v>
      </c>
      <c r="I95" s="23"/>
      <c r="J95" s="26" t="n">
        <f aca="false">N(G95)+N(H95)-N(I95)</f>
        <v>0</v>
      </c>
      <c r="K95" s="37" t="n">
        <f aca="false">'Jul 2027'!N95</f>
        <v>0</v>
      </c>
      <c r="L95" s="37" t="n">
        <f aca="false">IF(B95="",0,N(Students!G84))</f>
        <v>0</v>
      </c>
      <c r="M95" s="23"/>
      <c r="N95" s="26" t="n">
        <f aca="false">N(K95)+N(L95)-N(M95)</f>
        <v>0</v>
      </c>
      <c r="O95" s="37" t="n">
        <f aca="false">'Jul 2027'!R95</f>
        <v>0</v>
      </c>
      <c r="P95" s="37" t="n">
        <f aca="false">IF(B95="",0,N(Students!H84))</f>
        <v>0</v>
      </c>
      <c r="Q95" s="23"/>
      <c r="R95" s="26" t="n">
        <f aca="false">N(O95)+N(P95)-N(Q95)</f>
        <v>0</v>
      </c>
      <c r="S95" s="37" t="n">
        <f aca="false">'Jul 2027'!V95</f>
        <v>0</v>
      </c>
      <c r="T95" s="37" t="n">
        <f aca="false">IF(B95="",0,N(Students!I84))</f>
        <v>0</v>
      </c>
      <c r="U95" s="23"/>
      <c r="V95" s="26" t="n">
        <f aca="false">N(S95)+N(T95)-N(U95)</f>
        <v>0</v>
      </c>
      <c r="W95" s="37" t="n">
        <f aca="false">'Jul 2027'!Z95</f>
        <v>0</v>
      </c>
      <c r="X95" s="37" t="n">
        <f aca="false">IF(B95="",0,N(Students!J84))</f>
        <v>0</v>
      </c>
      <c r="Y95" s="23"/>
      <c r="Z95" s="26" t="n">
        <f aca="false">N(W95)+N(X95)-N(Y95)</f>
        <v>0</v>
      </c>
      <c r="AA95" s="37" t="n">
        <f aca="false">N(E95)+N(I95)+N(M95)+N(Q95)+N(U95)+N(Y95)</f>
        <v>0</v>
      </c>
      <c r="AB95" s="26" t="n">
        <f aca="false">F95+J95+N95+R95+V95+Z95</f>
        <v>0</v>
      </c>
      <c r="AC95" s="83" t="str">
        <f aca="false">IF(B95="","",IF(AB95&lt;=0,"Clear",IF(AA95&gt;0,"Partial","Due")))</f>
        <v/>
      </c>
    </row>
    <row r="96" customFormat="false" ht="15" hidden="false" customHeight="false" outlineLevel="0" collapsed="false">
      <c r="A96" s="21" t="n">
        <v>81</v>
      </c>
      <c r="B96" s="46" t="str">
        <f aca="false">IF(Students!B85="","",Students!B85)</f>
        <v/>
      </c>
      <c r="C96" s="33" t="n">
        <f aca="false">'Jul 2027'!F96</f>
        <v>0</v>
      </c>
      <c r="D96" s="33" t="n">
        <f aca="false">IF(B96="",0,N(Students!E85))</f>
        <v>0</v>
      </c>
      <c r="E96" s="23"/>
      <c r="F96" s="24" t="n">
        <f aca="false">N(C96)+N(D96)-N(E96)</f>
        <v>0</v>
      </c>
      <c r="G96" s="33" t="n">
        <f aca="false">'Jul 2027'!J96</f>
        <v>0</v>
      </c>
      <c r="H96" s="33" t="n">
        <f aca="false">IF(B96="",0,N(Students!F85))</f>
        <v>0</v>
      </c>
      <c r="I96" s="23"/>
      <c r="J96" s="24" t="n">
        <f aca="false">N(G96)+N(H96)-N(I96)</f>
        <v>0</v>
      </c>
      <c r="K96" s="33" t="n">
        <f aca="false">'Jul 2027'!N96</f>
        <v>0</v>
      </c>
      <c r="L96" s="33" t="n">
        <f aca="false">IF(B96="",0,N(Students!G85))</f>
        <v>0</v>
      </c>
      <c r="M96" s="23"/>
      <c r="N96" s="24" t="n">
        <f aca="false">N(K96)+N(L96)-N(M96)</f>
        <v>0</v>
      </c>
      <c r="O96" s="33" t="n">
        <f aca="false">'Jul 2027'!R96</f>
        <v>0</v>
      </c>
      <c r="P96" s="33" t="n">
        <f aca="false">IF(B96="",0,N(Students!H85))</f>
        <v>0</v>
      </c>
      <c r="Q96" s="23"/>
      <c r="R96" s="24" t="n">
        <f aca="false">N(O96)+N(P96)-N(Q96)</f>
        <v>0</v>
      </c>
      <c r="S96" s="33" t="n">
        <f aca="false">'Jul 2027'!V96</f>
        <v>0</v>
      </c>
      <c r="T96" s="33" t="n">
        <f aca="false">IF(B96="",0,N(Students!I85))</f>
        <v>0</v>
      </c>
      <c r="U96" s="23"/>
      <c r="V96" s="24" t="n">
        <f aca="false">N(S96)+N(T96)-N(U96)</f>
        <v>0</v>
      </c>
      <c r="W96" s="33" t="n">
        <f aca="false">'Jul 2027'!Z96</f>
        <v>0</v>
      </c>
      <c r="X96" s="33" t="n">
        <f aca="false">IF(B96="",0,N(Students!J85))</f>
        <v>0</v>
      </c>
      <c r="Y96" s="23"/>
      <c r="Z96" s="24" t="n">
        <f aca="false">N(W96)+N(X96)-N(Y96)</f>
        <v>0</v>
      </c>
      <c r="AA96" s="33" t="n">
        <f aca="false">N(E96)+N(I96)+N(M96)+N(Q96)+N(U96)+N(Y96)</f>
        <v>0</v>
      </c>
      <c r="AB96" s="24" t="n">
        <f aca="false">F96+J96+N96+R96+V96+Z96</f>
        <v>0</v>
      </c>
      <c r="AC96" s="81" t="str">
        <f aca="false">IF(B96="","",IF(AB96&lt;=0,"Clear",IF(AA96&gt;0,"Partial","Due")))</f>
        <v/>
      </c>
    </row>
    <row r="97" customFormat="false" ht="15" hidden="false" customHeight="false" outlineLevel="0" collapsed="false">
      <c r="A97" s="25" t="n">
        <v>82</v>
      </c>
      <c r="B97" s="82" t="str">
        <f aca="false">IF(Students!B86="","",Students!B86)</f>
        <v/>
      </c>
      <c r="C97" s="37" t="n">
        <f aca="false">'Jul 2027'!F97</f>
        <v>0</v>
      </c>
      <c r="D97" s="37" t="n">
        <f aca="false">IF(B97="",0,N(Students!E86))</f>
        <v>0</v>
      </c>
      <c r="E97" s="23"/>
      <c r="F97" s="26" t="n">
        <f aca="false">N(C97)+N(D97)-N(E97)</f>
        <v>0</v>
      </c>
      <c r="G97" s="37" t="n">
        <f aca="false">'Jul 2027'!J97</f>
        <v>0</v>
      </c>
      <c r="H97" s="37" t="n">
        <f aca="false">IF(B97="",0,N(Students!F86))</f>
        <v>0</v>
      </c>
      <c r="I97" s="23"/>
      <c r="J97" s="26" t="n">
        <f aca="false">N(G97)+N(H97)-N(I97)</f>
        <v>0</v>
      </c>
      <c r="K97" s="37" t="n">
        <f aca="false">'Jul 2027'!N97</f>
        <v>0</v>
      </c>
      <c r="L97" s="37" t="n">
        <f aca="false">IF(B97="",0,N(Students!G86))</f>
        <v>0</v>
      </c>
      <c r="M97" s="23"/>
      <c r="N97" s="26" t="n">
        <f aca="false">N(K97)+N(L97)-N(M97)</f>
        <v>0</v>
      </c>
      <c r="O97" s="37" t="n">
        <f aca="false">'Jul 2027'!R97</f>
        <v>0</v>
      </c>
      <c r="P97" s="37" t="n">
        <f aca="false">IF(B97="",0,N(Students!H86))</f>
        <v>0</v>
      </c>
      <c r="Q97" s="23"/>
      <c r="R97" s="26" t="n">
        <f aca="false">N(O97)+N(P97)-N(Q97)</f>
        <v>0</v>
      </c>
      <c r="S97" s="37" t="n">
        <f aca="false">'Jul 2027'!V97</f>
        <v>0</v>
      </c>
      <c r="T97" s="37" t="n">
        <f aca="false">IF(B97="",0,N(Students!I86))</f>
        <v>0</v>
      </c>
      <c r="U97" s="23"/>
      <c r="V97" s="26" t="n">
        <f aca="false">N(S97)+N(T97)-N(U97)</f>
        <v>0</v>
      </c>
      <c r="W97" s="37" t="n">
        <f aca="false">'Jul 2027'!Z97</f>
        <v>0</v>
      </c>
      <c r="X97" s="37" t="n">
        <f aca="false">IF(B97="",0,N(Students!J86))</f>
        <v>0</v>
      </c>
      <c r="Y97" s="23"/>
      <c r="Z97" s="26" t="n">
        <f aca="false">N(W97)+N(X97)-N(Y97)</f>
        <v>0</v>
      </c>
      <c r="AA97" s="37" t="n">
        <f aca="false">N(E97)+N(I97)+N(M97)+N(Q97)+N(U97)+N(Y97)</f>
        <v>0</v>
      </c>
      <c r="AB97" s="26" t="n">
        <f aca="false">F97+J97+N97+R97+V97+Z97</f>
        <v>0</v>
      </c>
      <c r="AC97" s="83" t="str">
        <f aca="false">IF(B97="","",IF(AB97&lt;=0,"Clear",IF(AA97&gt;0,"Partial","Due")))</f>
        <v/>
      </c>
    </row>
    <row r="98" customFormat="false" ht="15" hidden="false" customHeight="false" outlineLevel="0" collapsed="false">
      <c r="A98" s="21" t="n">
        <v>83</v>
      </c>
      <c r="B98" s="46" t="str">
        <f aca="false">IF(Students!B87="","",Students!B87)</f>
        <v/>
      </c>
      <c r="C98" s="33" t="n">
        <f aca="false">'Jul 2027'!F98</f>
        <v>0</v>
      </c>
      <c r="D98" s="33" t="n">
        <f aca="false">IF(B98="",0,N(Students!E87))</f>
        <v>0</v>
      </c>
      <c r="E98" s="23"/>
      <c r="F98" s="24" t="n">
        <f aca="false">N(C98)+N(D98)-N(E98)</f>
        <v>0</v>
      </c>
      <c r="G98" s="33" t="n">
        <f aca="false">'Jul 2027'!J98</f>
        <v>0</v>
      </c>
      <c r="H98" s="33" t="n">
        <f aca="false">IF(B98="",0,N(Students!F87))</f>
        <v>0</v>
      </c>
      <c r="I98" s="23"/>
      <c r="J98" s="24" t="n">
        <f aca="false">N(G98)+N(H98)-N(I98)</f>
        <v>0</v>
      </c>
      <c r="K98" s="33" t="n">
        <f aca="false">'Jul 2027'!N98</f>
        <v>0</v>
      </c>
      <c r="L98" s="33" t="n">
        <f aca="false">IF(B98="",0,N(Students!G87))</f>
        <v>0</v>
      </c>
      <c r="M98" s="23"/>
      <c r="N98" s="24" t="n">
        <f aca="false">N(K98)+N(L98)-N(M98)</f>
        <v>0</v>
      </c>
      <c r="O98" s="33" t="n">
        <f aca="false">'Jul 2027'!R98</f>
        <v>0</v>
      </c>
      <c r="P98" s="33" t="n">
        <f aca="false">IF(B98="",0,N(Students!H87))</f>
        <v>0</v>
      </c>
      <c r="Q98" s="23"/>
      <c r="R98" s="24" t="n">
        <f aca="false">N(O98)+N(P98)-N(Q98)</f>
        <v>0</v>
      </c>
      <c r="S98" s="33" t="n">
        <f aca="false">'Jul 2027'!V98</f>
        <v>0</v>
      </c>
      <c r="T98" s="33" t="n">
        <f aca="false">IF(B98="",0,N(Students!I87))</f>
        <v>0</v>
      </c>
      <c r="U98" s="23"/>
      <c r="V98" s="24" t="n">
        <f aca="false">N(S98)+N(T98)-N(U98)</f>
        <v>0</v>
      </c>
      <c r="W98" s="33" t="n">
        <f aca="false">'Jul 2027'!Z98</f>
        <v>0</v>
      </c>
      <c r="X98" s="33" t="n">
        <f aca="false">IF(B98="",0,N(Students!J87))</f>
        <v>0</v>
      </c>
      <c r="Y98" s="23"/>
      <c r="Z98" s="24" t="n">
        <f aca="false">N(W98)+N(X98)-N(Y98)</f>
        <v>0</v>
      </c>
      <c r="AA98" s="33" t="n">
        <f aca="false">N(E98)+N(I98)+N(M98)+N(Q98)+N(U98)+N(Y98)</f>
        <v>0</v>
      </c>
      <c r="AB98" s="24" t="n">
        <f aca="false">F98+J98+N98+R98+V98+Z98</f>
        <v>0</v>
      </c>
      <c r="AC98" s="81" t="str">
        <f aca="false">IF(B98="","",IF(AB98&lt;=0,"Clear",IF(AA98&gt;0,"Partial","Due")))</f>
        <v/>
      </c>
    </row>
    <row r="99" customFormat="false" ht="15" hidden="false" customHeight="false" outlineLevel="0" collapsed="false">
      <c r="A99" s="25" t="n">
        <v>84</v>
      </c>
      <c r="B99" s="82" t="str">
        <f aca="false">IF(Students!B88="","",Students!B88)</f>
        <v/>
      </c>
      <c r="C99" s="37" t="n">
        <f aca="false">'Jul 2027'!F99</f>
        <v>0</v>
      </c>
      <c r="D99" s="37" t="n">
        <f aca="false">IF(B99="",0,N(Students!E88))</f>
        <v>0</v>
      </c>
      <c r="E99" s="23"/>
      <c r="F99" s="26" t="n">
        <f aca="false">N(C99)+N(D99)-N(E99)</f>
        <v>0</v>
      </c>
      <c r="G99" s="37" t="n">
        <f aca="false">'Jul 2027'!J99</f>
        <v>0</v>
      </c>
      <c r="H99" s="37" t="n">
        <f aca="false">IF(B99="",0,N(Students!F88))</f>
        <v>0</v>
      </c>
      <c r="I99" s="23"/>
      <c r="J99" s="26" t="n">
        <f aca="false">N(G99)+N(H99)-N(I99)</f>
        <v>0</v>
      </c>
      <c r="K99" s="37" t="n">
        <f aca="false">'Jul 2027'!N99</f>
        <v>0</v>
      </c>
      <c r="L99" s="37" t="n">
        <f aca="false">IF(B99="",0,N(Students!G88))</f>
        <v>0</v>
      </c>
      <c r="M99" s="23"/>
      <c r="N99" s="26" t="n">
        <f aca="false">N(K99)+N(L99)-N(M99)</f>
        <v>0</v>
      </c>
      <c r="O99" s="37" t="n">
        <f aca="false">'Jul 2027'!R99</f>
        <v>0</v>
      </c>
      <c r="P99" s="37" t="n">
        <f aca="false">IF(B99="",0,N(Students!H88))</f>
        <v>0</v>
      </c>
      <c r="Q99" s="23"/>
      <c r="R99" s="26" t="n">
        <f aca="false">N(O99)+N(P99)-N(Q99)</f>
        <v>0</v>
      </c>
      <c r="S99" s="37" t="n">
        <f aca="false">'Jul 2027'!V99</f>
        <v>0</v>
      </c>
      <c r="T99" s="37" t="n">
        <f aca="false">IF(B99="",0,N(Students!I88))</f>
        <v>0</v>
      </c>
      <c r="U99" s="23"/>
      <c r="V99" s="26" t="n">
        <f aca="false">N(S99)+N(T99)-N(U99)</f>
        <v>0</v>
      </c>
      <c r="W99" s="37" t="n">
        <f aca="false">'Jul 2027'!Z99</f>
        <v>0</v>
      </c>
      <c r="X99" s="37" t="n">
        <f aca="false">IF(B99="",0,N(Students!J88))</f>
        <v>0</v>
      </c>
      <c r="Y99" s="23"/>
      <c r="Z99" s="26" t="n">
        <f aca="false">N(W99)+N(X99)-N(Y99)</f>
        <v>0</v>
      </c>
      <c r="AA99" s="37" t="n">
        <f aca="false">N(E99)+N(I99)+N(M99)+N(Q99)+N(U99)+N(Y99)</f>
        <v>0</v>
      </c>
      <c r="AB99" s="26" t="n">
        <f aca="false">F99+J99+N99+R99+V99+Z99</f>
        <v>0</v>
      </c>
      <c r="AC99" s="83" t="str">
        <f aca="false">IF(B99="","",IF(AB99&lt;=0,"Clear",IF(AA99&gt;0,"Partial","Due")))</f>
        <v/>
      </c>
    </row>
    <row r="100" customFormat="false" ht="15" hidden="false" customHeight="false" outlineLevel="0" collapsed="false">
      <c r="A100" s="21" t="n">
        <v>85</v>
      </c>
      <c r="B100" s="46" t="str">
        <f aca="false">IF(Students!B89="","",Students!B89)</f>
        <v/>
      </c>
      <c r="C100" s="33" t="n">
        <f aca="false">'Jul 2027'!F100</f>
        <v>0</v>
      </c>
      <c r="D100" s="33" t="n">
        <f aca="false">IF(B100="",0,N(Students!E89))</f>
        <v>0</v>
      </c>
      <c r="E100" s="23"/>
      <c r="F100" s="24" t="n">
        <f aca="false">N(C100)+N(D100)-N(E100)</f>
        <v>0</v>
      </c>
      <c r="G100" s="33" t="n">
        <f aca="false">'Jul 2027'!J100</f>
        <v>0</v>
      </c>
      <c r="H100" s="33" t="n">
        <f aca="false">IF(B100="",0,N(Students!F89))</f>
        <v>0</v>
      </c>
      <c r="I100" s="23"/>
      <c r="J100" s="24" t="n">
        <f aca="false">N(G100)+N(H100)-N(I100)</f>
        <v>0</v>
      </c>
      <c r="K100" s="33" t="n">
        <f aca="false">'Jul 2027'!N100</f>
        <v>0</v>
      </c>
      <c r="L100" s="33" t="n">
        <f aca="false">IF(B100="",0,N(Students!G89))</f>
        <v>0</v>
      </c>
      <c r="M100" s="23"/>
      <c r="N100" s="24" t="n">
        <f aca="false">N(K100)+N(L100)-N(M100)</f>
        <v>0</v>
      </c>
      <c r="O100" s="33" t="n">
        <f aca="false">'Jul 2027'!R100</f>
        <v>0</v>
      </c>
      <c r="P100" s="33" t="n">
        <f aca="false">IF(B100="",0,N(Students!H89))</f>
        <v>0</v>
      </c>
      <c r="Q100" s="23"/>
      <c r="R100" s="24" t="n">
        <f aca="false">N(O100)+N(P100)-N(Q100)</f>
        <v>0</v>
      </c>
      <c r="S100" s="33" t="n">
        <f aca="false">'Jul 2027'!V100</f>
        <v>0</v>
      </c>
      <c r="T100" s="33" t="n">
        <f aca="false">IF(B100="",0,N(Students!I89))</f>
        <v>0</v>
      </c>
      <c r="U100" s="23"/>
      <c r="V100" s="24" t="n">
        <f aca="false">N(S100)+N(T100)-N(U100)</f>
        <v>0</v>
      </c>
      <c r="W100" s="33" t="n">
        <f aca="false">'Jul 2027'!Z100</f>
        <v>0</v>
      </c>
      <c r="X100" s="33" t="n">
        <f aca="false">IF(B100="",0,N(Students!J89))</f>
        <v>0</v>
      </c>
      <c r="Y100" s="23"/>
      <c r="Z100" s="24" t="n">
        <f aca="false">N(W100)+N(X100)-N(Y100)</f>
        <v>0</v>
      </c>
      <c r="AA100" s="33" t="n">
        <f aca="false">N(E100)+N(I100)+N(M100)+N(Q100)+N(U100)+N(Y100)</f>
        <v>0</v>
      </c>
      <c r="AB100" s="24" t="n">
        <f aca="false">F100+J100+N100+R100+V100+Z100</f>
        <v>0</v>
      </c>
      <c r="AC100" s="81" t="str">
        <f aca="false">IF(B100="","",IF(AB100&lt;=0,"Clear",IF(AA100&gt;0,"Partial","Due")))</f>
        <v/>
      </c>
    </row>
    <row r="101" customFormat="false" ht="15" hidden="false" customHeight="false" outlineLevel="0" collapsed="false">
      <c r="A101" s="25" t="n">
        <v>86</v>
      </c>
      <c r="B101" s="82" t="str">
        <f aca="false">IF(Students!B90="","",Students!B90)</f>
        <v/>
      </c>
      <c r="C101" s="37" t="n">
        <f aca="false">'Jul 2027'!F101</f>
        <v>0</v>
      </c>
      <c r="D101" s="37" t="n">
        <f aca="false">IF(B101="",0,N(Students!E90))</f>
        <v>0</v>
      </c>
      <c r="E101" s="23"/>
      <c r="F101" s="26" t="n">
        <f aca="false">N(C101)+N(D101)-N(E101)</f>
        <v>0</v>
      </c>
      <c r="G101" s="37" t="n">
        <f aca="false">'Jul 2027'!J101</f>
        <v>0</v>
      </c>
      <c r="H101" s="37" t="n">
        <f aca="false">IF(B101="",0,N(Students!F90))</f>
        <v>0</v>
      </c>
      <c r="I101" s="23"/>
      <c r="J101" s="26" t="n">
        <f aca="false">N(G101)+N(H101)-N(I101)</f>
        <v>0</v>
      </c>
      <c r="K101" s="37" t="n">
        <f aca="false">'Jul 2027'!N101</f>
        <v>0</v>
      </c>
      <c r="L101" s="37" t="n">
        <f aca="false">IF(B101="",0,N(Students!G90))</f>
        <v>0</v>
      </c>
      <c r="M101" s="23"/>
      <c r="N101" s="26" t="n">
        <f aca="false">N(K101)+N(L101)-N(M101)</f>
        <v>0</v>
      </c>
      <c r="O101" s="37" t="n">
        <f aca="false">'Jul 2027'!R101</f>
        <v>0</v>
      </c>
      <c r="P101" s="37" t="n">
        <f aca="false">IF(B101="",0,N(Students!H90))</f>
        <v>0</v>
      </c>
      <c r="Q101" s="23"/>
      <c r="R101" s="26" t="n">
        <f aca="false">N(O101)+N(P101)-N(Q101)</f>
        <v>0</v>
      </c>
      <c r="S101" s="37" t="n">
        <f aca="false">'Jul 2027'!V101</f>
        <v>0</v>
      </c>
      <c r="T101" s="37" t="n">
        <f aca="false">IF(B101="",0,N(Students!I90))</f>
        <v>0</v>
      </c>
      <c r="U101" s="23"/>
      <c r="V101" s="26" t="n">
        <f aca="false">N(S101)+N(T101)-N(U101)</f>
        <v>0</v>
      </c>
      <c r="W101" s="37" t="n">
        <f aca="false">'Jul 2027'!Z101</f>
        <v>0</v>
      </c>
      <c r="X101" s="37" t="n">
        <f aca="false">IF(B101="",0,N(Students!J90))</f>
        <v>0</v>
      </c>
      <c r="Y101" s="23"/>
      <c r="Z101" s="26" t="n">
        <f aca="false">N(W101)+N(X101)-N(Y101)</f>
        <v>0</v>
      </c>
      <c r="AA101" s="37" t="n">
        <f aca="false">N(E101)+N(I101)+N(M101)+N(Q101)+N(U101)+N(Y101)</f>
        <v>0</v>
      </c>
      <c r="AB101" s="26" t="n">
        <f aca="false">F101+J101+N101+R101+V101+Z101</f>
        <v>0</v>
      </c>
      <c r="AC101" s="83" t="str">
        <f aca="false">IF(B101="","",IF(AB101&lt;=0,"Clear",IF(AA101&gt;0,"Partial","Due")))</f>
        <v/>
      </c>
    </row>
    <row r="102" customFormat="false" ht="15" hidden="false" customHeight="false" outlineLevel="0" collapsed="false">
      <c r="A102" s="21" t="n">
        <v>87</v>
      </c>
      <c r="B102" s="46" t="str">
        <f aca="false">IF(Students!B91="","",Students!B91)</f>
        <v/>
      </c>
      <c r="C102" s="33" t="n">
        <f aca="false">'Jul 2027'!F102</f>
        <v>0</v>
      </c>
      <c r="D102" s="33" t="n">
        <f aca="false">IF(B102="",0,N(Students!E91))</f>
        <v>0</v>
      </c>
      <c r="E102" s="23"/>
      <c r="F102" s="24" t="n">
        <f aca="false">N(C102)+N(D102)-N(E102)</f>
        <v>0</v>
      </c>
      <c r="G102" s="33" t="n">
        <f aca="false">'Jul 2027'!J102</f>
        <v>0</v>
      </c>
      <c r="H102" s="33" t="n">
        <f aca="false">IF(B102="",0,N(Students!F91))</f>
        <v>0</v>
      </c>
      <c r="I102" s="23"/>
      <c r="J102" s="24" t="n">
        <f aca="false">N(G102)+N(H102)-N(I102)</f>
        <v>0</v>
      </c>
      <c r="K102" s="33" t="n">
        <f aca="false">'Jul 2027'!N102</f>
        <v>0</v>
      </c>
      <c r="L102" s="33" t="n">
        <f aca="false">IF(B102="",0,N(Students!G91))</f>
        <v>0</v>
      </c>
      <c r="M102" s="23"/>
      <c r="N102" s="24" t="n">
        <f aca="false">N(K102)+N(L102)-N(M102)</f>
        <v>0</v>
      </c>
      <c r="O102" s="33" t="n">
        <f aca="false">'Jul 2027'!R102</f>
        <v>0</v>
      </c>
      <c r="P102" s="33" t="n">
        <f aca="false">IF(B102="",0,N(Students!H91))</f>
        <v>0</v>
      </c>
      <c r="Q102" s="23"/>
      <c r="R102" s="24" t="n">
        <f aca="false">N(O102)+N(P102)-N(Q102)</f>
        <v>0</v>
      </c>
      <c r="S102" s="33" t="n">
        <f aca="false">'Jul 2027'!V102</f>
        <v>0</v>
      </c>
      <c r="T102" s="33" t="n">
        <f aca="false">IF(B102="",0,N(Students!I91))</f>
        <v>0</v>
      </c>
      <c r="U102" s="23"/>
      <c r="V102" s="24" t="n">
        <f aca="false">N(S102)+N(T102)-N(U102)</f>
        <v>0</v>
      </c>
      <c r="W102" s="33" t="n">
        <f aca="false">'Jul 2027'!Z102</f>
        <v>0</v>
      </c>
      <c r="X102" s="33" t="n">
        <f aca="false">IF(B102="",0,N(Students!J91))</f>
        <v>0</v>
      </c>
      <c r="Y102" s="23"/>
      <c r="Z102" s="24" t="n">
        <f aca="false">N(W102)+N(X102)-N(Y102)</f>
        <v>0</v>
      </c>
      <c r="AA102" s="33" t="n">
        <f aca="false">N(E102)+N(I102)+N(M102)+N(Q102)+N(U102)+N(Y102)</f>
        <v>0</v>
      </c>
      <c r="AB102" s="24" t="n">
        <f aca="false">F102+J102+N102+R102+V102+Z102</f>
        <v>0</v>
      </c>
      <c r="AC102" s="81" t="str">
        <f aca="false">IF(B102="","",IF(AB102&lt;=0,"Clear",IF(AA102&gt;0,"Partial","Due")))</f>
        <v/>
      </c>
    </row>
    <row r="103" customFormat="false" ht="15" hidden="false" customHeight="false" outlineLevel="0" collapsed="false">
      <c r="A103" s="25" t="n">
        <v>88</v>
      </c>
      <c r="B103" s="82" t="str">
        <f aca="false">IF(Students!B92="","",Students!B92)</f>
        <v/>
      </c>
      <c r="C103" s="37" t="n">
        <f aca="false">'Jul 2027'!F103</f>
        <v>0</v>
      </c>
      <c r="D103" s="37" t="n">
        <f aca="false">IF(B103="",0,N(Students!E92))</f>
        <v>0</v>
      </c>
      <c r="E103" s="23"/>
      <c r="F103" s="26" t="n">
        <f aca="false">N(C103)+N(D103)-N(E103)</f>
        <v>0</v>
      </c>
      <c r="G103" s="37" t="n">
        <f aca="false">'Jul 2027'!J103</f>
        <v>0</v>
      </c>
      <c r="H103" s="37" t="n">
        <f aca="false">IF(B103="",0,N(Students!F92))</f>
        <v>0</v>
      </c>
      <c r="I103" s="23"/>
      <c r="J103" s="26" t="n">
        <f aca="false">N(G103)+N(H103)-N(I103)</f>
        <v>0</v>
      </c>
      <c r="K103" s="37" t="n">
        <f aca="false">'Jul 2027'!N103</f>
        <v>0</v>
      </c>
      <c r="L103" s="37" t="n">
        <f aca="false">IF(B103="",0,N(Students!G92))</f>
        <v>0</v>
      </c>
      <c r="M103" s="23"/>
      <c r="N103" s="26" t="n">
        <f aca="false">N(K103)+N(L103)-N(M103)</f>
        <v>0</v>
      </c>
      <c r="O103" s="37" t="n">
        <f aca="false">'Jul 2027'!R103</f>
        <v>0</v>
      </c>
      <c r="P103" s="37" t="n">
        <f aca="false">IF(B103="",0,N(Students!H92))</f>
        <v>0</v>
      </c>
      <c r="Q103" s="23"/>
      <c r="R103" s="26" t="n">
        <f aca="false">N(O103)+N(P103)-N(Q103)</f>
        <v>0</v>
      </c>
      <c r="S103" s="37" t="n">
        <f aca="false">'Jul 2027'!V103</f>
        <v>0</v>
      </c>
      <c r="T103" s="37" t="n">
        <f aca="false">IF(B103="",0,N(Students!I92))</f>
        <v>0</v>
      </c>
      <c r="U103" s="23"/>
      <c r="V103" s="26" t="n">
        <f aca="false">N(S103)+N(T103)-N(U103)</f>
        <v>0</v>
      </c>
      <c r="W103" s="37" t="n">
        <f aca="false">'Jul 2027'!Z103</f>
        <v>0</v>
      </c>
      <c r="X103" s="37" t="n">
        <f aca="false">IF(B103="",0,N(Students!J92))</f>
        <v>0</v>
      </c>
      <c r="Y103" s="23"/>
      <c r="Z103" s="26" t="n">
        <f aca="false">N(W103)+N(X103)-N(Y103)</f>
        <v>0</v>
      </c>
      <c r="AA103" s="37" t="n">
        <f aca="false">N(E103)+N(I103)+N(M103)+N(Q103)+N(U103)+N(Y103)</f>
        <v>0</v>
      </c>
      <c r="AB103" s="26" t="n">
        <f aca="false">F103+J103+N103+R103+V103+Z103</f>
        <v>0</v>
      </c>
      <c r="AC103" s="83" t="str">
        <f aca="false">IF(B103="","",IF(AB103&lt;=0,"Clear",IF(AA103&gt;0,"Partial","Due")))</f>
        <v/>
      </c>
    </row>
    <row r="104" customFormat="false" ht="15" hidden="false" customHeight="false" outlineLevel="0" collapsed="false">
      <c r="A104" s="21" t="n">
        <v>89</v>
      </c>
      <c r="B104" s="46" t="str">
        <f aca="false">IF(Students!B93="","",Students!B93)</f>
        <v/>
      </c>
      <c r="C104" s="33" t="n">
        <f aca="false">'Jul 2027'!F104</f>
        <v>0</v>
      </c>
      <c r="D104" s="33" t="n">
        <f aca="false">IF(B104="",0,N(Students!E93))</f>
        <v>0</v>
      </c>
      <c r="E104" s="23"/>
      <c r="F104" s="24" t="n">
        <f aca="false">N(C104)+N(D104)-N(E104)</f>
        <v>0</v>
      </c>
      <c r="G104" s="33" t="n">
        <f aca="false">'Jul 2027'!J104</f>
        <v>0</v>
      </c>
      <c r="H104" s="33" t="n">
        <f aca="false">IF(B104="",0,N(Students!F93))</f>
        <v>0</v>
      </c>
      <c r="I104" s="23"/>
      <c r="J104" s="24" t="n">
        <f aca="false">N(G104)+N(H104)-N(I104)</f>
        <v>0</v>
      </c>
      <c r="K104" s="33" t="n">
        <f aca="false">'Jul 2027'!N104</f>
        <v>0</v>
      </c>
      <c r="L104" s="33" t="n">
        <f aca="false">IF(B104="",0,N(Students!G93))</f>
        <v>0</v>
      </c>
      <c r="M104" s="23"/>
      <c r="N104" s="24" t="n">
        <f aca="false">N(K104)+N(L104)-N(M104)</f>
        <v>0</v>
      </c>
      <c r="O104" s="33" t="n">
        <f aca="false">'Jul 2027'!R104</f>
        <v>0</v>
      </c>
      <c r="P104" s="33" t="n">
        <f aca="false">IF(B104="",0,N(Students!H93))</f>
        <v>0</v>
      </c>
      <c r="Q104" s="23"/>
      <c r="R104" s="24" t="n">
        <f aca="false">N(O104)+N(P104)-N(Q104)</f>
        <v>0</v>
      </c>
      <c r="S104" s="33" t="n">
        <f aca="false">'Jul 2027'!V104</f>
        <v>0</v>
      </c>
      <c r="T104" s="33" t="n">
        <f aca="false">IF(B104="",0,N(Students!I93))</f>
        <v>0</v>
      </c>
      <c r="U104" s="23"/>
      <c r="V104" s="24" t="n">
        <f aca="false">N(S104)+N(T104)-N(U104)</f>
        <v>0</v>
      </c>
      <c r="W104" s="33" t="n">
        <f aca="false">'Jul 2027'!Z104</f>
        <v>0</v>
      </c>
      <c r="X104" s="33" t="n">
        <f aca="false">IF(B104="",0,N(Students!J93))</f>
        <v>0</v>
      </c>
      <c r="Y104" s="23"/>
      <c r="Z104" s="24" t="n">
        <f aca="false">N(W104)+N(X104)-N(Y104)</f>
        <v>0</v>
      </c>
      <c r="AA104" s="33" t="n">
        <f aca="false">N(E104)+N(I104)+N(M104)+N(Q104)+N(U104)+N(Y104)</f>
        <v>0</v>
      </c>
      <c r="AB104" s="24" t="n">
        <f aca="false">F104+J104+N104+R104+V104+Z104</f>
        <v>0</v>
      </c>
      <c r="AC104" s="81" t="str">
        <f aca="false">IF(B104="","",IF(AB104&lt;=0,"Clear",IF(AA104&gt;0,"Partial","Due")))</f>
        <v/>
      </c>
    </row>
    <row r="105" customFormat="false" ht="15" hidden="false" customHeight="false" outlineLevel="0" collapsed="false">
      <c r="A105" s="25" t="n">
        <v>90</v>
      </c>
      <c r="B105" s="82" t="str">
        <f aca="false">IF(Students!B94="","",Students!B94)</f>
        <v/>
      </c>
      <c r="C105" s="37" t="n">
        <f aca="false">'Jul 2027'!F105</f>
        <v>0</v>
      </c>
      <c r="D105" s="37" t="n">
        <f aca="false">IF(B105="",0,N(Students!E94))</f>
        <v>0</v>
      </c>
      <c r="E105" s="23"/>
      <c r="F105" s="26" t="n">
        <f aca="false">N(C105)+N(D105)-N(E105)</f>
        <v>0</v>
      </c>
      <c r="G105" s="37" t="n">
        <f aca="false">'Jul 2027'!J105</f>
        <v>0</v>
      </c>
      <c r="H105" s="37" t="n">
        <f aca="false">IF(B105="",0,N(Students!F94))</f>
        <v>0</v>
      </c>
      <c r="I105" s="23"/>
      <c r="J105" s="26" t="n">
        <f aca="false">N(G105)+N(H105)-N(I105)</f>
        <v>0</v>
      </c>
      <c r="K105" s="37" t="n">
        <f aca="false">'Jul 2027'!N105</f>
        <v>0</v>
      </c>
      <c r="L105" s="37" t="n">
        <f aca="false">IF(B105="",0,N(Students!G94))</f>
        <v>0</v>
      </c>
      <c r="M105" s="23"/>
      <c r="N105" s="26" t="n">
        <f aca="false">N(K105)+N(L105)-N(M105)</f>
        <v>0</v>
      </c>
      <c r="O105" s="37" t="n">
        <f aca="false">'Jul 2027'!R105</f>
        <v>0</v>
      </c>
      <c r="P105" s="37" t="n">
        <f aca="false">IF(B105="",0,N(Students!H94))</f>
        <v>0</v>
      </c>
      <c r="Q105" s="23"/>
      <c r="R105" s="26" t="n">
        <f aca="false">N(O105)+N(P105)-N(Q105)</f>
        <v>0</v>
      </c>
      <c r="S105" s="37" t="n">
        <f aca="false">'Jul 2027'!V105</f>
        <v>0</v>
      </c>
      <c r="T105" s="37" t="n">
        <f aca="false">IF(B105="",0,N(Students!I94))</f>
        <v>0</v>
      </c>
      <c r="U105" s="23"/>
      <c r="V105" s="26" t="n">
        <f aca="false">N(S105)+N(T105)-N(U105)</f>
        <v>0</v>
      </c>
      <c r="W105" s="37" t="n">
        <f aca="false">'Jul 2027'!Z105</f>
        <v>0</v>
      </c>
      <c r="X105" s="37" t="n">
        <f aca="false">IF(B105="",0,N(Students!J94))</f>
        <v>0</v>
      </c>
      <c r="Y105" s="23"/>
      <c r="Z105" s="26" t="n">
        <f aca="false">N(W105)+N(X105)-N(Y105)</f>
        <v>0</v>
      </c>
      <c r="AA105" s="37" t="n">
        <f aca="false">N(E105)+N(I105)+N(M105)+N(Q105)+N(U105)+N(Y105)</f>
        <v>0</v>
      </c>
      <c r="AB105" s="26" t="n">
        <f aca="false">F105+J105+N105+R105+V105+Z105</f>
        <v>0</v>
      </c>
      <c r="AC105" s="83" t="str">
        <f aca="false">IF(B105="","",IF(AB105&lt;=0,"Clear",IF(AA105&gt;0,"Partial","Due")))</f>
        <v/>
      </c>
    </row>
    <row r="106" customFormat="false" ht="15" hidden="false" customHeight="false" outlineLevel="0" collapsed="false">
      <c r="A106" s="21" t="n">
        <v>91</v>
      </c>
      <c r="B106" s="46" t="str">
        <f aca="false">IF(Students!B95="","",Students!B95)</f>
        <v/>
      </c>
      <c r="C106" s="33" t="n">
        <f aca="false">'Jul 2027'!F106</f>
        <v>0</v>
      </c>
      <c r="D106" s="33" t="n">
        <f aca="false">IF(B106="",0,N(Students!E95))</f>
        <v>0</v>
      </c>
      <c r="E106" s="23"/>
      <c r="F106" s="24" t="n">
        <f aca="false">N(C106)+N(D106)-N(E106)</f>
        <v>0</v>
      </c>
      <c r="G106" s="33" t="n">
        <f aca="false">'Jul 2027'!J106</f>
        <v>0</v>
      </c>
      <c r="H106" s="33" t="n">
        <f aca="false">IF(B106="",0,N(Students!F95))</f>
        <v>0</v>
      </c>
      <c r="I106" s="23"/>
      <c r="J106" s="24" t="n">
        <f aca="false">N(G106)+N(H106)-N(I106)</f>
        <v>0</v>
      </c>
      <c r="K106" s="33" t="n">
        <f aca="false">'Jul 2027'!N106</f>
        <v>0</v>
      </c>
      <c r="L106" s="33" t="n">
        <f aca="false">IF(B106="",0,N(Students!G95))</f>
        <v>0</v>
      </c>
      <c r="M106" s="23"/>
      <c r="N106" s="24" t="n">
        <f aca="false">N(K106)+N(L106)-N(M106)</f>
        <v>0</v>
      </c>
      <c r="O106" s="33" t="n">
        <f aca="false">'Jul 2027'!R106</f>
        <v>0</v>
      </c>
      <c r="P106" s="33" t="n">
        <f aca="false">IF(B106="",0,N(Students!H95))</f>
        <v>0</v>
      </c>
      <c r="Q106" s="23"/>
      <c r="R106" s="24" t="n">
        <f aca="false">N(O106)+N(P106)-N(Q106)</f>
        <v>0</v>
      </c>
      <c r="S106" s="33" t="n">
        <f aca="false">'Jul 2027'!V106</f>
        <v>0</v>
      </c>
      <c r="T106" s="33" t="n">
        <f aca="false">IF(B106="",0,N(Students!I95))</f>
        <v>0</v>
      </c>
      <c r="U106" s="23"/>
      <c r="V106" s="24" t="n">
        <f aca="false">N(S106)+N(T106)-N(U106)</f>
        <v>0</v>
      </c>
      <c r="W106" s="33" t="n">
        <f aca="false">'Jul 2027'!Z106</f>
        <v>0</v>
      </c>
      <c r="X106" s="33" t="n">
        <f aca="false">IF(B106="",0,N(Students!J95))</f>
        <v>0</v>
      </c>
      <c r="Y106" s="23"/>
      <c r="Z106" s="24" t="n">
        <f aca="false">N(W106)+N(X106)-N(Y106)</f>
        <v>0</v>
      </c>
      <c r="AA106" s="33" t="n">
        <f aca="false">N(E106)+N(I106)+N(M106)+N(Q106)+N(U106)+N(Y106)</f>
        <v>0</v>
      </c>
      <c r="AB106" s="24" t="n">
        <f aca="false">F106+J106+N106+R106+V106+Z106</f>
        <v>0</v>
      </c>
      <c r="AC106" s="81" t="str">
        <f aca="false">IF(B106="","",IF(AB106&lt;=0,"Clear",IF(AA106&gt;0,"Partial","Due")))</f>
        <v/>
      </c>
    </row>
    <row r="107" customFormat="false" ht="15" hidden="false" customHeight="false" outlineLevel="0" collapsed="false">
      <c r="A107" s="25" t="n">
        <v>92</v>
      </c>
      <c r="B107" s="82" t="str">
        <f aca="false">IF(Students!B96="","",Students!B96)</f>
        <v/>
      </c>
      <c r="C107" s="37" t="n">
        <f aca="false">'Jul 2027'!F107</f>
        <v>0</v>
      </c>
      <c r="D107" s="37" t="n">
        <f aca="false">IF(B107="",0,N(Students!E96))</f>
        <v>0</v>
      </c>
      <c r="E107" s="23"/>
      <c r="F107" s="26" t="n">
        <f aca="false">N(C107)+N(D107)-N(E107)</f>
        <v>0</v>
      </c>
      <c r="G107" s="37" t="n">
        <f aca="false">'Jul 2027'!J107</f>
        <v>0</v>
      </c>
      <c r="H107" s="37" t="n">
        <f aca="false">IF(B107="",0,N(Students!F96))</f>
        <v>0</v>
      </c>
      <c r="I107" s="23"/>
      <c r="J107" s="26" t="n">
        <f aca="false">N(G107)+N(H107)-N(I107)</f>
        <v>0</v>
      </c>
      <c r="K107" s="37" t="n">
        <f aca="false">'Jul 2027'!N107</f>
        <v>0</v>
      </c>
      <c r="L107" s="37" t="n">
        <f aca="false">IF(B107="",0,N(Students!G96))</f>
        <v>0</v>
      </c>
      <c r="M107" s="23"/>
      <c r="N107" s="26" t="n">
        <f aca="false">N(K107)+N(L107)-N(M107)</f>
        <v>0</v>
      </c>
      <c r="O107" s="37" t="n">
        <f aca="false">'Jul 2027'!R107</f>
        <v>0</v>
      </c>
      <c r="P107" s="37" t="n">
        <f aca="false">IF(B107="",0,N(Students!H96))</f>
        <v>0</v>
      </c>
      <c r="Q107" s="23"/>
      <c r="R107" s="26" t="n">
        <f aca="false">N(O107)+N(P107)-N(Q107)</f>
        <v>0</v>
      </c>
      <c r="S107" s="37" t="n">
        <f aca="false">'Jul 2027'!V107</f>
        <v>0</v>
      </c>
      <c r="T107" s="37" t="n">
        <f aca="false">IF(B107="",0,N(Students!I96))</f>
        <v>0</v>
      </c>
      <c r="U107" s="23"/>
      <c r="V107" s="26" t="n">
        <f aca="false">N(S107)+N(T107)-N(U107)</f>
        <v>0</v>
      </c>
      <c r="W107" s="37" t="n">
        <f aca="false">'Jul 2027'!Z107</f>
        <v>0</v>
      </c>
      <c r="X107" s="37" t="n">
        <f aca="false">IF(B107="",0,N(Students!J96))</f>
        <v>0</v>
      </c>
      <c r="Y107" s="23"/>
      <c r="Z107" s="26" t="n">
        <f aca="false">N(W107)+N(X107)-N(Y107)</f>
        <v>0</v>
      </c>
      <c r="AA107" s="37" t="n">
        <f aca="false">N(E107)+N(I107)+N(M107)+N(Q107)+N(U107)+N(Y107)</f>
        <v>0</v>
      </c>
      <c r="AB107" s="26" t="n">
        <f aca="false">F107+J107+N107+R107+V107+Z107</f>
        <v>0</v>
      </c>
      <c r="AC107" s="83" t="str">
        <f aca="false">IF(B107="","",IF(AB107&lt;=0,"Clear",IF(AA107&gt;0,"Partial","Due")))</f>
        <v/>
      </c>
    </row>
    <row r="108" customFormat="false" ht="15" hidden="false" customHeight="false" outlineLevel="0" collapsed="false">
      <c r="A108" s="21" t="n">
        <v>93</v>
      </c>
      <c r="B108" s="46" t="str">
        <f aca="false">IF(Students!B97="","",Students!B97)</f>
        <v/>
      </c>
      <c r="C108" s="33" t="n">
        <f aca="false">'Jul 2027'!F108</f>
        <v>0</v>
      </c>
      <c r="D108" s="33" t="n">
        <f aca="false">IF(B108="",0,N(Students!E97))</f>
        <v>0</v>
      </c>
      <c r="E108" s="23"/>
      <c r="F108" s="24" t="n">
        <f aca="false">N(C108)+N(D108)-N(E108)</f>
        <v>0</v>
      </c>
      <c r="G108" s="33" t="n">
        <f aca="false">'Jul 2027'!J108</f>
        <v>0</v>
      </c>
      <c r="H108" s="33" t="n">
        <f aca="false">IF(B108="",0,N(Students!F97))</f>
        <v>0</v>
      </c>
      <c r="I108" s="23"/>
      <c r="J108" s="24" t="n">
        <f aca="false">N(G108)+N(H108)-N(I108)</f>
        <v>0</v>
      </c>
      <c r="K108" s="33" t="n">
        <f aca="false">'Jul 2027'!N108</f>
        <v>0</v>
      </c>
      <c r="L108" s="33" t="n">
        <f aca="false">IF(B108="",0,N(Students!G97))</f>
        <v>0</v>
      </c>
      <c r="M108" s="23"/>
      <c r="N108" s="24" t="n">
        <f aca="false">N(K108)+N(L108)-N(M108)</f>
        <v>0</v>
      </c>
      <c r="O108" s="33" t="n">
        <f aca="false">'Jul 2027'!R108</f>
        <v>0</v>
      </c>
      <c r="P108" s="33" t="n">
        <f aca="false">IF(B108="",0,N(Students!H97))</f>
        <v>0</v>
      </c>
      <c r="Q108" s="23"/>
      <c r="R108" s="24" t="n">
        <f aca="false">N(O108)+N(P108)-N(Q108)</f>
        <v>0</v>
      </c>
      <c r="S108" s="33" t="n">
        <f aca="false">'Jul 2027'!V108</f>
        <v>0</v>
      </c>
      <c r="T108" s="33" t="n">
        <f aca="false">IF(B108="",0,N(Students!I97))</f>
        <v>0</v>
      </c>
      <c r="U108" s="23"/>
      <c r="V108" s="24" t="n">
        <f aca="false">N(S108)+N(T108)-N(U108)</f>
        <v>0</v>
      </c>
      <c r="W108" s="33" t="n">
        <f aca="false">'Jul 2027'!Z108</f>
        <v>0</v>
      </c>
      <c r="X108" s="33" t="n">
        <f aca="false">IF(B108="",0,N(Students!J97))</f>
        <v>0</v>
      </c>
      <c r="Y108" s="23"/>
      <c r="Z108" s="24" t="n">
        <f aca="false">N(W108)+N(X108)-N(Y108)</f>
        <v>0</v>
      </c>
      <c r="AA108" s="33" t="n">
        <f aca="false">N(E108)+N(I108)+N(M108)+N(Q108)+N(U108)+N(Y108)</f>
        <v>0</v>
      </c>
      <c r="AB108" s="24" t="n">
        <f aca="false">F108+J108+N108+R108+V108+Z108</f>
        <v>0</v>
      </c>
      <c r="AC108" s="81" t="str">
        <f aca="false">IF(B108="","",IF(AB108&lt;=0,"Clear",IF(AA108&gt;0,"Partial","Due")))</f>
        <v/>
      </c>
    </row>
    <row r="109" customFormat="false" ht="15" hidden="false" customHeight="false" outlineLevel="0" collapsed="false">
      <c r="A109" s="25" t="n">
        <v>94</v>
      </c>
      <c r="B109" s="82" t="str">
        <f aca="false">IF(Students!B98="","",Students!B98)</f>
        <v/>
      </c>
      <c r="C109" s="37" t="n">
        <f aca="false">'Jul 2027'!F109</f>
        <v>0</v>
      </c>
      <c r="D109" s="37" t="n">
        <f aca="false">IF(B109="",0,N(Students!E98))</f>
        <v>0</v>
      </c>
      <c r="E109" s="23"/>
      <c r="F109" s="26" t="n">
        <f aca="false">N(C109)+N(D109)-N(E109)</f>
        <v>0</v>
      </c>
      <c r="G109" s="37" t="n">
        <f aca="false">'Jul 2027'!J109</f>
        <v>0</v>
      </c>
      <c r="H109" s="37" t="n">
        <f aca="false">IF(B109="",0,N(Students!F98))</f>
        <v>0</v>
      </c>
      <c r="I109" s="23"/>
      <c r="J109" s="26" t="n">
        <f aca="false">N(G109)+N(H109)-N(I109)</f>
        <v>0</v>
      </c>
      <c r="K109" s="37" t="n">
        <f aca="false">'Jul 2027'!N109</f>
        <v>0</v>
      </c>
      <c r="L109" s="37" t="n">
        <f aca="false">IF(B109="",0,N(Students!G98))</f>
        <v>0</v>
      </c>
      <c r="M109" s="23"/>
      <c r="N109" s="26" t="n">
        <f aca="false">N(K109)+N(L109)-N(M109)</f>
        <v>0</v>
      </c>
      <c r="O109" s="37" t="n">
        <f aca="false">'Jul 2027'!R109</f>
        <v>0</v>
      </c>
      <c r="P109" s="37" t="n">
        <f aca="false">IF(B109="",0,N(Students!H98))</f>
        <v>0</v>
      </c>
      <c r="Q109" s="23"/>
      <c r="R109" s="26" t="n">
        <f aca="false">N(O109)+N(P109)-N(Q109)</f>
        <v>0</v>
      </c>
      <c r="S109" s="37" t="n">
        <f aca="false">'Jul 2027'!V109</f>
        <v>0</v>
      </c>
      <c r="T109" s="37" t="n">
        <f aca="false">IF(B109="",0,N(Students!I98))</f>
        <v>0</v>
      </c>
      <c r="U109" s="23"/>
      <c r="V109" s="26" t="n">
        <f aca="false">N(S109)+N(T109)-N(U109)</f>
        <v>0</v>
      </c>
      <c r="W109" s="37" t="n">
        <f aca="false">'Jul 2027'!Z109</f>
        <v>0</v>
      </c>
      <c r="X109" s="37" t="n">
        <f aca="false">IF(B109="",0,N(Students!J98))</f>
        <v>0</v>
      </c>
      <c r="Y109" s="23"/>
      <c r="Z109" s="26" t="n">
        <f aca="false">N(W109)+N(X109)-N(Y109)</f>
        <v>0</v>
      </c>
      <c r="AA109" s="37" t="n">
        <f aca="false">N(E109)+N(I109)+N(M109)+N(Q109)+N(U109)+N(Y109)</f>
        <v>0</v>
      </c>
      <c r="AB109" s="26" t="n">
        <f aca="false">F109+J109+N109+R109+V109+Z109</f>
        <v>0</v>
      </c>
      <c r="AC109" s="83" t="str">
        <f aca="false">IF(B109="","",IF(AB109&lt;=0,"Clear",IF(AA109&gt;0,"Partial","Due")))</f>
        <v/>
      </c>
    </row>
    <row r="110" customFormat="false" ht="15" hidden="false" customHeight="false" outlineLevel="0" collapsed="false">
      <c r="A110" s="21" t="n">
        <v>95</v>
      </c>
      <c r="B110" s="46" t="str">
        <f aca="false">IF(Students!B99="","",Students!B99)</f>
        <v/>
      </c>
      <c r="C110" s="33" t="n">
        <f aca="false">'Jul 2027'!F110</f>
        <v>0</v>
      </c>
      <c r="D110" s="33" t="n">
        <f aca="false">IF(B110="",0,N(Students!E99))</f>
        <v>0</v>
      </c>
      <c r="E110" s="23"/>
      <c r="F110" s="24" t="n">
        <f aca="false">N(C110)+N(D110)-N(E110)</f>
        <v>0</v>
      </c>
      <c r="G110" s="33" t="n">
        <f aca="false">'Jul 2027'!J110</f>
        <v>0</v>
      </c>
      <c r="H110" s="33" t="n">
        <f aca="false">IF(B110="",0,N(Students!F99))</f>
        <v>0</v>
      </c>
      <c r="I110" s="23"/>
      <c r="J110" s="24" t="n">
        <f aca="false">N(G110)+N(H110)-N(I110)</f>
        <v>0</v>
      </c>
      <c r="K110" s="33" t="n">
        <f aca="false">'Jul 2027'!N110</f>
        <v>0</v>
      </c>
      <c r="L110" s="33" t="n">
        <f aca="false">IF(B110="",0,N(Students!G99))</f>
        <v>0</v>
      </c>
      <c r="M110" s="23"/>
      <c r="N110" s="24" t="n">
        <f aca="false">N(K110)+N(L110)-N(M110)</f>
        <v>0</v>
      </c>
      <c r="O110" s="33" t="n">
        <f aca="false">'Jul 2027'!R110</f>
        <v>0</v>
      </c>
      <c r="P110" s="33" t="n">
        <f aca="false">IF(B110="",0,N(Students!H99))</f>
        <v>0</v>
      </c>
      <c r="Q110" s="23"/>
      <c r="R110" s="24" t="n">
        <f aca="false">N(O110)+N(P110)-N(Q110)</f>
        <v>0</v>
      </c>
      <c r="S110" s="33" t="n">
        <f aca="false">'Jul 2027'!V110</f>
        <v>0</v>
      </c>
      <c r="T110" s="33" t="n">
        <f aca="false">IF(B110="",0,N(Students!I99))</f>
        <v>0</v>
      </c>
      <c r="U110" s="23"/>
      <c r="V110" s="24" t="n">
        <f aca="false">N(S110)+N(T110)-N(U110)</f>
        <v>0</v>
      </c>
      <c r="W110" s="33" t="n">
        <f aca="false">'Jul 2027'!Z110</f>
        <v>0</v>
      </c>
      <c r="X110" s="33" t="n">
        <f aca="false">IF(B110="",0,N(Students!J99))</f>
        <v>0</v>
      </c>
      <c r="Y110" s="23"/>
      <c r="Z110" s="24" t="n">
        <f aca="false">N(W110)+N(X110)-N(Y110)</f>
        <v>0</v>
      </c>
      <c r="AA110" s="33" t="n">
        <f aca="false">N(E110)+N(I110)+N(M110)+N(Q110)+N(U110)+N(Y110)</f>
        <v>0</v>
      </c>
      <c r="AB110" s="24" t="n">
        <f aca="false">F110+J110+N110+R110+V110+Z110</f>
        <v>0</v>
      </c>
      <c r="AC110" s="81" t="str">
        <f aca="false">IF(B110="","",IF(AB110&lt;=0,"Clear",IF(AA110&gt;0,"Partial","Due")))</f>
        <v/>
      </c>
    </row>
    <row r="111" customFormat="false" ht="15" hidden="false" customHeight="false" outlineLevel="0" collapsed="false">
      <c r="A111" s="25" t="n">
        <v>96</v>
      </c>
      <c r="B111" s="82" t="str">
        <f aca="false">IF(Students!B100="","",Students!B100)</f>
        <v/>
      </c>
      <c r="C111" s="37" t="n">
        <f aca="false">'Jul 2027'!F111</f>
        <v>0</v>
      </c>
      <c r="D111" s="37" t="n">
        <f aca="false">IF(B111="",0,N(Students!E100))</f>
        <v>0</v>
      </c>
      <c r="E111" s="23"/>
      <c r="F111" s="26" t="n">
        <f aca="false">N(C111)+N(D111)-N(E111)</f>
        <v>0</v>
      </c>
      <c r="G111" s="37" t="n">
        <f aca="false">'Jul 2027'!J111</f>
        <v>0</v>
      </c>
      <c r="H111" s="37" t="n">
        <f aca="false">IF(B111="",0,N(Students!F100))</f>
        <v>0</v>
      </c>
      <c r="I111" s="23"/>
      <c r="J111" s="26" t="n">
        <f aca="false">N(G111)+N(H111)-N(I111)</f>
        <v>0</v>
      </c>
      <c r="K111" s="37" t="n">
        <f aca="false">'Jul 2027'!N111</f>
        <v>0</v>
      </c>
      <c r="L111" s="37" t="n">
        <f aca="false">IF(B111="",0,N(Students!G100))</f>
        <v>0</v>
      </c>
      <c r="M111" s="23"/>
      <c r="N111" s="26" t="n">
        <f aca="false">N(K111)+N(L111)-N(M111)</f>
        <v>0</v>
      </c>
      <c r="O111" s="37" t="n">
        <f aca="false">'Jul 2027'!R111</f>
        <v>0</v>
      </c>
      <c r="P111" s="37" t="n">
        <f aca="false">IF(B111="",0,N(Students!H100))</f>
        <v>0</v>
      </c>
      <c r="Q111" s="23"/>
      <c r="R111" s="26" t="n">
        <f aca="false">N(O111)+N(P111)-N(Q111)</f>
        <v>0</v>
      </c>
      <c r="S111" s="37" t="n">
        <f aca="false">'Jul 2027'!V111</f>
        <v>0</v>
      </c>
      <c r="T111" s="37" t="n">
        <f aca="false">IF(B111="",0,N(Students!I100))</f>
        <v>0</v>
      </c>
      <c r="U111" s="23"/>
      <c r="V111" s="26" t="n">
        <f aca="false">N(S111)+N(T111)-N(U111)</f>
        <v>0</v>
      </c>
      <c r="W111" s="37" t="n">
        <f aca="false">'Jul 2027'!Z111</f>
        <v>0</v>
      </c>
      <c r="X111" s="37" t="n">
        <f aca="false">IF(B111="",0,N(Students!J100))</f>
        <v>0</v>
      </c>
      <c r="Y111" s="23"/>
      <c r="Z111" s="26" t="n">
        <f aca="false">N(W111)+N(X111)-N(Y111)</f>
        <v>0</v>
      </c>
      <c r="AA111" s="37" t="n">
        <f aca="false">N(E111)+N(I111)+N(M111)+N(Q111)+N(U111)+N(Y111)</f>
        <v>0</v>
      </c>
      <c r="AB111" s="26" t="n">
        <f aca="false">F111+J111+N111+R111+V111+Z111</f>
        <v>0</v>
      </c>
      <c r="AC111" s="83" t="str">
        <f aca="false">IF(B111="","",IF(AB111&lt;=0,"Clear",IF(AA111&gt;0,"Partial","Due")))</f>
        <v/>
      </c>
    </row>
    <row r="112" customFormat="false" ht="15" hidden="false" customHeight="false" outlineLevel="0" collapsed="false">
      <c r="A112" s="21" t="n">
        <v>97</v>
      </c>
      <c r="B112" s="46" t="str">
        <f aca="false">IF(Students!B101="","",Students!B101)</f>
        <v/>
      </c>
      <c r="C112" s="33" t="n">
        <f aca="false">'Jul 2027'!F112</f>
        <v>0</v>
      </c>
      <c r="D112" s="33" t="n">
        <f aca="false">IF(B112="",0,N(Students!E101))</f>
        <v>0</v>
      </c>
      <c r="E112" s="23"/>
      <c r="F112" s="24" t="n">
        <f aca="false">N(C112)+N(D112)-N(E112)</f>
        <v>0</v>
      </c>
      <c r="G112" s="33" t="n">
        <f aca="false">'Jul 2027'!J112</f>
        <v>0</v>
      </c>
      <c r="H112" s="33" t="n">
        <f aca="false">IF(B112="",0,N(Students!F101))</f>
        <v>0</v>
      </c>
      <c r="I112" s="23"/>
      <c r="J112" s="24" t="n">
        <f aca="false">N(G112)+N(H112)-N(I112)</f>
        <v>0</v>
      </c>
      <c r="K112" s="33" t="n">
        <f aca="false">'Jul 2027'!N112</f>
        <v>0</v>
      </c>
      <c r="L112" s="33" t="n">
        <f aca="false">IF(B112="",0,N(Students!G101))</f>
        <v>0</v>
      </c>
      <c r="M112" s="23"/>
      <c r="N112" s="24" t="n">
        <f aca="false">N(K112)+N(L112)-N(M112)</f>
        <v>0</v>
      </c>
      <c r="O112" s="33" t="n">
        <f aca="false">'Jul 2027'!R112</f>
        <v>0</v>
      </c>
      <c r="P112" s="33" t="n">
        <f aca="false">IF(B112="",0,N(Students!H101))</f>
        <v>0</v>
      </c>
      <c r="Q112" s="23"/>
      <c r="R112" s="24" t="n">
        <f aca="false">N(O112)+N(P112)-N(Q112)</f>
        <v>0</v>
      </c>
      <c r="S112" s="33" t="n">
        <f aca="false">'Jul 2027'!V112</f>
        <v>0</v>
      </c>
      <c r="T112" s="33" t="n">
        <f aca="false">IF(B112="",0,N(Students!I101))</f>
        <v>0</v>
      </c>
      <c r="U112" s="23"/>
      <c r="V112" s="24" t="n">
        <f aca="false">N(S112)+N(T112)-N(U112)</f>
        <v>0</v>
      </c>
      <c r="W112" s="33" t="n">
        <f aca="false">'Jul 2027'!Z112</f>
        <v>0</v>
      </c>
      <c r="X112" s="33" t="n">
        <f aca="false">IF(B112="",0,N(Students!J101))</f>
        <v>0</v>
      </c>
      <c r="Y112" s="23"/>
      <c r="Z112" s="24" t="n">
        <f aca="false">N(W112)+N(X112)-N(Y112)</f>
        <v>0</v>
      </c>
      <c r="AA112" s="33" t="n">
        <f aca="false">N(E112)+N(I112)+N(M112)+N(Q112)+N(U112)+N(Y112)</f>
        <v>0</v>
      </c>
      <c r="AB112" s="24" t="n">
        <f aca="false">F112+J112+N112+R112+V112+Z112</f>
        <v>0</v>
      </c>
      <c r="AC112" s="81" t="str">
        <f aca="false">IF(B112="","",IF(AB112&lt;=0,"Clear",IF(AA112&gt;0,"Partial","Due")))</f>
        <v/>
      </c>
    </row>
    <row r="113" customFormat="false" ht="15" hidden="false" customHeight="false" outlineLevel="0" collapsed="false">
      <c r="A113" s="25" t="n">
        <v>98</v>
      </c>
      <c r="B113" s="82" t="str">
        <f aca="false">IF(Students!B102="","",Students!B102)</f>
        <v/>
      </c>
      <c r="C113" s="37" t="n">
        <f aca="false">'Jul 2027'!F113</f>
        <v>0</v>
      </c>
      <c r="D113" s="37" t="n">
        <f aca="false">IF(B113="",0,N(Students!E102))</f>
        <v>0</v>
      </c>
      <c r="E113" s="23"/>
      <c r="F113" s="26" t="n">
        <f aca="false">N(C113)+N(D113)-N(E113)</f>
        <v>0</v>
      </c>
      <c r="G113" s="37" t="n">
        <f aca="false">'Jul 2027'!J113</f>
        <v>0</v>
      </c>
      <c r="H113" s="37" t="n">
        <f aca="false">IF(B113="",0,N(Students!F102))</f>
        <v>0</v>
      </c>
      <c r="I113" s="23"/>
      <c r="J113" s="26" t="n">
        <f aca="false">N(G113)+N(H113)-N(I113)</f>
        <v>0</v>
      </c>
      <c r="K113" s="37" t="n">
        <f aca="false">'Jul 2027'!N113</f>
        <v>0</v>
      </c>
      <c r="L113" s="37" t="n">
        <f aca="false">IF(B113="",0,N(Students!G102))</f>
        <v>0</v>
      </c>
      <c r="M113" s="23"/>
      <c r="N113" s="26" t="n">
        <f aca="false">N(K113)+N(L113)-N(M113)</f>
        <v>0</v>
      </c>
      <c r="O113" s="37" t="n">
        <f aca="false">'Jul 2027'!R113</f>
        <v>0</v>
      </c>
      <c r="P113" s="37" t="n">
        <f aca="false">IF(B113="",0,N(Students!H102))</f>
        <v>0</v>
      </c>
      <c r="Q113" s="23"/>
      <c r="R113" s="26" t="n">
        <f aca="false">N(O113)+N(P113)-N(Q113)</f>
        <v>0</v>
      </c>
      <c r="S113" s="37" t="n">
        <f aca="false">'Jul 2027'!V113</f>
        <v>0</v>
      </c>
      <c r="T113" s="37" t="n">
        <f aca="false">IF(B113="",0,N(Students!I102))</f>
        <v>0</v>
      </c>
      <c r="U113" s="23"/>
      <c r="V113" s="26" t="n">
        <f aca="false">N(S113)+N(T113)-N(U113)</f>
        <v>0</v>
      </c>
      <c r="W113" s="37" t="n">
        <f aca="false">'Jul 2027'!Z113</f>
        <v>0</v>
      </c>
      <c r="X113" s="37" t="n">
        <f aca="false">IF(B113="",0,N(Students!J102))</f>
        <v>0</v>
      </c>
      <c r="Y113" s="23"/>
      <c r="Z113" s="26" t="n">
        <f aca="false">N(W113)+N(X113)-N(Y113)</f>
        <v>0</v>
      </c>
      <c r="AA113" s="37" t="n">
        <f aca="false">N(E113)+N(I113)+N(M113)+N(Q113)+N(U113)+N(Y113)</f>
        <v>0</v>
      </c>
      <c r="AB113" s="26" t="n">
        <f aca="false">F113+J113+N113+R113+V113+Z113</f>
        <v>0</v>
      </c>
      <c r="AC113" s="83" t="str">
        <f aca="false">IF(B113="","",IF(AB113&lt;=0,"Clear",IF(AA113&gt;0,"Partial","Due")))</f>
        <v/>
      </c>
    </row>
    <row r="114" customFormat="false" ht="15" hidden="false" customHeight="false" outlineLevel="0" collapsed="false">
      <c r="A114" s="21" t="n">
        <v>99</v>
      </c>
      <c r="B114" s="46" t="str">
        <f aca="false">IF(Students!B103="","",Students!B103)</f>
        <v/>
      </c>
      <c r="C114" s="33" t="n">
        <f aca="false">'Jul 2027'!F114</f>
        <v>0</v>
      </c>
      <c r="D114" s="33" t="n">
        <f aca="false">IF(B114="",0,N(Students!E103))</f>
        <v>0</v>
      </c>
      <c r="E114" s="23"/>
      <c r="F114" s="24" t="n">
        <f aca="false">N(C114)+N(D114)-N(E114)</f>
        <v>0</v>
      </c>
      <c r="G114" s="33" t="n">
        <f aca="false">'Jul 2027'!J114</f>
        <v>0</v>
      </c>
      <c r="H114" s="33" t="n">
        <f aca="false">IF(B114="",0,N(Students!F103))</f>
        <v>0</v>
      </c>
      <c r="I114" s="23"/>
      <c r="J114" s="24" t="n">
        <f aca="false">N(G114)+N(H114)-N(I114)</f>
        <v>0</v>
      </c>
      <c r="K114" s="33" t="n">
        <f aca="false">'Jul 2027'!N114</f>
        <v>0</v>
      </c>
      <c r="L114" s="33" t="n">
        <f aca="false">IF(B114="",0,N(Students!G103))</f>
        <v>0</v>
      </c>
      <c r="M114" s="23"/>
      <c r="N114" s="24" t="n">
        <f aca="false">N(K114)+N(L114)-N(M114)</f>
        <v>0</v>
      </c>
      <c r="O114" s="33" t="n">
        <f aca="false">'Jul 2027'!R114</f>
        <v>0</v>
      </c>
      <c r="P114" s="33" t="n">
        <f aca="false">IF(B114="",0,N(Students!H103))</f>
        <v>0</v>
      </c>
      <c r="Q114" s="23"/>
      <c r="R114" s="24" t="n">
        <f aca="false">N(O114)+N(P114)-N(Q114)</f>
        <v>0</v>
      </c>
      <c r="S114" s="33" t="n">
        <f aca="false">'Jul 2027'!V114</f>
        <v>0</v>
      </c>
      <c r="T114" s="33" t="n">
        <f aca="false">IF(B114="",0,N(Students!I103))</f>
        <v>0</v>
      </c>
      <c r="U114" s="23"/>
      <c r="V114" s="24" t="n">
        <f aca="false">N(S114)+N(T114)-N(U114)</f>
        <v>0</v>
      </c>
      <c r="W114" s="33" t="n">
        <f aca="false">'Jul 2027'!Z114</f>
        <v>0</v>
      </c>
      <c r="X114" s="33" t="n">
        <f aca="false">IF(B114="",0,N(Students!J103))</f>
        <v>0</v>
      </c>
      <c r="Y114" s="23"/>
      <c r="Z114" s="24" t="n">
        <f aca="false">N(W114)+N(X114)-N(Y114)</f>
        <v>0</v>
      </c>
      <c r="AA114" s="33" t="n">
        <f aca="false">N(E114)+N(I114)+N(M114)+N(Q114)+N(U114)+N(Y114)</f>
        <v>0</v>
      </c>
      <c r="AB114" s="24" t="n">
        <f aca="false">F114+J114+N114+R114+V114+Z114</f>
        <v>0</v>
      </c>
      <c r="AC114" s="81" t="str">
        <f aca="false">IF(B114="","",IF(AB114&lt;=0,"Clear",IF(AA114&gt;0,"Partial","Due")))</f>
        <v/>
      </c>
    </row>
    <row r="115" customFormat="false" ht="15" hidden="false" customHeight="false" outlineLevel="0" collapsed="false">
      <c r="A115" s="25" t="n">
        <v>100</v>
      </c>
      <c r="B115" s="82" t="str">
        <f aca="false">IF(Students!B104="","",Students!B104)</f>
        <v/>
      </c>
      <c r="C115" s="37" t="n">
        <f aca="false">'Jul 2027'!F115</f>
        <v>0</v>
      </c>
      <c r="D115" s="37" t="n">
        <f aca="false">IF(B115="",0,N(Students!E104))</f>
        <v>0</v>
      </c>
      <c r="E115" s="23"/>
      <c r="F115" s="26" t="n">
        <f aca="false">N(C115)+N(D115)-N(E115)</f>
        <v>0</v>
      </c>
      <c r="G115" s="37" t="n">
        <f aca="false">'Jul 2027'!J115</f>
        <v>0</v>
      </c>
      <c r="H115" s="37" t="n">
        <f aca="false">IF(B115="",0,N(Students!F104))</f>
        <v>0</v>
      </c>
      <c r="I115" s="23"/>
      <c r="J115" s="26" t="n">
        <f aca="false">N(G115)+N(H115)-N(I115)</f>
        <v>0</v>
      </c>
      <c r="K115" s="37" t="n">
        <f aca="false">'Jul 2027'!N115</f>
        <v>0</v>
      </c>
      <c r="L115" s="37" t="n">
        <f aca="false">IF(B115="",0,N(Students!G104))</f>
        <v>0</v>
      </c>
      <c r="M115" s="23"/>
      <c r="N115" s="26" t="n">
        <f aca="false">N(K115)+N(L115)-N(M115)</f>
        <v>0</v>
      </c>
      <c r="O115" s="37" t="n">
        <f aca="false">'Jul 2027'!R115</f>
        <v>0</v>
      </c>
      <c r="P115" s="37" t="n">
        <f aca="false">IF(B115="",0,N(Students!H104))</f>
        <v>0</v>
      </c>
      <c r="Q115" s="23"/>
      <c r="R115" s="26" t="n">
        <f aca="false">N(O115)+N(P115)-N(Q115)</f>
        <v>0</v>
      </c>
      <c r="S115" s="37" t="n">
        <f aca="false">'Jul 2027'!V115</f>
        <v>0</v>
      </c>
      <c r="T115" s="37" t="n">
        <f aca="false">IF(B115="",0,N(Students!I104))</f>
        <v>0</v>
      </c>
      <c r="U115" s="23"/>
      <c r="V115" s="26" t="n">
        <f aca="false">N(S115)+N(T115)-N(U115)</f>
        <v>0</v>
      </c>
      <c r="W115" s="37" t="n">
        <f aca="false">'Jul 2027'!Z115</f>
        <v>0</v>
      </c>
      <c r="X115" s="37" t="n">
        <f aca="false">IF(B115="",0,N(Students!J104))</f>
        <v>0</v>
      </c>
      <c r="Y115" s="23"/>
      <c r="Z115" s="26" t="n">
        <f aca="false">N(W115)+N(X115)-N(Y115)</f>
        <v>0</v>
      </c>
      <c r="AA115" s="37" t="n">
        <f aca="false">N(E115)+N(I115)+N(M115)+N(Q115)+N(U115)+N(Y115)</f>
        <v>0</v>
      </c>
      <c r="AB115" s="26" t="n">
        <f aca="false">F115+J115+N115+R115+V115+Z115</f>
        <v>0</v>
      </c>
      <c r="AC115" s="83" t="str">
        <f aca="false">IF(B115="","",IF(AB115&lt;=0,"Clear",IF(AA115&gt;0,"Partial","Due")))</f>
        <v/>
      </c>
    </row>
    <row r="116" customFormat="false" ht="15" hidden="false" customHeight="false" outlineLevel="0" collapsed="false">
      <c r="A116" s="21" t="n">
        <v>101</v>
      </c>
      <c r="B116" s="46" t="str">
        <f aca="false">IF(Students!B105="","",Students!B105)</f>
        <v/>
      </c>
      <c r="C116" s="33" t="n">
        <f aca="false">'Jul 2027'!F116</f>
        <v>0</v>
      </c>
      <c r="D116" s="33" t="n">
        <f aca="false">IF(B116="",0,N(Students!E105))</f>
        <v>0</v>
      </c>
      <c r="E116" s="23"/>
      <c r="F116" s="24" t="n">
        <f aca="false">N(C116)+N(D116)-N(E116)</f>
        <v>0</v>
      </c>
      <c r="G116" s="33" t="n">
        <f aca="false">'Jul 2027'!J116</f>
        <v>0</v>
      </c>
      <c r="H116" s="33" t="n">
        <f aca="false">IF(B116="",0,N(Students!F105))</f>
        <v>0</v>
      </c>
      <c r="I116" s="23"/>
      <c r="J116" s="24" t="n">
        <f aca="false">N(G116)+N(H116)-N(I116)</f>
        <v>0</v>
      </c>
      <c r="K116" s="33" t="n">
        <f aca="false">'Jul 2027'!N116</f>
        <v>0</v>
      </c>
      <c r="L116" s="33" t="n">
        <f aca="false">IF(B116="",0,N(Students!G105))</f>
        <v>0</v>
      </c>
      <c r="M116" s="23"/>
      <c r="N116" s="24" t="n">
        <f aca="false">N(K116)+N(L116)-N(M116)</f>
        <v>0</v>
      </c>
      <c r="O116" s="33" t="n">
        <f aca="false">'Jul 2027'!R116</f>
        <v>0</v>
      </c>
      <c r="P116" s="33" t="n">
        <f aca="false">IF(B116="",0,N(Students!H105))</f>
        <v>0</v>
      </c>
      <c r="Q116" s="23"/>
      <c r="R116" s="24" t="n">
        <f aca="false">N(O116)+N(P116)-N(Q116)</f>
        <v>0</v>
      </c>
      <c r="S116" s="33" t="n">
        <f aca="false">'Jul 2027'!V116</f>
        <v>0</v>
      </c>
      <c r="T116" s="33" t="n">
        <f aca="false">IF(B116="",0,N(Students!I105))</f>
        <v>0</v>
      </c>
      <c r="U116" s="23"/>
      <c r="V116" s="24" t="n">
        <f aca="false">N(S116)+N(T116)-N(U116)</f>
        <v>0</v>
      </c>
      <c r="W116" s="33" t="n">
        <f aca="false">'Jul 2027'!Z116</f>
        <v>0</v>
      </c>
      <c r="X116" s="33" t="n">
        <f aca="false">IF(B116="",0,N(Students!J105))</f>
        <v>0</v>
      </c>
      <c r="Y116" s="23"/>
      <c r="Z116" s="24" t="n">
        <f aca="false">N(W116)+N(X116)-N(Y116)</f>
        <v>0</v>
      </c>
      <c r="AA116" s="33" t="n">
        <f aca="false">N(E116)+N(I116)+N(M116)+N(Q116)+N(U116)+N(Y116)</f>
        <v>0</v>
      </c>
      <c r="AB116" s="24" t="n">
        <f aca="false">F116+J116+N116+R116+V116+Z116</f>
        <v>0</v>
      </c>
      <c r="AC116" s="81" t="str">
        <f aca="false">IF(B116="","",IF(AB116&lt;=0,"Clear",IF(AA116&gt;0,"Partial","Due")))</f>
        <v/>
      </c>
    </row>
    <row r="117" customFormat="false" ht="15" hidden="false" customHeight="false" outlineLevel="0" collapsed="false">
      <c r="A117" s="25" t="n">
        <v>102</v>
      </c>
      <c r="B117" s="82" t="str">
        <f aca="false">IF(Students!B106="","",Students!B106)</f>
        <v/>
      </c>
      <c r="C117" s="37" t="n">
        <f aca="false">'Jul 2027'!F117</f>
        <v>0</v>
      </c>
      <c r="D117" s="37" t="n">
        <f aca="false">IF(B117="",0,N(Students!E106))</f>
        <v>0</v>
      </c>
      <c r="E117" s="23"/>
      <c r="F117" s="26" t="n">
        <f aca="false">N(C117)+N(D117)-N(E117)</f>
        <v>0</v>
      </c>
      <c r="G117" s="37" t="n">
        <f aca="false">'Jul 2027'!J117</f>
        <v>0</v>
      </c>
      <c r="H117" s="37" t="n">
        <f aca="false">IF(B117="",0,N(Students!F106))</f>
        <v>0</v>
      </c>
      <c r="I117" s="23"/>
      <c r="J117" s="26" t="n">
        <f aca="false">N(G117)+N(H117)-N(I117)</f>
        <v>0</v>
      </c>
      <c r="K117" s="37" t="n">
        <f aca="false">'Jul 2027'!N117</f>
        <v>0</v>
      </c>
      <c r="L117" s="37" t="n">
        <f aca="false">IF(B117="",0,N(Students!G106))</f>
        <v>0</v>
      </c>
      <c r="M117" s="23"/>
      <c r="N117" s="26" t="n">
        <f aca="false">N(K117)+N(L117)-N(M117)</f>
        <v>0</v>
      </c>
      <c r="O117" s="37" t="n">
        <f aca="false">'Jul 2027'!R117</f>
        <v>0</v>
      </c>
      <c r="P117" s="37" t="n">
        <f aca="false">IF(B117="",0,N(Students!H106))</f>
        <v>0</v>
      </c>
      <c r="Q117" s="23"/>
      <c r="R117" s="26" t="n">
        <f aca="false">N(O117)+N(P117)-N(Q117)</f>
        <v>0</v>
      </c>
      <c r="S117" s="37" t="n">
        <f aca="false">'Jul 2027'!V117</f>
        <v>0</v>
      </c>
      <c r="T117" s="37" t="n">
        <f aca="false">IF(B117="",0,N(Students!I106))</f>
        <v>0</v>
      </c>
      <c r="U117" s="23"/>
      <c r="V117" s="26" t="n">
        <f aca="false">N(S117)+N(T117)-N(U117)</f>
        <v>0</v>
      </c>
      <c r="W117" s="37" t="n">
        <f aca="false">'Jul 2027'!Z117</f>
        <v>0</v>
      </c>
      <c r="X117" s="37" t="n">
        <f aca="false">IF(B117="",0,N(Students!J106))</f>
        <v>0</v>
      </c>
      <c r="Y117" s="23"/>
      <c r="Z117" s="26" t="n">
        <f aca="false">N(W117)+N(X117)-N(Y117)</f>
        <v>0</v>
      </c>
      <c r="AA117" s="37" t="n">
        <f aca="false">N(E117)+N(I117)+N(M117)+N(Q117)+N(U117)+N(Y117)</f>
        <v>0</v>
      </c>
      <c r="AB117" s="26" t="n">
        <f aca="false">F117+J117+N117+R117+V117+Z117</f>
        <v>0</v>
      </c>
      <c r="AC117" s="83" t="str">
        <f aca="false">IF(B117="","",IF(AB117&lt;=0,"Clear",IF(AA117&gt;0,"Partial","Due")))</f>
        <v/>
      </c>
    </row>
    <row r="118" customFormat="false" ht="15" hidden="false" customHeight="false" outlineLevel="0" collapsed="false">
      <c r="A118" s="21" t="n">
        <v>103</v>
      </c>
      <c r="B118" s="46" t="str">
        <f aca="false">IF(Students!B107="","",Students!B107)</f>
        <v/>
      </c>
      <c r="C118" s="33" t="n">
        <f aca="false">'Jul 2027'!F118</f>
        <v>0</v>
      </c>
      <c r="D118" s="33" t="n">
        <f aca="false">IF(B118="",0,N(Students!E107))</f>
        <v>0</v>
      </c>
      <c r="E118" s="23"/>
      <c r="F118" s="24" t="n">
        <f aca="false">N(C118)+N(D118)-N(E118)</f>
        <v>0</v>
      </c>
      <c r="G118" s="33" t="n">
        <f aca="false">'Jul 2027'!J118</f>
        <v>0</v>
      </c>
      <c r="H118" s="33" t="n">
        <f aca="false">IF(B118="",0,N(Students!F107))</f>
        <v>0</v>
      </c>
      <c r="I118" s="23"/>
      <c r="J118" s="24" t="n">
        <f aca="false">N(G118)+N(H118)-N(I118)</f>
        <v>0</v>
      </c>
      <c r="K118" s="33" t="n">
        <f aca="false">'Jul 2027'!N118</f>
        <v>0</v>
      </c>
      <c r="L118" s="33" t="n">
        <f aca="false">IF(B118="",0,N(Students!G107))</f>
        <v>0</v>
      </c>
      <c r="M118" s="23"/>
      <c r="N118" s="24" t="n">
        <f aca="false">N(K118)+N(L118)-N(M118)</f>
        <v>0</v>
      </c>
      <c r="O118" s="33" t="n">
        <f aca="false">'Jul 2027'!R118</f>
        <v>0</v>
      </c>
      <c r="P118" s="33" t="n">
        <f aca="false">IF(B118="",0,N(Students!H107))</f>
        <v>0</v>
      </c>
      <c r="Q118" s="23"/>
      <c r="R118" s="24" t="n">
        <f aca="false">N(O118)+N(P118)-N(Q118)</f>
        <v>0</v>
      </c>
      <c r="S118" s="33" t="n">
        <f aca="false">'Jul 2027'!V118</f>
        <v>0</v>
      </c>
      <c r="T118" s="33" t="n">
        <f aca="false">IF(B118="",0,N(Students!I107))</f>
        <v>0</v>
      </c>
      <c r="U118" s="23"/>
      <c r="V118" s="24" t="n">
        <f aca="false">N(S118)+N(T118)-N(U118)</f>
        <v>0</v>
      </c>
      <c r="W118" s="33" t="n">
        <f aca="false">'Jul 2027'!Z118</f>
        <v>0</v>
      </c>
      <c r="X118" s="33" t="n">
        <f aca="false">IF(B118="",0,N(Students!J107))</f>
        <v>0</v>
      </c>
      <c r="Y118" s="23"/>
      <c r="Z118" s="24" t="n">
        <f aca="false">N(W118)+N(X118)-N(Y118)</f>
        <v>0</v>
      </c>
      <c r="AA118" s="33" t="n">
        <f aca="false">N(E118)+N(I118)+N(M118)+N(Q118)+N(U118)+N(Y118)</f>
        <v>0</v>
      </c>
      <c r="AB118" s="24" t="n">
        <f aca="false">F118+J118+N118+R118+V118+Z118</f>
        <v>0</v>
      </c>
      <c r="AC118" s="81" t="str">
        <f aca="false">IF(B118="","",IF(AB118&lt;=0,"Clear",IF(AA118&gt;0,"Partial","Due")))</f>
        <v/>
      </c>
    </row>
    <row r="119" customFormat="false" ht="15" hidden="false" customHeight="false" outlineLevel="0" collapsed="false">
      <c r="A119" s="25" t="n">
        <v>104</v>
      </c>
      <c r="B119" s="82" t="str">
        <f aca="false">IF(Students!B108="","",Students!B108)</f>
        <v/>
      </c>
      <c r="C119" s="37" t="n">
        <f aca="false">'Jul 2027'!F119</f>
        <v>0</v>
      </c>
      <c r="D119" s="37" t="n">
        <f aca="false">IF(B119="",0,N(Students!E108))</f>
        <v>0</v>
      </c>
      <c r="E119" s="23"/>
      <c r="F119" s="26" t="n">
        <f aca="false">N(C119)+N(D119)-N(E119)</f>
        <v>0</v>
      </c>
      <c r="G119" s="37" t="n">
        <f aca="false">'Jul 2027'!J119</f>
        <v>0</v>
      </c>
      <c r="H119" s="37" t="n">
        <f aca="false">IF(B119="",0,N(Students!F108))</f>
        <v>0</v>
      </c>
      <c r="I119" s="23"/>
      <c r="J119" s="26" t="n">
        <f aca="false">N(G119)+N(H119)-N(I119)</f>
        <v>0</v>
      </c>
      <c r="K119" s="37" t="n">
        <f aca="false">'Jul 2027'!N119</f>
        <v>0</v>
      </c>
      <c r="L119" s="37" t="n">
        <f aca="false">IF(B119="",0,N(Students!G108))</f>
        <v>0</v>
      </c>
      <c r="M119" s="23"/>
      <c r="N119" s="26" t="n">
        <f aca="false">N(K119)+N(L119)-N(M119)</f>
        <v>0</v>
      </c>
      <c r="O119" s="37" t="n">
        <f aca="false">'Jul 2027'!R119</f>
        <v>0</v>
      </c>
      <c r="P119" s="37" t="n">
        <f aca="false">IF(B119="",0,N(Students!H108))</f>
        <v>0</v>
      </c>
      <c r="Q119" s="23"/>
      <c r="R119" s="26" t="n">
        <f aca="false">N(O119)+N(P119)-N(Q119)</f>
        <v>0</v>
      </c>
      <c r="S119" s="37" t="n">
        <f aca="false">'Jul 2027'!V119</f>
        <v>0</v>
      </c>
      <c r="T119" s="37" t="n">
        <f aca="false">IF(B119="",0,N(Students!I108))</f>
        <v>0</v>
      </c>
      <c r="U119" s="23"/>
      <c r="V119" s="26" t="n">
        <f aca="false">N(S119)+N(T119)-N(U119)</f>
        <v>0</v>
      </c>
      <c r="W119" s="37" t="n">
        <f aca="false">'Jul 2027'!Z119</f>
        <v>0</v>
      </c>
      <c r="X119" s="37" t="n">
        <f aca="false">IF(B119="",0,N(Students!J108))</f>
        <v>0</v>
      </c>
      <c r="Y119" s="23"/>
      <c r="Z119" s="26" t="n">
        <f aca="false">N(W119)+N(X119)-N(Y119)</f>
        <v>0</v>
      </c>
      <c r="AA119" s="37" t="n">
        <f aca="false">N(E119)+N(I119)+N(M119)+N(Q119)+N(U119)+N(Y119)</f>
        <v>0</v>
      </c>
      <c r="AB119" s="26" t="n">
        <f aca="false">F119+J119+N119+R119+V119+Z119</f>
        <v>0</v>
      </c>
      <c r="AC119" s="83" t="str">
        <f aca="false">IF(B119="","",IF(AB119&lt;=0,"Clear",IF(AA119&gt;0,"Partial","Due")))</f>
        <v/>
      </c>
    </row>
    <row r="120" customFormat="false" ht="15" hidden="false" customHeight="false" outlineLevel="0" collapsed="false">
      <c r="A120" s="21" t="n">
        <v>105</v>
      </c>
      <c r="B120" s="46" t="str">
        <f aca="false">IF(Students!B109="","",Students!B109)</f>
        <v/>
      </c>
      <c r="C120" s="33" t="n">
        <f aca="false">'Jul 2027'!F120</f>
        <v>0</v>
      </c>
      <c r="D120" s="33" t="n">
        <f aca="false">IF(B120="",0,N(Students!E109))</f>
        <v>0</v>
      </c>
      <c r="E120" s="23"/>
      <c r="F120" s="24" t="n">
        <f aca="false">N(C120)+N(D120)-N(E120)</f>
        <v>0</v>
      </c>
      <c r="G120" s="33" t="n">
        <f aca="false">'Jul 2027'!J120</f>
        <v>0</v>
      </c>
      <c r="H120" s="33" t="n">
        <f aca="false">IF(B120="",0,N(Students!F109))</f>
        <v>0</v>
      </c>
      <c r="I120" s="23"/>
      <c r="J120" s="24" t="n">
        <f aca="false">N(G120)+N(H120)-N(I120)</f>
        <v>0</v>
      </c>
      <c r="K120" s="33" t="n">
        <f aca="false">'Jul 2027'!N120</f>
        <v>0</v>
      </c>
      <c r="L120" s="33" t="n">
        <f aca="false">IF(B120="",0,N(Students!G109))</f>
        <v>0</v>
      </c>
      <c r="M120" s="23"/>
      <c r="N120" s="24" t="n">
        <f aca="false">N(K120)+N(L120)-N(M120)</f>
        <v>0</v>
      </c>
      <c r="O120" s="33" t="n">
        <f aca="false">'Jul 2027'!R120</f>
        <v>0</v>
      </c>
      <c r="P120" s="33" t="n">
        <f aca="false">IF(B120="",0,N(Students!H109))</f>
        <v>0</v>
      </c>
      <c r="Q120" s="23"/>
      <c r="R120" s="24" t="n">
        <f aca="false">N(O120)+N(P120)-N(Q120)</f>
        <v>0</v>
      </c>
      <c r="S120" s="33" t="n">
        <f aca="false">'Jul 2027'!V120</f>
        <v>0</v>
      </c>
      <c r="T120" s="33" t="n">
        <f aca="false">IF(B120="",0,N(Students!I109))</f>
        <v>0</v>
      </c>
      <c r="U120" s="23"/>
      <c r="V120" s="24" t="n">
        <f aca="false">N(S120)+N(T120)-N(U120)</f>
        <v>0</v>
      </c>
      <c r="W120" s="33" t="n">
        <f aca="false">'Jul 2027'!Z120</f>
        <v>0</v>
      </c>
      <c r="X120" s="33" t="n">
        <f aca="false">IF(B120="",0,N(Students!J109))</f>
        <v>0</v>
      </c>
      <c r="Y120" s="23"/>
      <c r="Z120" s="24" t="n">
        <f aca="false">N(W120)+N(X120)-N(Y120)</f>
        <v>0</v>
      </c>
      <c r="AA120" s="33" t="n">
        <f aca="false">N(E120)+N(I120)+N(M120)+N(Q120)+N(U120)+N(Y120)</f>
        <v>0</v>
      </c>
      <c r="AB120" s="24" t="n">
        <f aca="false">F120+J120+N120+R120+V120+Z120</f>
        <v>0</v>
      </c>
      <c r="AC120" s="81" t="str">
        <f aca="false">IF(B120="","",IF(AB120&lt;=0,"Clear",IF(AA120&gt;0,"Partial","Due")))</f>
        <v/>
      </c>
    </row>
    <row r="121" customFormat="false" ht="15" hidden="false" customHeight="false" outlineLevel="0" collapsed="false">
      <c r="A121" s="25" t="n">
        <v>106</v>
      </c>
      <c r="B121" s="82" t="str">
        <f aca="false">IF(Students!B110="","",Students!B110)</f>
        <v/>
      </c>
      <c r="C121" s="37" t="n">
        <f aca="false">'Jul 2027'!F121</f>
        <v>0</v>
      </c>
      <c r="D121" s="37" t="n">
        <f aca="false">IF(B121="",0,N(Students!E110))</f>
        <v>0</v>
      </c>
      <c r="E121" s="23"/>
      <c r="F121" s="26" t="n">
        <f aca="false">N(C121)+N(D121)-N(E121)</f>
        <v>0</v>
      </c>
      <c r="G121" s="37" t="n">
        <f aca="false">'Jul 2027'!J121</f>
        <v>0</v>
      </c>
      <c r="H121" s="37" t="n">
        <f aca="false">IF(B121="",0,N(Students!F110))</f>
        <v>0</v>
      </c>
      <c r="I121" s="23"/>
      <c r="J121" s="26" t="n">
        <f aca="false">N(G121)+N(H121)-N(I121)</f>
        <v>0</v>
      </c>
      <c r="K121" s="37" t="n">
        <f aca="false">'Jul 2027'!N121</f>
        <v>0</v>
      </c>
      <c r="L121" s="37" t="n">
        <f aca="false">IF(B121="",0,N(Students!G110))</f>
        <v>0</v>
      </c>
      <c r="M121" s="23"/>
      <c r="N121" s="26" t="n">
        <f aca="false">N(K121)+N(L121)-N(M121)</f>
        <v>0</v>
      </c>
      <c r="O121" s="37" t="n">
        <f aca="false">'Jul 2027'!R121</f>
        <v>0</v>
      </c>
      <c r="P121" s="37" t="n">
        <f aca="false">IF(B121="",0,N(Students!H110))</f>
        <v>0</v>
      </c>
      <c r="Q121" s="23"/>
      <c r="R121" s="26" t="n">
        <f aca="false">N(O121)+N(P121)-N(Q121)</f>
        <v>0</v>
      </c>
      <c r="S121" s="37" t="n">
        <f aca="false">'Jul 2027'!V121</f>
        <v>0</v>
      </c>
      <c r="T121" s="37" t="n">
        <f aca="false">IF(B121="",0,N(Students!I110))</f>
        <v>0</v>
      </c>
      <c r="U121" s="23"/>
      <c r="V121" s="26" t="n">
        <f aca="false">N(S121)+N(T121)-N(U121)</f>
        <v>0</v>
      </c>
      <c r="W121" s="37" t="n">
        <f aca="false">'Jul 2027'!Z121</f>
        <v>0</v>
      </c>
      <c r="X121" s="37" t="n">
        <f aca="false">IF(B121="",0,N(Students!J110))</f>
        <v>0</v>
      </c>
      <c r="Y121" s="23"/>
      <c r="Z121" s="26" t="n">
        <f aca="false">N(W121)+N(X121)-N(Y121)</f>
        <v>0</v>
      </c>
      <c r="AA121" s="37" t="n">
        <f aca="false">N(E121)+N(I121)+N(M121)+N(Q121)+N(U121)+N(Y121)</f>
        <v>0</v>
      </c>
      <c r="AB121" s="26" t="n">
        <f aca="false">F121+J121+N121+R121+V121+Z121</f>
        <v>0</v>
      </c>
      <c r="AC121" s="83" t="str">
        <f aca="false">IF(B121="","",IF(AB121&lt;=0,"Clear",IF(AA121&gt;0,"Partial","Due")))</f>
        <v/>
      </c>
    </row>
    <row r="122" customFormat="false" ht="15" hidden="false" customHeight="false" outlineLevel="0" collapsed="false">
      <c r="A122" s="21" t="n">
        <v>107</v>
      </c>
      <c r="B122" s="46" t="str">
        <f aca="false">IF(Students!B111="","",Students!B111)</f>
        <v/>
      </c>
      <c r="C122" s="33" t="n">
        <f aca="false">'Jul 2027'!F122</f>
        <v>0</v>
      </c>
      <c r="D122" s="33" t="n">
        <f aca="false">IF(B122="",0,N(Students!E111))</f>
        <v>0</v>
      </c>
      <c r="E122" s="23"/>
      <c r="F122" s="24" t="n">
        <f aca="false">N(C122)+N(D122)-N(E122)</f>
        <v>0</v>
      </c>
      <c r="G122" s="33" t="n">
        <f aca="false">'Jul 2027'!J122</f>
        <v>0</v>
      </c>
      <c r="H122" s="33" t="n">
        <f aca="false">IF(B122="",0,N(Students!F111))</f>
        <v>0</v>
      </c>
      <c r="I122" s="23"/>
      <c r="J122" s="24" t="n">
        <f aca="false">N(G122)+N(H122)-N(I122)</f>
        <v>0</v>
      </c>
      <c r="K122" s="33" t="n">
        <f aca="false">'Jul 2027'!N122</f>
        <v>0</v>
      </c>
      <c r="L122" s="33" t="n">
        <f aca="false">IF(B122="",0,N(Students!G111))</f>
        <v>0</v>
      </c>
      <c r="M122" s="23"/>
      <c r="N122" s="24" t="n">
        <f aca="false">N(K122)+N(L122)-N(M122)</f>
        <v>0</v>
      </c>
      <c r="O122" s="33" t="n">
        <f aca="false">'Jul 2027'!R122</f>
        <v>0</v>
      </c>
      <c r="P122" s="33" t="n">
        <f aca="false">IF(B122="",0,N(Students!H111))</f>
        <v>0</v>
      </c>
      <c r="Q122" s="23"/>
      <c r="R122" s="24" t="n">
        <f aca="false">N(O122)+N(P122)-N(Q122)</f>
        <v>0</v>
      </c>
      <c r="S122" s="33" t="n">
        <f aca="false">'Jul 2027'!V122</f>
        <v>0</v>
      </c>
      <c r="T122" s="33" t="n">
        <f aca="false">IF(B122="",0,N(Students!I111))</f>
        <v>0</v>
      </c>
      <c r="U122" s="23"/>
      <c r="V122" s="24" t="n">
        <f aca="false">N(S122)+N(T122)-N(U122)</f>
        <v>0</v>
      </c>
      <c r="W122" s="33" t="n">
        <f aca="false">'Jul 2027'!Z122</f>
        <v>0</v>
      </c>
      <c r="X122" s="33" t="n">
        <f aca="false">IF(B122="",0,N(Students!J111))</f>
        <v>0</v>
      </c>
      <c r="Y122" s="23"/>
      <c r="Z122" s="24" t="n">
        <f aca="false">N(W122)+N(X122)-N(Y122)</f>
        <v>0</v>
      </c>
      <c r="AA122" s="33" t="n">
        <f aca="false">N(E122)+N(I122)+N(M122)+N(Q122)+N(U122)+N(Y122)</f>
        <v>0</v>
      </c>
      <c r="AB122" s="24" t="n">
        <f aca="false">F122+J122+N122+R122+V122+Z122</f>
        <v>0</v>
      </c>
      <c r="AC122" s="81" t="str">
        <f aca="false">IF(B122="","",IF(AB122&lt;=0,"Clear",IF(AA122&gt;0,"Partial","Due")))</f>
        <v/>
      </c>
    </row>
    <row r="123" customFormat="false" ht="15" hidden="false" customHeight="false" outlineLevel="0" collapsed="false">
      <c r="A123" s="25" t="n">
        <v>108</v>
      </c>
      <c r="B123" s="82" t="str">
        <f aca="false">IF(Students!B112="","",Students!B112)</f>
        <v/>
      </c>
      <c r="C123" s="37" t="n">
        <f aca="false">'Jul 2027'!F123</f>
        <v>0</v>
      </c>
      <c r="D123" s="37" t="n">
        <f aca="false">IF(B123="",0,N(Students!E112))</f>
        <v>0</v>
      </c>
      <c r="E123" s="23"/>
      <c r="F123" s="26" t="n">
        <f aca="false">N(C123)+N(D123)-N(E123)</f>
        <v>0</v>
      </c>
      <c r="G123" s="37" t="n">
        <f aca="false">'Jul 2027'!J123</f>
        <v>0</v>
      </c>
      <c r="H123" s="37" t="n">
        <f aca="false">IF(B123="",0,N(Students!F112))</f>
        <v>0</v>
      </c>
      <c r="I123" s="23"/>
      <c r="J123" s="26" t="n">
        <f aca="false">N(G123)+N(H123)-N(I123)</f>
        <v>0</v>
      </c>
      <c r="K123" s="37" t="n">
        <f aca="false">'Jul 2027'!N123</f>
        <v>0</v>
      </c>
      <c r="L123" s="37" t="n">
        <f aca="false">IF(B123="",0,N(Students!G112))</f>
        <v>0</v>
      </c>
      <c r="M123" s="23"/>
      <c r="N123" s="26" t="n">
        <f aca="false">N(K123)+N(L123)-N(M123)</f>
        <v>0</v>
      </c>
      <c r="O123" s="37" t="n">
        <f aca="false">'Jul 2027'!R123</f>
        <v>0</v>
      </c>
      <c r="P123" s="37" t="n">
        <f aca="false">IF(B123="",0,N(Students!H112))</f>
        <v>0</v>
      </c>
      <c r="Q123" s="23"/>
      <c r="R123" s="26" t="n">
        <f aca="false">N(O123)+N(P123)-N(Q123)</f>
        <v>0</v>
      </c>
      <c r="S123" s="37" t="n">
        <f aca="false">'Jul 2027'!V123</f>
        <v>0</v>
      </c>
      <c r="T123" s="37" t="n">
        <f aca="false">IF(B123="",0,N(Students!I112))</f>
        <v>0</v>
      </c>
      <c r="U123" s="23"/>
      <c r="V123" s="26" t="n">
        <f aca="false">N(S123)+N(T123)-N(U123)</f>
        <v>0</v>
      </c>
      <c r="W123" s="37" t="n">
        <f aca="false">'Jul 2027'!Z123</f>
        <v>0</v>
      </c>
      <c r="X123" s="37" t="n">
        <f aca="false">IF(B123="",0,N(Students!J112))</f>
        <v>0</v>
      </c>
      <c r="Y123" s="23"/>
      <c r="Z123" s="26" t="n">
        <f aca="false">N(W123)+N(X123)-N(Y123)</f>
        <v>0</v>
      </c>
      <c r="AA123" s="37" t="n">
        <f aca="false">N(E123)+N(I123)+N(M123)+N(Q123)+N(U123)+N(Y123)</f>
        <v>0</v>
      </c>
      <c r="AB123" s="26" t="n">
        <f aca="false">F123+J123+N123+R123+V123+Z123</f>
        <v>0</v>
      </c>
      <c r="AC123" s="83" t="str">
        <f aca="false">IF(B123="","",IF(AB123&lt;=0,"Clear",IF(AA123&gt;0,"Partial","Due")))</f>
        <v/>
      </c>
    </row>
    <row r="124" customFormat="false" ht="15" hidden="false" customHeight="false" outlineLevel="0" collapsed="false">
      <c r="A124" s="21" t="n">
        <v>109</v>
      </c>
      <c r="B124" s="46" t="str">
        <f aca="false">IF(Students!B113="","",Students!B113)</f>
        <v/>
      </c>
      <c r="C124" s="33" t="n">
        <f aca="false">'Jul 2027'!F124</f>
        <v>0</v>
      </c>
      <c r="D124" s="33" t="n">
        <f aca="false">IF(B124="",0,N(Students!E113))</f>
        <v>0</v>
      </c>
      <c r="E124" s="23"/>
      <c r="F124" s="24" t="n">
        <f aca="false">N(C124)+N(D124)-N(E124)</f>
        <v>0</v>
      </c>
      <c r="G124" s="33" t="n">
        <f aca="false">'Jul 2027'!J124</f>
        <v>0</v>
      </c>
      <c r="H124" s="33" t="n">
        <f aca="false">IF(B124="",0,N(Students!F113))</f>
        <v>0</v>
      </c>
      <c r="I124" s="23"/>
      <c r="J124" s="24" t="n">
        <f aca="false">N(G124)+N(H124)-N(I124)</f>
        <v>0</v>
      </c>
      <c r="K124" s="33" t="n">
        <f aca="false">'Jul 2027'!N124</f>
        <v>0</v>
      </c>
      <c r="L124" s="33" t="n">
        <f aca="false">IF(B124="",0,N(Students!G113))</f>
        <v>0</v>
      </c>
      <c r="M124" s="23"/>
      <c r="N124" s="24" t="n">
        <f aca="false">N(K124)+N(L124)-N(M124)</f>
        <v>0</v>
      </c>
      <c r="O124" s="33" t="n">
        <f aca="false">'Jul 2027'!R124</f>
        <v>0</v>
      </c>
      <c r="P124" s="33" t="n">
        <f aca="false">IF(B124="",0,N(Students!H113))</f>
        <v>0</v>
      </c>
      <c r="Q124" s="23"/>
      <c r="R124" s="24" t="n">
        <f aca="false">N(O124)+N(P124)-N(Q124)</f>
        <v>0</v>
      </c>
      <c r="S124" s="33" t="n">
        <f aca="false">'Jul 2027'!V124</f>
        <v>0</v>
      </c>
      <c r="T124" s="33" t="n">
        <f aca="false">IF(B124="",0,N(Students!I113))</f>
        <v>0</v>
      </c>
      <c r="U124" s="23"/>
      <c r="V124" s="24" t="n">
        <f aca="false">N(S124)+N(T124)-N(U124)</f>
        <v>0</v>
      </c>
      <c r="W124" s="33" t="n">
        <f aca="false">'Jul 2027'!Z124</f>
        <v>0</v>
      </c>
      <c r="X124" s="33" t="n">
        <f aca="false">IF(B124="",0,N(Students!J113))</f>
        <v>0</v>
      </c>
      <c r="Y124" s="23"/>
      <c r="Z124" s="24" t="n">
        <f aca="false">N(W124)+N(X124)-N(Y124)</f>
        <v>0</v>
      </c>
      <c r="AA124" s="33" t="n">
        <f aca="false">N(E124)+N(I124)+N(M124)+N(Q124)+N(U124)+N(Y124)</f>
        <v>0</v>
      </c>
      <c r="AB124" s="24" t="n">
        <f aca="false">F124+J124+N124+R124+V124+Z124</f>
        <v>0</v>
      </c>
      <c r="AC124" s="81" t="str">
        <f aca="false">IF(B124="","",IF(AB124&lt;=0,"Clear",IF(AA124&gt;0,"Partial","Due")))</f>
        <v/>
      </c>
    </row>
    <row r="125" customFormat="false" ht="15" hidden="false" customHeight="false" outlineLevel="0" collapsed="false">
      <c r="A125" s="25" t="n">
        <v>110</v>
      </c>
      <c r="B125" s="82" t="str">
        <f aca="false">IF(Students!B114="","",Students!B114)</f>
        <v/>
      </c>
      <c r="C125" s="37" t="n">
        <f aca="false">'Jul 2027'!F125</f>
        <v>0</v>
      </c>
      <c r="D125" s="37" t="n">
        <f aca="false">IF(B125="",0,N(Students!E114))</f>
        <v>0</v>
      </c>
      <c r="E125" s="23"/>
      <c r="F125" s="26" t="n">
        <f aca="false">N(C125)+N(D125)-N(E125)</f>
        <v>0</v>
      </c>
      <c r="G125" s="37" t="n">
        <f aca="false">'Jul 2027'!J125</f>
        <v>0</v>
      </c>
      <c r="H125" s="37" t="n">
        <f aca="false">IF(B125="",0,N(Students!F114))</f>
        <v>0</v>
      </c>
      <c r="I125" s="23"/>
      <c r="J125" s="26" t="n">
        <f aca="false">N(G125)+N(H125)-N(I125)</f>
        <v>0</v>
      </c>
      <c r="K125" s="37" t="n">
        <f aca="false">'Jul 2027'!N125</f>
        <v>0</v>
      </c>
      <c r="L125" s="37" t="n">
        <f aca="false">IF(B125="",0,N(Students!G114))</f>
        <v>0</v>
      </c>
      <c r="M125" s="23"/>
      <c r="N125" s="26" t="n">
        <f aca="false">N(K125)+N(L125)-N(M125)</f>
        <v>0</v>
      </c>
      <c r="O125" s="37" t="n">
        <f aca="false">'Jul 2027'!R125</f>
        <v>0</v>
      </c>
      <c r="P125" s="37" t="n">
        <f aca="false">IF(B125="",0,N(Students!H114))</f>
        <v>0</v>
      </c>
      <c r="Q125" s="23"/>
      <c r="R125" s="26" t="n">
        <f aca="false">N(O125)+N(P125)-N(Q125)</f>
        <v>0</v>
      </c>
      <c r="S125" s="37" t="n">
        <f aca="false">'Jul 2027'!V125</f>
        <v>0</v>
      </c>
      <c r="T125" s="37" t="n">
        <f aca="false">IF(B125="",0,N(Students!I114))</f>
        <v>0</v>
      </c>
      <c r="U125" s="23"/>
      <c r="V125" s="26" t="n">
        <f aca="false">N(S125)+N(T125)-N(U125)</f>
        <v>0</v>
      </c>
      <c r="W125" s="37" t="n">
        <f aca="false">'Jul 2027'!Z125</f>
        <v>0</v>
      </c>
      <c r="X125" s="37" t="n">
        <f aca="false">IF(B125="",0,N(Students!J114))</f>
        <v>0</v>
      </c>
      <c r="Y125" s="23"/>
      <c r="Z125" s="26" t="n">
        <f aca="false">N(W125)+N(X125)-N(Y125)</f>
        <v>0</v>
      </c>
      <c r="AA125" s="37" t="n">
        <f aca="false">N(E125)+N(I125)+N(M125)+N(Q125)+N(U125)+N(Y125)</f>
        <v>0</v>
      </c>
      <c r="AB125" s="26" t="n">
        <f aca="false">F125+J125+N125+R125+V125+Z125</f>
        <v>0</v>
      </c>
      <c r="AC125" s="83" t="str">
        <f aca="false">IF(B125="","",IF(AB125&lt;=0,"Clear",IF(AA125&gt;0,"Partial","Due")))</f>
        <v/>
      </c>
    </row>
    <row r="126" customFormat="false" ht="15" hidden="false" customHeight="false" outlineLevel="0" collapsed="false">
      <c r="A126" s="21" t="n">
        <v>111</v>
      </c>
      <c r="B126" s="46" t="str">
        <f aca="false">IF(Students!B115="","",Students!B115)</f>
        <v/>
      </c>
      <c r="C126" s="33" t="n">
        <f aca="false">'Jul 2027'!F126</f>
        <v>0</v>
      </c>
      <c r="D126" s="33" t="n">
        <f aca="false">IF(B126="",0,N(Students!E115))</f>
        <v>0</v>
      </c>
      <c r="E126" s="23"/>
      <c r="F126" s="24" t="n">
        <f aca="false">N(C126)+N(D126)-N(E126)</f>
        <v>0</v>
      </c>
      <c r="G126" s="33" t="n">
        <f aca="false">'Jul 2027'!J126</f>
        <v>0</v>
      </c>
      <c r="H126" s="33" t="n">
        <f aca="false">IF(B126="",0,N(Students!F115))</f>
        <v>0</v>
      </c>
      <c r="I126" s="23"/>
      <c r="J126" s="24" t="n">
        <f aca="false">N(G126)+N(H126)-N(I126)</f>
        <v>0</v>
      </c>
      <c r="K126" s="33" t="n">
        <f aca="false">'Jul 2027'!N126</f>
        <v>0</v>
      </c>
      <c r="L126" s="33" t="n">
        <f aca="false">IF(B126="",0,N(Students!G115))</f>
        <v>0</v>
      </c>
      <c r="M126" s="23"/>
      <c r="N126" s="24" t="n">
        <f aca="false">N(K126)+N(L126)-N(M126)</f>
        <v>0</v>
      </c>
      <c r="O126" s="33" t="n">
        <f aca="false">'Jul 2027'!R126</f>
        <v>0</v>
      </c>
      <c r="P126" s="33" t="n">
        <f aca="false">IF(B126="",0,N(Students!H115))</f>
        <v>0</v>
      </c>
      <c r="Q126" s="23"/>
      <c r="R126" s="24" t="n">
        <f aca="false">N(O126)+N(P126)-N(Q126)</f>
        <v>0</v>
      </c>
      <c r="S126" s="33" t="n">
        <f aca="false">'Jul 2027'!V126</f>
        <v>0</v>
      </c>
      <c r="T126" s="33" t="n">
        <f aca="false">IF(B126="",0,N(Students!I115))</f>
        <v>0</v>
      </c>
      <c r="U126" s="23"/>
      <c r="V126" s="24" t="n">
        <f aca="false">N(S126)+N(T126)-N(U126)</f>
        <v>0</v>
      </c>
      <c r="W126" s="33" t="n">
        <f aca="false">'Jul 2027'!Z126</f>
        <v>0</v>
      </c>
      <c r="X126" s="33" t="n">
        <f aca="false">IF(B126="",0,N(Students!J115))</f>
        <v>0</v>
      </c>
      <c r="Y126" s="23"/>
      <c r="Z126" s="24" t="n">
        <f aca="false">N(W126)+N(X126)-N(Y126)</f>
        <v>0</v>
      </c>
      <c r="AA126" s="33" t="n">
        <f aca="false">N(E126)+N(I126)+N(M126)+N(Q126)+N(U126)+N(Y126)</f>
        <v>0</v>
      </c>
      <c r="AB126" s="24" t="n">
        <f aca="false">F126+J126+N126+R126+V126+Z126</f>
        <v>0</v>
      </c>
      <c r="AC126" s="81" t="str">
        <f aca="false">IF(B126="","",IF(AB126&lt;=0,"Clear",IF(AA126&gt;0,"Partial","Due")))</f>
        <v/>
      </c>
    </row>
    <row r="127" customFormat="false" ht="15" hidden="false" customHeight="false" outlineLevel="0" collapsed="false">
      <c r="A127" s="25" t="n">
        <v>112</v>
      </c>
      <c r="B127" s="82" t="str">
        <f aca="false">IF(Students!B116="","",Students!B116)</f>
        <v/>
      </c>
      <c r="C127" s="37" t="n">
        <f aca="false">'Jul 2027'!F127</f>
        <v>0</v>
      </c>
      <c r="D127" s="37" t="n">
        <f aca="false">IF(B127="",0,N(Students!E116))</f>
        <v>0</v>
      </c>
      <c r="E127" s="23"/>
      <c r="F127" s="26" t="n">
        <f aca="false">N(C127)+N(D127)-N(E127)</f>
        <v>0</v>
      </c>
      <c r="G127" s="37" t="n">
        <f aca="false">'Jul 2027'!J127</f>
        <v>0</v>
      </c>
      <c r="H127" s="37" t="n">
        <f aca="false">IF(B127="",0,N(Students!F116))</f>
        <v>0</v>
      </c>
      <c r="I127" s="23"/>
      <c r="J127" s="26" t="n">
        <f aca="false">N(G127)+N(H127)-N(I127)</f>
        <v>0</v>
      </c>
      <c r="K127" s="37" t="n">
        <f aca="false">'Jul 2027'!N127</f>
        <v>0</v>
      </c>
      <c r="L127" s="37" t="n">
        <f aca="false">IF(B127="",0,N(Students!G116))</f>
        <v>0</v>
      </c>
      <c r="M127" s="23"/>
      <c r="N127" s="26" t="n">
        <f aca="false">N(K127)+N(L127)-N(M127)</f>
        <v>0</v>
      </c>
      <c r="O127" s="37" t="n">
        <f aca="false">'Jul 2027'!R127</f>
        <v>0</v>
      </c>
      <c r="P127" s="37" t="n">
        <f aca="false">IF(B127="",0,N(Students!H116))</f>
        <v>0</v>
      </c>
      <c r="Q127" s="23"/>
      <c r="R127" s="26" t="n">
        <f aca="false">N(O127)+N(P127)-N(Q127)</f>
        <v>0</v>
      </c>
      <c r="S127" s="37" t="n">
        <f aca="false">'Jul 2027'!V127</f>
        <v>0</v>
      </c>
      <c r="T127" s="37" t="n">
        <f aca="false">IF(B127="",0,N(Students!I116))</f>
        <v>0</v>
      </c>
      <c r="U127" s="23"/>
      <c r="V127" s="26" t="n">
        <f aca="false">N(S127)+N(T127)-N(U127)</f>
        <v>0</v>
      </c>
      <c r="W127" s="37" t="n">
        <f aca="false">'Jul 2027'!Z127</f>
        <v>0</v>
      </c>
      <c r="X127" s="37" t="n">
        <f aca="false">IF(B127="",0,N(Students!J116))</f>
        <v>0</v>
      </c>
      <c r="Y127" s="23"/>
      <c r="Z127" s="26" t="n">
        <f aca="false">N(W127)+N(X127)-N(Y127)</f>
        <v>0</v>
      </c>
      <c r="AA127" s="37" t="n">
        <f aca="false">N(E127)+N(I127)+N(M127)+N(Q127)+N(U127)+N(Y127)</f>
        <v>0</v>
      </c>
      <c r="AB127" s="26" t="n">
        <f aca="false">F127+J127+N127+R127+V127+Z127</f>
        <v>0</v>
      </c>
      <c r="AC127" s="83" t="str">
        <f aca="false">IF(B127="","",IF(AB127&lt;=0,"Clear",IF(AA127&gt;0,"Partial","Due")))</f>
        <v/>
      </c>
    </row>
    <row r="128" customFormat="false" ht="15" hidden="false" customHeight="false" outlineLevel="0" collapsed="false">
      <c r="A128" s="21" t="n">
        <v>113</v>
      </c>
      <c r="B128" s="46" t="str">
        <f aca="false">IF(Students!B117="","",Students!B117)</f>
        <v/>
      </c>
      <c r="C128" s="33" t="n">
        <f aca="false">'Jul 2027'!F128</f>
        <v>0</v>
      </c>
      <c r="D128" s="33" t="n">
        <f aca="false">IF(B128="",0,N(Students!E117))</f>
        <v>0</v>
      </c>
      <c r="E128" s="23"/>
      <c r="F128" s="24" t="n">
        <f aca="false">N(C128)+N(D128)-N(E128)</f>
        <v>0</v>
      </c>
      <c r="G128" s="33" t="n">
        <f aca="false">'Jul 2027'!J128</f>
        <v>0</v>
      </c>
      <c r="H128" s="33" t="n">
        <f aca="false">IF(B128="",0,N(Students!F117))</f>
        <v>0</v>
      </c>
      <c r="I128" s="23"/>
      <c r="J128" s="24" t="n">
        <f aca="false">N(G128)+N(H128)-N(I128)</f>
        <v>0</v>
      </c>
      <c r="K128" s="33" t="n">
        <f aca="false">'Jul 2027'!N128</f>
        <v>0</v>
      </c>
      <c r="L128" s="33" t="n">
        <f aca="false">IF(B128="",0,N(Students!G117))</f>
        <v>0</v>
      </c>
      <c r="M128" s="23"/>
      <c r="N128" s="24" t="n">
        <f aca="false">N(K128)+N(L128)-N(M128)</f>
        <v>0</v>
      </c>
      <c r="O128" s="33" t="n">
        <f aca="false">'Jul 2027'!R128</f>
        <v>0</v>
      </c>
      <c r="P128" s="33" t="n">
        <f aca="false">IF(B128="",0,N(Students!H117))</f>
        <v>0</v>
      </c>
      <c r="Q128" s="23"/>
      <c r="R128" s="24" t="n">
        <f aca="false">N(O128)+N(P128)-N(Q128)</f>
        <v>0</v>
      </c>
      <c r="S128" s="33" t="n">
        <f aca="false">'Jul 2027'!V128</f>
        <v>0</v>
      </c>
      <c r="T128" s="33" t="n">
        <f aca="false">IF(B128="",0,N(Students!I117))</f>
        <v>0</v>
      </c>
      <c r="U128" s="23"/>
      <c r="V128" s="24" t="n">
        <f aca="false">N(S128)+N(T128)-N(U128)</f>
        <v>0</v>
      </c>
      <c r="W128" s="33" t="n">
        <f aca="false">'Jul 2027'!Z128</f>
        <v>0</v>
      </c>
      <c r="X128" s="33" t="n">
        <f aca="false">IF(B128="",0,N(Students!J117))</f>
        <v>0</v>
      </c>
      <c r="Y128" s="23"/>
      <c r="Z128" s="24" t="n">
        <f aca="false">N(W128)+N(X128)-N(Y128)</f>
        <v>0</v>
      </c>
      <c r="AA128" s="33" t="n">
        <f aca="false">N(E128)+N(I128)+N(M128)+N(Q128)+N(U128)+N(Y128)</f>
        <v>0</v>
      </c>
      <c r="AB128" s="24" t="n">
        <f aca="false">F128+J128+N128+R128+V128+Z128</f>
        <v>0</v>
      </c>
      <c r="AC128" s="81" t="str">
        <f aca="false">IF(B128="","",IF(AB128&lt;=0,"Clear",IF(AA128&gt;0,"Partial","Due")))</f>
        <v/>
      </c>
    </row>
    <row r="129" customFormat="false" ht="15" hidden="false" customHeight="false" outlineLevel="0" collapsed="false">
      <c r="A129" s="25" t="n">
        <v>114</v>
      </c>
      <c r="B129" s="82" t="str">
        <f aca="false">IF(Students!B118="","",Students!B118)</f>
        <v/>
      </c>
      <c r="C129" s="37" t="n">
        <f aca="false">'Jul 2027'!F129</f>
        <v>0</v>
      </c>
      <c r="D129" s="37" t="n">
        <f aca="false">IF(B129="",0,N(Students!E118))</f>
        <v>0</v>
      </c>
      <c r="E129" s="23"/>
      <c r="F129" s="26" t="n">
        <f aca="false">N(C129)+N(D129)-N(E129)</f>
        <v>0</v>
      </c>
      <c r="G129" s="37" t="n">
        <f aca="false">'Jul 2027'!J129</f>
        <v>0</v>
      </c>
      <c r="H129" s="37" t="n">
        <f aca="false">IF(B129="",0,N(Students!F118))</f>
        <v>0</v>
      </c>
      <c r="I129" s="23"/>
      <c r="J129" s="26" t="n">
        <f aca="false">N(G129)+N(H129)-N(I129)</f>
        <v>0</v>
      </c>
      <c r="K129" s="37" t="n">
        <f aca="false">'Jul 2027'!N129</f>
        <v>0</v>
      </c>
      <c r="L129" s="37" t="n">
        <f aca="false">IF(B129="",0,N(Students!G118))</f>
        <v>0</v>
      </c>
      <c r="M129" s="23"/>
      <c r="N129" s="26" t="n">
        <f aca="false">N(K129)+N(L129)-N(M129)</f>
        <v>0</v>
      </c>
      <c r="O129" s="37" t="n">
        <f aca="false">'Jul 2027'!R129</f>
        <v>0</v>
      </c>
      <c r="P129" s="37" t="n">
        <f aca="false">IF(B129="",0,N(Students!H118))</f>
        <v>0</v>
      </c>
      <c r="Q129" s="23"/>
      <c r="R129" s="26" t="n">
        <f aca="false">N(O129)+N(P129)-N(Q129)</f>
        <v>0</v>
      </c>
      <c r="S129" s="37" t="n">
        <f aca="false">'Jul 2027'!V129</f>
        <v>0</v>
      </c>
      <c r="T129" s="37" t="n">
        <f aca="false">IF(B129="",0,N(Students!I118))</f>
        <v>0</v>
      </c>
      <c r="U129" s="23"/>
      <c r="V129" s="26" t="n">
        <f aca="false">N(S129)+N(T129)-N(U129)</f>
        <v>0</v>
      </c>
      <c r="W129" s="37" t="n">
        <f aca="false">'Jul 2027'!Z129</f>
        <v>0</v>
      </c>
      <c r="X129" s="37" t="n">
        <f aca="false">IF(B129="",0,N(Students!J118))</f>
        <v>0</v>
      </c>
      <c r="Y129" s="23"/>
      <c r="Z129" s="26" t="n">
        <f aca="false">N(W129)+N(X129)-N(Y129)</f>
        <v>0</v>
      </c>
      <c r="AA129" s="37" t="n">
        <f aca="false">N(E129)+N(I129)+N(M129)+N(Q129)+N(U129)+N(Y129)</f>
        <v>0</v>
      </c>
      <c r="AB129" s="26" t="n">
        <f aca="false">F129+J129+N129+R129+V129+Z129</f>
        <v>0</v>
      </c>
      <c r="AC129" s="83" t="str">
        <f aca="false">IF(B129="","",IF(AB129&lt;=0,"Clear",IF(AA129&gt;0,"Partial","Due")))</f>
        <v/>
      </c>
    </row>
    <row r="130" customFormat="false" ht="15" hidden="false" customHeight="false" outlineLevel="0" collapsed="false">
      <c r="A130" s="21" t="n">
        <v>115</v>
      </c>
      <c r="B130" s="46" t="str">
        <f aca="false">IF(Students!B119="","",Students!B119)</f>
        <v/>
      </c>
      <c r="C130" s="33" t="n">
        <f aca="false">'Jul 2027'!F130</f>
        <v>0</v>
      </c>
      <c r="D130" s="33" t="n">
        <f aca="false">IF(B130="",0,N(Students!E119))</f>
        <v>0</v>
      </c>
      <c r="E130" s="23"/>
      <c r="F130" s="24" t="n">
        <f aca="false">N(C130)+N(D130)-N(E130)</f>
        <v>0</v>
      </c>
      <c r="G130" s="33" t="n">
        <f aca="false">'Jul 2027'!J130</f>
        <v>0</v>
      </c>
      <c r="H130" s="33" t="n">
        <f aca="false">IF(B130="",0,N(Students!F119))</f>
        <v>0</v>
      </c>
      <c r="I130" s="23"/>
      <c r="J130" s="24" t="n">
        <f aca="false">N(G130)+N(H130)-N(I130)</f>
        <v>0</v>
      </c>
      <c r="K130" s="33" t="n">
        <f aca="false">'Jul 2027'!N130</f>
        <v>0</v>
      </c>
      <c r="L130" s="33" t="n">
        <f aca="false">IF(B130="",0,N(Students!G119))</f>
        <v>0</v>
      </c>
      <c r="M130" s="23"/>
      <c r="N130" s="24" t="n">
        <f aca="false">N(K130)+N(L130)-N(M130)</f>
        <v>0</v>
      </c>
      <c r="O130" s="33" t="n">
        <f aca="false">'Jul 2027'!R130</f>
        <v>0</v>
      </c>
      <c r="P130" s="33" t="n">
        <f aca="false">IF(B130="",0,N(Students!H119))</f>
        <v>0</v>
      </c>
      <c r="Q130" s="23"/>
      <c r="R130" s="24" t="n">
        <f aca="false">N(O130)+N(P130)-N(Q130)</f>
        <v>0</v>
      </c>
      <c r="S130" s="33" t="n">
        <f aca="false">'Jul 2027'!V130</f>
        <v>0</v>
      </c>
      <c r="T130" s="33" t="n">
        <f aca="false">IF(B130="",0,N(Students!I119))</f>
        <v>0</v>
      </c>
      <c r="U130" s="23"/>
      <c r="V130" s="24" t="n">
        <f aca="false">N(S130)+N(T130)-N(U130)</f>
        <v>0</v>
      </c>
      <c r="W130" s="33" t="n">
        <f aca="false">'Jul 2027'!Z130</f>
        <v>0</v>
      </c>
      <c r="X130" s="33" t="n">
        <f aca="false">IF(B130="",0,N(Students!J119))</f>
        <v>0</v>
      </c>
      <c r="Y130" s="23"/>
      <c r="Z130" s="24" t="n">
        <f aca="false">N(W130)+N(X130)-N(Y130)</f>
        <v>0</v>
      </c>
      <c r="AA130" s="33" t="n">
        <f aca="false">N(E130)+N(I130)+N(M130)+N(Q130)+N(U130)+N(Y130)</f>
        <v>0</v>
      </c>
      <c r="AB130" s="24" t="n">
        <f aca="false">F130+J130+N130+R130+V130+Z130</f>
        <v>0</v>
      </c>
      <c r="AC130" s="81" t="str">
        <f aca="false">IF(B130="","",IF(AB130&lt;=0,"Clear",IF(AA130&gt;0,"Partial","Due")))</f>
        <v/>
      </c>
    </row>
    <row r="131" customFormat="false" ht="15" hidden="false" customHeight="false" outlineLevel="0" collapsed="false">
      <c r="A131" s="25" t="n">
        <v>116</v>
      </c>
      <c r="B131" s="82" t="str">
        <f aca="false">IF(Students!B120="","",Students!B120)</f>
        <v/>
      </c>
      <c r="C131" s="37" t="n">
        <f aca="false">'Jul 2027'!F131</f>
        <v>0</v>
      </c>
      <c r="D131" s="37" t="n">
        <f aca="false">IF(B131="",0,N(Students!E120))</f>
        <v>0</v>
      </c>
      <c r="E131" s="23"/>
      <c r="F131" s="26" t="n">
        <f aca="false">N(C131)+N(D131)-N(E131)</f>
        <v>0</v>
      </c>
      <c r="G131" s="37" t="n">
        <f aca="false">'Jul 2027'!J131</f>
        <v>0</v>
      </c>
      <c r="H131" s="37" t="n">
        <f aca="false">IF(B131="",0,N(Students!F120))</f>
        <v>0</v>
      </c>
      <c r="I131" s="23"/>
      <c r="J131" s="26" t="n">
        <f aca="false">N(G131)+N(H131)-N(I131)</f>
        <v>0</v>
      </c>
      <c r="K131" s="37" t="n">
        <f aca="false">'Jul 2027'!N131</f>
        <v>0</v>
      </c>
      <c r="L131" s="37" t="n">
        <f aca="false">IF(B131="",0,N(Students!G120))</f>
        <v>0</v>
      </c>
      <c r="M131" s="23"/>
      <c r="N131" s="26" t="n">
        <f aca="false">N(K131)+N(L131)-N(M131)</f>
        <v>0</v>
      </c>
      <c r="O131" s="37" t="n">
        <f aca="false">'Jul 2027'!R131</f>
        <v>0</v>
      </c>
      <c r="P131" s="37" t="n">
        <f aca="false">IF(B131="",0,N(Students!H120))</f>
        <v>0</v>
      </c>
      <c r="Q131" s="23"/>
      <c r="R131" s="26" t="n">
        <f aca="false">N(O131)+N(P131)-N(Q131)</f>
        <v>0</v>
      </c>
      <c r="S131" s="37" t="n">
        <f aca="false">'Jul 2027'!V131</f>
        <v>0</v>
      </c>
      <c r="T131" s="37" t="n">
        <f aca="false">IF(B131="",0,N(Students!I120))</f>
        <v>0</v>
      </c>
      <c r="U131" s="23"/>
      <c r="V131" s="26" t="n">
        <f aca="false">N(S131)+N(T131)-N(U131)</f>
        <v>0</v>
      </c>
      <c r="W131" s="37" t="n">
        <f aca="false">'Jul 2027'!Z131</f>
        <v>0</v>
      </c>
      <c r="X131" s="37" t="n">
        <f aca="false">IF(B131="",0,N(Students!J120))</f>
        <v>0</v>
      </c>
      <c r="Y131" s="23"/>
      <c r="Z131" s="26" t="n">
        <f aca="false">N(W131)+N(X131)-N(Y131)</f>
        <v>0</v>
      </c>
      <c r="AA131" s="37" t="n">
        <f aca="false">N(E131)+N(I131)+N(M131)+N(Q131)+N(U131)+N(Y131)</f>
        <v>0</v>
      </c>
      <c r="AB131" s="26" t="n">
        <f aca="false">F131+J131+N131+R131+V131+Z131</f>
        <v>0</v>
      </c>
      <c r="AC131" s="83" t="str">
        <f aca="false">IF(B131="","",IF(AB131&lt;=0,"Clear",IF(AA131&gt;0,"Partial","Due")))</f>
        <v/>
      </c>
    </row>
    <row r="132" customFormat="false" ht="15" hidden="false" customHeight="false" outlineLevel="0" collapsed="false">
      <c r="A132" s="21" t="n">
        <v>117</v>
      </c>
      <c r="B132" s="46" t="str">
        <f aca="false">IF(Students!B121="","",Students!B121)</f>
        <v/>
      </c>
      <c r="C132" s="33" t="n">
        <f aca="false">'Jul 2027'!F132</f>
        <v>0</v>
      </c>
      <c r="D132" s="33" t="n">
        <f aca="false">IF(B132="",0,N(Students!E121))</f>
        <v>0</v>
      </c>
      <c r="E132" s="23"/>
      <c r="F132" s="24" t="n">
        <f aca="false">N(C132)+N(D132)-N(E132)</f>
        <v>0</v>
      </c>
      <c r="G132" s="33" t="n">
        <f aca="false">'Jul 2027'!J132</f>
        <v>0</v>
      </c>
      <c r="H132" s="33" t="n">
        <f aca="false">IF(B132="",0,N(Students!F121))</f>
        <v>0</v>
      </c>
      <c r="I132" s="23"/>
      <c r="J132" s="24" t="n">
        <f aca="false">N(G132)+N(H132)-N(I132)</f>
        <v>0</v>
      </c>
      <c r="K132" s="33" t="n">
        <f aca="false">'Jul 2027'!N132</f>
        <v>0</v>
      </c>
      <c r="L132" s="33" t="n">
        <f aca="false">IF(B132="",0,N(Students!G121))</f>
        <v>0</v>
      </c>
      <c r="M132" s="23"/>
      <c r="N132" s="24" t="n">
        <f aca="false">N(K132)+N(L132)-N(M132)</f>
        <v>0</v>
      </c>
      <c r="O132" s="33" t="n">
        <f aca="false">'Jul 2027'!R132</f>
        <v>0</v>
      </c>
      <c r="P132" s="33" t="n">
        <f aca="false">IF(B132="",0,N(Students!H121))</f>
        <v>0</v>
      </c>
      <c r="Q132" s="23"/>
      <c r="R132" s="24" t="n">
        <f aca="false">N(O132)+N(P132)-N(Q132)</f>
        <v>0</v>
      </c>
      <c r="S132" s="33" t="n">
        <f aca="false">'Jul 2027'!V132</f>
        <v>0</v>
      </c>
      <c r="T132" s="33" t="n">
        <f aca="false">IF(B132="",0,N(Students!I121))</f>
        <v>0</v>
      </c>
      <c r="U132" s="23"/>
      <c r="V132" s="24" t="n">
        <f aca="false">N(S132)+N(T132)-N(U132)</f>
        <v>0</v>
      </c>
      <c r="W132" s="33" t="n">
        <f aca="false">'Jul 2027'!Z132</f>
        <v>0</v>
      </c>
      <c r="X132" s="33" t="n">
        <f aca="false">IF(B132="",0,N(Students!J121))</f>
        <v>0</v>
      </c>
      <c r="Y132" s="23"/>
      <c r="Z132" s="24" t="n">
        <f aca="false">N(W132)+N(X132)-N(Y132)</f>
        <v>0</v>
      </c>
      <c r="AA132" s="33" t="n">
        <f aca="false">N(E132)+N(I132)+N(M132)+N(Q132)+N(U132)+N(Y132)</f>
        <v>0</v>
      </c>
      <c r="AB132" s="24" t="n">
        <f aca="false">F132+J132+N132+R132+V132+Z132</f>
        <v>0</v>
      </c>
      <c r="AC132" s="81" t="str">
        <f aca="false">IF(B132="","",IF(AB132&lt;=0,"Clear",IF(AA132&gt;0,"Partial","Due")))</f>
        <v/>
      </c>
    </row>
    <row r="133" customFormat="false" ht="15" hidden="false" customHeight="false" outlineLevel="0" collapsed="false">
      <c r="A133" s="25" t="n">
        <v>118</v>
      </c>
      <c r="B133" s="82" t="str">
        <f aca="false">IF(Students!B122="","",Students!B122)</f>
        <v/>
      </c>
      <c r="C133" s="37" t="n">
        <f aca="false">'Jul 2027'!F133</f>
        <v>0</v>
      </c>
      <c r="D133" s="37" t="n">
        <f aca="false">IF(B133="",0,N(Students!E122))</f>
        <v>0</v>
      </c>
      <c r="E133" s="23"/>
      <c r="F133" s="26" t="n">
        <f aca="false">N(C133)+N(D133)-N(E133)</f>
        <v>0</v>
      </c>
      <c r="G133" s="37" t="n">
        <f aca="false">'Jul 2027'!J133</f>
        <v>0</v>
      </c>
      <c r="H133" s="37" t="n">
        <f aca="false">IF(B133="",0,N(Students!F122))</f>
        <v>0</v>
      </c>
      <c r="I133" s="23"/>
      <c r="J133" s="26" t="n">
        <f aca="false">N(G133)+N(H133)-N(I133)</f>
        <v>0</v>
      </c>
      <c r="K133" s="37" t="n">
        <f aca="false">'Jul 2027'!N133</f>
        <v>0</v>
      </c>
      <c r="L133" s="37" t="n">
        <f aca="false">IF(B133="",0,N(Students!G122))</f>
        <v>0</v>
      </c>
      <c r="M133" s="23"/>
      <c r="N133" s="26" t="n">
        <f aca="false">N(K133)+N(L133)-N(M133)</f>
        <v>0</v>
      </c>
      <c r="O133" s="37" t="n">
        <f aca="false">'Jul 2027'!R133</f>
        <v>0</v>
      </c>
      <c r="P133" s="37" t="n">
        <f aca="false">IF(B133="",0,N(Students!H122))</f>
        <v>0</v>
      </c>
      <c r="Q133" s="23"/>
      <c r="R133" s="26" t="n">
        <f aca="false">N(O133)+N(P133)-N(Q133)</f>
        <v>0</v>
      </c>
      <c r="S133" s="37" t="n">
        <f aca="false">'Jul 2027'!V133</f>
        <v>0</v>
      </c>
      <c r="T133" s="37" t="n">
        <f aca="false">IF(B133="",0,N(Students!I122))</f>
        <v>0</v>
      </c>
      <c r="U133" s="23"/>
      <c r="V133" s="26" t="n">
        <f aca="false">N(S133)+N(T133)-N(U133)</f>
        <v>0</v>
      </c>
      <c r="W133" s="37" t="n">
        <f aca="false">'Jul 2027'!Z133</f>
        <v>0</v>
      </c>
      <c r="X133" s="37" t="n">
        <f aca="false">IF(B133="",0,N(Students!J122))</f>
        <v>0</v>
      </c>
      <c r="Y133" s="23"/>
      <c r="Z133" s="26" t="n">
        <f aca="false">N(W133)+N(X133)-N(Y133)</f>
        <v>0</v>
      </c>
      <c r="AA133" s="37" t="n">
        <f aca="false">N(E133)+N(I133)+N(M133)+N(Q133)+N(U133)+N(Y133)</f>
        <v>0</v>
      </c>
      <c r="AB133" s="26" t="n">
        <f aca="false">F133+J133+N133+R133+V133+Z133</f>
        <v>0</v>
      </c>
      <c r="AC133" s="83" t="str">
        <f aca="false">IF(B133="","",IF(AB133&lt;=0,"Clear",IF(AA133&gt;0,"Partial","Due")))</f>
        <v/>
      </c>
    </row>
    <row r="134" customFormat="false" ht="15" hidden="false" customHeight="false" outlineLevel="0" collapsed="false">
      <c r="A134" s="21" t="n">
        <v>119</v>
      </c>
      <c r="B134" s="46" t="str">
        <f aca="false">IF(Students!B123="","",Students!B123)</f>
        <v/>
      </c>
      <c r="C134" s="33" t="n">
        <f aca="false">'Jul 2027'!F134</f>
        <v>0</v>
      </c>
      <c r="D134" s="33" t="n">
        <f aca="false">IF(B134="",0,N(Students!E123))</f>
        <v>0</v>
      </c>
      <c r="E134" s="23"/>
      <c r="F134" s="24" t="n">
        <f aca="false">N(C134)+N(D134)-N(E134)</f>
        <v>0</v>
      </c>
      <c r="G134" s="33" t="n">
        <f aca="false">'Jul 2027'!J134</f>
        <v>0</v>
      </c>
      <c r="H134" s="33" t="n">
        <f aca="false">IF(B134="",0,N(Students!F123))</f>
        <v>0</v>
      </c>
      <c r="I134" s="23"/>
      <c r="J134" s="24" t="n">
        <f aca="false">N(G134)+N(H134)-N(I134)</f>
        <v>0</v>
      </c>
      <c r="K134" s="33" t="n">
        <f aca="false">'Jul 2027'!N134</f>
        <v>0</v>
      </c>
      <c r="L134" s="33" t="n">
        <f aca="false">IF(B134="",0,N(Students!G123))</f>
        <v>0</v>
      </c>
      <c r="M134" s="23"/>
      <c r="N134" s="24" t="n">
        <f aca="false">N(K134)+N(L134)-N(M134)</f>
        <v>0</v>
      </c>
      <c r="O134" s="33" t="n">
        <f aca="false">'Jul 2027'!R134</f>
        <v>0</v>
      </c>
      <c r="P134" s="33" t="n">
        <f aca="false">IF(B134="",0,N(Students!H123))</f>
        <v>0</v>
      </c>
      <c r="Q134" s="23"/>
      <c r="R134" s="24" t="n">
        <f aca="false">N(O134)+N(P134)-N(Q134)</f>
        <v>0</v>
      </c>
      <c r="S134" s="33" t="n">
        <f aca="false">'Jul 2027'!V134</f>
        <v>0</v>
      </c>
      <c r="T134" s="33" t="n">
        <f aca="false">IF(B134="",0,N(Students!I123))</f>
        <v>0</v>
      </c>
      <c r="U134" s="23"/>
      <c r="V134" s="24" t="n">
        <f aca="false">N(S134)+N(T134)-N(U134)</f>
        <v>0</v>
      </c>
      <c r="W134" s="33" t="n">
        <f aca="false">'Jul 2027'!Z134</f>
        <v>0</v>
      </c>
      <c r="X134" s="33" t="n">
        <f aca="false">IF(B134="",0,N(Students!J123))</f>
        <v>0</v>
      </c>
      <c r="Y134" s="23"/>
      <c r="Z134" s="24" t="n">
        <f aca="false">N(W134)+N(X134)-N(Y134)</f>
        <v>0</v>
      </c>
      <c r="AA134" s="33" t="n">
        <f aca="false">N(E134)+N(I134)+N(M134)+N(Q134)+N(U134)+N(Y134)</f>
        <v>0</v>
      </c>
      <c r="AB134" s="24" t="n">
        <f aca="false">F134+J134+N134+R134+V134+Z134</f>
        <v>0</v>
      </c>
      <c r="AC134" s="81" t="str">
        <f aca="false">IF(B134="","",IF(AB134&lt;=0,"Clear",IF(AA134&gt;0,"Partial","Due")))</f>
        <v/>
      </c>
    </row>
    <row r="135" customFormat="false" ht="15" hidden="false" customHeight="false" outlineLevel="0" collapsed="false">
      <c r="A135" s="25" t="n">
        <v>120</v>
      </c>
      <c r="B135" s="82" t="str">
        <f aca="false">IF(Students!B124="","",Students!B124)</f>
        <v/>
      </c>
      <c r="C135" s="37" t="n">
        <f aca="false">'Jul 2027'!F135</f>
        <v>0</v>
      </c>
      <c r="D135" s="37" t="n">
        <f aca="false">IF(B135="",0,N(Students!E124))</f>
        <v>0</v>
      </c>
      <c r="E135" s="23"/>
      <c r="F135" s="26" t="n">
        <f aca="false">N(C135)+N(D135)-N(E135)</f>
        <v>0</v>
      </c>
      <c r="G135" s="37" t="n">
        <f aca="false">'Jul 2027'!J135</f>
        <v>0</v>
      </c>
      <c r="H135" s="37" t="n">
        <f aca="false">IF(B135="",0,N(Students!F124))</f>
        <v>0</v>
      </c>
      <c r="I135" s="23"/>
      <c r="J135" s="26" t="n">
        <f aca="false">N(G135)+N(H135)-N(I135)</f>
        <v>0</v>
      </c>
      <c r="K135" s="37" t="n">
        <f aca="false">'Jul 2027'!N135</f>
        <v>0</v>
      </c>
      <c r="L135" s="37" t="n">
        <f aca="false">IF(B135="",0,N(Students!G124))</f>
        <v>0</v>
      </c>
      <c r="M135" s="23"/>
      <c r="N135" s="26" t="n">
        <f aca="false">N(K135)+N(L135)-N(M135)</f>
        <v>0</v>
      </c>
      <c r="O135" s="37" t="n">
        <f aca="false">'Jul 2027'!R135</f>
        <v>0</v>
      </c>
      <c r="P135" s="37" t="n">
        <f aca="false">IF(B135="",0,N(Students!H124))</f>
        <v>0</v>
      </c>
      <c r="Q135" s="23"/>
      <c r="R135" s="26" t="n">
        <f aca="false">N(O135)+N(P135)-N(Q135)</f>
        <v>0</v>
      </c>
      <c r="S135" s="37" t="n">
        <f aca="false">'Jul 2027'!V135</f>
        <v>0</v>
      </c>
      <c r="T135" s="37" t="n">
        <f aca="false">IF(B135="",0,N(Students!I124))</f>
        <v>0</v>
      </c>
      <c r="U135" s="23"/>
      <c r="V135" s="26" t="n">
        <f aca="false">N(S135)+N(T135)-N(U135)</f>
        <v>0</v>
      </c>
      <c r="W135" s="37" t="n">
        <f aca="false">'Jul 2027'!Z135</f>
        <v>0</v>
      </c>
      <c r="X135" s="37" t="n">
        <f aca="false">IF(B135="",0,N(Students!J124))</f>
        <v>0</v>
      </c>
      <c r="Y135" s="23"/>
      <c r="Z135" s="26" t="n">
        <f aca="false">N(W135)+N(X135)-N(Y135)</f>
        <v>0</v>
      </c>
      <c r="AA135" s="37" t="n">
        <f aca="false">N(E135)+N(I135)+N(M135)+N(Q135)+N(U135)+N(Y135)</f>
        <v>0</v>
      </c>
      <c r="AB135" s="26" t="n">
        <f aca="false">F135+J135+N135+R135+V135+Z135</f>
        <v>0</v>
      </c>
      <c r="AC135" s="83" t="str">
        <f aca="false">IF(B135="","",IF(AB135&lt;=0,"Clear",IF(AA135&gt;0,"Partial","Due")))</f>
        <v/>
      </c>
    </row>
    <row r="136" customFormat="false" ht="15" hidden="false" customHeight="false" outlineLevel="0" collapsed="false">
      <c r="A136" s="21" t="n">
        <v>121</v>
      </c>
      <c r="B136" s="46" t="str">
        <f aca="false">IF(Students!B125="","",Students!B125)</f>
        <v/>
      </c>
      <c r="C136" s="33" t="n">
        <f aca="false">'Jul 2027'!F136</f>
        <v>0</v>
      </c>
      <c r="D136" s="33" t="n">
        <f aca="false">IF(B136="",0,N(Students!E125))</f>
        <v>0</v>
      </c>
      <c r="E136" s="23"/>
      <c r="F136" s="24" t="n">
        <f aca="false">N(C136)+N(D136)-N(E136)</f>
        <v>0</v>
      </c>
      <c r="G136" s="33" t="n">
        <f aca="false">'Jul 2027'!J136</f>
        <v>0</v>
      </c>
      <c r="H136" s="33" t="n">
        <f aca="false">IF(B136="",0,N(Students!F125))</f>
        <v>0</v>
      </c>
      <c r="I136" s="23"/>
      <c r="J136" s="24" t="n">
        <f aca="false">N(G136)+N(H136)-N(I136)</f>
        <v>0</v>
      </c>
      <c r="K136" s="33" t="n">
        <f aca="false">'Jul 2027'!N136</f>
        <v>0</v>
      </c>
      <c r="L136" s="33" t="n">
        <f aca="false">IF(B136="",0,N(Students!G125))</f>
        <v>0</v>
      </c>
      <c r="M136" s="23"/>
      <c r="N136" s="24" t="n">
        <f aca="false">N(K136)+N(L136)-N(M136)</f>
        <v>0</v>
      </c>
      <c r="O136" s="33" t="n">
        <f aca="false">'Jul 2027'!R136</f>
        <v>0</v>
      </c>
      <c r="P136" s="33" t="n">
        <f aca="false">IF(B136="",0,N(Students!H125))</f>
        <v>0</v>
      </c>
      <c r="Q136" s="23"/>
      <c r="R136" s="24" t="n">
        <f aca="false">N(O136)+N(P136)-N(Q136)</f>
        <v>0</v>
      </c>
      <c r="S136" s="33" t="n">
        <f aca="false">'Jul 2027'!V136</f>
        <v>0</v>
      </c>
      <c r="T136" s="33" t="n">
        <f aca="false">IF(B136="",0,N(Students!I125))</f>
        <v>0</v>
      </c>
      <c r="U136" s="23"/>
      <c r="V136" s="24" t="n">
        <f aca="false">N(S136)+N(T136)-N(U136)</f>
        <v>0</v>
      </c>
      <c r="W136" s="33" t="n">
        <f aca="false">'Jul 2027'!Z136</f>
        <v>0</v>
      </c>
      <c r="X136" s="33" t="n">
        <f aca="false">IF(B136="",0,N(Students!J125))</f>
        <v>0</v>
      </c>
      <c r="Y136" s="23"/>
      <c r="Z136" s="24" t="n">
        <f aca="false">N(W136)+N(X136)-N(Y136)</f>
        <v>0</v>
      </c>
      <c r="AA136" s="33" t="n">
        <f aca="false">N(E136)+N(I136)+N(M136)+N(Q136)+N(U136)+N(Y136)</f>
        <v>0</v>
      </c>
      <c r="AB136" s="24" t="n">
        <f aca="false">F136+J136+N136+R136+V136+Z136</f>
        <v>0</v>
      </c>
      <c r="AC136" s="81" t="str">
        <f aca="false">IF(B136="","",IF(AB136&lt;=0,"Clear",IF(AA136&gt;0,"Partial","Due")))</f>
        <v/>
      </c>
    </row>
    <row r="137" customFormat="false" ht="15" hidden="false" customHeight="false" outlineLevel="0" collapsed="false">
      <c r="A137" s="25" t="n">
        <v>122</v>
      </c>
      <c r="B137" s="82" t="str">
        <f aca="false">IF(Students!B126="","",Students!B126)</f>
        <v/>
      </c>
      <c r="C137" s="37" t="n">
        <f aca="false">'Jul 2027'!F137</f>
        <v>0</v>
      </c>
      <c r="D137" s="37" t="n">
        <f aca="false">IF(B137="",0,N(Students!E126))</f>
        <v>0</v>
      </c>
      <c r="E137" s="23"/>
      <c r="F137" s="26" t="n">
        <f aca="false">N(C137)+N(D137)-N(E137)</f>
        <v>0</v>
      </c>
      <c r="G137" s="37" t="n">
        <f aca="false">'Jul 2027'!J137</f>
        <v>0</v>
      </c>
      <c r="H137" s="37" t="n">
        <f aca="false">IF(B137="",0,N(Students!F126))</f>
        <v>0</v>
      </c>
      <c r="I137" s="23"/>
      <c r="J137" s="26" t="n">
        <f aca="false">N(G137)+N(H137)-N(I137)</f>
        <v>0</v>
      </c>
      <c r="K137" s="37" t="n">
        <f aca="false">'Jul 2027'!N137</f>
        <v>0</v>
      </c>
      <c r="L137" s="37" t="n">
        <f aca="false">IF(B137="",0,N(Students!G126))</f>
        <v>0</v>
      </c>
      <c r="M137" s="23"/>
      <c r="N137" s="26" t="n">
        <f aca="false">N(K137)+N(L137)-N(M137)</f>
        <v>0</v>
      </c>
      <c r="O137" s="37" t="n">
        <f aca="false">'Jul 2027'!R137</f>
        <v>0</v>
      </c>
      <c r="P137" s="37" t="n">
        <f aca="false">IF(B137="",0,N(Students!H126))</f>
        <v>0</v>
      </c>
      <c r="Q137" s="23"/>
      <c r="R137" s="26" t="n">
        <f aca="false">N(O137)+N(P137)-N(Q137)</f>
        <v>0</v>
      </c>
      <c r="S137" s="37" t="n">
        <f aca="false">'Jul 2027'!V137</f>
        <v>0</v>
      </c>
      <c r="T137" s="37" t="n">
        <f aca="false">IF(B137="",0,N(Students!I126))</f>
        <v>0</v>
      </c>
      <c r="U137" s="23"/>
      <c r="V137" s="26" t="n">
        <f aca="false">N(S137)+N(T137)-N(U137)</f>
        <v>0</v>
      </c>
      <c r="W137" s="37" t="n">
        <f aca="false">'Jul 2027'!Z137</f>
        <v>0</v>
      </c>
      <c r="X137" s="37" t="n">
        <f aca="false">IF(B137="",0,N(Students!J126))</f>
        <v>0</v>
      </c>
      <c r="Y137" s="23"/>
      <c r="Z137" s="26" t="n">
        <f aca="false">N(W137)+N(X137)-N(Y137)</f>
        <v>0</v>
      </c>
      <c r="AA137" s="37" t="n">
        <f aca="false">N(E137)+N(I137)+N(M137)+N(Q137)+N(U137)+N(Y137)</f>
        <v>0</v>
      </c>
      <c r="AB137" s="26" t="n">
        <f aca="false">F137+J137+N137+R137+V137+Z137</f>
        <v>0</v>
      </c>
      <c r="AC137" s="83" t="str">
        <f aca="false">IF(B137="","",IF(AB137&lt;=0,"Clear",IF(AA137&gt;0,"Partial","Due")))</f>
        <v/>
      </c>
    </row>
    <row r="138" customFormat="false" ht="15" hidden="false" customHeight="false" outlineLevel="0" collapsed="false">
      <c r="A138" s="21" t="n">
        <v>123</v>
      </c>
      <c r="B138" s="46" t="str">
        <f aca="false">IF(Students!B127="","",Students!B127)</f>
        <v/>
      </c>
      <c r="C138" s="33" t="n">
        <f aca="false">'Jul 2027'!F138</f>
        <v>0</v>
      </c>
      <c r="D138" s="33" t="n">
        <f aca="false">IF(B138="",0,N(Students!E127))</f>
        <v>0</v>
      </c>
      <c r="E138" s="23"/>
      <c r="F138" s="24" t="n">
        <f aca="false">N(C138)+N(D138)-N(E138)</f>
        <v>0</v>
      </c>
      <c r="G138" s="33" t="n">
        <f aca="false">'Jul 2027'!J138</f>
        <v>0</v>
      </c>
      <c r="H138" s="33" t="n">
        <f aca="false">IF(B138="",0,N(Students!F127))</f>
        <v>0</v>
      </c>
      <c r="I138" s="23"/>
      <c r="J138" s="24" t="n">
        <f aca="false">N(G138)+N(H138)-N(I138)</f>
        <v>0</v>
      </c>
      <c r="K138" s="33" t="n">
        <f aca="false">'Jul 2027'!N138</f>
        <v>0</v>
      </c>
      <c r="L138" s="33" t="n">
        <f aca="false">IF(B138="",0,N(Students!G127))</f>
        <v>0</v>
      </c>
      <c r="M138" s="23"/>
      <c r="N138" s="24" t="n">
        <f aca="false">N(K138)+N(L138)-N(M138)</f>
        <v>0</v>
      </c>
      <c r="O138" s="33" t="n">
        <f aca="false">'Jul 2027'!R138</f>
        <v>0</v>
      </c>
      <c r="P138" s="33" t="n">
        <f aca="false">IF(B138="",0,N(Students!H127))</f>
        <v>0</v>
      </c>
      <c r="Q138" s="23"/>
      <c r="R138" s="24" t="n">
        <f aca="false">N(O138)+N(P138)-N(Q138)</f>
        <v>0</v>
      </c>
      <c r="S138" s="33" t="n">
        <f aca="false">'Jul 2027'!V138</f>
        <v>0</v>
      </c>
      <c r="T138" s="33" t="n">
        <f aca="false">IF(B138="",0,N(Students!I127))</f>
        <v>0</v>
      </c>
      <c r="U138" s="23"/>
      <c r="V138" s="24" t="n">
        <f aca="false">N(S138)+N(T138)-N(U138)</f>
        <v>0</v>
      </c>
      <c r="W138" s="33" t="n">
        <f aca="false">'Jul 2027'!Z138</f>
        <v>0</v>
      </c>
      <c r="X138" s="33" t="n">
        <f aca="false">IF(B138="",0,N(Students!J127))</f>
        <v>0</v>
      </c>
      <c r="Y138" s="23"/>
      <c r="Z138" s="24" t="n">
        <f aca="false">N(W138)+N(X138)-N(Y138)</f>
        <v>0</v>
      </c>
      <c r="AA138" s="33" t="n">
        <f aca="false">N(E138)+N(I138)+N(M138)+N(Q138)+N(U138)+N(Y138)</f>
        <v>0</v>
      </c>
      <c r="AB138" s="24" t="n">
        <f aca="false">F138+J138+N138+R138+V138+Z138</f>
        <v>0</v>
      </c>
      <c r="AC138" s="81" t="str">
        <f aca="false">IF(B138="","",IF(AB138&lt;=0,"Clear",IF(AA138&gt;0,"Partial","Due")))</f>
        <v/>
      </c>
    </row>
    <row r="139" customFormat="false" ht="15" hidden="false" customHeight="false" outlineLevel="0" collapsed="false">
      <c r="A139" s="25" t="n">
        <v>124</v>
      </c>
      <c r="B139" s="82" t="str">
        <f aca="false">IF(Students!B128="","",Students!B128)</f>
        <v/>
      </c>
      <c r="C139" s="37" t="n">
        <f aca="false">'Jul 2027'!F139</f>
        <v>0</v>
      </c>
      <c r="D139" s="37" t="n">
        <f aca="false">IF(B139="",0,N(Students!E128))</f>
        <v>0</v>
      </c>
      <c r="E139" s="23"/>
      <c r="F139" s="26" t="n">
        <f aca="false">N(C139)+N(D139)-N(E139)</f>
        <v>0</v>
      </c>
      <c r="G139" s="37" t="n">
        <f aca="false">'Jul 2027'!J139</f>
        <v>0</v>
      </c>
      <c r="H139" s="37" t="n">
        <f aca="false">IF(B139="",0,N(Students!F128))</f>
        <v>0</v>
      </c>
      <c r="I139" s="23"/>
      <c r="J139" s="26" t="n">
        <f aca="false">N(G139)+N(H139)-N(I139)</f>
        <v>0</v>
      </c>
      <c r="K139" s="37" t="n">
        <f aca="false">'Jul 2027'!N139</f>
        <v>0</v>
      </c>
      <c r="L139" s="37" t="n">
        <f aca="false">IF(B139="",0,N(Students!G128))</f>
        <v>0</v>
      </c>
      <c r="M139" s="23"/>
      <c r="N139" s="26" t="n">
        <f aca="false">N(K139)+N(L139)-N(M139)</f>
        <v>0</v>
      </c>
      <c r="O139" s="37" t="n">
        <f aca="false">'Jul 2027'!R139</f>
        <v>0</v>
      </c>
      <c r="P139" s="37" t="n">
        <f aca="false">IF(B139="",0,N(Students!H128))</f>
        <v>0</v>
      </c>
      <c r="Q139" s="23"/>
      <c r="R139" s="26" t="n">
        <f aca="false">N(O139)+N(P139)-N(Q139)</f>
        <v>0</v>
      </c>
      <c r="S139" s="37" t="n">
        <f aca="false">'Jul 2027'!V139</f>
        <v>0</v>
      </c>
      <c r="T139" s="37" t="n">
        <f aca="false">IF(B139="",0,N(Students!I128))</f>
        <v>0</v>
      </c>
      <c r="U139" s="23"/>
      <c r="V139" s="26" t="n">
        <f aca="false">N(S139)+N(T139)-N(U139)</f>
        <v>0</v>
      </c>
      <c r="W139" s="37" t="n">
        <f aca="false">'Jul 2027'!Z139</f>
        <v>0</v>
      </c>
      <c r="X139" s="37" t="n">
        <f aca="false">IF(B139="",0,N(Students!J128))</f>
        <v>0</v>
      </c>
      <c r="Y139" s="23"/>
      <c r="Z139" s="26" t="n">
        <f aca="false">N(W139)+N(X139)-N(Y139)</f>
        <v>0</v>
      </c>
      <c r="AA139" s="37" t="n">
        <f aca="false">N(E139)+N(I139)+N(M139)+N(Q139)+N(U139)+N(Y139)</f>
        <v>0</v>
      </c>
      <c r="AB139" s="26" t="n">
        <f aca="false">F139+J139+N139+R139+V139+Z139</f>
        <v>0</v>
      </c>
      <c r="AC139" s="83" t="str">
        <f aca="false">IF(B139="","",IF(AB139&lt;=0,"Clear",IF(AA139&gt;0,"Partial","Due")))</f>
        <v/>
      </c>
    </row>
    <row r="140" customFormat="false" ht="15" hidden="false" customHeight="false" outlineLevel="0" collapsed="false">
      <c r="A140" s="21" t="n">
        <v>125</v>
      </c>
      <c r="B140" s="46" t="str">
        <f aca="false">IF(Students!B129="","",Students!B129)</f>
        <v/>
      </c>
      <c r="C140" s="33" t="n">
        <f aca="false">'Jul 2027'!F140</f>
        <v>0</v>
      </c>
      <c r="D140" s="33" t="n">
        <f aca="false">IF(B140="",0,N(Students!E129))</f>
        <v>0</v>
      </c>
      <c r="E140" s="23"/>
      <c r="F140" s="24" t="n">
        <f aca="false">N(C140)+N(D140)-N(E140)</f>
        <v>0</v>
      </c>
      <c r="G140" s="33" t="n">
        <f aca="false">'Jul 2027'!J140</f>
        <v>0</v>
      </c>
      <c r="H140" s="33" t="n">
        <f aca="false">IF(B140="",0,N(Students!F129))</f>
        <v>0</v>
      </c>
      <c r="I140" s="23"/>
      <c r="J140" s="24" t="n">
        <f aca="false">N(G140)+N(H140)-N(I140)</f>
        <v>0</v>
      </c>
      <c r="K140" s="33" t="n">
        <f aca="false">'Jul 2027'!N140</f>
        <v>0</v>
      </c>
      <c r="L140" s="33" t="n">
        <f aca="false">IF(B140="",0,N(Students!G129))</f>
        <v>0</v>
      </c>
      <c r="M140" s="23"/>
      <c r="N140" s="24" t="n">
        <f aca="false">N(K140)+N(L140)-N(M140)</f>
        <v>0</v>
      </c>
      <c r="O140" s="33" t="n">
        <f aca="false">'Jul 2027'!R140</f>
        <v>0</v>
      </c>
      <c r="P140" s="33" t="n">
        <f aca="false">IF(B140="",0,N(Students!H129))</f>
        <v>0</v>
      </c>
      <c r="Q140" s="23"/>
      <c r="R140" s="24" t="n">
        <f aca="false">N(O140)+N(P140)-N(Q140)</f>
        <v>0</v>
      </c>
      <c r="S140" s="33" t="n">
        <f aca="false">'Jul 2027'!V140</f>
        <v>0</v>
      </c>
      <c r="T140" s="33" t="n">
        <f aca="false">IF(B140="",0,N(Students!I129))</f>
        <v>0</v>
      </c>
      <c r="U140" s="23"/>
      <c r="V140" s="24" t="n">
        <f aca="false">N(S140)+N(T140)-N(U140)</f>
        <v>0</v>
      </c>
      <c r="W140" s="33" t="n">
        <f aca="false">'Jul 2027'!Z140</f>
        <v>0</v>
      </c>
      <c r="X140" s="33" t="n">
        <f aca="false">IF(B140="",0,N(Students!J129))</f>
        <v>0</v>
      </c>
      <c r="Y140" s="23"/>
      <c r="Z140" s="24" t="n">
        <f aca="false">N(W140)+N(X140)-N(Y140)</f>
        <v>0</v>
      </c>
      <c r="AA140" s="33" t="n">
        <f aca="false">N(E140)+N(I140)+N(M140)+N(Q140)+N(U140)+N(Y140)</f>
        <v>0</v>
      </c>
      <c r="AB140" s="24" t="n">
        <f aca="false">F140+J140+N140+R140+V140+Z140</f>
        <v>0</v>
      </c>
      <c r="AC140" s="81" t="str">
        <f aca="false">IF(B140="","",IF(AB140&lt;=0,"Clear",IF(AA140&gt;0,"Partial","Due")))</f>
        <v/>
      </c>
    </row>
    <row r="141" customFormat="false" ht="15" hidden="false" customHeight="false" outlineLevel="0" collapsed="false">
      <c r="A141" s="25" t="n">
        <v>126</v>
      </c>
      <c r="B141" s="82" t="str">
        <f aca="false">IF(Students!B130="","",Students!B130)</f>
        <v/>
      </c>
      <c r="C141" s="37" t="n">
        <f aca="false">'Jul 2027'!F141</f>
        <v>0</v>
      </c>
      <c r="D141" s="37" t="n">
        <f aca="false">IF(B141="",0,N(Students!E130))</f>
        <v>0</v>
      </c>
      <c r="E141" s="23"/>
      <c r="F141" s="26" t="n">
        <f aca="false">N(C141)+N(D141)-N(E141)</f>
        <v>0</v>
      </c>
      <c r="G141" s="37" t="n">
        <f aca="false">'Jul 2027'!J141</f>
        <v>0</v>
      </c>
      <c r="H141" s="37" t="n">
        <f aca="false">IF(B141="",0,N(Students!F130))</f>
        <v>0</v>
      </c>
      <c r="I141" s="23"/>
      <c r="J141" s="26" t="n">
        <f aca="false">N(G141)+N(H141)-N(I141)</f>
        <v>0</v>
      </c>
      <c r="K141" s="37" t="n">
        <f aca="false">'Jul 2027'!N141</f>
        <v>0</v>
      </c>
      <c r="L141" s="37" t="n">
        <f aca="false">IF(B141="",0,N(Students!G130))</f>
        <v>0</v>
      </c>
      <c r="M141" s="23"/>
      <c r="N141" s="26" t="n">
        <f aca="false">N(K141)+N(L141)-N(M141)</f>
        <v>0</v>
      </c>
      <c r="O141" s="37" t="n">
        <f aca="false">'Jul 2027'!R141</f>
        <v>0</v>
      </c>
      <c r="P141" s="37" t="n">
        <f aca="false">IF(B141="",0,N(Students!H130))</f>
        <v>0</v>
      </c>
      <c r="Q141" s="23"/>
      <c r="R141" s="26" t="n">
        <f aca="false">N(O141)+N(P141)-N(Q141)</f>
        <v>0</v>
      </c>
      <c r="S141" s="37" t="n">
        <f aca="false">'Jul 2027'!V141</f>
        <v>0</v>
      </c>
      <c r="T141" s="37" t="n">
        <f aca="false">IF(B141="",0,N(Students!I130))</f>
        <v>0</v>
      </c>
      <c r="U141" s="23"/>
      <c r="V141" s="26" t="n">
        <f aca="false">N(S141)+N(T141)-N(U141)</f>
        <v>0</v>
      </c>
      <c r="W141" s="37" t="n">
        <f aca="false">'Jul 2027'!Z141</f>
        <v>0</v>
      </c>
      <c r="X141" s="37" t="n">
        <f aca="false">IF(B141="",0,N(Students!J130))</f>
        <v>0</v>
      </c>
      <c r="Y141" s="23"/>
      <c r="Z141" s="26" t="n">
        <f aca="false">N(W141)+N(X141)-N(Y141)</f>
        <v>0</v>
      </c>
      <c r="AA141" s="37" t="n">
        <f aca="false">N(E141)+N(I141)+N(M141)+N(Q141)+N(U141)+N(Y141)</f>
        <v>0</v>
      </c>
      <c r="AB141" s="26" t="n">
        <f aca="false">F141+J141+N141+R141+V141+Z141</f>
        <v>0</v>
      </c>
      <c r="AC141" s="83" t="str">
        <f aca="false">IF(B141="","",IF(AB141&lt;=0,"Clear",IF(AA141&gt;0,"Partial","Due")))</f>
        <v/>
      </c>
    </row>
    <row r="142" customFormat="false" ht="15" hidden="false" customHeight="false" outlineLevel="0" collapsed="false">
      <c r="A142" s="21" t="n">
        <v>127</v>
      </c>
      <c r="B142" s="46" t="str">
        <f aca="false">IF(Students!B131="","",Students!B131)</f>
        <v/>
      </c>
      <c r="C142" s="33" t="n">
        <f aca="false">'Jul 2027'!F142</f>
        <v>0</v>
      </c>
      <c r="D142" s="33" t="n">
        <f aca="false">IF(B142="",0,N(Students!E131))</f>
        <v>0</v>
      </c>
      <c r="E142" s="23"/>
      <c r="F142" s="24" t="n">
        <f aca="false">N(C142)+N(D142)-N(E142)</f>
        <v>0</v>
      </c>
      <c r="G142" s="33" t="n">
        <f aca="false">'Jul 2027'!J142</f>
        <v>0</v>
      </c>
      <c r="H142" s="33" t="n">
        <f aca="false">IF(B142="",0,N(Students!F131))</f>
        <v>0</v>
      </c>
      <c r="I142" s="23"/>
      <c r="J142" s="24" t="n">
        <f aca="false">N(G142)+N(H142)-N(I142)</f>
        <v>0</v>
      </c>
      <c r="K142" s="33" t="n">
        <f aca="false">'Jul 2027'!N142</f>
        <v>0</v>
      </c>
      <c r="L142" s="33" t="n">
        <f aca="false">IF(B142="",0,N(Students!G131))</f>
        <v>0</v>
      </c>
      <c r="M142" s="23"/>
      <c r="N142" s="24" t="n">
        <f aca="false">N(K142)+N(L142)-N(M142)</f>
        <v>0</v>
      </c>
      <c r="O142" s="33" t="n">
        <f aca="false">'Jul 2027'!R142</f>
        <v>0</v>
      </c>
      <c r="P142" s="33" t="n">
        <f aca="false">IF(B142="",0,N(Students!H131))</f>
        <v>0</v>
      </c>
      <c r="Q142" s="23"/>
      <c r="R142" s="24" t="n">
        <f aca="false">N(O142)+N(P142)-N(Q142)</f>
        <v>0</v>
      </c>
      <c r="S142" s="33" t="n">
        <f aca="false">'Jul 2027'!V142</f>
        <v>0</v>
      </c>
      <c r="T142" s="33" t="n">
        <f aca="false">IF(B142="",0,N(Students!I131))</f>
        <v>0</v>
      </c>
      <c r="U142" s="23"/>
      <c r="V142" s="24" t="n">
        <f aca="false">N(S142)+N(T142)-N(U142)</f>
        <v>0</v>
      </c>
      <c r="W142" s="33" t="n">
        <f aca="false">'Jul 2027'!Z142</f>
        <v>0</v>
      </c>
      <c r="X142" s="33" t="n">
        <f aca="false">IF(B142="",0,N(Students!J131))</f>
        <v>0</v>
      </c>
      <c r="Y142" s="23"/>
      <c r="Z142" s="24" t="n">
        <f aca="false">N(W142)+N(X142)-N(Y142)</f>
        <v>0</v>
      </c>
      <c r="AA142" s="33" t="n">
        <f aca="false">N(E142)+N(I142)+N(M142)+N(Q142)+N(U142)+N(Y142)</f>
        <v>0</v>
      </c>
      <c r="AB142" s="24" t="n">
        <f aca="false">F142+J142+N142+R142+V142+Z142</f>
        <v>0</v>
      </c>
      <c r="AC142" s="81" t="str">
        <f aca="false">IF(B142="","",IF(AB142&lt;=0,"Clear",IF(AA142&gt;0,"Partial","Due")))</f>
        <v/>
      </c>
    </row>
    <row r="143" customFormat="false" ht="15" hidden="false" customHeight="false" outlineLevel="0" collapsed="false">
      <c r="A143" s="25" t="n">
        <v>128</v>
      </c>
      <c r="B143" s="82" t="str">
        <f aca="false">IF(Students!B132="","",Students!B132)</f>
        <v/>
      </c>
      <c r="C143" s="37" t="n">
        <f aca="false">'Jul 2027'!F143</f>
        <v>0</v>
      </c>
      <c r="D143" s="37" t="n">
        <f aca="false">IF(B143="",0,N(Students!E132))</f>
        <v>0</v>
      </c>
      <c r="E143" s="23"/>
      <c r="F143" s="26" t="n">
        <f aca="false">N(C143)+N(D143)-N(E143)</f>
        <v>0</v>
      </c>
      <c r="G143" s="37" t="n">
        <f aca="false">'Jul 2027'!J143</f>
        <v>0</v>
      </c>
      <c r="H143" s="37" t="n">
        <f aca="false">IF(B143="",0,N(Students!F132))</f>
        <v>0</v>
      </c>
      <c r="I143" s="23"/>
      <c r="J143" s="26" t="n">
        <f aca="false">N(G143)+N(H143)-N(I143)</f>
        <v>0</v>
      </c>
      <c r="K143" s="37" t="n">
        <f aca="false">'Jul 2027'!N143</f>
        <v>0</v>
      </c>
      <c r="L143" s="37" t="n">
        <f aca="false">IF(B143="",0,N(Students!G132))</f>
        <v>0</v>
      </c>
      <c r="M143" s="23"/>
      <c r="N143" s="26" t="n">
        <f aca="false">N(K143)+N(L143)-N(M143)</f>
        <v>0</v>
      </c>
      <c r="O143" s="37" t="n">
        <f aca="false">'Jul 2027'!R143</f>
        <v>0</v>
      </c>
      <c r="P143" s="37" t="n">
        <f aca="false">IF(B143="",0,N(Students!H132))</f>
        <v>0</v>
      </c>
      <c r="Q143" s="23"/>
      <c r="R143" s="26" t="n">
        <f aca="false">N(O143)+N(P143)-N(Q143)</f>
        <v>0</v>
      </c>
      <c r="S143" s="37" t="n">
        <f aca="false">'Jul 2027'!V143</f>
        <v>0</v>
      </c>
      <c r="T143" s="37" t="n">
        <f aca="false">IF(B143="",0,N(Students!I132))</f>
        <v>0</v>
      </c>
      <c r="U143" s="23"/>
      <c r="V143" s="26" t="n">
        <f aca="false">N(S143)+N(T143)-N(U143)</f>
        <v>0</v>
      </c>
      <c r="W143" s="37" t="n">
        <f aca="false">'Jul 2027'!Z143</f>
        <v>0</v>
      </c>
      <c r="X143" s="37" t="n">
        <f aca="false">IF(B143="",0,N(Students!J132))</f>
        <v>0</v>
      </c>
      <c r="Y143" s="23"/>
      <c r="Z143" s="26" t="n">
        <f aca="false">N(W143)+N(X143)-N(Y143)</f>
        <v>0</v>
      </c>
      <c r="AA143" s="37" t="n">
        <f aca="false">N(E143)+N(I143)+N(M143)+N(Q143)+N(U143)+N(Y143)</f>
        <v>0</v>
      </c>
      <c r="AB143" s="26" t="n">
        <f aca="false">F143+J143+N143+R143+V143+Z143</f>
        <v>0</v>
      </c>
      <c r="AC143" s="83" t="str">
        <f aca="false">IF(B143="","",IF(AB143&lt;=0,"Clear",IF(AA143&gt;0,"Partial","Due")))</f>
        <v/>
      </c>
    </row>
    <row r="144" customFormat="false" ht="15" hidden="false" customHeight="false" outlineLevel="0" collapsed="false">
      <c r="A144" s="21" t="n">
        <v>129</v>
      </c>
      <c r="B144" s="46" t="str">
        <f aca="false">IF(Students!B133="","",Students!B133)</f>
        <v/>
      </c>
      <c r="C144" s="33" t="n">
        <f aca="false">'Jul 2027'!F144</f>
        <v>0</v>
      </c>
      <c r="D144" s="33" t="n">
        <f aca="false">IF(B144="",0,N(Students!E133))</f>
        <v>0</v>
      </c>
      <c r="E144" s="23"/>
      <c r="F144" s="24" t="n">
        <f aca="false">N(C144)+N(D144)-N(E144)</f>
        <v>0</v>
      </c>
      <c r="G144" s="33" t="n">
        <f aca="false">'Jul 2027'!J144</f>
        <v>0</v>
      </c>
      <c r="H144" s="33" t="n">
        <f aca="false">IF(B144="",0,N(Students!F133))</f>
        <v>0</v>
      </c>
      <c r="I144" s="23"/>
      <c r="J144" s="24" t="n">
        <f aca="false">N(G144)+N(H144)-N(I144)</f>
        <v>0</v>
      </c>
      <c r="K144" s="33" t="n">
        <f aca="false">'Jul 2027'!N144</f>
        <v>0</v>
      </c>
      <c r="L144" s="33" t="n">
        <f aca="false">IF(B144="",0,N(Students!G133))</f>
        <v>0</v>
      </c>
      <c r="M144" s="23"/>
      <c r="N144" s="24" t="n">
        <f aca="false">N(K144)+N(L144)-N(M144)</f>
        <v>0</v>
      </c>
      <c r="O144" s="33" t="n">
        <f aca="false">'Jul 2027'!R144</f>
        <v>0</v>
      </c>
      <c r="P144" s="33" t="n">
        <f aca="false">IF(B144="",0,N(Students!H133))</f>
        <v>0</v>
      </c>
      <c r="Q144" s="23"/>
      <c r="R144" s="24" t="n">
        <f aca="false">N(O144)+N(P144)-N(Q144)</f>
        <v>0</v>
      </c>
      <c r="S144" s="33" t="n">
        <f aca="false">'Jul 2027'!V144</f>
        <v>0</v>
      </c>
      <c r="T144" s="33" t="n">
        <f aca="false">IF(B144="",0,N(Students!I133))</f>
        <v>0</v>
      </c>
      <c r="U144" s="23"/>
      <c r="V144" s="24" t="n">
        <f aca="false">N(S144)+N(T144)-N(U144)</f>
        <v>0</v>
      </c>
      <c r="W144" s="33" t="n">
        <f aca="false">'Jul 2027'!Z144</f>
        <v>0</v>
      </c>
      <c r="X144" s="33" t="n">
        <f aca="false">IF(B144="",0,N(Students!J133))</f>
        <v>0</v>
      </c>
      <c r="Y144" s="23"/>
      <c r="Z144" s="24" t="n">
        <f aca="false">N(W144)+N(X144)-N(Y144)</f>
        <v>0</v>
      </c>
      <c r="AA144" s="33" t="n">
        <f aca="false">N(E144)+N(I144)+N(M144)+N(Q144)+N(U144)+N(Y144)</f>
        <v>0</v>
      </c>
      <c r="AB144" s="24" t="n">
        <f aca="false">F144+J144+N144+R144+V144+Z144</f>
        <v>0</v>
      </c>
      <c r="AC144" s="81" t="str">
        <f aca="false">IF(B144="","",IF(AB144&lt;=0,"Clear",IF(AA144&gt;0,"Partial","Due")))</f>
        <v/>
      </c>
    </row>
    <row r="145" customFormat="false" ht="15" hidden="false" customHeight="false" outlineLevel="0" collapsed="false">
      <c r="A145" s="25" t="n">
        <v>130</v>
      </c>
      <c r="B145" s="82" t="str">
        <f aca="false">IF(Students!B134="","",Students!B134)</f>
        <v/>
      </c>
      <c r="C145" s="37" t="n">
        <f aca="false">'Jul 2027'!F145</f>
        <v>0</v>
      </c>
      <c r="D145" s="37" t="n">
        <f aca="false">IF(B145="",0,N(Students!E134))</f>
        <v>0</v>
      </c>
      <c r="E145" s="23"/>
      <c r="F145" s="26" t="n">
        <f aca="false">N(C145)+N(D145)-N(E145)</f>
        <v>0</v>
      </c>
      <c r="G145" s="37" t="n">
        <f aca="false">'Jul 2027'!J145</f>
        <v>0</v>
      </c>
      <c r="H145" s="37" t="n">
        <f aca="false">IF(B145="",0,N(Students!F134))</f>
        <v>0</v>
      </c>
      <c r="I145" s="23"/>
      <c r="J145" s="26" t="n">
        <f aca="false">N(G145)+N(H145)-N(I145)</f>
        <v>0</v>
      </c>
      <c r="K145" s="37" t="n">
        <f aca="false">'Jul 2027'!N145</f>
        <v>0</v>
      </c>
      <c r="L145" s="37" t="n">
        <f aca="false">IF(B145="",0,N(Students!G134))</f>
        <v>0</v>
      </c>
      <c r="M145" s="23"/>
      <c r="N145" s="26" t="n">
        <f aca="false">N(K145)+N(L145)-N(M145)</f>
        <v>0</v>
      </c>
      <c r="O145" s="37" t="n">
        <f aca="false">'Jul 2027'!R145</f>
        <v>0</v>
      </c>
      <c r="P145" s="37" t="n">
        <f aca="false">IF(B145="",0,N(Students!H134))</f>
        <v>0</v>
      </c>
      <c r="Q145" s="23"/>
      <c r="R145" s="26" t="n">
        <f aca="false">N(O145)+N(P145)-N(Q145)</f>
        <v>0</v>
      </c>
      <c r="S145" s="37" t="n">
        <f aca="false">'Jul 2027'!V145</f>
        <v>0</v>
      </c>
      <c r="T145" s="37" t="n">
        <f aca="false">IF(B145="",0,N(Students!I134))</f>
        <v>0</v>
      </c>
      <c r="U145" s="23"/>
      <c r="V145" s="26" t="n">
        <f aca="false">N(S145)+N(T145)-N(U145)</f>
        <v>0</v>
      </c>
      <c r="W145" s="37" t="n">
        <f aca="false">'Jul 2027'!Z145</f>
        <v>0</v>
      </c>
      <c r="X145" s="37" t="n">
        <f aca="false">IF(B145="",0,N(Students!J134))</f>
        <v>0</v>
      </c>
      <c r="Y145" s="23"/>
      <c r="Z145" s="26" t="n">
        <f aca="false">N(W145)+N(X145)-N(Y145)</f>
        <v>0</v>
      </c>
      <c r="AA145" s="37" t="n">
        <f aca="false">N(E145)+N(I145)+N(M145)+N(Q145)+N(U145)+N(Y145)</f>
        <v>0</v>
      </c>
      <c r="AB145" s="26" t="n">
        <f aca="false">F145+J145+N145+R145+V145+Z145</f>
        <v>0</v>
      </c>
      <c r="AC145" s="83" t="str">
        <f aca="false">IF(B145="","",IF(AB145&lt;=0,"Clear",IF(AA145&gt;0,"Partial","Due")))</f>
        <v/>
      </c>
    </row>
    <row r="146" customFormat="false" ht="15" hidden="false" customHeight="false" outlineLevel="0" collapsed="false">
      <c r="A146" s="21" t="n">
        <v>131</v>
      </c>
      <c r="B146" s="46" t="str">
        <f aca="false">IF(Students!B135="","",Students!B135)</f>
        <v/>
      </c>
      <c r="C146" s="33" t="n">
        <f aca="false">'Jul 2027'!F146</f>
        <v>0</v>
      </c>
      <c r="D146" s="33" t="n">
        <f aca="false">IF(B146="",0,N(Students!E135))</f>
        <v>0</v>
      </c>
      <c r="E146" s="23"/>
      <c r="F146" s="24" t="n">
        <f aca="false">N(C146)+N(D146)-N(E146)</f>
        <v>0</v>
      </c>
      <c r="G146" s="33" t="n">
        <f aca="false">'Jul 2027'!J146</f>
        <v>0</v>
      </c>
      <c r="H146" s="33" t="n">
        <f aca="false">IF(B146="",0,N(Students!F135))</f>
        <v>0</v>
      </c>
      <c r="I146" s="23"/>
      <c r="J146" s="24" t="n">
        <f aca="false">N(G146)+N(H146)-N(I146)</f>
        <v>0</v>
      </c>
      <c r="K146" s="33" t="n">
        <f aca="false">'Jul 2027'!N146</f>
        <v>0</v>
      </c>
      <c r="L146" s="33" t="n">
        <f aca="false">IF(B146="",0,N(Students!G135))</f>
        <v>0</v>
      </c>
      <c r="M146" s="23"/>
      <c r="N146" s="24" t="n">
        <f aca="false">N(K146)+N(L146)-N(M146)</f>
        <v>0</v>
      </c>
      <c r="O146" s="33" t="n">
        <f aca="false">'Jul 2027'!R146</f>
        <v>0</v>
      </c>
      <c r="P146" s="33" t="n">
        <f aca="false">IF(B146="",0,N(Students!H135))</f>
        <v>0</v>
      </c>
      <c r="Q146" s="23"/>
      <c r="R146" s="24" t="n">
        <f aca="false">N(O146)+N(P146)-N(Q146)</f>
        <v>0</v>
      </c>
      <c r="S146" s="33" t="n">
        <f aca="false">'Jul 2027'!V146</f>
        <v>0</v>
      </c>
      <c r="T146" s="33" t="n">
        <f aca="false">IF(B146="",0,N(Students!I135))</f>
        <v>0</v>
      </c>
      <c r="U146" s="23"/>
      <c r="V146" s="24" t="n">
        <f aca="false">N(S146)+N(T146)-N(U146)</f>
        <v>0</v>
      </c>
      <c r="W146" s="33" t="n">
        <f aca="false">'Jul 2027'!Z146</f>
        <v>0</v>
      </c>
      <c r="X146" s="33" t="n">
        <f aca="false">IF(B146="",0,N(Students!J135))</f>
        <v>0</v>
      </c>
      <c r="Y146" s="23"/>
      <c r="Z146" s="24" t="n">
        <f aca="false">N(W146)+N(X146)-N(Y146)</f>
        <v>0</v>
      </c>
      <c r="AA146" s="33" t="n">
        <f aca="false">N(E146)+N(I146)+N(M146)+N(Q146)+N(U146)+N(Y146)</f>
        <v>0</v>
      </c>
      <c r="AB146" s="24" t="n">
        <f aca="false">F146+J146+N146+R146+V146+Z146</f>
        <v>0</v>
      </c>
      <c r="AC146" s="81" t="str">
        <f aca="false">IF(B146="","",IF(AB146&lt;=0,"Clear",IF(AA146&gt;0,"Partial","Due")))</f>
        <v/>
      </c>
    </row>
    <row r="147" customFormat="false" ht="15" hidden="false" customHeight="false" outlineLevel="0" collapsed="false">
      <c r="A147" s="25" t="n">
        <v>132</v>
      </c>
      <c r="B147" s="82" t="str">
        <f aca="false">IF(Students!B136="","",Students!B136)</f>
        <v/>
      </c>
      <c r="C147" s="37" t="n">
        <f aca="false">'Jul 2027'!F147</f>
        <v>0</v>
      </c>
      <c r="D147" s="37" t="n">
        <f aca="false">IF(B147="",0,N(Students!E136))</f>
        <v>0</v>
      </c>
      <c r="E147" s="23"/>
      <c r="F147" s="26" t="n">
        <f aca="false">N(C147)+N(D147)-N(E147)</f>
        <v>0</v>
      </c>
      <c r="G147" s="37" t="n">
        <f aca="false">'Jul 2027'!J147</f>
        <v>0</v>
      </c>
      <c r="H147" s="37" t="n">
        <f aca="false">IF(B147="",0,N(Students!F136))</f>
        <v>0</v>
      </c>
      <c r="I147" s="23"/>
      <c r="J147" s="26" t="n">
        <f aca="false">N(G147)+N(H147)-N(I147)</f>
        <v>0</v>
      </c>
      <c r="K147" s="37" t="n">
        <f aca="false">'Jul 2027'!N147</f>
        <v>0</v>
      </c>
      <c r="L147" s="37" t="n">
        <f aca="false">IF(B147="",0,N(Students!G136))</f>
        <v>0</v>
      </c>
      <c r="M147" s="23"/>
      <c r="N147" s="26" t="n">
        <f aca="false">N(K147)+N(L147)-N(M147)</f>
        <v>0</v>
      </c>
      <c r="O147" s="37" t="n">
        <f aca="false">'Jul 2027'!R147</f>
        <v>0</v>
      </c>
      <c r="P147" s="37" t="n">
        <f aca="false">IF(B147="",0,N(Students!H136))</f>
        <v>0</v>
      </c>
      <c r="Q147" s="23"/>
      <c r="R147" s="26" t="n">
        <f aca="false">N(O147)+N(P147)-N(Q147)</f>
        <v>0</v>
      </c>
      <c r="S147" s="37" t="n">
        <f aca="false">'Jul 2027'!V147</f>
        <v>0</v>
      </c>
      <c r="T147" s="37" t="n">
        <f aca="false">IF(B147="",0,N(Students!I136))</f>
        <v>0</v>
      </c>
      <c r="U147" s="23"/>
      <c r="V147" s="26" t="n">
        <f aca="false">N(S147)+N(T147)-N(U147)</f>
        <v>0</v>
      </c>
      <c r="W147" s="37" t="n">
        <f aca="false">'Jul 2027'!Z147</f>
        <v>0</v>
      </c>
      <c r="X147" s="37" t="n">
        <f aca="false">IF(B147="",0,N(Students!J136))</f>
        <v>0</v>
      </c>
      <c r="Y147" s="23"/>
      <c r="Z147" s="26" t="n">
        <f aca="false">N(W147)+N(X147)-N(Y147)</f>
        <v>0</v>
      </c>
      <c r="AA147" s="37" t="n">
        <f aca="false">N(E147)+N(I147)+N(M147)+N(Q147)+N(U147)+N(Y147)</f>
        <v>0</v>
      </c>
      <c r="AB147" s="26" t="n">
        <f aca="false">F147+J147+N147+R147+V147+Z147</f>
        <v>0</v>
      </c>
      <c r="AC147" s="83" t="str">
        <f aca="false">IF(B147="","",IF(AB147&lt;=0,"Clear",IF(AA147&gt;0,"Partial","Due")))</f>
        <v/>
      </c>
    </row>
    <row r="148" customFormat="false" ht="15" hidden="false" customHeight="false" outlineLevel="0" collapsed="false">
      <c r="A148" s="21" t="n">
        <v>133</v>
      </c>
      <c r="B148" s="46" t="str">
        <f aca="false">IF(Students!B137="","",Students!B137)</f>
        <v/>
      </c>
      <c r="C148" s="33" t="n">
        <f aca="false">'Jul 2027'!F148</f>
        <v>0</v>
      </c>
      <c r="D148" s="33" t="n">
        <f aca="false">IF(B148="",0,N(Students!E137))</f>
        <v>0</v>
      </c>
      <c r="E148" s="23"/>
      <c r="F148" s="24" t="n">
        <f aca="false">N(C148)+N(D148)-N(E148)</f>
        <v>0</v>
      </c>
      <c r="G148" s="33" t="n">
        <f aca="false">'Jul 2027'!J148</f>
        <v>0</v>
      </c>
      <c r="H148" s="33" t="n">
        <f aca="false">IF(B148="",0,N(Students!F137))</f>
        <v>0</v>
      </c>
      <c r="I148" s="23"/>
      <c r="J148" s="24" t="n">
        <f aca="false">N(G148)+N(H148)-N(I148)</f>
        <v>0</v>
      </c>
      <c r="K148" s="33" t="n">
        <f aca="false">'Jul 2027'!N148</f>
        <v>0</v>
      </c>
      <c r="L148" s="33" t="n">
        <f aca="false">IF(B148="",0,N(Students!G137))</f>
        <v>0</v>
      </c>
      <c r="M148" s="23"/>
      <c r="N148" s="24" t="n">
        <f aca="false">N(K148)+N(L148)-N(M148)</f>
        <v>0</v>
      </c>
      <c r="O148" s="33" t="n">
        <f aca="false">'Jul 2027'!R148</f>
        <v>0</v>
      </c>
      <c r="P148" s="33" t="n">
        <f aca="false">IF(B148="",0,N(Students!H137))</f>
        <v>0</v>
      </c>
      <c r="Q148" s="23"/>
      <c r="R148" s="24" t="n">
        <f aca="false">N(O148)+N(P148)-N(Q148)</f>
        <v>0</v>
      </c>
      <c r="S148" s="33" t="n">
        <f aca="false">'Jul 2027'!V148</f>
        <v>0</v>
      </c>
      <c r="T148" s="33" t="n">
        <f aca="false">IF(B148="",0,N(Students!I137))</f>
        <v>0</v>
      </c>
      <c r="U148" s="23"/>
      <c r="V148" s="24" t="n">
        <f aca="false">N(S148)+N(T148)-N(U148)</f>
        <v>0</v>
      </c>
      <c r="W148" s="33" t="n">
        <f aca="false">'Jul 2027'!Z148</f>
        <v>0</v>
      </c>
      <c r="X148" s="33" t="n">
        <f aca="false">IF(B148="",0,N(Students!J137))</f>
        <v>0</v>
      </c>
      <c r="Y148" s="23"/>
      <c r="Z148" s="24" t="n">
        <f aca="false">N(W148)+N(X148)-N(Y148)</f>
        <v>0</v>
      </c>
      <c r="AA148" s="33" t="n">
        <f aca="false">N(E148)+N(I148)+N(M148)+N(Q148)+N(U148)+N(Y148)</f>
        <v>0</v>
      </c>
      <c r="AB148" s="24" t="n">
        <f aca="false">F148+J148+N148+R148+V148+Z148</f>
        <v>0</v>
      </c>
      <c r="AC148" s="81" t="str">
        <f aca="false">IF(B148="","",IF(AB148&lt;=0,"Clear",IF(AA148&gt;0,"Partial","Due")))</f>
        <v/>
      </c>
    </row>
    <row r="149" customFormat="false" ht="15" hidden="false" customHeight="false" outlineLevel="0" collapsed="false">
      <c r="A149" s="25" t="n">
        <v>134</v>
      </c>
      <c r="B149" s="82" t="str">
        <f aca="false">IF(Students!B138="","",Students!B138)</f>
        <v/>
      </c>
      <c r="C149" s="37" t="n">
        <f aca="false">'Jul 2027'!F149</f>
        <v>0</v>
      </c>
      <c r="D149" s="37" t="n">
        <f aca="false">IF(B149="",0,N(Students!E138))</f>
        <v>0</v>
      </c>
      <c r="E149" s="23"/>
      <c r="F149" s="26" t="n">
        <f aca="false">N(C149)+N(D149)-N(E149)</f>
        <v>0</v>
      </c>
      <c r="G149" s="37" t="n">
        <f aca="false">'Jul 2027'!J149</f>
        <v>0</v>
      </c>
      <c r="H149" s="37" t="n">
        <f aca="false">IF(B149="",0,N(Students!F138))</f>
        <v>0</v>
      </c>
      <c r="I149" s="23"/>
      <c r="J149" s="26" t="n">
        <f aca="false">N(G149)+N(H149)-N(I149)</f>
        <v>0</v>
      </c>
      <c r="K149" s="37" t="n">
        <f aca="false">'Jul 2027'!N149</f>
        <v>0</v>
      </c>
      <c r="L149" s="37" t="n">
        <f aca="false">IF(B149="",0,N(Students!G138))</f>
        <v>0</v>
      </c>
      <c r="M149" s="23"/>
      <c r="N149" s="26" t="n">
        <f aca="false">N(K149)+N(L149)-N(M149)</f>
        <v>0</v>
      </c>
      <c r="O149" s="37" t="n">
        <f aca="false">'Jul 2027'!R149</f>
        <v>0</v>
      </c>
      <c r="P149" s="37" t="n">
        <f aca="false">IF(B149="",0,N(Students!H138))</f>
        <v>0</v>
      </c>
      <c r="Q149" s="23"/>
      <c r="R149" s="26" t="n">
        <f aca="false">N(O149)+N(P149)-N(Q149)</f>
        <v>0</v>
      </c>
      <c r="S149" s="37" t="n">
        <f aca="false">'Jul 2027'!V149</f>
        <v>0</v>
      </c>
      <c r="T149" s="37" t="n">
        <f aca="false">IF(B149="",0,N(Students!I138))</f>
        <v>0</v>
      </c>
      <c r="U149" s="23"/>
      <c r="V149" s="26" t="n">
        <f aca="false">N(S149)+N(T149)-N(U149)</f>
        <v>0</v>
      </c>
      <c r="W149" s="37" t="n">
        <f aca="false">'Jul 2027'!Z149</f>
        <v>0</v>
      </c>
      <c r="X149" s="37" t="n">
        <f aca="false">IF(B149="",0,N(Students!J138))</f>
        <v>0</v>
      </c>
      <c r="Y149" s="23"/>
      <c r="Z149" s="26" t="n">
        <f aca="false">N(W149)+N(X149)-N(Y149)</f>
        <v>0</v>
      </c>
      <c r="AA149" s="37" t="n">
        <f aca="false">N(E149)+N(I149)+N(M149)+N(Q149)+N(U149)+N(Y149)</f>
        <v>0</v>
      </c>
      <c r="AB149" s="26" t="n">
        <f aca="false">F149+J149+N149+R149+V149+Z149</f>
        <v>0</v>
      </c>
      <c r="AC149" s="83" t="str">
        <f aca="false">IF(B149="","",IF(AB149&lt;=0,"Clear",IF(AA149&gt;0,"Partial","Due")))</f>
        <v/>
      </c>
    </row>
    <row r="150" customFormat="false" ht="15" hidden="false" customHeight="false" outlineLevel="0" collapsed="false">
      <c r="A150" s="21" t="n">
        <v>135</v>
      </c>
      <c r="B150" s="46" t="str">
        <f aca="false">IF(Students!B139="","",Students!B139)</f>
        <v/>
      </c>
      <c r="C150" s="33" t="n">
        <f aca="false">'Jul 2027'!F150</f>
        <v>0</v>
      </c>
      <c r="D150" s="33" t="n">
        <f aca="false">IF(B150="",0,N(Students!E139))</f>
        <v>0</v>
      </c>
      <c r="E150" s="23"/>
      <c r="F150" s="24" t="n">
        <f aca="false">N(C150)+N(D150)-N(E150)</f>
        <v>0</v>
      </c>
      <c r="G150" s="33" t="n">
        <f aca="false">'Jul 2027'!J150</f>
        <v>0</v>
      </c>
      <c r="H150" s="33" t="n">
        <f aca="false">IF(B150="",0,N(Students!F139))</f>
        <v>0</v>
      </c>
      <c r="I150" s="23"/>
      <c r="J150" s="24" t="n">
        <f aca="false">N(G150)+N(H150)-N(I150)</f>
        <v>0</v>
      </c>
      <c r="K150" s="33" t="n">
        <f aca="false">'Jul 2027'!N150</f>
        <v>0</v>
      </c>
      <c r="L150" s="33" t="n">
        <f aca="false">IF(B150="",0,N(Students!G139))</f>
        <v>0</v>
      </c>
      <c r="M150" s="23"/>
      <c r="N150" s="24" t="n">
        <f aca="false">N(K150)+N(L150)-N(M150)</f>
        <v>0</v>
      </c>
      <c r="O150" s="33" t="n">
        <f aca="false">'Jul 2027'!R150</f>
        <v>0</v>
      </c>
      <c r="P150" s="33" t="n">
        <f aca="false">IF(B150="",0,N(Students!H139))</f>
        <v>0</v>
      </c>
      <c r="Q150" s="23"/>
      <c r="R150" s="24" t="n">
        <f aca="false">N(O150)+N(P150)-N(Q150)</f>
        <v>0</v>
      </c>
      <c r="S150" s="33" t="n">
        <f aca="false">'Jul 2027'!V150</f>
        <v>0</v>
      </c>
      <c r="T150" s="33" t="n">
        <f aca="false">IF(B150="",0,N(Students!I139))</f>
        <v>0</v>
      </c>
      <c r="U150" s="23"/>
      <c r="V150" s="24" t="n">
        <f aca="false">N(S150)+N(T150)-N(U150)</f>
        <v>0</v>
      </c>
      <c r="W150" s="33" t="n">
        <f aca="false">'Jul 2027'!Z150</f>
        <v>0</v>
      </c>
      <c r="X150" s="33" t="n">
        <f aca="false">IF(B150="",0,N(Students!J139))</f>
        <v>0</v>
      </c>
      <c r="Y150" s="23"/>
      <c r="Z150" s="24" t="n">
        <f aca="false">N(W150)+N(X150)-N(Y150)</f>
        <v>0</v>
      </c>
      <c r="AA150" s="33" t="n">
        <f aca="false">N(E150)+N(I150)+N(M150)+N(Q150)+N(U150)+N(Y150)</f>
        <v>0</v>
      </c>
      <c r="AB150" s="24" t="n">
        <f aca="false">F150+J150+N150+R150+V150+Z150</f>
        <v>0</v>
      </c>
      <c r="AC150" s="81" t="str">
        <f aca="false">IF(B150="","",IF(AB150&lt;=0,"Clear",IF(AA150&gt;0,"Partial","Due")))</f>
        <v/>
      </c>
    </row>
    <row r="151" customFormat="false" ht="15" hidden="false" customHeight="false" outlineLevel="0" collapsed="false">
      <c r="A151" s="25" t="n">
        <v>136</v>
      </c>
      <c r="B151" s="82" t="str">
        <f aca="false">IF(Students!B140="","",Students!B140)</f>
        <v/>
      </c>
      <c r="C151" s="37" t="n">
        <f aca="false">'Jul 2027'!F151</f>
        <v>0</v>
      </c>
      <c r="D151" s="37" t="n">
        <f aca="false">IF(B151="",0,N(Students!E140))</f>
        <v>0</v>
      </c>
      <c r="E151" s="23"/>
      <c r="F151" s="26" t="n">
        <f aca="false">N(C151)+N(D151)-N(E151)</f>
        <v>0</v>
      </c>
      <c r="G151" s="37" t="n">
        <f aca="false">'Jul 2027'!J151</f>
        <v>0</v>
      </c>
      <c r="H151" s="37" t="n">
        <f aca="false">IF(B151="",0,N(Students!F140))</f>
        <v>0</v>
      </c>
      <c r="I151" s="23"/>
      <c r="J151" s="26" t="n">
        <f aca="false">N(G151)+N(H151)-N(I151)</f>
        <v>0</v>
      </c>
      <c r="K151" s="37" t="n">
        <f aca="false">'Jul 2027'!N151</f>
        <v>0</v>
      </c>
      <c r="L151" s="37" t="n">
        <f aca="false">IF(B151="",0,N(Students!G140))</f>
        <v>0</v>
      </c>
      <c r="M151" s="23"/>
      <c r="N151" s="26" t="n">
        <f aca="false">N(K151)+N(L151)-N(M151)</f>
        <v>0</v>
      </c>
      <c r="O151" s="37" t="n">
        <f aca="false">'Jul 2027'!R151</f>
        <v>0</v>
      </c>
      <c r="P151" s="37" t="n">
        <f aca="false">IF(B151="",0,N(Students!H140))</f>
        <v>0</v>
      </c>
      <c r="Q151" s="23"/>
      <c r="R151" s="26" t="n">
        <f aca="false">N(O151)+N(P151)-N(Q151)</f>
        <v>0</v>
      </c>
      <c r="S151" s="37" t="n">
        <f aca="false">'Jul 2027'!V151</f>
        <v>0</v>
      </c>
      <c r="T151" s="37" t="n">
        <f aca="false">IF(B151="",0,N(Students!I140))</f>
        <v>0</v>
      </c>
      <c r="U151" s="23"/>
      <c r="V151" s="26" t="n">
        <f aca="false">N(S151)+N(T151)-N(U151)</f>
        <v>0</v>
      </c>
      <c r="W151" s="37" t="n">
        <f aca="false">'Jul 2027'!Z151</f>
        <v>0</v>
      </c>
      <c r="X151" s="37" t="n">
        <f aca="false">IF(B151="",0,N(Students!J140))</f>
        <v>0</v>
      </c>
      <c r="Y151" s="23"/>
      <c r="Z151" s="26" t="n">
        <f aca="false">N(W151)+N(X151)-N(Y151)</f>
        <v>0</v>
      </c>
      <c r="AA151" s="37" t="n">
        <f aca="false">N(E151)+N(I151)+N(M151)+N(Q151)+N(U151)+N(Y151)</f>
        <v>0</v>
      </c>
      <c r="AB151" s="26" t="n">
        <f aca="false">F151+J151+N151+R151+V151+Z151</f>
        <v>0</v>
      </c>
      <c r="AC151" s="83" t="str">
        <f aca="false">IF(B151="","",IF(AB151&lt;=0,"Clear",IF(AA151&gt;0,"Partial","Due")))</f>
        <v/>
      </c>
    </row>
    <row r="152" customFormat="false" ht="15" hidden="false" customHeight="false" outlineLevel="0" collapsed="false">
      <c r="A152" s="21" t="n">
        <v>137</v>
      </c>
      <c r="B152" s="46" t="str">
        <f aca="false">IF(Students!B141="","",Students!B141)</f>
        <v/>
      </c>
      <c r="C152" s="33" t="n">
        <f aca="false">'Jul 2027'!F152</f>
        <v>0</v>
      </c>
      <c r="D152" s="33" t="n">
        <f aca="false">IF(B152="",0,N(Students!E141))</f>
        <v>0</v>
      </c>
      <c r="E152" s="23"/>
      <c r="F152" s="24" t="n">
        <f aca="false">N(C152)+N(D152)-N(E152)</f>
        <v>0</v>
      </c>
      <c r="G152" s="33" t="n">
        <f aca="false">'Jul 2027'!J152</f>
        <v>0</v>
      </c>
      <c r="H152" s="33" t="n">
        <f aca="false">IF(B152="",0,N(Students!F141))</f>
        <v>0</v>
      </c>
      <c r="I152" s="23"/>
      <c r="J152" s="24" t="n">
        <f aca="false">N(G152)+N(H152)-N(I152)</f>
        <v>0</v>
      </c>
      <c r="K152" s="33" t="n">
        <f aca="false">'Jul 2027'!N152</f>
        <v>0</v>
      </c>
      <c r="L152" s="33" t="n">
        <f aca="false">IF(B152="",0,N(Students!G141))</f>
        <v>0</v>
      </c>
      <c r="M152" s="23"/>
      <c r="N152" s="24" t="n">
        <f aca="false">N(K152)+N(L152)-N(M152)</f>
        <v>0</v>
      </c>
      <c r="O152" s="33" t="n">
        <f aca="false">'Jul 2027'!R152</f>
        <v>0</v>
      </c>
      <c r="P152" s="33" t="n">
        <f aca="false">IF(B152="",0,N(Students!H141))</f>
        <v>0</v>
      </c>
      <c r="Q152" s="23"/>
      <c r="R152" s="24" t="n">
        <f aca="false">N(O152)+N(P152)-N(Q152)</f>
        <v>0</v>
      </c>
      <c r="S152" s="33" t="n">
        <f aca="false">'Jul 2027'!V152</f>
        <v>0</v>
      </c>
      <c r="T152" s="33" t="n">
        <f aca="false">IF(B152="",0,N(Students!I141))</f>
        <v>0</v>
      </c>
      <c r="U152" s="23"/>
      <c r="V152" s="24" t="n">
        <f aca="false">N(S152)+N(T152)-N(U152)</f>
        <v>0</v>
      </c>
      <c r="W152" s="33" t="n">
        <f aca="false">'Jul 2027'!Z152</f>
        <v>0</v>
      </c>
      <c r="X152" s="33" t="n">
        <f aca="false">IF(B152="",0,N(Students!J141))</f>
        <v>0</v>
      </c>
      <c r="Y152" s="23"/>
      <c r="Z152" s="24" t="n">
        <f aca="false">N(W152)+N(X152)-N(Y152)</f>
        <v>0</v>
      </c>
      <c r="AA152" s="33" t="n">
        <f aca="false">N(E152)+N(I152)+N(M152)+N(Q152)+N(U152)+N(Y152)</f>
        <v>0</v>
      </c>
      <c r="AB152" s="24" t="n">
        <f aca="false">F152+J152+N152+R152+V152+Z152</f>
        <v>0</v>
      </c>
      <c r="AC152" s="81" t="str">
        <f aca="false">IF(B152="","",IF(AB152&lt;=0,"Clear",IF(AA152&gt;0,"Partial","Due")))</f>
        <v/>
      </c>
    </row>
    <row r="153" customFormat="false" ht="15" hidden="false" customHeight="false" outlineLevel="0" collapsed="false">
      <c r="A153" s="25" t="n">
        <v>138</v>
      </c>
      <c r="B153" s="82" t="str">
        <f aca="false">IF(Students!B142="","",Students!B142)</f>
        <v/>
      </c>
      <c r="C153" s="37" t="n">
        <f aca="false">'Jul 2027'!F153</f>
        <v>0</v>
      </c>
      <c r="D153" s="37" t="n">
        <f aca="false">IF(B153="",0,N(Students!E142))</f>
        <v>0</v>
      </c>
      <c r="E153" s="23"/>
      <c r="F153" s="26" t="n">
        <f aca="false">N(C153)+N(D153)-N(E153)</f>
        <v>0</v>
      </c>
      <c r="G153" s="37" t="n">
        <f aca="false">'Jul 2027'!J153</f>
        <v>0</v>
      </c>
      <c r="H153" s="37" t="n">
        <f aca="false">IF(B153="",0,N(Students!F142))</f>
        <v>0</v>
      </c>
      <c r="I153" s="23"/>
      <c r="J153" s="26" t="n">
        <f aca="false">N(G153)+N(H153)-N(I153)</f>
        <v>0</v>
      </c>
      <c r="K153" s="37" t="n">
        <f aca="false">'Jul 2027'!N153</f>
        <v>0</v>
      </c>
      <c r="L153" s="37" t="n">
        <f aca="false">IF(B153="",0,N(Students!G142))</f>
        <v>0</v>
      </c>
      <c r="M153" s="23"/>
      <c r="N153" s="26" t="n">
        <f aca="false">N(K153)+N(L153)-N(M153)</f>
        <v>0</v>
      </c>
      <c r="O153" s="37" t="n">
        <f aca="false">'Jul 2027'!R153</f>
        <v>0</v>
      </c>
      <c r="P153" s="37" t="n">
        <f aca="false">IF(B153="",0,N(Students!H142))</f>
        <v>0</v>
      </c>
      <c r="Q153" s="23"/>
      <c r="R153" s="26" t="n">
        <f aca="false">N(O153)+N(P153)-N(Q153)</f>
        <v>0</v>
      </c>
      <c r="S153" s="37" t="n">
        <f aca="false">'Jul 2027'!V153</f>
        <v>0</v>
      </c>
      <c r="T153" s="37" t="n">
        <f aca="false">IF(B153="",0,N(Students!I142))</f>
        <v>0</v>
      </c>
      <c r="U153" s="23"/>
      <c r="V153" s="26" t="n">
        <f aca="false">N(S153)+N(T153)-N(U153)</f>
        <v>0</v>
      </c>
      <c r="W153" s="37" t="n">
        <f aca="false">'Jul 2027'!Z153</f>
        <v>0</v>
      </c>
      <c r="X153" s="37" t="n">
        <f aca="false">IF(B153="",0,N(Students!J142))</f>
        <v>0</v>
      </c>
      <c r="Y153" s="23"/>
      <c r="Z153" s="26" t="n">
        <f aca="false">N(W153)+N(X153)-N(Y153)</f>
        <v>0</v>
      </c>
      <c r="AA153" s="37" t="n">
        <f aca="false">N(E153)+N(I153)+N(M153)+N(Q153)+N(U153)+N(Y153)</f>
        <v>0</v>
      </c>
      <c r="AB153" s="26" t="n">
        <f aca="false">F153+J153+N153+R153+V153+Z153</f>
        <v>0</v>
      </c>
      <c r="AC153" s="83" t="str">
        <f aca="false">IF(B153="","",IF(AB153&lt;=0,"Clear",IF(AA153&gt;0,"Partial","Due")))</f>
        <v/>
      </c>
    </row>
    <row r="154" customFormat="false" ht="15" hidden="false" customHeight="false" outlineLevel="0" collapsed="false">
      <c r="A154" s="21" t="n">
        <v>139</v>
      </c>
      <c r="B154" s="46" t="str">
        <f aca="false">IF(Students!B143="","",Students!B143)</f>
        <v/>
      </c>
      <c r="C154" s="33" t="n">
        <f aca="false">'Jul 2027'!F154</f>
        <v>0</v>
      </c>
      <c r="D154" s="33" t="n">
        <f aca="false">IF(B154="",0,N(Students!E143))</f>
        <v>0</v>
      </c>
      <c r="E154" s="23"/>
      <c r="F154" s="24" t="n">
        <f aca="false">N(C154)+N(D154)-N(E154)</f>
        <v>0</v>
      </c>
      <c r="G154" s="33" t="n">
        <f aca="false">'Jul 2027'!J154</f>
        <v>0</v>
      </c>
      <c r="H154" s="33" t="n">
        <f aca="false">IF(B154="",0,N(Students!F143))</f>
        <v>0</v>
      </c>
      <c r="I154" s="23"/>
      <c r="J154" s="24" t="n">
        <f aca="false">N(G154)+N(H154)-N(I154)</f>
        <v>0</v>
      </c>
      <c r="K154" s="33" t="n">
        <f aca="false">'Jul 2027'!N154</f>
        <v>0</v>
      </c>
      <c r="L154" s="33" t="n">
        <f aca="false">IF(B154="",0,N(Students!G143))</f>
        <v>0</v>
      </c>
      <c r="M154" s="23"/>
      <c r="N154" s="24" t="n">
        <f aca="false">N(K154)+N(L154)-N(M154)</f>
        <v>0</v>
      </c>
      <c r="O154" s="33" t="n">
        <f aca="false">'Jul 2027'!R154</f>
        <v>0</v>
      </c>
      <c r="P154" s="33" t="n">
        <f aca="false">IF(B154="",0,N(Students!H143))</f>
        <v>0</v>
      </c>
      <c r="Q154" s="23"/>
      <c r="R154" s="24" t="n">
        <f aca="false">N(O154)+N(P154)-N(Q154)</f>
        <v>0</v>
      </c>
      <c r="S154" s="33" t="n">
        <f aca="false">'Jul 2027'!V154</f>
        <v>0</v>
      </c>
      <c r="T154" s="33" t="n">
        <f aca="false">IF(B154="",0,N(Students!I143))</f>
        <v>0</v>
      </c>
      <c r="U154" s="23"/>
      <c r="V154" s="24" t="n">
        <f aca="false">N(S154)+N(T154)-N(U154)</f>
        <v>0</v>
      </c>
      <c r="W154" s="33" t="n">
        <f aca="false">'Jul 2027'!Z154</f>
        <v>0</v>
      </c>
      <c r="X154" s="33" t="n">
        <f aca="false">IF(B154="",0,N(Students!J143))</f>
        <v>0</v>
      </c>
      <c r="Y154" s="23"/>
      <c r="Z154" s="24" t="n">
        <f aca="false">N(W154)+N(X154)-N(Y154)</f>
        <v>0</v>
      </c>
      <c r="AA154" s="33" t="n">
        <f aca="false">N(E154)+N(I154)+N(M154)+N(Q154)+N(U154)+N(Y154)</f>
        <v>0</v>
      </c>
      <c r="AB154" s="24" t="n">
        <f aca="false">F154+J154+N154+R154+V154+Z154</f>
        <v>0</v>
      </c>
      <c r="AC154" s="81" t="str">
        <f aca="false">IF(B154="","",IF(AB154&lt;=0,"Clear",IF(AA154&gt;0,"Partial","Due")))</f>
        <v/>
      </c>
    </row>
    <row r="155" customFormat="false" ht="15" hidden="false" customHeight="false" outlineLevel="0" collapsed="false">
      <c r="A155" s="25" t="n">
        <v>140</v>
      </c>
      <c r="B155" s="82" t="str">
        <f aca="false">IF(Students!B144="","",Students!B144)</f>
        <v/>
      </c>
      <c r="C155" s="37" t="n">
        <f aca="false">'Jul 2027'!F155</f>
        <v>0</v>
      </c>
      <c r="D155" s="37" t="n">
        <f aca="false">IF(B155="",0,N(Students!E144))</f>
        <v>0</v>
      </c>
      <c r="E155" s="23"/>
      <c r="F155" s="26" t="n">
        <f aca="false">N(C155)+N(D155)-N(E155)</f>
        <v>0</v>
      </c>
      <c r="G155" s="37" t="n">
        <f aca="false">'Jul 2027'!J155</f>
        <v>0</v>
      </c>
      <c r="H155" s="37" t="n">
        <f aca="false">IF(B155="",0,N(Students!F144))</f>
        <v>0</v>
      </c>
      <c r="I155" s="23"/>
      <c r="J155" s="26" t="n">
        <f aca="false">N(G155)+N(H155)-N(I155)</f>
        <v>0</v>
      </c>
      <c r="K155" s="37" t="n">
        <f aca="false">'Jul 2027'!N155</f>
        <v>0</v>
      </c>
      <c r="L155" s="37" t="n">
        <f aca="false">IF(B155="",0,N(Students!G144))</f>
        <v>0</v>
      </c>
      <c r="M155" s="23"/>
      <c r="N155" s="26" t="n">
        <f aca="false">N(K155)+N(L155)-N(M155)</f>
        <v>0</v>
      </c>
      <c r="O155" s="37" t="n">
        <f aca="false">'Jul 2027'!R155</f>
        <v>0</v>
      </c>
      <c r="P155" s="37" t="n">
        <f aca="false">IF(B155="",0,N(Students!H144))</f>
        <v>0</v>
      </c>
      <c r="Q155" s="23"/>
      <c r="R155" s="26" t="n">
        <f aca="false">N(O155)+N(P155)-N(Q155)</f>
        <v>0</v>
      </c>
      <c r="S155" s="37" t="n">
        <f aca="false">'Jul 2027'!V155</f>
        <v>0</v>
      </c>
      <c r="T155" s="37" t="n">
        <f aca="false">IF(B155="",0,N(Students!I144))</f>
        <v>0</v>
      </c>
      <c r="U155" s="23"/>
      <c r="V155" s="26" t="n">
        <f aca="false">N(S155)+N(T155)-N(U155)</f>
        <v>0</v>
      </c>
      <c r="W155" s="37" t="n">
        <f aca="false">'Jul 2027'!Z155</f>
        <v>0</v>
      </c>
      <c r="X155" s="37" t="n">
        <f aca="false">IF(B155="",0,N(Students!J144))</f>
        <v>0</v>
      </c>
      <c r="Y155" s="23"/>
      <c r="Z155" s="26" t="n">
        <f aca="false">N(W155)+N(X155)-N(Y155)</f>
        <v>0</v>
      </c>
      <c r="AA155" s="37" t="n">
        <f aca="false">N(E155)+N(I155)+N(M155)+N(Q155)+N(U155)+N(Y155)</f>
        <v>0</v>
      </c>
      <c r="AB155" s="26" t="n">
        <f aca="false">F155+J155+N155+R155+V155+Z155</f>
        <v>0</v>
      </c>
      <c r="AC155" s="83" t="str">
        <f aca="false">IF(B155="","",IF(AB155&lt;=0,"Clear",IF(AA155&gt;0,"Partial","Due")))</f>
        <v/>
      </c>
    </row>
    <row r="156" customFormat="false" ht="15" hidden="false" customHeight="false" outlineLevel="0" collapsed="false">
      <c r="A156" s="21" t="n">
        <v>141</v>
      </c>
      <c r="B156" s="46" t="str">
        <f aca="false">IF(Students!B145="","",Students!B145)</f>
        <v/>
      </c>
      <c r="C156" s="33" t="n">
        <f aca="false">'Jul 2027'!F156</f>
        <v>0</v>
      </c>
      <c r="D156" s="33" t="n">
        <f aca="false">IF(B156="",0,N(Students!E145))</f>
        <v>0</v>
      </c>
      <c r="E156" s="23"/>
      <c r="F156" s="24" t="n">
        <f aca="false">N(C156)+N(D156)-N(E156)</f>
        <v>0</v>
      </c>
      <c r="G156" s="33" t="n">
        <f aca="false">'Jul 2027'!J156</f>
        <v>0</v>
      </c>
      <c r="H156" s="33" t="n">
        <f aca="false">IF(B156="",0,N(Students!F145))</f>
        <v>0</v>
      </c>
      <c r="I156" s="23"/>
      <c r="J156" s="24" t="n">
        <f aca="false">N(G156)+N(H156)-N(I156)</f>
        <v>0</v>
      </c>
      <c r="K156" s="33" t="n">
        <f aca="false">'Jul 2027'!N156</f>
        <v>0</v>
      </c>
      <c r="L156" s="33" t="n">
        <f aca="false">IF(B156="",0,N(Students!G145))</f>
        <v>0</v>
      </c>
      <c r="M156" s="23"/>
      <c r="N156" s="24" t="n">
        <f aca="false">N(K156)+N(L156)-N(M156)</f>
        <v>0</v>
      </c>
      <c r="O156" s="33" t="n">
        <f aca="false">'Jul 2027'!R156</f>
        <v>0</v>
      </c>
      <c r="P156" s="33" t="n">
        <f aca="false">IF(B156="",0,N(Students!H145))</f>
        <v>0</v>
      </c>
      <c r="Q156" s="23"/>
      <c r="R156" s="24" t="n">
        <f aca="false">N(O156)+N(P156)-N(Q156)</f>
        <v>0</v>
      </c>
      <c r="S156" s="33" t="n">
        <f aca="false">'Jul 2027'!V156</f>
        <v>0</v>
      </c>
      <c r="T156" s="33" t="n">
        <f aca="false">IF(B156="",0,N(Students!I145))</f>
        <v>0</v>
      </c>
      <c r="U156" s="23"/>
      <c r="V156" s="24" t="n">
        <f aca="false">N(S156)+N(T156)-N(U156)</f>
        <v>0</v>
      </c>
      <c r="W156" s="33" t="n">
        <f aca="false">'Jul 2027'!Z156</f>
        <v>0</v>
      </c>
      <c r="X156" s="33" t="n">
        <f aca="false">IF(B156="",0,N(Students!J145))</f>
        <v>0</v>
      </c>
      <c r="Y156" s="23"/>
      <c r="Z156" s="24" t="n">
        <f aca="false">N(W156)+N(X156)-N(Y156)</f>
        <v>0</v>
      </c>
      <c r="AA156" s="33" t="n">
        <f aca="false">N(E156)+N(I156)+N(M156)+N(Q156)+N(U156)+N(Y156)</f>
        <v>0</v>
      </c>
      <c r="AB156" s="24" t="n">
        <f aca="false">F156+J156+N156+R156+V156+Z156</f>
        <v>0</v>
      </c>
      <c r="AC156" s="81" t="str">
        <f aca="false">IF(B156="","",IF(AB156&lt;=0,"Clear",IF(AA156&gt;0,"Partial","Due")))</f>
        <v/>
      </c>
    </row>
    <row r="157" customFormat="false" ht="15" hidden="false" customHeight="false" outlineLevel="0" collapsed="false">
      <c r="A157" s="25" t="n">
        <v>142</v>
      </c>
      <c r="B157" s="82" t="str">
        <f aca="false">IF(Students!B146="","",Students!B146)</f>
        <v/>
      </c>
      <c r="C157" s="37" t="n">
        <f aca="false">'Jul 2027'!F157</f>
        <v>0</v>
      </c>
      <c r="D157" s="37" t="n">
        <f aca="false">IF(B157="",0,N(Students!E146))</f>
        <v>0</v>
      </c>
      <c r="E157" s="23"/>
      <c r="F157" s="26" t="n">
        <f aca="false">N(C157)+N(D157)-N(E157)</f>
        <v>0</v>
      </c>
      <c r="G157" s="37" t="n">
        <f aca="false">'Jul 2027'!J157</f>
        <v>0</v>
      </c>
      <c r="H157" s="37" t="n">
        <f aca="false">IF(B157="",0,N(Students!F146))</f>
        <v>0</v>
      </c>
      <c r="I157" s="23"/>
      <c r="J157" s="26" t="n">
        <f aca="false">N(G157)+N(H157)-N(I157)</f>
        <v>0</v>
      </c>
      <c r="K157" s="37" t="n">
        <f aca="false">'Jul 2027'!N157</f>
        <v>0</v>
      </c>
      <c r="L157" s="37" t="n">
        <f aca="false">IF(B157="",0,N(Students!G146))</f>
        <v>0</v>
      </c>
      <c r="M157" s="23"/>
      <c r="N157" s="26" t="n">
        <f aca="false">N(K157)+N(L157)-N(M157)</f>
        <v>0</v>
      </c>
      <c r="O157" s="37" t="n">
        <f aca="false">'Jul 2027'!R157</f>
        <v>0</v>
      </c>
      <c r="P157" s="37" t="n">
        <f aca="false">IF(B157="",0,N(Students!H146))</f>
        <v>0</v>
      </c>
      <c r="Q157" s="23"/>
      <c r="R157" s="26" t="n">
        <f aca="false">N(O157)+N(P157)-N(Q157)</f>
        <v>0</v>
      </c>
      <c r="S157" s="37" t="n">
        <f aca="false">'Jul 2027'!V157</f>
        <v>0</v>
      </c>
      <c r="T157" s="37" t="n">
        <f aca="false">IF(B157="",0,N(Students!I146))</f>
        <v>0</v>
      </c>
      <c r="U157" s="23"/>
      <c r="V157" s="26" t="n">
        <f aca="false">N(S157)+N(T157)-N(U157)</f>
        <v>0</v>
      </c>
      <c r="W157" s="37" t="n">
        <f aca="false">'Jul 2027'!Z157</f>
        <v>0</v>
      </c>
      <c r="X157" s="37" t="n">
        <f aca="false">IF(B157="",0,N(Students!J146))</f>
        <v>0</v>
      </c>
      <c r="Y157" s="23"/>
      <c r="Z157" s="26" t="n">
        <f aca="false">N(W157)+N(X157)-N(Y157)</f>
        <v>0</v>
      </c>
      <c r="AA157" s="37" t="n">
        <f aca="false">N(E157)+N(I157)+N(M157)+N(Q157)+N(U157)+N(Y157)</f>
        <v>0</v>
      </c>
      <c r="AB157" s="26" t="n">
        <f aca="false">F157+J157+N157+R157+V157+Z157</f>
        <v>0</v>
      </c>
      <c r="AC157" s="83" t="str">
        <f aca="false">IF(B157="","",IF(AB157&lt;=0,"Clear",IF(AA157&gt;0,"Partial","Due")))</f>
        <v/>
      </c>
    </row>
    <row r="158" customFormat="false" ht="15" hidden="false" customHeight="false" outlineLevel="0" collapsed="false">
      <c r="A158" s="21" t="n">
        <v>143</v>
      </c>
      <c r="B158" s="46" t="str">
        <f aca="false">IF(Students!B147="","",Students!B147)</f>
        <v/>
      </c>
      <c r="C158" s="33" t="n">
        <f aca="false">'Jul 2027'!F158</f>
        <v>0</v>
      </c>
      <c r="D158" s="33" t="n">
        <f aca="false">IF(B158="",0,N(Students!E147))</f>
        <v>0</v>
      </c>
      <c r="E158" s="23"/>
      <c r="F158" s="24" t="n">
        <f aca="false">N(C158)+N(D158)-N(E158)</f>
        <v>0</v>
      </c>
      <c r="G158" s="33" t="n">
        <f aca="false">'Jul 2027'!J158</f>
        <v>0</v>
      </c>
      <c r="H158" s="33" t="n">
        <f aca="false">IF(B158="",0,N(Students!F147))</f>
        <v>0</v>
      </c>
      <c r="I158" s="23"/>
      <c r="J158" s="24" t="n">
        <f aca="false">N(G158)+N(H158)-N(I158)</f>
        <v>0</v>
      </c>
      <c r="K158" s="33" t="n">
        <f aca="false">'Jul 2027'!N158</f>
        <v>0</v>
      </c>
      <c r="L158" s="33" t="n">
        <f aca="false">IF(B158="",0,N(Students!G147))</f>
        <v>0</v>
      </c>
      <c r="M158" s="23"/>
      <c r="N158" s="24" t="n">
        <f aca="false">N(K158)+N(L158)-N(M158)</f>
        <v>0</v>
      </c>
      <c r="O158" s="33" t="n">
        <f aca="false">'Jul 2027'!R158</f>
        <v>0</v>
      </c>
      <c r="P158" s="33" t="n">
        <f aca="false">IF(B158="",0,N(Students!H147))</f>
        <v>0</v>
      </c>
      <c r="Q158" s="23"/>
      <c r="R158" s="24" t="n">
        <f aca="false">N(O158)+N(P158)-N(Q158)</f>
        <v>0</v>
      </c>
      <c r="S158" s="33" t="n">
        <f aca="false">'Jul 2027'!V158</f>
        <v>0</v>
      </c>
      <c r="T158" s="33" t="n">
        <f aca="false">IF(B158="",0,N(Students!I147))</f>
        <v>0</v>
      </c>
      <c r="U158" s="23"/>
      <c r="V158" s="24" t="n">
        <f aca="false">N(S158)+N(T158)-N(U158)</f>
        <v>0</v>
      </c>
      <c r="W158" s="33" t="n">
        <f aca="false">'Jul 2027'!Z158</f>
        <v>0</v>
      </c>
      <c r="X158" s="33" t="n">
        <f aca="false">IF(B158="",0,N(Students!J147))</f>
        <v>0</v>
      </c>
      <c r="Y158" s="23"/>
      <c r="Z158" s="24" t="n">
        <f aca="false">N(W158)+N(X158)-N(Y158)</f>
        <v>0</v>
      </c>
      <c r="AA158" s="33" t="n">
        <f aca="false">N(E158)+N(I158)+N(M158)+N(Q158)+N(U158)+N(Y158)</f>
        <v>0</v>
      </c>
      <c r="AB158" s="24" t="n">
        <f aca="false">F158+J158+N158+R158+V158+Z158</f>
        <v>0</v>
      </c>
      <c r="AC158" s="81" t="str">
        <f aca="false">IF(B158="","",IF(AB158&lt;=0,"Clear",IF(AA158&gt;0,"Partial","Due")))</f>
        <v/>
      </c>
    </row>
    <row r="159" customFormat="false" ht="15" hidden="false" customHeight="false" outlineLevel="0" collapsed="false">
      <c r="A159" s="25" t="n">
        <v>144</v>
      </c>
      <c r="B159" s="82" t="str">
        <f aca="false">IF(Students!B148="","",Students!B148)</f>
        <v/>
      </c>
      <c r="C159" s="37" t="n">
        <f aca="false">'Jul 2027'!F159</f>
        <v>0</v>
      </c>
      <c r="D159" s="37" t="n">
        <f aca="false">IF(B159="",0,N(Students!E148))</f>
        <v>0</v>
      </c>
      <c r="E159" s="23"/>
      <c r="F159" s="26" t="n">
        <f aca="false">N(C159)+N(D159)-N(E159)</f>
        <v>0</v>
      </c>
      <c r="G159" s="37" t="n">
        <f aca="false">'Jul 2027'!J159</f>
        <v>0</v>
      </c>
      <c r="H159" s="37" t="n">
        <f aca="false">IF(B159="",0,N(Students!F148))</f>
        <v>0</v>
      </c>
      <c r="I159" s="23"/>
      <c r="J159" s="26" t="n">
        <f aca="false">N(G159)+N(H159)-N(I159)</f>
        <v>0</v>
      </c>
      <c r="K159" s="37" t="n">
        <f aca="false">'Jul 2027'!N159</f>
        <v>0</v>
      </c>
      <c r="L159" s="37" t="n">
        <f aca="false">IF(B159="",0,N(Students!G148))</f>
        <v>0</v>
      </c>
      <c r="M159" s="23"/>
      <c r="N159" s="26" t="n">
        <f aca="false">N(K159)+N(L159)-N(M159)</f>
        <v>0</v>
      </c>
      <c r="O159" s="37" t="n">
        <f aca="false">'Jul 2027'!R159</f>
        <v>0</v>
      </c>
      <c r="P159" s="37" t="n">
        <f aca="false">IF(B159="",0,N(Students!H148))</f>
        <v>0</v>
      </c>
      <c r="Q159" s="23"/>
      <c r="R159" s="26" t="n">
        <f aca="false">N(O159)+N(P159)-N(Q159)</f>
        <v>0</v>
      </c>
      <c r="S159" s="37" t="n">
        <f aca="false">'Jul 2027'!V159</f>
        <v>0</v>
      </c>
      <c r="T159" s="37" t="n">
        <f aca="false">IF(B159="",0,N(Students!I148))</f>
        <v>0</v>
      </c>
      <c r="U159" s="23"/>
      <c r="V159" s="26" t="n">
        <f aca="false">N(S159)+N(T159)-N(U159)</f>
        <v>0</v>
      </c>
      <c r="W159" s="37" t="n">
        <f aca="false">'Jul 2027'!Z159</f>
        <v>0</v>
      </c>
      <c r="X159" s="37" t="n">
        <f aca="false">IF(B159="",0,N(Students!J148))</f>
        <v>0</v>
      </c>
      <c r="Y159" s="23"/>
      <c r="Z159" s="26" t="n">
        <f aca="false">N(W159)+N(X159)-N(Y159)</f>
        <v>0</v>
      </c>
      <c r="AA159" s="37" t="n">
        <f aca="false">N(E159)+N(I159)+N(M159)+N(Q159)+N(U159)+N(Y159)</f>
        <v>0</v>
      </c>
      <c r="AB159" s="26" t="n">
        <f aca="false">F159+J159+N159+R159+V159+Z159</f>
        <v>0</v>
      </c>
      <c r="AC159" s="83" t="str">
        <f aca="false">IF(B159="","",IF(AB159&lt;=0,"Clear",IF(AA159&gt;0,"Partial","Due")))</f>
        <v/>
      </c>
    </row>
    <row r="160" customFormat="false" ht="15" hidden="false" customHeight="false" outlineLevel="0" collapsed="false">
      <c r="A160" s="21" t="n">
        <v>145</v>
      </c>
      <c r="B160" s="46" t="str">
        <f aca="false">IF(Students!B149="","",Students!B149)</f>
        <v/>
      </c>
      <c r="C160" s="33" t="n">
        <f aca="false">'Jul 2027'!F160</f>
        <v>0</v>
      </c>
      <c r="D160" s="33" t="n">
        <f aca="false">IF(B160="",0,N(Students!E149))</f>
        <v>0</v>
      </c>
      <c r="E160" s="23"/>
      <c r="F160" s="24" t="n">
        <f aca="false">N(C160)+N(D160)-N(E160)</f>
        <v>0</v>
      </c>
      <c r="G160" s="33" t="n">
        <f aca="false">'Jul 2027'!J160</f>
        <v>0</v>
      </c>
      <c r="H160" s="33" t="n">
        <f aca="false">IF(B160="",0,N(Students!F149))</f>
        <v>0</v>
      </c>
      <c r="I160" s="23"/>
      <c r="J160" s="24" t="n">
        <f aca="false">N(G160)+N(H160)-N(I160)</f>
        <v>0</v>
      </c>
      <c r="K160" s="33" t="n">
        <f aca="false">'Jul 2027'!N160</f>
        <v>0</v>
      </c>
      <c r="L160" s="33" t="n">
        <f aca="false">IF(B160="",0,N(Students!G149))</f>
        <v>0</v>
      </c>
      <c r="M160" s="23"/>
      <c r="N160" s="24" t="n">
        <f aca="false">N(K160)+N(L160)-N(M160)</f>
        <v>0</v>
      </c>
      <c r="O160" s="33" t="n">
        <f aca="false">'Jul 2027'!R160</f>
        <v>0</v>
      </c>
      <c r="P160" s="33" t="n">
        <f aca="false">IF(B160="",0,N(Students!H149))</f>
        <v>0</v>
      </c>
      <c r="Q160" s="23"/>
      <c r="R160" s="24" t="n">
        <f aca="false">N(O160)+N(P160)-N(Q160)</f>
        <v>0</v>
      </c>
      <c r="S160" s="33" t="n">
        <f aca="false">'Jul 2027'!V160</f>
        <v>0</v>
      </c>
      <c r="T160" s="33" t="n">
        <f aca="false">IF(B160="",0,N(Students!I149))</f>
        <v>0</v>
      </c>
      <c r="U160" s="23"/>
      <c r="V160" s="24" t="n">
        <f aca="false">N(S160)+N(T160)-N(U160)</f>
        <v>0</v>
      </c>
      <c r="W160" s="33" t="n">
        <f aca="false">'Jul 2027'!Z160</f>
        <v>0</v>
      </c>
      <c r="X160" s="33" t="n">
        <f aca="false">IF(B160="",0,N(Students!J149))</f>
        <v>0</v>
      </c>
      <c r="Y160" s="23"/>
      <c r="Z160" s="24" t="n">
        <f aca="false">N(W160)+N(X160)-N(Y160)</f>
        <v>0</v>
      </c>
      <c r="AA160" s="33" t="n">
        <f aca="false">N(E160)+N(I160)+N(M160)+N(Q160)+N(U160)+N(Y160)</f>
        <v>0</v>
      </c>
      <c r="AB160" s="24" t="n">
        <f aca="false">F160+J160+N160+R160+V160+Z160</f>
        <v>0</v>
      </c>
      <c r="AC160" s="81" t="str">
        <f aca="false">IF(B160="","",IF(AB160&lt;=0,"Clear",IF(AA160&gt;0,"Partial","Due")))</f>
        <v/>
      </c>
    </row>
    <row r="161" customFormat="false" ht="15" hidden="false" customHeight="false" outlineLevel="0" collapsed="false">
      <c r="A161" s="25" t="n">
        <v>146</v>
      </c>
      <c r="B161" s="82" t="str">
        <f aca="false">IF(Students!B150="","",Students!B150)</f>
        <v/>
      </c>
      <c r="C161" s="37" t="n">
        <f aca="false">'Jul 2027'!F161</f>
        <v>0</v>
      </c>
      <c r="D161" s="37" t="n">
        <f aca="false">IF(B161="",0,N(Students!E150))</f>
        <v>0</v>
      </c>
      <c r="E161" s="23"/>
      <c r="F161" s="26" t="n">
        <f aca="false">N(C161)+N(D161)-N(E161)</f>
        <v>0</v>
      </c>
      <c r="G161" s="37" t="n">
        <f aca="false">'Jul 2027'!J161</f>
        <v>0</v>
      </c>
      <c r="H161" s="37" t="n">
        <f aca="false">IF(B161="",0,N(Students!F150))</f>
        <v>0</v>
      </c>
      <c r="I161" s="23"/>
      <c r="J161" s="26" t="n">
        <f aca="false">N(G161)+N(H161)-N(I161)</f>
        <v>0</v>
      </c>
      <c r="K161" s="37" t="n">
        <f aca="false">'Jul 2027'!N161</f>
        <v>0</v>
      </c>
      <c r="L161" s="37" t="n">
        <f aca="false">IF(B161="",0,N(Students!G150))</f>
        <v>0</v>
      </c>
      <c r="M161" s="23"/>
      <c r="N161" s="26" t="n">
        <f aca="false">N(K161)+N(L161)-N(M161)</f>
        <v>0</v>
      </c>
      <c r="O161" s="37" t="n">
        <f aca="false">'Jul 2027'!R161</f>
        <v>0</v>
      </c>
      <c r="P161" s="37" t="n">
        <f aca="false">IF(B161="",0,N(Students!H150))</f>
        <v>0</v>
      </c>
      <c r="Q161" s="23"/>
      <c r="R161" s="26" t="n">
        <f aca="false">N(O161)+N(P161)-N(Q161)</f>
        <v>0</v>
      </c>
      <c r="S161" s="37" t="n">
        <f aca="false">'Jul 2027'!V161</f>
        <v>0</v>
      </c>
      <c r="T161" s="37" t="n">
        <f aca="false">IF(B161="",0,N(Students!I150))</f>
        <v>0</v>
      </c>
      <c r="U161" s="23"/>
      <c r="V161" s="26" t="n">
        <f aca="false">N(S161)+N(T161)-N(U161)</f>
        <v>0</v>
      </c>
      <c r="W161" s="37" t="n">
        <f aca="false">'Jul 2027'!Z161</f>
        <v>0</v>
      </c>
      <c r="X161" s="37" t="n">
        <f aca="false">IF(B161="",0,N(Students!J150))</f>
        <v>0</v>
      </c>
      <c r="Y161" s="23"/>
      <c r="Z161" s="26" t="n">
        <f aca="false">N(W161)+N(X161)-N(Y161)</f>
        <v>0</v>
      </c>
      <c r="AA161" s="37" t="n">
        <f aca="false">N(E161)+N(I161)+N(M161)+N(Q161)+N(U161)+N(Y161)</f>
        <v>0</v>
      </c>
      <c r="AB161" s="26" t="n">
        <f aca="false">F161+J161+N161+R161+V161+Z161</f>
        <v>0</v>
      </c>
      <c r="AC161" s="83" t="str">
        <f aca="false">IF(B161="","",IF(AB161&lt;=0,"Clear",IF(AA161&gt;0,"Partial","Due")))</f>
        <v/>
      </c>
    </row>
    <row r="162" customFormat="false" ht="15" hidden="false" customHeight="false" outlineLevel="0" collapsed="false">
      <c r="A162" s="21" t="n">
        <v>147</v>
      </c>
      <c r="B162" s="46" t="str">
        <f aca="false">IF(Students!B151="","",Students!B151)</f>
        <v/>
      </c>
      <c r="C162" s="33" t="n">
        <f aca="false">'Jul 2027'!F162</f>
        <v>0</v>
      </c>
      <c r="D162" s="33" t="n">
        <f aca="false">IF(B162="",0,N(Students!E151))</f>
        <v>0</v>
      </c>
      <c r="E162" s="23"/>
      <c r="F162" s="24" t="n">
        <f aca="false">N(C162)+N(D162)-N(E162)</f>
        <v>0</v>
      </c>
      <c r="G162" s="33" t="n">
        <f aca="false">'Jul 2027'!J162</f>
        <v>0</v>
      </c>
      <c r="H162" s="33" t="n">
        <f aca="false">IF(B162="",0,N(Students!F151))</f>
        <v>0</v>
      </c>
      <c r="I162" s="23"/>
      <c r="J162" s="24" t="n">
        <f aca="false">N(G162)+N(H162)-N(I162)</f>
        <v>0</v>
      </c>
      <c r="K162" s="33" t="n">
        <f aca="false">'Jul 2027'!N162</f>
        <v>0</v>
      </c>
      <c r="L162" s="33" t="n">
        <f aca="false">IF(B162="",0,N(Students!G151))</f>
        <v>0</v>
      </c>
      <c r="M162" s="23"/>
      <c r="N162" s="24" t="n">
        <f aca="false">N(K162)+N(L162)-N(M162)</f>
        <v>0</v>
      </c>
      <c r="O162" s="33" t="n">
        <f aca="false">'Jul 2027'!R162</f>
        <v>0</v>
      </c>
      <c r="P162" s="33" t="n">
        <f aca="false">IF(B162="",0,N(Students!H151))</f>
        <v>0</v>
      </c>
      <c r="Q162" s="23"/>
      <c r="R162" s="24" t="n">
        <f aca="false">N(O162)+N(P162)-N(Q162)</f>
        <v>0</v>
      </c>
      <c r="S162" s="33" t="n">
        <f aca="false">'Jul 2027'!V162</f>
        <v>0</v>
      </c>
      <c r="T162" s="33" t="n">
        <f aca="false">IF(B162="",0,N(Students!I151))</f>
        <v>0</v>
      </c>
      <c r="U162" s="23"/>
      <c r="V162" s="24" t="n">
        <f aca="false">N(S162)+N(T162)-N(U162)</f>
        <v>0</v>
      </c>
      <c r="W162" s="33" t="n">
        <f aca="false">'Jul 2027'!Z162</f>
        <v>0</v>
      </c>
      <c r="X162" s="33" t="n">
        <f aca="false">IF(B162="",0,N(Students!J151))</f>
        <v>0</v>
      </c>
      <c r="Y162" s="23"/>
      <c r="Z162" s="24" t="n">
        <f aca="false">N(W162)+N(X162)-N(Y162)</f>
        <v>0</v>
      </c>
      <c r="AA162" s="33" t="n">
        <f aca="false">N(E162)+N(I162)+N(M162)+N(Q162)+N(U162)+N(Y162)</f>
        <v>0</v>
      </c>
      <c r="AB162" s="24" t="n">
        <f aca="false">F162+J162+N162+R162+V162+Z162</f>
        <v>0</v>
      </c>
      <c r="AC162" s="81" t="str">
        <f aca="false">IF(B162="","",IF(AB162&lt;=0,"Clear",IF(AA162&gt;0,"Partial","Due")))</f>
        <v/>
      </c>
    </row>
    <row r="163" customFormat="false" ht="15" hidden="false" customHeight="false" outlineLevel="0" collapsed="false">
      <c r="A163" s="25" t="n">
        <v>148</v>
      </c>
      <c r="B163" s="82" t="str">
        <f aca="false">IF(Students!B152="","",Students!B152)</f>
        <v/>
      </c>
      <c r="C163" s="37" t="n">
        <f aca="false">'Jul 2027'!F163</f>
        <v>0</v>
      </c>
      <c r="D163" s="37" t="n">
        <f aca="false">IF(B163="",0,N(Students!E152))</f>
        <v>0</v>
      </c>
      <c r="E163" s="23"/>
      <c r="F163" s="26" t="n">
        <f aca="false">N(C163)+N(D163)-N(E163)</f>
        <v>0</v>
      </c>
      <c r="G163" s="37" t="n">
        <f aca="false">'Jul 2027'!J163</f>
        <v>0</v>
      </c>
      <c r="H163" s="37" t="n">
        <f aca="false">IF(B163="",0,N(Students!F152))</f>
        <v>0</v>
      </c>
      <c r="I163" s="23"/>
      <c r="J163" s="26" t="n">
        <f aca="false">N(G163)+N(H163)-N(I163)</f>
        <v>0</v>
      </c>
      <c r="K163" s="37" t="n">
        <f aca="false">'Jul 2027'!N163</f>
        <v>0</v>
      </c>
      <c r="L163" s="37" t="n">
        <f aca="false">IF(B163="",0,N(Students!G152))</f>
        <v>0</v>
      </c>
      <c r="M163" s="23"/>
      <c r="N163" s="26" t="n">
        <f aca="false">N(K163)+N(L163)-N(M163)</f>
        <v>0</v>
      </c>
      <c r="O163" s="37" t="n">
        <f aca="false">'Jul 2027'!R163</f>
        <v>0</v>
      </c>
      <c r="P163" s="37" t="n">
        <f aca="false">IF(B163="",0,N(Students!H152))</f>
        <v>0</v>
      </c>
      <c r="Q163" s="23"/>
      <c r="R163" s="26" t="n">
        <f aca="false">N(O163)+N(P163)-N(Q163)</f>
        <v>0</v>
      </c>
      <c r="S163" s="37" t="n">
        <f aca="false">'Jul 2027'!V163</f>
        <v>0</v>
      </c>
      <c r="T163" s="37" t="n">
        <f aca="false">IF(B163="",0,N(Students!I152))</f>
        <v>0</v>
      </c>
      <c r="U163" s="23"/>
      <c r="V163" s="26" t="n">
        <f aca="false">N(S163)+N(T163)-N(U163)</f>
        <v>0</v>
      </c>
      <c r="W163" s="37" t="n">
        <f aca="false">'Jul 2027'!Z163</f>
        <v>0</v>
      </c>
      <c r="X163" s="37" t="n">
        <f aca="false">IF(B163="",0,N(Students!J152))</f>
        <v>0</v>
      </c>
      <c r="Y163" s="23"/>
      <c r="Z163" s="26" t="n">
        <f aca="false">N(W163)+N(X163)-N(Y163)</f>
        <v>0</v>
      </c>
      <c r="AA163" s="37" t="n">
        <f aca="false">N(E163)+N(I163)+N(M163)+N(Q163)+N(U163)+N(Y163)</f>
        <v>0</v>
      </c>
      <c r="AB163" s="26" t="n">
        <f aca="false">F163+J163+N163+R163+V163+Z163</f>
        <v>0</v>
      </c>
      <c r="AC163" s="83" t="str">
        <f aca="false">IF(B163="","",IF(AB163&lt;=0,"Clear",IF(AA163&gt;0,"Partial","Due")))</f>
        <v/>
      </c>
    </row>
    <row r="164" customFormat="false" ht="15" hidden="false" customHeight="false" outlineLevel="0" collapsed="false">
      <c r="A164" s="21" t="n">
        <v>149</v>
      </c>
      <c r="B164" s="46" t="str">
        <f aca="false">IF(Students!B153="","",Students!B153)</f>
        <v/>
      </c>
      <c r="C164" s="33" t="n">
        <f aca="false">'Jul 2027'!F164</f>
        <v>0</v>
      </c>
      <c r="D164" s="33" t="n">
        <f aca="false">IF(B164="",0,N(Students!E153))</f>
        <v>0</v>
      </c>
      <c r="E164" s="23"/>
      <c r="F164" s="24" t="n">
        <f aca="false">N(C164)+N(D164)-N(E164)</f>
        <v>0</v>
      </c>
      <c r="G164" s="33" t="n">
        <f aca="false">'Jul 2027'!J164</f>
        <v>0</v>
      </c>
      <c r="H164" s="33" t="n">
        <f aca="false">IF(B164="",0,N(Students!F153))</f>
        <v>0</v>
      </c>
      <c r="I164" s="23"/>
      <c r="J164" s="24" t="n">
        <f aca="false">N(G164)+N(H164)-N(I164)</f>
        <v>0</v>
      </c>
      <c r="K164" s="33" t="n">
        <f aca="false">'Jul 2027'!N164</f>
        <v>0</v>
      </c>
      <c r="L164" s="33" t="n">
        <f aca="false">IF(B164="",0,N(Students!G153))</f>
        <v>0</v>
      </c>
      <c r="M164" s="23"/>
      <c r="N164" s="24" t="n">
        <f aca="false">N(K164)+N(L164)-N(M164)</f>
        <v>0</v>
      </c>
      <c r="O164" s="33" t="n">
        <f aca="false">'Jul 2027'!R164</f>
        <v>0</v>
      </c>
      <c r="P164" s="33" t="n">
        <f aca="false">IF(B164="",0,N(Students!H153))</f>
        <v>0</v>
      </c>
      <c r="Q164" s="23"/>
      <c r="R164" s="24" t="n">
        <f aca="false">N(O164)+N(P164)-N(Q164)</f>
        <v>0</v>
      </c>
      <c r="S164" s="33" t="n">
        <f aca="false">'Jul 2027'!V164</f>
        <v>0</v>
      </c>
      <c r="T164" s="33" t="n">
        <f aca="false">IF(B164="",0,N(Students!I153))</f>
        <v>0</v>
      </c>
      <c r="U164" s="23"/>
      <c r="V164" s="24" t="n">
        <f aca="false">N(S164)+N(T164)-N(U164)</f>
        <v>0</v>
      </c>
      <c r="W164" s="33" t="n">
        <f aca="false">'Jul 2027'!Z164</f>
        <v>0</v>
      </c>
      <c r="X164" s="33" t="n">
        <f aca="false">IF(B164="",0,N(Students!J153))</f>
        <v>0</v>
      </c>
      <c r="Y164" s="23"/>
      <c r="Z164" s="24" t="n">
        <f aca="false">N(W164)+N(X164)-N(Y164)</f>
        <v>0</v>
      </c>
      <c r="AA164" s="33" t="n">
        <f aca="false">N(E164)+N(I164)+N(M164)+N(Q164)+N(U164)+N(Y164)</f>
        <v>0</v>
      </c>
      <c r="AB164" s="24" t="n">
        <f aca="false">F164+J164+N164+R164+V164+Z164</f>
        <v>0</v>
      </c>
      <c r="AC164" s="81" t="str">
        <f aca="false">IF(B164="","",IF(AB164&lt;=0,"Clear",IF(AA164&gt;0,"Partial","Due")))</f>
        <v/>
      </c>
    </row>
    <row r="165" customFormat="false" ht="15" hidden="false" customHeight="false" outlineLevel="0" collapsed="false">
      <c r="A165" s="25" t="n">
        <v>150</v>
      </c>
      <c r="B165" s="82" t="str">
        <f aca="false">IF(Students!B154="","",Students!B154)</f>
        <v/>
      </c>
      <c r="C165" s="37" t="n">
        <f aca="false">'Jul 2027'!F165</f>
        <v>0</v>
      </c>
      <c r="D165" s="37" t="n">
        <f aca="false">IF(B165="",0,N(Students!E154))</f>
        <v>0</v>
      </c>
      <c r="E165" s="23"/>
      <c r="F165" s="26" t="n">
        <f aca="false">N(C165)+N(D165)-N(E165)</f>
        <v>0</v>
      </c>
      <c r="G165" s="37" t="n">
        <f aca="false">'Jul 2027'!J165</f>
        <v>0</v>
      </c>
      <c r="H165" s="37" t="n">
        <f aca="false">IF(B165="",0,N(Students!F154))</f>
        <v>0</v>
      </c>
      <c r="I165" s="23"/>
      <c r="J165" s="26" t="n">
        <f aca="false">N(G165)+N(H165)-N(I165)</f>
        <v>0</v>
      </c>
      <c r="K165" s="37" t="n">
        <f aca="false">'Jul 2027'!N165</f>
        <v>0</v>
      </c>
      <c r="L165" s="37" t="n">
        <f aca="false">IF(B165="",0,N(Students!G154))</f>
        <v>0</v>
      </c>
      <c r="M165" s="23"/>
      <c r="N165" s="26" t="n">
        <f aca="false">N(K165)+N(L165)-N(M165)</f>
        <v>0</v>
      </c>
      <c r="O165" s="37" t="n">
        <f aca="false">'Jul 2027'!R165</f>
        <v>0</v>
      </c>
      <c r="P165" s="37" t="n">
        <f aca="false">IF(B165="",0,N(Students!H154))</f>
        <v>0</v>
      </c>
      <c r="Q165" s="23"/>
      <c r="R165" s="26" t="n">
        <f aca="false">N(O165)+N(P165)-N(Q165)</f>
        <v>0</v>
      </c>
      <c r="S165" s="37" t="n">
        <f aca="false">'Jul 2027'!V165</f>
        <v>0</v>
      </c>
      <c r="T165" s="37" t="n">
        <f aca="false">IF(B165="",0,N(Students!I154))</f>
        <v>0</v>
      </c>
      <c r="U165" s="23"/>
      <c r="V165" s="26" t="n">
        <f aca="false">N(S165)+N(T165)-N(U165)</f>
        <v>0</v>
      </c>
      <c r="W165" s="37" t="n">
        <f aca="false">'Jul 2027'!Z165</f>
        <v>0</v>
      </c>
      <c r="X165" s="37" t="n">
        <f aca="false">IF(B165="",0,N(Students!J154))</f>
        <v>0</v>
      </c>
      <c r="Y165" s="23"/>
      <c r="Z165" s="26" t="n">
        <f aca="false">N(W165)+N(X165)-N(Y165)</f>
        <v>0</v>
      </c>
      <c r="AA165" s="37" t="n">
        <f aca="false">N(E165)+N(I165)+N(M165)+N(Q165)+N(U165)+N(Y165)</f>
        <v>0</v>
      </c>
      <c r="AB165" s="26" t="n">
        <f aca="false">F165+J165+N165+R165+V165+Z165</f>
        <v>0</v>
      </c>
      <c r="AC165" s="83" t="str">
        <f aca="false">IF(B165="","",IF(AB165&lt;=0,"Clear",IF(AA165&gt;0,"Partial","Due")))</f>
        <v/>
      </c>
    </row>
    <row r="166" customFormat="false" ht="15" hidden="false" customHeight="true" outlineLevel="0" collapsed="false">
      <c r="A166" s="4" t="s">
        <v>79</v>
      </c>
      <c r="B166" s="4"/>
      <c r="C166" s="41" t="n">
        <f aca="false">SUM(C16:C165)</f>
        <v>0</v>
      </c>
      <c r="D166" s="41" t="n">
        <f aca="false">SUM(D16:D165)</f>
        <v>0</v>
      </c>
      <c r="E166" s="41" t="n">
        <f aca="false">SUM(E16:E165)</f>
        <v>0</v>
      </c>
      <c r="F166" s="41" t="n">
        <f aca="false">SUM(F16:F165)</f>
        <v>0</v>
      </c>
      <c r="G166" s="41" t="n">
        <f aca="false">SUM(G16:G165)</f>
        <v>18000</v>
      </c>
      <c r="H166" s="41" t="n">
        <f aca="false">SUM(H16:H165)</f>
        <v>2000</v>
      </c>
      <c r="I166" s="41" t="n">
        <f aca="false">SUM(I16:I165)</f>
        <v>0</v>
      </c>
      <c r="J166" s="41" t="n">
        <f aca="false">SUM(J16:J165)</f>
        <v>20000</v>
      </c>
      <c r="K166" s="41" t="n">
        <f aca="false">SUM(K16:K165)</f>
        <v>0</v>
      </c>
      <c r="L166" s="41" t="n">
        <f aca="false">SUM(L16:L165)</f>
        <v>0</v>
      </c>
      <c r="M166" s="41" t="n">
        <f aca="false">SUM(M16:M165)</f>
        <v>0</v>
      </c>
      <c r="N166" s="41" t="n">
        <f aca="false">SUM(N16:N165)</f>
        <v>0</v>
      </c>
      <c r="O166" s="41" t="n">
        <f aca="false">SUM(O16:O165)</f>
        <v>14000</v>
      </c>
      <c r="P166" s="41" t="n">
        <f aca="false">SUM(P16:P165)</f>
        <v>1500</v>
      </c>
      <c r="Q166" s="41" t="n">
        <f aca="false">SUM(Q16:Q165)</f>
        <v>0</v>
      </c>
      <c r="R166" s="41" t="n">
        <f aca="false">SUM(R16:R165)</f>
        <v>15500</v>
      </c>
      <c r="S166" s="41" t="n">
        <f aca="false">SUM(S16:S165)</f>
        <v>0</v>
      </c>
      <c r="T166" s="41" t="n">
        <f aca="false">SUM(T16:T165)</f>
        <v>0</v>
      </c>
      <c r="U166" s="41" t="n">
        <f aca="false">SUM(U16:U165)</f>
        <v>0</v>
      </c>
      <c r="V166" s="41" t="n">
        <f aca="false">SUM(V16:V165)</f>
        <v>0</v>
      </c>
      <c r="W166" s="41" t="n">
        <f aca="false">SUM(W16:W165)</f>
        <v>0</v>
      </c>
      <c r="X166" s="41" t="n">
        <f aca="false">SUM(X16:X165)</f>
        <v>0</v>
      </c>
      <c r="Y166" s="41" t="n">
        <f aca="false">SUM(Y16:Y165)</f>
        <v>0</v>
      </c>
      <c r="Z166" s="41" t="n">
        <f aca="false">SUM(Z16:Z165)</f>
        <v>0</v>
      </c>
      <c r="AA166" s="41" t="n">
        <f aca="false">SUM(AA16:AA165)</f>
        <v>0</v>
      </c>
      <c r="AB166" s="41" t="n">
        <f aca="false">SUM(AB16:AB165)</f>
        <v>35500</v>
      </c>
      <c r="AC166" s="43"/>
    </row>
  </sheetData>
  <mergeCells count="34">
    <mergeCell ref="A1:AC1"/>
    <mergeCell ref="A2:AC2"/>
    <mergeCell ref="B4:I4"/>
    <mergeCell ref="K4:N4"/>
    <mergeCell ref="C5:D5"/>
    <mergeCell ref="K5:M5"/>
    <mergeCell ref="P5:R5"/>
    <mergeCell ref="T5:V5"/>
    <mergeCell ref="X5:Z5"/>
    <mergeCell ref="C6:D6"/>
    <mergeCell ref="K6:M6"/>
    <mergeCell ref="P6:R7"/>
    <mergeCell ref="T6:V7"/>
    <mergeCell ref="X6:Z7"/>
    <mergeCell ref="C7:D7"/>
    <mergeCell ref="K7:M7"/>
    <mergeCell ref="C8:D8"/>
    <mergeCell ref="K8:M8"/>
    <mergeCell ref="C9:D9"/>
    <mergeCell ref="P9:Z9"/>
    <mergeCell ref="C10:D10"/>
    <mergeCell ref="K10:M10"/>
    <mergeCell ref="C11:D11"/>
    <mergeCell ref="K11:N11"/>
    <mergeCell ref="C12:D12"/>
    <mergeCell ref="A14:B14"/>
    <mergeCell ref="C14:F14"/>
    <mergeCell ref="G14:J14"/>
    <mergeCell ref="K14:N14"/>
    <mergeCell ref="O14:R14"/>
    <mergeCell ref="S14:V14"/>
    <mergeCell ref="W14:Z14"/>
    <mergeCell ref="AA14:AC14"/>
    <mergeCell ref="A166:B166"/>
  </mergeCells>
  <conditionalFormatting sqref="AC16:AC165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F16:F165 J16:J165 N16:N165 R16:R165 V16:V165 Z16:Z165 AB16:AB165">
    <cfRule type="cellIs" priority="5" operator="greaterThan" aboveAverage="0" equalAverage="0" bottom="0" percent="0" rank="0" text="" dxfId="0">
      <formula>0</formula>
    </cfRule>
  </conditionalFormatting>
  <conditionalFormatting sqref="N10"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AC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29" min="5" style="0" width="11.5"/>
  </cols>
  <sheetData>
    <row r="1" customFormat="false" ht="31.5" hidden="false" customHeight="true" outlineLevel="0" collapsed="false">
      <c r="A1" s="54" t="str">
        <f aca="false">UPPER(Setup!B3)</f>
        <v>FUTURE TALENT ACADEMY JAMSHORO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customFormat="false" ht="21.75" hidden="false" customHeight="true" outlineLevel="0" collapsed="false">
      <c r="A2" s="55" t="s">
        <v>113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4" customFormat="false" ht="15" hidden="false" customHeight="true" outlineLevel="0" collapsed="false">
      <c r="B4" s="4" t="s">
        <v>82</v>
      </c>
      <c r="C4" s="4"/>
      <c r="D4" s="4"/>
      <c r="E4" s="4"/>
      <c r="F4" s="4"/>
      <c r="G4" s="4"/>
      <c r="H4" s="4"/>
      <c r="I4" s="4"/>
      <c r="K4" s="28" t="s">
        <v>83</v>
      </c>
      <c r="L4" s="28"/>
      <c r="M4" s="28"/>
      <c r="N4" s="28"/>
    </row>
    <row r="5" customFormat="false" ht="22.35" hidden="false" customHeight="true" outlineLevel="0" collapsed="false">
      <c r="B5" s="56" t="s">
        <v>76</v>
      </c>
      <c r="C5" s="56" t="s">
        <v>77</v>
      </c>
      <c r="D5" s="56"/>
      <c r="E5" s="56" t="s">
        <v>84</v>
      </c>
      <c r="F5" s="56" t="s">
        <v>85</v>
      </c>
      <c r="G5" s="56" t="s">
        <v>5</v>
      </c>
      <c r="H5" s="56" t="s">
        <v>6</v>
      </c>
      <c r="I5" s="56" t="s">
        <v>86</v>
      </c>
      <c r="K5" s="57" t="s">
        <v>87</v>
      </c>
      <c r="L5" s="57"/>
      <c r="M5" s="57"/>
      <c r="N5" s="58" t="n">
        <f aca="false">H12</f>
        <v>0</v>
      </c>
      <c r="P5" s="59" t="s">
        <v>88</v>
      </c>
      <c r="Q5" s="59"/>
      <c r="R5" s="59"/>
      <c r="T5" s="60" t="s">
        <v>89</v>
      </c>
      <c r="U5" s="60"/>
      <c r="V5" s="60"/>
      <c r="X5" s="61" t="s">
        <v>90</v>
      </c>
      <c r="Y5" s="61"/>
      <c r="Z5" s="61"/>
    </row>
    <row r="6" customFormat="false" ht="15" hidden="false" customHeight="true" outlineLevel="0" collapsed="false">
      <c r="B6" s="62" t="str">
        <f aca="false">Setup!A6</f>
        <v>English</v>
      </c>
      <c r="C6" s="63" t="str">
        <f aca="false">Setup!B6</f>
        <v>Sir Sajjad Ali Birhmani</v>
      </c>
      <c r="D6" s="63"/>
      <c r="E6" s="64" t="n">
        <f aca="false">D166</f>
        <v>0</v>
      </c>
      <c r="F6" s="58" t="n">
        <f aca="false">E166</f>
        <v>0</v>
      </c>
      <c r="G6" s="65" t="n">
        <f aca="false">F6*Setup!C6</f>
        <v>0</v>
      </c>
      <c r="H6" s="66" t="n">
        <f aca="false">F6-G6</f>
        <v>0</v>
      </c>
      <c r="I6" s="67" t="n">
        <f aca="false">F166</f>
        <v>0</v>
      </c>
      <c r="K6" s="57" t="s">
        <v>91</v>
      </c>
      <c r="L6" s="57"/>
      <c r="M6" s="57"/>
      <c r="N6" s="65" t="n">
        <f aca="false">SUMIFS(Administration!$G$5:$G$304,Administration!$C$5:$C$304,"Sep 2027",Administration!$D$5:$D$304,"Other Income")</f>
        <v>0</v>
      </c>
      <c r="P6" s="68" t="n">
        <f aca="false">F12</f>
        <v>0</v>
      </c>
      <c r="Q6" s="68"/>
      <c r="R6" s="68"/>
      <c r="T6" s="69" t="n">
        <f aca="false">G12</f>
        <v>0</v>
      </c>
      <c r="U6" s="69"/>
      <c r="V6" s="69"/>
      <c r="X6" s="70" t="n">
        <f aca="false">I12</f>
        <v>39000</v>
      </c>
      <c r="Y6" s="70"/>
      <c r="Z6" s="70"/>
    </row>
    <row r="7" customFormat="false" ht="15" hidden="false" customHeight="true" outlineLevel="0" collapsed="false">
      <c r="B7" s="71" t="str">
        <f aca="false">Setup!A7</f>
        <v>Computer</v>
      </c>
      <c r="C7" s="63" t="str">
        <f aca="false">Setup!B7</f>
        <v>Sir Nazeer Ahmed Jamali</v>
      </c>
      <c r="D7" s="63"/>
      <c r="E7" s="64" t="n">
        <f aca="false">H166</f>
        <v>2000</v>
      </c>
      <c r="F7" s="58" t="n">
        <f aca="false">I166</f>
        <v>0</v>
      </c>
      <c r="G7" s="65" t="n">
        <f aca="false">F7*Setup!C7</f>
        <v>0</v>
      </c>
      <c r="H7" s="66" t="n">
        <f aca="false">F7-G7</f>
        <v>0</v>
      </c>
      <c r="I7" s="67" t="n">
        <f aca="false">J166</f>
        <v>22000</v>
      </c>
      <c r="K7" s="57" t="s">
        <v>92</v>
      </c>
      <c r="L7" s="57"/>
      <c r="M7" s="57"/>
      <c r="N7" s="72" t="n">
        <f aca="false">SUMIFS(Administration!$G$5:$G$304,Administration!$C$5:$C$304,"Sep 2027",Administration!$D$5:$D$304,"Expense")</f>
        <v>0</v>
      </c>
      <c r="P7" s="68"/>
      <c r="Q7" s="68"/>
      <c r="R7" s="68"/>
      <c r="T7" s="69"/>
      <c r="U7" s="69"/>
      <c r="V7" s="69"/>
      <c r="X7" s="70"/>
      <c r="Y7" s="70"/>
      <c r="Z7" s="70"/>
    </row>
    <row r="8" customFormat="false" ht="15" hidden="false" customHeight="true" outlineLevel="0" collapsed="false">
      <c r="B8" s="73" t="str">
        <f aca="false">Setup!A8</f>
        <v>Biology</v>
      </c>
      <c r="C8" s="63" t="str">
        <f aca="false">Setup!B8</f>
        <v>Sir Azhar Ali Chandio</v>
      </c>
      <c r="D8" s="63"/>
      <c r="E8" s="64" t="n">
        <f aca="false">L166</f>
        <v>0</v>
      </c>
      <c r="F8" s="58" t="n">
        <f aca="false">M166</f>
        <v>0</v>
      </c>
      <c r="G8" s="65" t="n">
        <f aca="false">F8*Setup!C8</f>
        <v>0</v>
      </c>
      <c r="H8" s="66" t="n">
        <f aca="false">F8-G8</f>
        <v>0</v>
      </c>
      <c r="I8" s="67" t="n">
        <f aca="false">N166</f>
        <v>0</v>
      </c>
      <c r="K8" s="57" t="s">
        <v>93</v>
      </c>
      <c r="L8" s="57"/>
      <c r="M8" s="57"/>
      <c r="N8" s="72" t="n">
        <f aca="false">SUMIFS(Administration!$G$5:$G$304,Administration!$C$5:$C$304,"Sep 2027",Administration!$D$5:$D$304,"Investment")</f>
        <v>0</v>
      </c>
    </row>
    <row r="9" customFormat="false" ht="15" hidden="false" customHeight="false" outlineLevel="0" collapsed="false">
      <c r="B9" s="74" t="str">
        <f aca="false">Setup!A9</f>
        <v>Math</v>
      </c>
      <c r="C9" s="63" t="str">
        <f aca="false">Setup!B9</f>
        <v>Sir M. Faheem</v>
      </c>
      <c r="D9" s="63"/>
      <c r="E9" s="64" t="n">
        <f aca="false">P166</f>
        <v>1500</v>
      </c>
      <c r="F9" s="58" t="n">
        <f aca="false">Q166</f>
        <v>0</v>
      </c>
      <c r="G9" s="65" t="n">
        <f aca="false">F9*Setup!C9</f>
        <v>0</v>
      </c>
      <c r="H9" s="66" t="n">
        <f aca="false">F9-G9</f>
        <v>0</v>
      </c>
      <c r="I9" s="67" t="n">
        <f aca="false">R166</f>
        <v>17000</v>
      </c>
      <c r="P9" s="75" t="str">
        <f aca="false">COUNTIF(AC16:AC165,"Clear")&amp;" students fully paid   •   "&amp;(COUNTIF(AC16:AC165,"Due")+COUNTIF(AC16:AC165,"Partial"))&amp;" students with dues"</f>
        <v>0 students fully paid   •   1 students with dues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customFormat="false" ht="15" hidden="false" customHeight="true" outlineLevel="0" collapsed="false">
      <c r="B10" s="76" t="str">
        <f aca="false">Setup!A10</f>
        <v>Kids Coaching (Class 1)</v>
      </c>
      <c r="C10" s="63" t="str">
        <f aca="false">Setup!B10</f>
        <v>Miss Farzana</v>
      </c>
      <c r="D10" s="63"/>
      <c r="E10" s="64" t="n">
        <f aca="false">T166</f>
        <v>0</v>
      </c>
      <c r="F10" s="58" t="n">
        <f aca="false">U166</f>
        <v>0</v>
      </c>
      <c r="G10" s="65" t="n">
        <f aca="false">F10*Setup!C10</f>
        <v>0</v>
      </c>
      <c r="H10" s="66" t="n">
        <f aca="false">F10-G10</f>
        <v>0</v>
      </c>
      <c r="I10" s="67" t="n">
        <f aca="false">V166</f>
        <v>0</v>
      </c>
      <c r="K10" s="77" t="s">
        <v>59</v>
      </c>
      <c r="L10" s="77"/>
      <c r="M10" s="77"/>
      <c r="N10" s="78" t="n">
        <f aca="false">N5+N6-N7-N8</f>
        <v>0</v>
      </c>
    </row>
    <row r="11" customFormat="false" ht="15" hidden="false" customHeight="true" outlineLevel="0" collapsed="false">
      <c r="B11" s="79" t="str">
        <f aca="false">Setup!A11</f>
        <v>Kids Coaching (Class 2)</v>
      </c>
      <c r="C11" s="63" t="str">
        <f aca="false">Setup!B11</f>
        <v>Miss Fozia</v>
      </c>
      <c r="D11" s="63"/>
      <c r="E11" s="64" t="n">
        <f aca="false">X166</f>
        <v>0</v>
      </c>
      <c r="F11" s="58" t="n">
        <f aca="false">Y166</f>
        <v>0</v>
      </c>
      <c r="G11" s="65" t="n">
        <f aca="false">F11*Setup!C11</f>
        <v>0</v>
      </c>
      <c r="H11" s="66" t="n">
        <f aca="false">F11-G11</f>
        <v>0</v>
      </c>
      <c r="I11" s="67" t="n">
        <f aca="false">Z166</f>
        <v>0</v>
      </c>
      <c r="K11" s="53" t="s">
        <v>94</v>
      </c>
      <c r="L11" s="53"/>
      <c r="M11" s="53"/>
      <c r="N11" s="53"/>
    </row>
    <row r="12" customFormat="false" ht="15" hidden="false" customHeight="false" outlineLevel="0" collapsed="false">
      <c r="B12" s="40" t="s">
        <v>79</v>
      </c>
      <c r="C12" s="43"/>
      <c r="D12" s="43"/>
      <c r="E12" s="41" t="n">
        <f aca="false">SUM(E6:E11)</f>
        <v>3500</v>
      </c>
      <c r="F12" s="41" t="n">
        <f aca="false">SUM(F6:F11)</f>
        <v>0</v>
      </c>
      <c r="G12" s="41" t="n">
        <f aca="false">SUM(G6:G11)</f>
        <v>0</v>
      </c>
      <c r="H12" s="41" t="n">
        <f aca="false">SUM(H6:H11)</f>
        <v>0</v>
      </c>
      <c r="I12" s="41" t="n">
        <f aca="false">SUM(I6:I11)</f>
        <v>39000</v>
      </c>
    </row>
    <row r="14" customFormat="false" ht="25.5" hidden="false" customHeight="true" outlineLevel="0" collapsed="false">
      <c r="A14" s="4" t="s">
        <v>28</v>
      </c>
      <c r="B14" s="4"/>
      <c r="C14" s="14" t="str">
        <f aca="false">Setup!A6&amp;" — "&amp;Setup!B6</f>
        <v>English — Sir Sajjad Ali Birhmani</v>
      </c>
      <c r="D14" s="14"/>
      <c r="E14" s="14"/>
      <c r="F14" s="14"/>
      <c r="G14" s="15" t="str">
        <f aca="false">Setup!A7&amp;" — "&amp;Setup!B7</f>
        <v>Computer — Sir Nazeer Ahmed Jamali</v>
      </c>
      <c r="H14" s="15"/>
      <c r="I14" s="15"/>
      <c r="J14" s="15"/>
      <c r="K14" s="16" t="str">
        <f aca="false">Setup!A8&amp;" — "&amp;Setup!B8</f>
        <v>Biology — Sir Azhar Ali Chandio</v>
      </c>
      <c r="L14" s="16"/>
      <c r="M14" s="16"/>
      <c r="N14" s="16"/>
      <c r="O14" s="17" t="str">
        <f aca="false">Setup!A9&amp;" — "&amp;Setup!B9</f>
        <v>Math — Sir M. Faheem</v>
      </c>
      <c r="P14" s="17"/>
      <c r="Q14" s="17"/>
      <c r="R14" s="17"/>
      <c r="S14" s="18" t="str">
        <f aca="false">Setup!A10&amp;" — "&amp;Setup!B10</f>
        <v>Kids Coaching (Class 1) — Miss Farzana</v>
      </c>
      <c r="T14" s="18"/>
      <c r="U14" s="18"/>
      <c r="V14" s="18"/>
      <c r="W14" s="19" t="str">
        <f aca="false">Setup!A11&amp;" — "&amp;Setup!B11</f>
        <v>Kids Coaching (Class 2) — Miss Fozia</v>
      </c>
      <c r="X14" s="19"/>
      <c r="Y14" s="19"/>
      <c r="Z14" s="19"/>
      <c r="AA14" s="80" t="s">
        <v>95</v>
      </c>
      <c r="AB14" s="80"/>
      <c r="AC14" s="80"/>
    </row>
    <row r="15" customFormat="false" ht="30" hidden="false" customHeight="true" outlineLevel="0" collapsed="false">
      <c r="A15" s="13" t="s">
        <v>30</v>
      </c>
      <c r="B15" s="13" t="s">
        <v>31</v>
      </c>
      <c r="C15" s="14" t="s">
        <v>96</v>
      </c>
      <c r="D15" s="14" t="s">
        <v>97</v>
      </c>
      <c r="E15" s="14" t="s">
        <v>98</v>
      </c>
      <c r="F15" s="14" t="s">
        <v>99</v>
      </c>
      <c r="G15" s="15" t="s">
        <v>96</v>
      </c>
      <c r="H15" s="15" t="s">
        <v>97</v>
      </c>
      <c r="I15" s="15" t="s">
        <v>98</v>
      </c>
      <c r="J15" s="15" t="s">
        <v>99</v>
      </c>
      <c r="K15" s="16" t="s">
        <v>96</v>
      </c>
      <c r="L15" s="16" t="s">
        <v>97</v>
      </c>
      <c r="M15" s="16" t="s">
        <v>98</v>
      </c>
      <c r="N15" s="16" t="s">
        <v>99</v>
      </c>
      <c r="O15" s="17" t="s">
        <v>96</v>
      </c>
      <c r="P15" s="17" t="s">
        <v>97</v>
      </c>
      <c r="Q15" s="17" t="s">
        <v>98</v>
      </c>
      <c r="R15" s="17" t="s">
        <v>99</v>
      </c>
      <c r="S15" s="18" t="s">
        <v>96</v>
      </c>
      <c r="T15" s="18" t="s">
        <v>97</v>
      </c>
      <c r="U15" s="18" t="s">
        <v>98</v>
      </c>
      <c r="V15" s="18" t="s">
        <v>99</v>
      </c>
      <c r="W15" s="19" t="s">
        <v>96</v>
      </c>
      <c r="X15" s="19" t="s">
        <v>97</v>
      </c>
      <c r="Y15" s="19" t="s">
        <v>98</v>
      </c>
      <c r="Z15" s="19" t="s">
        <v>99</v>
      </c>
      <c r="AA15" s="20" t="s">
        <v>100</v>
      </c>
      <c r="AB15" s="20" t="s">
        <v>101</v>
      </c>
      <c r="AC15" s="20" t="s">
        <v>102</v>
      </c>
    </row>
    <row r="16" customFormat="false" ht="15" hidden="false" customHeight="false" outlineLevel="0" collapsed="false">
      <c r="A16" s="21" t="n">
        <v>1</v>
      </c>
      <c r="B16" s="46" t="str">
        <f aca="false">IF(Students!B5="","",Students!B5)</f>
        <v>Ali (example)</v>
      </c>
      <c r="C16" s="33" t="n">
        <f aca="false">'Aug 2027'!F16</f>
        <v>0</v>
      </c>
      <c r="D16" s="33" t="n">
        <f aca="false">IF(B16="",0,N(Students!E5))</f>
        <v>0</v>
      </c>
      <c r="E16" s="23"/>
      <c r="F16" s="24" t="n">
        <f aca="false">N(C16)+N(D16)-N(E16)</f>
        <v>0</v>
      </c>
      <c r="G16" s="33" t="n">
        <f aca="false">'Aug 2027'!J16</f>
        <v>20000</v>
      </c>
      <c r="H16" s="33" t="n">
        <f aca="false">IF(B16="",0,N(Students!F5))</f>
        <v>2000</v>
      </c>
      <c r="I16" s="23"/>
      <c r="J16" s="24" t="n">
        <f aca="false">N(G16)+N(H16)-N(I16)</f>
        <v>22000</v>
      </c>
      <c r="K16" s="33" t="n">
        <f aca="false">'Aug 2027'!N16</f>
        <v>0</v>
      </c>
      <c r="L16" s="33" t="n">
        <f aca="false">IF(B16="",0,N(Students!G5))</f>
        <v>0</v>
      </c>
      <c r="M16" s="23"/>
      <c r="N16" s="24" t="n">
        <f aca="false">N(K16)+N(L16)-N(M16)</f>
        <v>0</v>
      </c>
      <c r="O16" s="33" t="n">
        <f aca="false">'Aug 2027'!R16</f>
        <v>15500</v>
      </c>
      <c r="P16" s="33" t="n">
        <f aca="false">IF(B16="",0,N(Students!H5))</f>
        <v>1500</v>
      </c>
      <c r="Q16" s="23"/>
      <c r="R16" s="24" t="n">
        <f aca="false">N(O16)+N(P16)-N(Q16)</f>
        <v>17000</v>
      </c>
      <c r="S16" s="33" t="n">
        <f aca="false">'Aug 2027'!V16</f>
        <v>0</v>
      </c>
      <c r="T16" s="33" t="n">
        <f aca="false">IF(B16="",0,N(Students!I5))</f>
        <v>0</v>
      </c>
      <c r="U16" s="23"/>
      <c r="V16" s="24" t="n">
        <f aca="false">N(S16)+N(T16)-N(U16)</f>
        <v>0</v>
      </c>
      <c r="W16" s="33" t="n">
        <f aca="false">'Aug 2027'!Z16</f>
        <v>0</v>
      </c>
      <c r="X16" s="33" t="n">
        <f aca="false">IF(B16="",0,N(Students!J5))</f>
        <v>0</v>
      </c>
      <c r="Y16" s="23"/>
      <c r="Z16" s="24" t="n">
        <f aca="false">N(W16)+N(X16)-N(Y16)</f>
        <v>0</v>
      </c>
      <c r="AA16" s="33" t="n">
        <f aca="false">N(E16)+N(I16)+N(M16)+N(Q16)+N(U16)+N(Y16)</f>
        <v>0</v>
      </c>
      <c r="AB16" s="24" t="n">
        <f aca="false">F16+J16+N16+R16+V16+Z16</f>
        <v>39000</v>
      </c>
      <c r="AC16" s="81" t="str">
        <f aca="false">IF(B16="","",IF(AB16&lt;=0,"Clear",IF(AA16&gt;0,"Partial","Due")))</f>
        <v>Due</v>
      </c>
    </row>
    <row r="17" customFormat="false" ht="15" hidden="false" customHeight="false" outlineLevel="0" collapsed="false">
      <c r="A17" s="25" t="n">
        <v>2</v>
      </c>
      <c r="B17" s="82" t="str">
        <f aca="false">IF(Students!B6="","",Students!B6)</f>
        <v/>
      </c>
      <c r="C17" s="37" t="n">
        <f aca="false">'Aug 2027'!F17</f>
        <v>0</v>
      </c>
      <c r="D17" s="37" t="n">
        <f aca="false">IF(B17="",0,N(Students!E6))</f>
        <v>0</v>
      </c>
      <c r="E17" s="23"/>
      <c r="F17" s="26" t="n">
        <f aca="false">N(C17)+N(D17)-N(E17)</f>
        <v>0</v>
      </c>
      <c r="G17" s="37" t="n">
        <f aca="false">'Aug 2027'!J17</f>
        <v>0</v>
      </c>
      <c r="H17" s="37" t="n">
        <f aca="false">IF(B17="",0,N(Students!F6))</f>
        <v>0</v>
      </c>
      <c r="I17" s="23"/>
      <c r="J17" s="26" t="n">
        <f aca="false">N(G17)+N(H17)-N(I17)</f>
        <v>0</v>
      </c>
      <c r="K17" s="37" t="n">
        <f aca="false">'Aug 2027'!N17</f>
        <v>0</v>
      </c>
      <c r="L17" s="37" t="n">
        <f aca="false">IF(B17="",0,N(Students!G6))</f>
        <v>0</v>
      </c>
      <c r="M17" s="23"/>
      <c r="N17" s="26" t="n">
        <f aca="false">N(K17)+N(L17)-N(M17)</f>
        <v>0</v>
      </c>
      <c r="O17" s="37" t="n">
        <f aca="false">'Aug 2027'!R17</f>
        <v>0</v>
      </c>
      <c r="P17" s="37" t="n">
        <f aca="false">IF(B17="",0,N(Students!H6))</f>
        <v>0</v>
      </c>
      <c r="Q17" s="23"/>
      <c r="R17" s="26" t="n">
        <f aca="false">N(O17)+N(P17)-N(Q17)</f>
        <v>0</v>
      </c>
      <c r="S17" s="37" t="n">
        <f aca="false">'Aug 2027'!V17</f>
        <v>0</v>
      </c>
      <c r="T17" s="37" t="n">
        <f aca="false">IF(B17="",0,N(Students!I6))</f>
        <v>0</v>
      </c>
      <c r="U17" s="23"/>
      <c r="V17" s="26" t="n">
        <f aca="false">N(S17)+N(T17)-N(U17)</f>
        <v>0</v>
      </c>
      <c r="W17" s="37" t="n">
        <f aca="false">'Aug 2027'!Z17</f>
        <v>0</v>
      </c>
      <c r="X17" s="37" t="n">
        <f aca="false">IF(B17="",0,N(Students!J6))</f>
        <v>0</v>
      </c>
      <c r="Y17" s="23"/>
      <c r="Z17" s="26" t="n">
        <f aca="false">N(W17)+N(X17)-N(Y17)</f>
        <v>0</v>
      </c>
      <c r="AA17" s="37" t="n">
        <f aca="false">N(E17)+N(I17)+N(M17)+N(Q17)+N(U17)+N(Y17)</f>
        <v>0</v>
      </c>
      <c r="AB17" s="26" t="n">
        <f aca="false">F17+J17+N17+R17+V17+Z17</f>
        <v>0</v>
      </c>
      <c r="AC17" s="83" t="str">
        <f aca="false">IF(B17="","",IF(AB17&lt;=0,"Clear",IF(AA17&gt;0,"Partial","Due")))</f>
        <v/>
      </c>
    </row>
    <row r="18" customFormat="false" ht="15" hidden="false" customHeight="false" outlineLevel="0" collapsed="false">
      <c r="A18" s="21" t="n">
        <v>3</v>
      </c>
      <c r="B18" s="46" t="str">
        <f aca="false">IF(Students!B7="","",Students!B7)</f>
        <v/>
      </c>
      <c r="C18" s="33" t="n">
        <f aca="false">'Aug 2027'!F18</f>
        <v>0</v>
      </c>
      <c r="D18" s="33" t="n">
        <f aca="false">IF(B18="",0,N(Students!E7))</f>
        <v>0</v>
      </c>
      <c r="E18" s="23"/>
      <c r="F18" s="24" t="n">
        <f aca="false">N(C18)+N(D18)-N(E18)</f>
        <v>0</v>
      </c>
      <c r="G18" s="33" t="n">
        <f aca="false">'Aug 2027'!J18</f>
        <v>0</v>
      </c>
      <c r="H18" s="33" t="n">
        <f aca="false">IF(B18="",0,N(Students!F7))</f>
        <v>0</v>
      </c>
      <c r="I18" s="23"/>
      <c r="J18" s="24" t="n">
        <f aca="false">N(G18)+N(H18)-N(I18)</f>
        <v>0</v>
      </c>
      <c r="K18" s="33" t="n">
        <f aca="false">'Aug 2027'!N18</f>
        <v>0</v>
      </c>
      <c r="L18" s="33" t="n">
        <f aca="false">IF(B18="",0,N(Students!G7))</f>
        <v>0</v>
      </c>
      <c r="M18" s="23"/>
      <c r="N18" s="24" t="n">
        <f aca="false">N(K18)+N(L18)-N(M18)</f>
        <v>0</v>
      </c>
      <c r="O18" s="33" t="n">
        <f aca="false">'Aug 2027'!R18</f>
        <v>0</v>
      </c>
      <c r="P18" s="33" t="n">
        <f aca="false">IF(B18="",0,N(Students!H7))</f>
        <v>0</v>
      </c>
      <c r="Q18" s="23"/>
      <c r="R18" s="24" t="n">
        <f aca="false">N(O18)+N(P18)-N(Q18)</f>
        <v>0</v>
      </c>
      <c r="S18" s="33" t="n">
        <f aca="false">'Aug 2027'!V18</f>
        <v>0</v>
      </c>
      <c r="T18" s="33" t="n">
        <f aca="false">IF(B18="",0,N(Students!I7))</f>
        <v>0</v>
      </c>
      <c r="U18" s="23"/>
      <c r="V18" s="24" t="n">
        <f aca="false">N(S18)+N(T18)-N(U18)</f>
        <v>0</v>
      </c>
      <c r="W18" s="33" t="n">
        <f aca="false">'Aug 2027'!Z18</f>
        <v>0</v>
      </c>
      <c r="X18" s="33" t="n">
        <f aca="false">IF(B18="",0,N(Students!J7))</f>
        <v>0</v>
      </c>
      <c r="Y18" s="23"/>
      <c r="Z18" s="24" t="n">
        <f aca="false">N(W18)+N(X18)-N(Y18)</f>
        <v>0</v>
      </c>
      <c r="AA18" s="33" t="n">
        <f aca="false">N(E18)+N(I18)+N(M18)+N(Q18)+N(U18)+N(Y18)</f>
        <v>0</v>
      </c>
      <c r="AB18" s="24" t="n">
        <f aca="false">F18+J18+N18+R18+V18+Z18</f>
        <v>0</v>
      </c>
      <c r="AC18" s="81" t="str">
        <f aca="false">IF(B18="","",IF(AB18&lt;=0,"Clear",IF(AA18&gt;0,"Partial","Due")))</f>
        <v/>
      </c>
    </row>
    <row r="19" customFormat="false" ht="15" hidden="false" customHeight="false" outlineLevel="0" collapsed="false">
      <c r="A19" s="25" t="n">
        <v>4</v>
      </c>
      <c r="B19" s="82" t="str">
        <f aca="false">IF(Students!B8="","",Students!B8)</f>
        <v/>
      </c>
      <c r="C19" s="37" t="n">
        <f aca="false">'Aug 2027'!F19</f>
        <v>0</v>
      </c>
      <c r="D19" s="37" t="n">
        <f aca="false">IF(B19="",0,N(Students!E8))</f>
        <v>0</v>
      </c>
      <c r="E19" s="23"/>
      <c r="F19" s="26" t="n">
        <f aca="false">N(C19)+N(D19)-N(E19)</f>
        <v>0</v>
      </c>
      <c r="G19" s="37" t="n">
        <f aca="false">'Aug 2027'!J19</f>
        <v>0</v>
      </c>
      <c r="H19" s="37" t="n">
        <f aca="false">IF(B19="",0,N(Students!F8))</f>
        <v>0</v>
      </c>
      <c r="I19" s="23"/>
      <c r="J19" s="26" t="n">
        <f aca="false">N(G19)+N(H19)-N(I19)</f>
        <v>0</v>
      </c>
      <c r="K19" s="37" t="n">
        <f aca="false">'Aug 2027'!N19</f>
        <v>0</v>
      </c>
      <c r="L19" s="37" t="n">
        <f aca="false">IF(B19="",0,N(Students!G8))</f>
        <v>0</v>
      </c>
      <c r="M19" s="23"/>
      <c r="N19" s="26" t="n">
        <f aca="false">N(K19)+N(L19)-N(M19)</f>
        <v>0</v>
      </c>
      <c r="O19" s="37" t="n">
        <f aca="false">'Aug 2027'!R19</f>
        <v>0</v>
      </c>
      <c r="P19" s="37" t="n">
        <f aca="false">IF(B19="",0,N(Students!H8))</f>
        <v>0</v>
      </c>
      <c r="Q19" s="23"/>
      <c r="R19" s="26" t="n">
        <f aca="false">N(O19)+N(P19)-N(Q19)</f>
        <v>0</v>
      </c>
      <c r="S19" s="37" t="n">
        <f aca="false">'Aug 2027'!V19</f>
        <v>0</v>
      </c>
      <c r="T19" s="37" t="n">
        <f aca="false">IF(B19="",0,N(Students!I8))</f>
        <v>0</v>
      </c>
      <c r="U19" s="23"/>
      <c r="V19" s="26" t="n">
        <f aca="false">N(S19)+N(T19)-N(U19)</f>
        <v>0</v>
      </c>
      <c r="W19" s="37" t="n">
        <f aca="false">'Aug 2027'!Z19</f>
        <v>0</v>
      </c>
      <c r="X19" s="37" t="n">
        <f aca="false">IF(B19="",0,N(Students!J8))</f>
        <v>0</v>
      </c>
      <c r="Y19" s="23"/>
      <c r="Z19" s="26" t="n">
        <f aca="false">N(W19)+N(X19)-N(Y19)</f>
        <v>0</v>
      </c>
      <c r="AA19" s="37" t="n">
        <f aca="false">N(E19)+N(I19)+N(M19)+N(Q19)+N(U19)+N(Y19)</f>
        <v>0</v>
      </c>
      <c r="AB19" s="26" t="n">
        <f aca="false">F19+J19+N19+R19+V19+Z19</f>
        <v>0</v>
      </c>
      <c r="AC19" s="83" t="str">
        <f aca="false">IF(B19="","",IF(AB19&lt;=0,"Clear",IF(AA19&gt;0,"Partial","Due")))</f>
        <v/>
      </c>
    </row>
    <row r="20" customFormat="false" ht="15" hidden="false" customHeight="false" outlineLevel="0" collapsed="false">
      <c r="A20" s="21" t="n">
        <v>5</v>
      </c>
      <c r="B20" s="46" t="str">
        <f aca="false">IF(Students!B9="","",Students!B9)</f>
        <v/>
      </c>
      <c r="C20" s="33" t="n">
        <f aca="false">'Aug 2027'!F20</f>
        <v>0</v>
      </c>
      <c r="D20" s="33" t="n">
        <f aca="false">IF(B20="",0,N(Students!E9))</f>
        <v>0</v>
      </c>
      <c r="E20" s="23"/>
      <c r="F20" s="24" t="n">
        <f aca="false">N(C20)+N(D20)-N(E20)</f>
        <v>0</v>
      </c>
      <c r="G20" s="33" t="n">
        <f aca="false">'Aug 2027'!J20</f>
        <v>0</v>
      </c>
      <c r="H20" s="33" t="n">
        <f aca="false">IF(B20="",0,N(Students!F9))</f>
        <v>0</v>
      </c>
      <c r="I20" s="23"/>
      <c r="J20" s="24" t="n">
        <f aca="false">N(G20)+N(H20)-N(I20)</f>
        <v>0</v>
      </c>
      <c r="K20" s="33" t="n">
        <f aca="false">'Aug 2027'!N20</f>
        <v>0</v>
      </c>
      <c r="L20" s="33" t="n">
        <f aca="false">IF(B20="",0,N(Students!G9))</f>
        <v>0</v>
      </c>
      <c r="M20" s="23"/>
      <c r="N20" s="24" t="n">
        <f aca="false">N(K20)+N(L20)-N(M20)</f>
        <v>0</v>
      </c>
      <c r="O20" s="33" t="n">
        <f aca="false">'Aug 2027'!R20</f>
        <v>0</v>
      </c>
      <c r="P20" s="33" t="n">
        <f aca="false">IF(B20="",0,N(Students!H9))</f>
        <v>0</v>
      </c>
      <c r="Q20" s="23"/>
      <c r="R20" s="24" t="n">
        <f aca="false">N(O20)+N(P20)-N(Q20)</f>
        <v>0</v>
      </c>
      <c r="S20" s="33" t="n">
        <f aca="false">'Aug 2027'!V20</f>
        <v>0</v>
      </c>
      <c r="T20" s="33" t="n">
        <f aca="false">IF(B20="",0,N(Students!I9))</f>
        <v>0</v>
      </c>
      <c r="U20" s="23"/>
      <c r="V20" s="24" t="n">
        <f aca="false">N(S20)+N(T20)-N(U20)</f>
        <v>0</v>
      </c>
      <c r="W20" s="33" t="n">
        <f aca="false">'Aug 2027'!Z20</f>
        <v>0</v>
      </c>
      <c r="X20" s="33" t="n">
        <f aca="false">IF(B20="",0,N(Students!J9))</f>
        <v>0</v>
      </c>
      <c r="Y20" s="23"/>
      <c r="Z20" s="24" t="n">
        <f aca="false">N(W20)+N(X20)-N(Y20)</f>
        <v>0</v>
      </c>
      <c r="AA20" s="33" t="n">
        <f aca="false">N(E20)+N(I20)+N(M20)+N(Q20)+N(U20)+N(Y20)</f>
        <v>0</v>
      </c>
      <c r="AB20" s="24" t="n">
        <f aca="false">F20+J20+N20+R20+V20+Z20</f>
        <v>0</v>
      </c>
      <c r="AC20" s="81" t="str">
        <f aca="false">IF(B20="","",IF(AB20&lt;=0,"Clear",IF(AA20&gt;0,"Partial","Due")))</f>
        <v/>
      </c>
    </row>
    <row r="21" customFormat="false" ht="15" hidden="false" customHeight="false" outlineLevel="0" collapsed="false">
      <c r="A21" s="25" t="n">
        <v>6</v>
      </c>
      <c r="B21" s="82" t="str">
        <f aca="false">IF(Students!B10="","",Students!B10)</f>
        <v/>
      </c>
      <c r="C21" s="37" t="n">
        <f aca="false">'Aug 2027'!F21</f>
        <v>0</v>
      </c>
      <c r="D21" s="37" t="n">
        <f aca="false">IF(B21="",0,N(Students!E10))</f>
        <v>0</v>
      </c>
      <c r="E21" s="23"/>
      <c r="F21" s="26" t="n">
        <f aca="false">N(C21)+N(D21)-N(E21)</f>
        <v>0</v>
      </c>
      <c r="G21" s="37" t="n">
        <f aca="false">'Aug 2027'!J21</f>
        <v>0</v>
      </c>
      <c r="H21" s="37" t="n">
        <f aca="false">IF(B21="",0,N(Students!F10))</f>
        <v>0</v>
      </c>
      <c r="I21" s="23"/>
      <c r="J21" s="26" t="n">
        <f aca="false">N(G21)+N(H21)-N(I21)</f>
        <v>0</v>
      </c>
      <c r="K21" s="37" t="n">
        <f aca="false">'Aug 2027'!N21</f>
        <v>0</v>
      </c>
      <c r="L21" s="37" t="n">
        <f aca="false">IF(B21="",0,N(Students!G10))</f>
        <v>0</v>
      </c>
      <c r="M21" s="23"/>
      <c r="N21" s="26" t="n">
        <f aca="false">N(K21)+N(L21)-N(M21)</f>
        <v>0</v>
      </c>
      <c r="O21" s="37" t="n">
        <f aca="false">'Aug 2027'!R21</f>
        <v>0</v>
      </c>
      <c r="P21" s="37" t="n">
        <f aca="false">IF(B21="",0,N(Students!H10))</f>
        <v>0</v>
      </c>
      <c r="Q21" s="23"/>
      <c r="R21" s="26" t="n">
        <f aca="false">N(O21)+N(P21)-N(Q21)</f>
        <v>0</v>
      </c>
      <c r="S21" s="37" t="n">
        <f aca="false">'Aug 2027'!V21</f>
        <v>0</v>
      </c>
      <c r="T21" s="37" t="n">
        <f aca="false">IF(B21="",0,N(Students!I10))</f>
        <v>0</v>
      </c>
      <c r="U21" s="23"/>
      <c r="V21" s="26" t="n">
        <f aca="false">N(S21)+N(T21)-N(U21)</f>
        <v>0</v>
      </c>
      <c r="W21" s="37" t="n">
        <f aca="false">'Aug 2027'!Z21</f>
        <v>0</v>
      </c>
      <c r="X21" s="37" t="n">
        <f aca="false">IF(B21="",0,N(Students!J10))</f>
        <v>0</v>
      </c>
      <c r="Y21" s="23"/>
      <c r="Z21" s="26" t="n">
        <f aca="false">N(W21)+N(X21)-N(Y21)</f>
        <v>0</v>
      </c>
      <c r="AA21" s="37" t="n">
        <f aca="false">N(E21)+N(I21)+N(M21)+N(Q21)+N(U21)+N(Y21)</f>
        <v>0</v>
      </c>
      <c r="AB21" s="26" t="n">
        <f aca="false">F21+J21+N21+R21+V21+Z21</f>
        <v>0</v>
      </c>
      <c r="AC21" s="83" t="str">
        <f aca="false">IF(B21="","",IF(AB21&lt;=0,"Clear",IF(AA21&gt;0,"Partial","Due")))</f>
        <v/>
      </c>
    </row>
    <row r="22" customFormat="false" ht="15" hidden="false" customHeight="false" outlineLevel="0" collapsed="false">
      <c r="A22" s="21" t="n">
        <v>7</v>
      </c>
      <c r="B22" s="46" t="str">
        <f aca="false">IF(Students!B11="","",Students!B11)</f>
        <v/>
      </c>
      <c r="C22" s="33" t="n">
        <f aca="false">'Aug 2027'!F22</f>
        <v>0</v>
      </c>
      <c r="D22" s="33" t="n">
        <f aca="false">IF(B22="",0,N(Students!E11))</f>
        <v>0</v>
      </c>
      <c r="E22" s="23"/>
      <c r="F22" s="24" t="n">
        <f aca="false">N(C22)+N(D22)-N(E22)</f>
        <v>0</v>
      </c>
      <c r="G22" s="33" t="n">
        <f aca="false">'Aug 2027'!J22</f>
        <v>0</v>
      </c>
      <c r="H22" s="33" t="n">
        <f aca="false">IF(B22="",0,N(Students!F11))</f>
        <v>0</v>
      </c>
      <c r="I22" s="23"/>
      <c r="J22" s="24" t="n">
        <f aca="false">N(G22)+N(H22)-N(I22)</f>
        <v>0</v>
      </c>
      <c r="K22" s="33" t="n">
        <f aca="false">'Aug 2027'!N22</f>
        <v>0</v>
      </c>
      <c r="L22" s="33" t="n">
        <f aca="false">IF(B22="",0,N(Students!G11))</f>
        <v>0</v>
      </c>
      <c r="M22" s="23"/>
      <c r="N22" s="24" t="n">
        <f aca="false">N(K22)+N(L22)-N(M22)</f>
        <v>0</v>
      </c>
      <c r="O22" s="33" t="n">
        <f aca="false">'Aug 2027'!R22</f>
        <v>0</v>
      </c>
      <c r="P22" s="33" t="n">
        <f aca="false">IF(B22="",0,N(Students!H11))</f>
        <v>0</v>
      </c>
      <c r="Q22" s="23"/>
      <c r="R22" s="24" t="n">
        <f aca="false">N(O22)+N(P22)-N(Q22)</f>
        <v>0</v>
      </c>
      <c r="S22" s="33" t="n">
        <f aca="false">'Aug 2027'!V22</f>
        <v>0</v>
      </c>
      <c r="T22" s="33" t="n">
        <f aca="false">IF(B22="",0,N(Students!I11))</f>
        <v>0</v>
      </c>
      <c r="U22" s="23"/>
      <c r="V22" s="24" t="n">
        <f aca="false">N(S22)+N(T22)-N(U22)</f>
        <v>0</v>
      </c>
      <c r="W22" s="33" t="n">
        <f aca="false">'Aug 2027'!Z22</f>
        <v>0</v>
      </c>
      <c r="X22" s="33" t="n">
        <f aca="false">IF(B22="",0,N(Students!J11))</f>
        <v>0</v>
      </c>
      <c r="Y22" s="23"/>
      <c r="Z22" s="24" t="n">
        <f aca="false">N(W22)+N(X22)-N(Y22)</f>
        <v>0</v>
      </c>
      <c r="AA22" s="33" t="n">
        <f aca="false">N(E22)+N(I22)+N(M22)+N(Q22)+N(U22)+N(Y22)</f>
        <v>0</v>
      </c>
      <c r="AB22" s="24" t="n">
        <f aca="false">F22+J22+N22+R22+V22+Z22</f>
        <v>0</v>
      </c>
      <c r="AC22" s="81" t="str">
        <f aca="false">IF(B22="","",IF(AB22&lt;=0,"Clear",IF(AA22&gt;0,"Partial","Due")))</f>
        <v/>
      </c>
    </row>
    <row r="23" customFormat="false" ht="15" hidden="false" customHeight="false" outlineLevel="0" collapsed="false">
      <c r="A23" s="25" t="n">
        <v>8</v>
      </c>
      <c r="B23" s="82" t="str">
        <f aca="false">IF(Students!B12="","",Students!B12)</f>
        <v/>
      </c>
      <c r="C23" s="37" t="n">
        <f aca="false">'Aug 2027'!F23</f>
        <v>0</v>
      </c>
      <c r="D23" s="37" t="n">
        <f aca="false">IF(B23="",0,N(Students!E12))</f>
        <v>0</v>
      </c>
      <c r="E23" s="23"/>
      <c r="F23" s="26" t="n">
        <f aca="false">N(C23)+N(D23)-N(E23)</f>
        <v>0</v>
      </c>
      <c r="G23" s="37" t="n">
        <f aca="false">'Aug 2027'!J23</f>
        <v>0</v>
      </c>
      <c r="H23" s="37" t="n">
        <f aca="false">IF(B23="",0,N(Students!F12))</f>
        <v>0</v>
      </c>
      <c r="I23" s="23"/>
      <c r="J23" s="26" t="n">
        <f aca="false">N(G23)+N(H23)-N(I23)</f>
        <v>0</v>
      </c>
      <c r="K23" s="37" t="n">
        <f aca="false">'Aug 2027'!N23</f>
        <v>0</v>
      </c>
      <c r="L23" s="37" t="n">
        <f aca="false">IF(B23="",0,N(Students!G12))</f>
        <v>0</v>
      </c>
      <c r="M23" s="23"/>
      <c r="N23" s="26" t="n">
        <f aca="false">N(K23)+N(L23)-N(M23)</f>
        <v>0</v>
      </c>
      <c r="O23" s="37" t="n">
        <f aca="false">'Aug 2027'!R23</f>
        <v>0</v>
      </c>
      <c r="P23" s="37" t="n">
        <f aca="false">IF(B23="",0,N(Students!H12))</f>
        <v>0</v>
      </c>
      <c r="Q23" s="23"/>
      <c r="R23" s="26" t="n">
        <f aca="false">N(O23)+N(P23)-N(Q23)</f>
        <v>0</v>
      </c>
      <c r="S23" s="37" t="n">
        <f aca="false">'Aug 2027'!V23</f>
        <v>0</v>
      </c>
      <c r="T23" s="37" t="n">
        <f aca="false">IF(B23="",0,N(Students!I12))</f>
        <v>0</v>
      </c>
      <c r="U23" s="23"/>
      <c r="V23" s="26" t="n">
        <f aca="false">N(S23)+N(T23)-N(U23)</f>
        <v>0</v>
      </c>
      <c r="W23" s="37" t="n">
        <f aca="false">'Aug 2027'!Z23</f>
        <v>0</v>
      </c>
      <c r="X23" s="37" t="n">
        <f aca="false">IF(B23="",0,N(Students!J12))</f>
        <v>0</v>
      </c>
      <c r="Y23" s="23"/>
      <c r="Z23" s="26" t="n">
        <f aca="false">N(W23)+N(X23)-N(Y23)</f>
        <v>0</v>
      </c>
      <c r="AA23" s="37" t="n">
        <f aca="false">N(E23)+N(I23)+N(M23)+N(Q23)+N(U23)+N(Y23)</f>
        <v>0</v>
      </c>
      <c r="AB23" s="26" t="n">
        <f aca="false">F23+J23+N23+R23+V23+Z23</f>
        <v>0</v>
      </c>
      <c r="AC23" s="83" t="str">
        <f aca="false">IF(B23="","",IF(AB23&lt;=0,"Clear",IF(AA23&gt;0,"Partial","Due")))</f>
        <v/>
      </c>
    </row>
    <row r="24" customFormat="false" ht="15" hidden="false" customHeight="false" outlineLevel="0" collapsed="false">
      <c r="A24" s="21" t="n">
        <v>9</v>
      </c>
      <c r="B24" s="46" t="str">
        <f aca="false">IF(Students!B13="","",Students!B13)</f>
        <v/>
      </c>
      <c r="C24" s="33" t="n">
        <f aca="false">'Aug 2027'!F24</f>
        <v>0</v>
      </c>
      <c r="D24" s="33" t="n">
        <f aca="false">IF(B24="",0,N(Students!E13))</f>
        <v>0</v>
      </c>
      <c r="E24" s="23"/>
      <c r="F24" s="24" t="n">
        <f aca="false">N(C24)+N(D24)-N(E24)</f>
        <v>0</v>
      </c>
      <c r="G24" s="33" t="n">
        <f aca="false">'Aug 2027'!J24</f>
        <v>0</v>
      </c>
      <c r="H24" s="33" t="n">
        <f aca="false">IF(B24="",0,N(Students!F13))</f>
        <v>0</v>
      </c>
      <c r="I24" s="23"/>
      <c r="J24" s="24" t="n">
        <f aca="false">N(G24)+N(H24)-N(I24)</f>
        <v>0</v>
      </c>
      <c r="K24" s="33" t="n">
        <f aca="false">'Aug 2027'!N24</f>
        <v>0</v>
      </c>
      <c r="L24" s="33" t="n">
        <f aca="false">IF(B24="",0,N(Students!G13))</f>
        <v>0</v>
      </c>
      <c r="M24" s="23"/>
      <c r="N24" s="24" t="n">
        <f aca="false">N(K24)+N(L24)-N(M24)</f>
        <v>0</v>
      </c>
      <c r="O24" s="33" t="n">
        <f aca="false">'Aug 2027'!R24</f>
        <v>0</v>
      </c>
      <c r="P24" s="33" t="n">
        <f aca="false">IF(B24="",0,N(Students!H13))</f>
        <v>0</v>
      </c>
      <c r="Q24" s="23"/>
      <c r="R24" s="24" t="n">
        <f aca="false">N(O24)+N(P24)-N(Q24)</f>
        <v>0</v>
      </c>
      <c r="S24" s="33" t="n">
        <f aca="false">'Aug 2027'!V24</f>
        <v>0</v>
      </c>
      <c r="T24" s="33" t="n">
        <f aca="false">IF(B24="",0,N(Students!I13))</f>
        <v>0</v>
      </c>
      <c r="U24" s="23"/>
      <c r="V24" s="24" t="n">
        <f aca="false">N(S24)+N(T24)-N(U24)</f>
        <v>0</v>
      </c>
      <c r="W24" s="33" t="n">
        <f aca="false">'Aug 2027'!Z24</f>
        <v>0</v>
      </c>
      <c r="X24" s="33" t="n">
        <f aca="false">IF(B24="",0,N(Students!J13))</f>
        <v>0</v>
      </c>
      <c r="Y24" s="23"/>
      <c r="Z24" s="24" t="n">
        <f aca="false">N(W24)+N(X24)-N(Y24)</f>
        <v>0</v>
      </c>
      <c r="AA24" s="33" t="n">
        <f aca="false">N(E24)+N(I24)+N(M24)+N(Q24)+N(U24)+N(Y24)</f>
        <v>0</v>
      </c>
      <c r="AB24" s="24" t="n">
        <f aca="false">F24+J24+N24+R24+V24+Z24</f>
        <v>0</v>
      </c>
      <c r="AC24" s="81" t="str">
        <f aca="false">IF(B24="","",IF(AB24&lt;=0,"Clear",IF(AA24&gt;0,"Partial","Due")))</f>
        <v/>
      </c>
    </row>
    <row r="25" customFormat="false" ht="15" hidden="false" customHeight="false" outlineLevel="0" collapsed="false">
      <c r="A25" s="25" t="n">
        <v>10</v>
      </c>
      <c r="B25" s="82" t="str">
        <f aca="false">IF(Students!B14="","",Students!B14)</f>
        <v/>
      </c>
      <c r="C25" s="37" t="n">
        <f aca="false">'Aug 2027'!F25</f>
        <v>0</v>
      </c>
      <c r="D25" s="37" t="n">
        <f aca="false">IF(B25="",0,N(Students!E14))</f>
        <v>0</v>
      </c>
      <c r="E25" s="23"/>
      <c r="F25" s="26" t="n">
        <f aca="false">N(C25)+N(D25)-N(E25)</f>
        <v>0</v>
      </c>
      <c r="G25" s="37" t="n">
        <f aca="false">'Aug 2027'!J25</f>
        <v>0</v>
      </c>
      <c r="H25" s="37" t="n">
        <f aca="false">IF(B25="",0,N(Students!F14))</f>
        <v>0</v>
      </c>
      <c r="I25" s="23"/>
      <c r="J25" s="26" t="n">
        <f aca="false">N(G25)+N(H25)-N(I25)</f>
        <v>0</v>
      </c>
      <c r="K25" s="37" t="n">
        <f aca="false">'Aug 2027'!N25</f>
        <v>0</v>
      </c>
      <c r="L25" s="37" t="n">
        <f aca="false">IF(B25="",0,N(Students!G14))</f>
        <v>0</v>
      </c>
      <c r="M25" s="23"/>
      <c r="N25" s="26" t="n">
        <f aca="false">N(K25)+N(L25)-N(M25)</f>
        <v>0</v>
      </c>
      <c r="O25" s="37" t="n">
        <f aca="false">'Aug 2027'!R25</f>
        <v>0</v>
      </c>
      <c r="P25" s="37" t="n">
        <f aca="false">IF(B25="",0,N(Students!H14))</f>
        <v>0</v>
      </c>
      <c r="Q25" s="23"/>
      <c r="R25" s="26" t="n">
        <f aca="false">N(O25)+N(P25)-N(Q25)</f>
        <v>0</v>
      </c>
      <c r="S25" s="37" t="n">
        <f aca="false">'Aug 2027'!V25</f>
        <v>0</v>
      </c>
      <c r="T25" s="37" t="n">
        <f aca="false">IF(B25="",0,N(Students!I14))</f>
        <v>0</v>
      </c>
      <c r="U25" s="23"/>
      <c r="V25" s="26" t="n">
        <f aca="false">N(S25)+N(T25)-N(U25)</f>
        <v>0</v>
      </c>
      <c r="W25" s="37" t="n">
        <f aca="false">'Aug 2027'!Z25</f>
        <v>0</v>
      </c>
      <c r="X25" s="37" t="n">
        <f aca="false">IF(B25="",0,N(Students!J14))</f>
        <v>0</v>
      </c>
      <c r="Y25" s="23"/>
      <c r="Z25" s="26" t="n">
        <f aca="false">N(W25)+N(X25)-N(Y25)</f>
        <v>0</v>
      </c>
      <c r="AA25" s="37" t="n">
        <f aca="false">N(E25)+N(I25)+N(M25)+N(Q25)+N(U25)+N(Y25)</f>
        <v>0</v>
      </c>
      <c r="AB25" s="26" t="n">
        <f aca="false">F25+J25+N25+R25+V25+Z25</f>
        <v>0</v>
      </c>
      <c r="AC25" s="83" t="str">
        <f aca="false">IF(B25="","",IF(AB25&lt;=0,"Clear",IF(AA25&gt;0,"Partial","Due")))</f>
        <v/>
      </c>
    </row>
    <row r="26" customFormat="false" ht="15" hidden="false" customHeight="false" outlineLevel="0" collapsed="false">
      <c r="A26" s="21" t="n">
        <v>11</v>
      </c>
      <c r="B26" s="46" t="str">
        <f aca="false">IF(Students!B15="","",Students!B15)</f>
        <v/>
      </c>
      <c r="C26" s="33" t="n">
        <f aca="false">'Aug 2027'!F26</f>
        <v>0</v>
      </c>
      <c r="D26" s="33" t="n">
        <f aca="false">IF(B26="",0,N(Students!E15))</f>
        <v>0</v>
      </c>
      <c r="E26" s="23"/>
      <c r="F26" s="24" t="n">
        <f aca="false">N(C26)+N(D26)-N(E26)</f>
        <v>0</v>
      </c>
      <c r="G26" s="33" t="n">
        <f aca="false">'Aug 2027'!J26</f>
        <v>0</v>
      </c>
      <c r="H26" s="33" t="n">
        <f aca="false">IF(B26="",0,N(Students!F15))</f>
        <v>0</v>
      </c>
      <c r="I26" s="23"/>
      <c r="J26" s="24" t="n">
        <f aca="false">N(G26)+N(H26)-N(I26)</f>
        <v>0</v>
      </c>
      <c r="K26" s="33" t="n">
        <f aca="false">'Aug 2027'!N26</f>
        <v>0</v>
      </c>
      <c r="L26" s="33" t="n">
        <f aca="false">IF(B26="",0,N(Students!G15))</f>
        <v>0</v>
      </c>
      <c r="M26" s="23"/>
      <c r="N26" s="24" t="n">
        <f aca="false">N(K26)+N(L26)-N(M26)</f>
        <v>0</v>
      </c>
      <c r="O26" s="33" t="n">
        <f aca="false">'Aug 2027'!R26</f>
        <v>0</v>
      </c>
      <c r="P26" s="33" t="n">
        <f aca="false">IF(B26="",0,N(Students!H15))</f>
        <v>0</v>
      </c>
      <c r="Q26" s="23"/>
      <c r="R26" s="24" t="n">
        <f aca="false">N(O26)+N(P26)-N(Q26)</f>
        <v>0</v>
      </c>
      <c r="S26" s="33" t="n">
        <f aca="false">'Aug 2027'!V26</f>
        <v>0</v>
      </c>
      <c r="T26" s="33" t="n">
        <f aca="false">IF(B26="",0,N(Students!I15))</f>
        <v>0</v>
      </c>
      <c r="U26" s="23"/>
      <c r="V26" s="24" t="n">
        <f aca="false">N(S26)+N(T26)-N(U26)</f>
        <v>0</v>
      </c>
      <c r="W26" s="33" t="n">
        <f aca="false">'Aug 2027'!Z26</f>
        <v>0</v>
      </c>
      <c r="X26" s="33" t="n">
        <f aca="false">IF(B26="",0,N(Students!J15))</f>
        <v>0</v>
      </c>
      <c r="Y26" s="23"/>
      <c r="Z26" s="24" t="n">
        <f aca="false">N(W26)+N(X26)-N(Y26)</f>
        <v>0</v>
      </c>
      <c r="AA26" s="33" t="n">
        <f aca="false">N(E26)+N(I26)+N(M26)+N(Q26)+N(U26)+N(Y26)</f>
        <v>0</v>
      </c>
      <c r="AB26" s="24" t="n">
        <f aca="false">F26+J26+N26+R26+V26+Z26</f>
        <v>0</v>
      </c>
      <c r="AC26" s="81" t="str">
        <f aca="false">IF(B26="","",IF(AB26&lt;=0,"Clear",IF(AA26&gt;0,"Partial","Due")))</f>
        <v/>
      </c>
    </row>
    <row r="27" customFormat="false" ht="15" hidden="false" customHeight="false" outlineLevel="0" collapsed="false">
      <c r="A27" s="25" t="n">
        <v>12</v>
      </c>
      <c r="B27" s="82" t="str">
        <f aca="false">IF(Students!B16="","",Students!B16)</f>
        <v/>
      </c>
      <c r="C27" s="37" t="n">
        <f aca="false">'Aug 2027'!F27</f>
        <v>0</v>
      </c>
      <c r="D27" s="37" t="n">
        <f aca="false">IF(B27="",0,N(Students!E16))</f>
        <v>0</v>
      </c>
      <c r="E27" s="23"/>
      <c r="F27" s="26" t="n">
        <f aca="false">N(C27)+N(D27)-N(E27)</f>
        <v>0</v>
      </c>
      <c r="G27" s="37" t="n">
        <f aca="false">'Aug 2027'!J27</f>
        <v>0</v>
      </c>
      <c r="H27" s="37" t="n">
        <f aca="false">IF(B27="",0,N(Students!F16))</f>
        <v>0</v>
      </c>
      <c r="I27" s="23"/>
      <c r="J27" s="26" t="n">
        <f aca="false">N(G27)+N(H27)-N(I27)</f>
        <v>0</v>
      </c>
      <c r="K27" s="37" t="n">
        <f aca="false">'Aug 2027'!N27</f>
        <v>0</v>
      </c>
      <c r="L27" s="37" t="n">
        <f aca="false">IF(B27="",0,N(Students!G16))</f>
        <v>0</v>
      </c>
      <c r="M27" s="23"/>
      <c r="N27" s="26" t="n">
        <f aca="false">N(K27)+N(L27)-N(M27)</f>
        <v>0</v>
      </c>
      <c r="O27" s="37" t="n">
        <f aca="false">'Aug 2027'!R27</f>
        <v>0</v>
      </c>
      <c r="P27" s="37" t="n">
        <f aca="false">IF(B27="",0,N(Students!H16))</f>
        <v>0</v>
      </c>
      <c r="Q27" s="23"/>
      <c r="R27" s="26" t="n">
        <f aca="false">N(O27)+N(P27)-N(Q27)</f>
        <v>0</v>
      </c>
      <c r="S27" s="37" t="n">
        <f aca="false">'Aug 2027'!V27</f>
        <v>0</v>
      </c>
      <c r="T27" s="37" t="n">
        <f aca="false">IF(B27="",0,N(Students!I16))</f>
        <v>0</v>
      </c>
      <c r="U27" s="23"/>
      <c r="V27" s="26" t="n">
        <f aca="false">N(S27)+N(T27)-N(U27)</f>
        <v>0</v>
      </c>
      <c r="W27" s="37" t="n">
        <f aca="false">'Aug 2027'!Z27</f>
        <v>0</v>
      </c>
      <c r="X27" s="37" t="n">
        <f aca="false">IF(B27="",0,N(Students!J16))</f>
        <v>0</v>
      </c>
      <c r="Y27" s="23"/>
      <c r="Z27" s="26" t="n">
        <f aca="false">N(W27)+N(X27)-N(Y27)</f>
        <v>0</v>
      </c>
      <c r="AA27" s="37" t="n">
        <f aca="false">N(E27)+N(I27)+N(M27)+N(Q27)+N(U27)+N(Y27)</f>
        <v>0</v>
      </c>
      <c r="AB27" s="26" t="n">
        <f aca="false">F27+J27+N27+R27+V27+Z27</f>
        <v>0</v>
      </c>
      <c r="AC27" s="83" t="str">
        <f aca="false">IF(B27="","",IF(AB27&lt;=0,"Clear",IF(AA27&gt;0,"Partial","Due")))</f>
        <v/>
      </c>
    </row>
    <row r="28" customFormat="false" ht="15" hidden="false" customHeight="false" outlineLevel="0" collapsed="false">
      <c r="A28" s="21" t="n">
        <v>13</v>
      </c>
      <c r="B28" s="46" t="str">
        <f aca="false">IF(Students!B17="","",Students!B17)</f>
        <v/>
      </c>
      <c r="C28" s="33" t="n">
        <f aca="false">'Aug 2027'!F28</f>
        <v>0</v>
      </c>
      <c r="D28" s="33" t="n">
        <f aca="false">IF(B28="",0,N(Students!E17))</f>
        <v>0</v>
      </c>
      <c r="E28" s="23"/>
      <c r="F28" s="24" t="n">
        <f aca="false">N(C28)+N(D28)-N(E28)</f>
        <v>0</v>
      </c>
      <c r="G28" s="33" t="n">
        <f aca="false">'Aug 2027'!J28</f>
        <v>0</v>
      </c>
      <c r="H28" s="33" t="n">
        <f aca="false">IF(B28="",0,N(Students!F17))</f>
        <v>0</v>
      </c>
      <c r="I28" s="23"/>
      <c r="J28" s="24" t="n">
        <f aca="false">N(G28)+N(H28)-N(I28)</f>
        <v>0</v>
      </c>
      <c r="K28" s="33" t="n">
        <f aca="false">'Aug 2027'!N28</f>
        <v>0</v>
      </c>
      <c r="L28" s="33" t="n">
        <f aca="false">IF(B28="",0,N(Students!G17))</f>
        <v>0</v>
      </c>
      <c r="M28" s="23"/>
      <c r="N28" s="24" t="n">
        <f aca="false">N(K28)+N(L28)-N(M28)</f>
        <v>0</v>
      </c>
      <c r="O28" s="33" t="n">
        <f aca="false">'Aug 2027'!R28</f>
        <v>0</v>
      </c>
      <c r="P28" s="33" t="n">
        <f aca="false">IF(B28="",0,N(Students!H17))</f>
        <v>0</v>
      </c>
      <c r="Q28" s="23"/>
      <c r="R28" s="24" t="n">
        <f aca="false">N(O28)+N(P28)-N(Q28)</f>
        <v>0</v>
      </c>
      <c r="S28" s="33" t="n">
        <f aca="false">'Aug 2027'!V28</f>
        <v>0</v>
      </c>
      <c r="T28" s="33" t="n">
        <f aca="false">IF(B28="",0,N(Students!I17))</f>
        <v>0</v>
      </c>
      <c r="U28" s="23"/>
      <c r="V28" s="24" t="n">
        <f aca="false">N(S28)+N(T28)-N(U28)</f>
        <v>0</v>
      </c>
      <c r="W28" s="33" t="n">
        <f aca="false">'Aug 2027'!Z28</f>
        <v>0</v>
      </c>
      <c r="X28" s="33" t="n">
        <f aca="false">IF(B28="",0,N(Students!J17))</f>
        <v>0</v>
      </c>
      <c r="Y28" s="23"/>
      <c r="Z28" s="24" t="n">
        <f aca="false">N(W28)+N(X28)-N(Y28)</f>
        <v>0</v>
      </c>
      <c r="AA28" s="33" t="n">
        <f aca="false">N(E28)+N(I28)+N(M28)+N(Q28)+N(U28)+N(Y28)</f>
        <v>0</v>
      </c>
      <c r="AB28" s="24" t="n">
        <f aca="false">F28+J28+N28+R28+V28+Z28</f>
        <v>0</v>
      </c>
      <c r="AC28" s="81" t="str">
        <f aca="false">IF(B28="","",IF(AB28&lt;=0,"Clear",IF(AA28&gt;0,"Partial","Due")))</f>
        <v/>
      </c>
    </row>
    <row r="29" customFormat="false" ht="15" hidden="false" customHeight="false" outlineLevel="0" collapsed="false">
      <c r="A29" s="25" t="n">
        <v>14</v>
      </c>
      <c r="B29" s="82" t="str">
        <f aca="false">IF(Students!B18="","",Students!B18)</f>
        <v/>
      </c>
      <c r="C29" s="37" t="n">
        <f aca="false">'Aug 2027'!F29</f>
        <v>0</v>
      </c>
      <c r="D29" s="37" t="n">
        <f aca="false">IF(B29="",0,N(Students!E18))</f>
        <v>0</v>
      </c>
      <c r="E29" s="23"/>
      <c r="F29" s="26" t="n">
        <f aca="false">N(C29)+N(D29)-N(E29)</f>
        <v>0</v>
      </c>
      <c r="G29" s="37" t="n">
        <f aca="false">'Aug 2027'!J29</f>
        <v>0</v>
      </c>
      <c r="H29" s="37" t="n">
        <f aca="false">IF(B29="",0,N(Students!F18))</f>
        <v>0</v>
      </c>
      <c r="I29" s="23"/>
      <c r="J29" s="26" t="n">
        <f aca="false">N(G29)+N(H29)-N(I29)</f>
        <v>0</v>
      </c>
      <c r="K29" s="37" t="n">
        <f aca="false">'Aug 2027'!N29</f>
        <v>0</v>
      </c>
      <c r="L29" s="37" t="n">
        <f aca="false">IF(B29="",0,N(Students!G18))</f>
        <v>0</v>
      </c>
      <c r="M29" s="23"/>
      <c r="N29" s="26" t="n">
        <f aca="false">N(K29)+N(L29)-N(M29)</f>
        <v>0</v>
      </c>
      <c r="O29" s="37" t="n">
        <f aca="false">'Aug 2027'!R29</f>
        <v>0</v>
      </c>
      <c r="P29" s="37" t="n">
        <f aca="false">IF(B29="",0,N(Students!H18))</f>
        <v>0</v>
      </c>
      <c r="Q29" s="23"/>
      <c r="R29" s="26" t="n">
        <f aca="false">N(O29)+N(P29)-N(Q29)</f>
        <v>0</v>
      </c>
      <c r="S29" s="37" t="n">
        <f aca="false">'Aug 2027'!V29</f>
        <v>0</v>
      </c>
      <c r="T29" s="37" t="n">
        <f aca="false">IF(B29="",0,N(Students!I18))</f>
        <v>0</v>
      </c>
      <c r="U29" s="23"/>
      <c r="V29" s="26" t="n">
        <f aca="false">N(S29)+N(T29)-N(U29)</f>
        <v>0</v>
      </c>
      <c r="W29" s="37" t="n">
        <f aca="false">'Aug 2027'!Z29</f>
        <v>0</v>
      </c>
      <c r="X29" s="37" t="n">
        <f aca="false">IF(B29="",0,N(Students!J18))</f>
        <v>0</v>
      </c>
      <c r="Y29" s="23"/>
      <c r="Z29" s="26" t="n">
        <f aca="false">N(W29)+N(X29)-N(Y29)</f>
        <v>0</v>
      </c>
      <c r="AA29" s="37" t="n">
        <f aca="false">N(E29)+N(I29)+N(M29)+N(Q29)+N(U29)+N(Y29)</f>
        <v>0</v>
      </c>
      <c r="AB29" s="26" t="n">
        <f aca="false">F29+J29+N29+R29+V29+Z29</f>
        <v>0</v>
      </c>
      <c r="AC29" s="83" t="str">
        <f aca="false">IF(B29="","",IF(AB29&lt;=0,"Clear",IF(AA29&gt;0,"Partial","Due")))</f>
        <v/>
      </c>
    </row>
    <row r="30" customFormat="false" ht="15" hidden="false" customHeight="false" outlineLevel="0" collapsed="false">
      <c r="A30" s="21" t="n">
        <v>15</v>
      </c>
      <c r="B30" s="46" t="str">
        <f aca="false">IF(Students!B19="","",Students!B19)</f>
        <v/>
      </c>
      <c r="C30" s="33" t="n">
        <f aca="false">'Aug 2027'!F30</f>
        <v>0</v>
      </c>
      <c r="D30" s="33" t="n">
        <f aca="false">IF(B30="",0,N(Students!E19))</f>
        <v>0</v>
      </c>
      <c r="E30" s="23"/>
      <c r="F30" s="24" t="n">
        <f aca="false">N(C30)+N(D30)-N(E30)</f>
        <v>0</v>
      </c>
      <c r="G30" s="33" t="n">
        <f aca="false">'Aug 2027'!J30</f>
        <v>0</v>
      </c>
      <c r="H30" s="33" t="n">
        <f aca="false">IF(B30="",0,N(Students!F19))</f>
        <v>0</v>
      </c>
      <c r="I30" s="23"/>
      <c r="J30" s="24" t="n">
        <f aca="false">N(G30)+N(H30)-N(I30)</f>
        <v>0</v>
      </c>
      <c r="K30" s="33" t="n">
        <f aca="false">'Aug 2027'!N30</f>
        <v>0</v>
      </c>
      <c r="L30" s="33" t="n">
        <f aca="false">IF(B30="",0,N(Students!G19))</f>
        <v>0</v>
      </c>
      <c r="M30" s="23"/>
      <c r="N30" s="24" t="n">
        <f aca="false">N(K30)+N(L30)-N(M30)</f>
        <v>0</v>
      </c>
      <c r="O30" s="33" t="n">
        <f aca="false">'Aug 2027'!R30</f>
        <v>0</v>
      </c>
      <c r="P30" s="33" t="n">
        <f aca="false">IF(B30="",0,N(Students!H19))</f>
        <v>0</v>
      </c>
      <c r="Q30" s="23"/>
      <c r="R30" s="24" t="n">
        <f aca="false">N(O30)+N(P30)-N(Q30)</f>
        <v>0</v>
      </c>
      <c r="S30" s="33" t="n">
        <f aca="false">'Aug 2027'!V30</f>
        <v>0</v>
      </c>
      <c r="T30" s="33" t="n">
        <f aca="false">IF(B30="",0,N(Students!I19))</f>
        <v>0</v>
      </c>
      <c r="U30" s="23"/>
      <c r="V30" s="24" t="n">
        <f aca="false">N(S30)+N(T30)-N(U30)</f>
        <v>0</v>
      </c>
      <c r="W30" s="33" t="n">
        <f aca="false">'Aug 2027'!Z30</f>
        <v>0</v>
      </c>
      <c r="X30" s="33" t="n">
        <f aca="false">IF(B30="",0,N(Students!J19))</f>
        <v>0</v>
      </c>
      <c r="Y30" s="23"/>
      <c r="Z30" s="24" t="n">
        <f aca="false">N(W30)+N(X30)-N(Y30)</f>
        <v>0</v>
      </c>
      <c r="AA30" s="33" t="n">
        <f aca="false">N(E30)+N(I30)+N(M30)+N(Q30)+N(U30)+N(Y30)</f>
        <v>0</v>
      </c>
      <c r="AB30" s="24" t="n">
        <f aca="false">F30+J30+N30+R30+V30+Z30</f>
        <v>0</v>
      </c>
      <c r="AC30" s="81" t="str">
        <f aca="false">IF(B30="","",IF(AB30&lt;=0,"Clear",IF(AA30&gt;0,"Partial","Due")))</f>
        <v/>
      </c>
    </row>
    <row r="31" customFormat="false" ht="15" hidden="false" customHeight="false" outlineLevel="0" collapsed="false">
      <c r="A31" s="25" t="n">
        <v>16</v>
      </c>
      <c r="B31" s="82" t="str">
        <f aca="false">IF(Students!B20="","",Students!B20)</f>
        <v/>
      </c>
      <c r="C31" s="37" t="n">
        <f aca="false">'Aug 2027'!F31</f>
        <v>0</v>
      </c>
      <c r="D31" s="37" t="n">
        <f aca="false">IF(B31="",0,N(Students!E20))</f>
        <v>0</v>
      </c>
      <c r="E31" s="23"/>
      <c r="F31" s="26" t="n">
        <f aca="false">N(C31)+N(D31)-N(E31)</f>
        <v>0</v>
      </c>
      <c r="G31" s="37" t="n">
        <f aca="false">'Aug 2027'!J31</f>
        <v>0</v>
      </c>
      <c r="H31" s="37" t="n">
        <f aca="false">IF(B31="",0,N(Students!F20))</f>
        <v>0</v>
      </c>
      <c r="I31" s="23"/>
      <c r="J31" s="26" t="n">
        <f aca="false">N(G31)+N(H31)-N(I31)</f>
        <v>0</v>
      </c>
      <c r="K31" s="37" t="n">
        <f aca="false">'Aug 2027'!N31</f>
        <v>0</v>
      </c>
      <c r="L31" s="37" t="n">
        <f aca="false">IF(B31="",0,N(Students!G20))</f>
        <v>0</v>
      </c>
      <c r="M31" s="23"/>
      <c r="N31" s="26" t="n">
        <f aca="false">N(K31)+N(L31)-N(M31)</f>
        <v>0</v>
      </c>
      <c r="O31" s="37" t="n">
        <f aca="false">'Aug 2027'!R31</f>
        <v>0</v>
      </c>
      <c r="P31" s="37" t="n">
        <f aca="false">IF(B31="",0,N(Students!H20))</f>
        <v>0</v>
      </c>
      <c r="Q31" s="23"/>
      <c r="R31" s="26" t="n">
        <f aca="false">N(O31)+N(P31)-N(Q31)</f>
        <v>0</v>
      </c>
      <c r="S31" s="37" t="n">
        <f aca="false">'Aug 2027'!V31</f>
        <v>0</v>
      </c>
      <c r="T31" s="37" t="n">
        <f aca="false">IF(B31="",0,N(Students!I20))</f>
        <v>0</v>
      </c>
      <c r="U31" s="23"/>
      <c r="V31" s="26" t="n">
        <f aca="false">N(S31)+N(T31)-N(U31)</f>
        <v>0</v>
      </c>
      <c r="W31" s="37" t="n">
        <f aca="false">'Aug 2027'!Z31</f>
        <v>0</v>
      </c>
      <c r="X31" s="37" t="n">
        <f aca="false">IF(B31="",0,N(Students!J20))</f>
        <v>0</v>
      </c>
      <c r="Y31" s="23"/>
      <c r="Z31" s="26" t="n">
        <f aca="false">N(W31)+N(X31)-N(Y31)</f>
        <v>0</v>
      </c>
      <c r="AA31" s="37" t="n">
        <f aca="false">N(E31)+N(I31)+N(M31)+N(Q31)+N(U31)+N(Y31)</f>
        <v>0</v>
      </c>
      <c r="AB31" s="26" t="n">
        <f aca="false">F31+J31+N31+R31+V31+Z31</f>
        <v>0</v>
      </c>
      <c r="AC31" s="83" t="str">
        <f aca="false">IF(B31="","",IF(AB31&lt;=0,"Clear",IF(AA31&gt;0,"Partial","Due")))</f>
        <v/>
      </c>
    </row>
    <row r="32" customFormat="false" ht="15" hidden="false" customHeight="false" outlineLevel="0" collapsed="false">
      <c r="A32" s="21" t="n">
        <v>17</v>
      </c>
      <c r="B32" s="46" t="str">
        <f aca="false">IF(Students!B21="","",Students!B21)</f>
        <v/>
      </c>
      <c r="C32" s="33" t="n">
        <f aca="false">'Aug 2027'!F32</f>
        <v>0</v>
      </c>
      <c r="D32" s="33" t="n">
        <f aca="false">IF(B32="",0,N(Students!E21))</f>
        <v>0</v>
      </c>
      <c r="E32" s="23"/>
      <c r="F32" s="24" t="n">
        <f aca="false">N(C32)+N(D32)-N(E32)</f>
        <v>0</v>
      </c>
      <c r="G32" s="33" t="n">
        <f aca="false">'Aug 2027'!J32</f>
        <v>0</v>
      </c>
      <c r="H32" s="33" t="n">
        <f aca="false">IF(B32="",0,N(Students!F21))</f>
        <v>0</v>
      </c>
      <c r="I32" s="23"/>
      <c r="J32" s="24" t="n">
        <f aca="false">N(G32)+N(H32)-N(I32)</f>
        <v>0</v>
      </c>
      <c r="K32" s="33" t="n">
        <f aca="false">'Aug 2027'!N32</f>
        <v>0</v>
      </c>
      <c r="L32" s="33" t="n">
        <f aca="false">IF(B32="",0,N(Students!G21))</f>
        <v>0</v>
      </c>
      <c r="M32" s="23"/>
      <c r="N32" s="24" t="n">
        <f aca="false">N(K32)+N(L32)-N(M32)</f>
        <v>0</v>
      </c>
      <c r="O32" s="33" t="n">
        <f aca="false">'Aug 2027'!R32</f>
        <v>0</v>
      </c>
      <c r="P32" s="33" t="n">
        <f aca="false">IF(B32="",0,N(Students!H21))</f>
        <v>0</v>
      </c>
      <c r="Q32" s="23"/>
      <c r="R32" s="24" t="n">
        <f aca="false">N(O32)+N(P32)-N(Q32)</f>
        <v>0</v>
      </c>
      <c r="S32" s="33" t="n">
        <f aca="false">'Aug 2027'!V32</f>
        <v>0</v>
      </c>
      <c r="T32" s="33" t="n">
        <f aca="false">IF(B32="",0,N(Students!I21))</f>
        <v>0</v>
      </c>
      <c r="U32" s="23"/>
      <c r="V32" s="24" t="n">
        <f aca="false">N(S32)+N(T32)-N(U32)</f>
        <v>0</v>
      </c>
      <c r="W32" s="33" t="n">
        <f aca="false">'Aug 2027'!Z32</f>
        <v>0</v>
      </c>
      <c r="X32" s="33" t="n">
        <f aca="false">IF(B32="",0,N(Students!J21))</f>
        <v>0</v>
      </c>
      <c r="Y32" s="23"/>
      <c r="Z32" s="24" t="n">
        <f aca="false">N(W32)+N(X32)-N(Y32)</f>
        <v>0</v>
      </c>
      <c r="AA32" s="33" t="n">
        <f aca="false">N(E32)+N(I32)+N(M32)+N(Q32)+N(U32)+N(Y32)</f>
        <v>0</v>
      </c>
      <c r="AB32" s="24" t="n">
        <f aca="false">F32+J32+N32+R32+V32+Z32</f>
        <v>0</v>
      </c>
      <c r="AC32" s="81" t="str">
        <f aca="false">IF(B32="","",IF(AB32&lt;=0,"Clear",IF(AA32&gt;0,"Partial","Due")))</f>
        <v/>
      </c>
    </row>
    <row r="33" customFormat="false" ht="15" hidden="false" customHeight="false" outlineLevel="0" collapsed="false">
      <c r="A33" s="25" t="n">
        <v>18</v>
      </c>
      <c r="B33" s="82" t="str">
        <f aca="false">IF(Students!B22="","",Students!B22)</f>
        <v/>
      </c>
      <c r="C33" s="37" t="n">
        <f aca="false">'Aug 2027'!F33</f>
        <v>0</v>
      </c>
      <c r="D33" s="37" t="n">
        <f aca="false">IF(B33="",0,N(Students!E22))</f>
        <v>0</v>
      </c>
      <c r="E33" s="23"/>
      <c r="F33" s="26" t="n">
        <f aca="false">N(C33)+N(D33)-N(E33)</f>
        <v>0</v>
      </c>
      <c r="G33" s="37" t="n">
        <f aca="false">'Aug 2027'!J33</f>
        <v>0</v>
      </c>
      <c r="H33" s="37" t="n">
        <f aca="false">IF(B33="",0,N(Students!F22))</f>
        <v>0</v>
      </c>
      <c r="I33" s="23"/>
      <c r="J33" s="26" t="n">
        <f aca="false">N(G33)+N(H33)-N(I33)</f>
        <v>0</v>
      </c>
      <c r="K33" s="37" t="n">
        <f aca="false">'Aug 2027'!N33</f>
        <v>0</v>
      </c>
      <c r="L33" s="37" t="n">
        <f aca="false">IF(B33="",0,N(Students!G22))</f>
        <v>0</v>
      </c>
      <c r="M33" s="23"/>
      <c r="N33" s="26" t="n">
        <f aca="false">N(K33)+N(L33)-N(M33)</f>
        <v>0</v>
      </c>
      <c r="O33" s="37" t="n">
        <f aca="false">'Aug 2027'!R33</f>
        <v>0</v>
      </c>
      <c r="P33" s="37" t="n">
        <f aca="false">IF(B33="",0,N(Students!H22))</f>
        <v>0</v>
      </c>
      <c r="Q33" s="23"/>
      <c r="R33" s="26" t="n">
        <f aca="false">N(O33)+N(P33)-N(Q33)</f>
        <v>0</v>
      </c>
      <c r="S33" s="37" t="n">
        <f aca="false">'Aug 2027'!V33</f>
        <v>0</v>
      </c>
      <c r="T33" s="37" t="n">
        <f aca="false">IF(B33="",0,N(Students!I22))</f>
        <v>0</v>
      </c>
      <c r="U33" s="23"/>
      <c r="V33" s="26" t="n">
        <f aca="false">N(S33)+N(T33)-N(U33)</f>
        <v>0</v>
      </c>
      <c r="W33" s="37" t="n">
        <f aca="false">'Aug 2027'!Z33</f>
        <v>0</v>
      </c>
      <c r="X33" s="37" t="n">
        <f aca="false">IF(B33="",0,N(Students!J22))</f>
        <v>0</v>
      </c>
      <c r="Y33" s="23"/>
      <c r="Z33" s="26" t="n">
        <f aca="false">N(W33)+N(X33)-N(Y33)</f>
        <v>0</v>
      </c>
      <c r="AA33" s="37" t="n">
        <f aca="false">N(E33)+N(I33)+N(M33)+N(Q33)+N(U33)+N(Y33)</f>
        <v>0</v>
      </c>
      <c r="AB33" s="26" t="n">
        <f aca="false">F33+J33+N33+R33+V33+Z33</f>
        <v>0</v>
      </c>
      <c r="AC33" s="83" t="str">
        <f aca="false">IF(B33="","",IF(AB33&lt;=0,"Clear",IF(AA33&gt;0,"Partial","Due")))</f>
        <v/>
      </c>
    </row>
    <row r="34" customFormat="false" ht="15" hidden="false" customHeight="false" outlineLevel="0" collapsed="false">
      <c r="A34" s="21" t="n">
        <v>19</v>
      </c>
      <c r="B34" s="46" t="str">
        <f aca="false">IF(Students!B23="","",Students!B23)</f>
        <v/>
      </c>
      <c r="C34" s="33" t="n">
        <f aca="false">'Aug 2027'!F34</f>
        <v>0</v>
      </c>
      <c r="D34" s="33" t="n">
        <f aca="false">IF(B34="",0,N(Students!E23))</f>
        <v>0</v>
      </c>
      <c r="E34" s="23"/>
      <c r="F34" s="24" t="n">
        <f aca="false">N(C34)+N(D34)-N(E34)</f>
        <v>0</v>
      </c>
      <c r="G34" s="33" t="n">
        <f aca="false">'Aug 2027'!J34</f>
        <v>0</v>
      </c>
      <c r="H34" s="33" t="n">
        <f aca="false">IF(B34="",0,N(Students!F23))</f>
        <v>0</v>
      </c>
      <c r="I34" s="23"/>
      <c r="J34" s="24" t="n">
        <f aca="false">N(G34)+N(H34)-N(I34)</f>
        <v>0</v>
      </c>
      <c r="K34" s="33" t="n">
        <f aca="false">'Aug 2027'!N34</f>
        <v>0</v>
      </c>
      <c r="L34" s="33" t="n">
        <f aca="false">IF(B34="",0,N(Students!G23))</f>
        <v>0</v>
      </c>
      <c r="M34" s="23"/>
      <c r="N34" s="24" t="n">
        <f aca="false">N(K34)+N(L34)-N(M34)</f>
        <v>0</v>
      </c>
      <c r="O34" s="33" t="n">
        <f aca="false">'Aug 2027'!R34</f>
        <v>0</v>
      </c>
      <c r="P34" s="33" t="n">
        <f aca="false">IF(B34="",0,N(Students!H23))</f>
        <v>0</v>
      </c>
      <c r="Q34" s="23"/>
      <c r="R34" s="24" t="n">
        <f aca="false">N(O34)+N(P34)-N(Q34)</f>
        <v>0</v>
      </c>
      <c r="S34" s="33" t="n">
        <f aca="false">'Aug 2027'!V34</f>
        <v>0</v>
      </c>
      <c r="T34" s="33" t="n">
        <f aca="false">IF(B34="",0,N(Students!I23))</f>
        <v>0</v>
      </c>
      <c r="U34" s="23"/>
      <c r="V34" s="24" t="n">
        <f aca="false">N(S34)+N(T34)-N(U34)</f>
        <v>0</v>
      </c>
      <c r="W34" s="33" t="n">
        <f aca="false">'Aug 2027'!Z34</f>
        <v>0</v>
      </c>
      <c r="X34" s="33" t="n">
        <f aca="false">IF(B34="",0,N(Students!J23))</f>
        <v>0</v>
      </c>
      <c r="Y34" s="23"/>
      <c r="Z34" s="24" t="n">
        <f aca="false">N(W34)+N(X34)-N(Y34)</f>
        <v>0</v>
      </c>
      <c r="AA34" s="33" t="n">
        <f aca="false">N(E34)+N(I34)+N(M34)+N(Q34)+N(U34)+N(Y34)</f>
        <v>0</v>
      </c>
      <c r="AB34" s="24" t="n">
        <f aca="false">F34+J34+N34+R34+V34+Z34</f>
        <v>0</v>
      </c>
      <c r="AC34" s="81" t="str">
        <f aca="false">IF(B34="","",IF(AB34&lt;=0,"Clear",IF(AA34&gt;0,"Partial","Due")))</f>
        <v/>
      </c>
    </row>
    <row r="35" customFormat="false" ht="15" hidden="false" customHeight="false" outlineLevel="0" collapsed="false">
      <c r="A35" s="25" t="n">
        <v>20</v>
      </c>
      <c r="B35" s="82" t="str">
        <f aca="false">IF(Students!B24="","",Students!B24)</f>
        <v/>
      </c>
      <c r="C35" s="37" t="n">
        <f aca="false">'Aug 2027'!F35</f>
        <v>0</v>
      </c>
      <c r="D35" s="37" t="n">
        <f aca="false">IF(B35="",0,N(Students!E24))</f>
        <v>0</v>
      </c>
      <c r="E35" s="23"/>
      <c r="F35" s="26" t="n">
        <f aca="false">N(C35)+N(D35)-N(E35)</f>
        <v>0</v>
      </c>
      <c r="G35" s="37" t="n">
        <f aca="false">'Aug 2027'!J35</f>
        <v>0</v>
      </c>
      <c r="H35" s="37" t="n">
        <f aca="false">IF(B35="",0,N(Students!F24))</f>
        <v>0</v>
      </c>
      <c r="I35" s="23"/>
      <c r="J35" s="26" t="n">
        <f aca="false">N(G35)+N(H35)-N(I35)</f>
        <v>0</v>
      </c>
      <c r="K35" s="37" t="n">
        <f aca="false">'Aug 2027'!N35</f>
        <v>0</v>
      </c>
      <c r="L35" s="37" t="n">
        <f aca="false">IF(B35="",0,N(Students!G24))</f>
        <v>0</v>
      </c>
      <c r="M35" s="23"/>
      <c r="N35" s="26" t="n">
        <f aca="false">N(K35)+N(L35)-N(M35)</f>
        <v>0</v>
      </c>
      <c r="O35" s="37" t="n">
        <f aca="false">'Aug 2027'!R35</f>
        <v>0</v>
      </c>
      <c r="P35" s="37" t="n">
        <f aca="false">IF(B35="",0,N(Students!H24))</f>
        <v>0</v>
      </c>
      <c r="Q35" s="23"/>
      <c r="R35" s="26" t="n">
        <f aca="false">N(O35)+N(P35)-N(Q35)</f>
        <v>0</v>
      </c>
      <c r="S35" s="37" t="n">
        <f aca="false">'Aug 2027'!V35</f>
        <v>0</v>
      </c>
      <c r="T35" s="37" t="n">
        <f aca="false">IF(B35="",0,N(Students!I24))</f>
        <v>0</v>
      </c>
      <c r="U35" s="23"/>
      <c r="V35" s="26" t="n">
        <f aca="false">N(S35)+N(T35)-N(U35)</f>
        <v>0</v>
      </c>
      <c r="W35" s="37" t="n">
        <f aca="false">'Aug 2027'!Z35</f>
        <v>0</v>
      </c>
      <c r="X35" s="37" t="n">
        <f aca="false">IF(B35="",0,N(Students!J24))</f>
        <v>0</v>
      </c>
      <c r="Y35" s="23"/>
      <c r="Z35" s="26" t="n">
        <f aca="false">N(W35)+N(X35)-N(Y35)</f>
        <v>0</v>
      </c>
      <c r="AA35" s="37" t="n">
        <f aca="false">N(E35)+N(I35)+N(M35)+N(Q35)+N(U35)+N(Y35)</f>
        <v>0</v>
      </c>
      <c r="AB35" s="26" t="n">
        <f aca="false">F35+J35+N35+R35+V35+Z35</f>
        <v>0</v>
      </c>
      <c r="AC35" s="83" t="str">
        <f aca="false">IF(B35="","",IF(AB35&lt;=0,"Clear",IF(AA35&gt;0,"Partial","Due")))</f>
        <v/>
      </c>
    </row>
    <row r="36" customFormat="false" ht="15" hidden="false" customHeight="false" outlineLevel="0" collapsed="false">
      <c r="A36" s="21" t="n">
        <v>21</v>
      </c>
      <c r="B36" s="46" t="str">
        <f aca="false">IF(Students!B25="","",Students!B25)</f>
        <v/>
      </c>
      <c r="C36" s="33" t="n">
        <f aca="false">'Aug 2027'!F36</f>
        <v>0</v>
      </c>
      <c r="D36" s="33" t="n">
        <f aca="false">IF(B36="",0,N(Students!E25))</f>
        <v>0</v>
      </c>
      <c r="E36" s="23"/>
      <c r="F36" s="24" t="n">
        <f aca="false">N(C36)+N(D36)-N(E36)</f>
        <v>0</v>
      </c>
      <c r="G36" s="33" t="n">
        <f aca="false">'Aug 2027'!J36</f>
        <v>0</v>
      </c>
      <c r="H36" s="33" t="n">
        <f aca="false">IF(B36="",0,N(Students!F25))</f>
        <v>0</v>
      </c>
      <c r="I36" s="23"/>
      <c r="J36" s="24" t="n">
        <f aca="false">N(G36)+N(H36)-N(I36)</f>
        <v>0</v>
      </c>
      <c r="K36" s="33" t="n">
        <f aca="false">'Aug 2027'!N36</f>
        <v>0</v>
      </c>
      <c r="L36" s="33" t="n">
        <f aca="false">IF(B36="",0,N(Students!G25))</f>
        <v>0</v>
      </c>
      <c r="M36" s="23"/>
      <c r="N36" s="24" t="n">
        <f aca="false">N(K36)+N(L36)-N(M36)</f>
        <v>0</v>
      </c>
      <c r="O36" s="33" t="n">
        <f aca="false">'Aug 2027'!R36</f>
        <v>0</v>
      </c>
      <c r="P36" s="33" t="n">
        <f aca="false">IF(B36="",0,N(Students!H25))</f>
        <v>0</v>
      </c>
      <c r="Q36" s="23"/>
      <c r="R36" s="24" t="n">
        <f aca="false">N(O36)+N(P36)-N(Q36)</f>
        <v>0</v>
      </c>
      <c r="S36" s="33" t="n">
        <f aca="false">'Aug 2027'!V36</f>
        <v>0</v>
      </c>
      <c r="T36" s="33" t="n">
        <f aca="false">IF(B36="",0,N(Students!I25))</f>
        <v>0</v>
      </c>
      <c r="U36" s="23"/>
      <c r="V36" s="24" t="n">
        <f aca="false">N(S36)+N(T36)-N(U36)</f>
        <v>0</v>
      </c>
      <c r="W36" s="33" t="n">
        <f aca="false">'Aug 2027'!Z36</f>
        <v>0</v>
      </c>
      <c r="X36" s="33" t="n">
        <f aca="false">IF(B36="",0,N(Students!J25))</f>
        <v>0</v>
      </c>
      <c r="Y36" s="23"/>
      <c r="Z36" s="24" t="n">
        <f aca="false">N(W36)+N(X36)-N(Y36)</f>
        <v>0</v>
      </c>
      <c r="AA36" s="33" t="n">
        <f aca="false">N(E36)+N(I36)+N(M36)+N(Q36)+N(U36)+N(Y36)</f>
        <v>0</v>
      </c>
      <c r="AB36" s="24" t="n">
        <f aca="false">F36+J36+N36+R36+V36+Z36</f>
        <v>0</v>
      </c>
      <c r="AC36" s="81" t="str">
        <f aca="false">IF(B36="","",IF(AB36&lt;=0,"Clear",IF(AA36&gt;0,"Partial","Due")))</f>
        <v/>
      </c>
    </row>
    <row r="37" customFormat="false" ht="15" hidden="false" customHeight="false" outlineLevel="0" collapsed="false">
      <c r="A37" s="25" t="n">
        <v>22</v>
      </c>
      <c r="B37" s="82" t="str">
        <f aca="false">IF(Students!B26="","",Students!B26)</f>
        <v/>
      </c>
      <c r="C37" s="37" t="n">
        <f aca="false">'Aug 2027'!F37</f>
        <v>0</v>
      </c>
      <c r="D37" s="37" t="n">
        <f aca="false">IF(B37="",0,N(Students!E26))</f>
        <v>0</v>
      </c>
      <c r="E37" s="23"/>
      <c r="F37" s="26" t="n">
        <f aca="false">N(C37)+N(D37)-N(E37)</f>
        <v>0</v>
      </c>
      <c r="G37" s="37" t="n">
        <f aca="false">'Aug 2027'!J37</f>
        <v>0</v>
      </c>
      <c r="H37" s="37" t="n">
        <f aca="false">IF(B37="",0,N(Students!F26))</f>
        <v>0</v>
      </c>
      <c r="I37" s="23"/>
      <c r="J37" s="26" t="n">
        <f aca="false">N(G37)+N(H37)-N(I37)</f>
        <v>0</v>
      </c>
      <c r="K37" s="37" t="n">
        <f aca="false">'Aug 2027'!N37</f>
        <v>0</v>
      </c>
      <c r="L37" s="37" t="n">
        <f aca="false">IF(B37="",0,N(Students!G26))</f>
        <v>0</v>
      </c>
      <c r="M37" s="23"/>
      <c r="N37" s="26" t="n">
        <f aca="false">N(K37)+N(L37)-N(M37)</f>
        <v>0</v>
      </c>
      <c r="O37" s="37" t="n">
        <f aca="false">'Aug 2027'!R37</f>
        <v>0</v>
      </c>
      <c r="P37" s="37" t="n">
        <f aca="false">IF(B37="",0,N(Students!H26))</f>
        <v>0</v>
      </c>
      <c r="Q37" s="23"/>
      <c r="R37" s="26" t="n">
        <f aca="false">N(O37)+N(P37)-N(Q37)</f>
        <v>0</v>
      </c>
      <c r="S37" s="37" t="n">
        <f aca="false">'Aug 2027'!V37</f>
        <v>0</v>
      </c>
      <c r="T37" s="37" t="n">
        <f aca="false">IF(B37="",0,N(Students!I26))</f>
        <v>0</v>
      </c>
      <c r="U37" s="23"/>
      <c r="V37" s="26" t="n">
        <f aca="false">N(S37)+N(T37)-N(U37)</f>
        <v>0</v>
      </c>
      <c r="W37" s="37" t="n">
        <f aca="false">'Aug 2027'!Z37</f>
        <v>0</v>
      </c>
      <c r="X37" s="37" t="n">
        <f aca="false">IF(B37="",0,N(Students!J26))</f>
        <v>0</v>
      </c>
      <c r="Y37" s="23"/>
      <c r="Z37" s="26" t="n">
        <f aca="false">N(W37)+N(X37)-N(Y37)</f>
        <v>0</v>
      </c>
      <c r="AA37" s="37" t="n">
        <f aca="false">N(E37)+N(I37)+N(M37)+N(Q37)+N(U37)+N(Y37)</f>
        <v>0</v>
      </c>
      <c r="AB37" s="26" t="n">
        <f aca="false">F37+J37+N37+R37+V37+Z37</f>
        <v>0</v>
      </c>
      <c r="AC37" s="83" t="str">
        <f aca="false">IF(B37="","",IF(AB37&lt;=0,"Clear",IF(AA37&gt;0,"Partial","Due")))</f>
        <v/>
      </c>
    </row>
    <row r="38" customFormat="false" ht="15" hidden="false" customHeight="false" outlineLevel="0" collapsed="false">
      <c r="A38" s="21" t="n">
        <v>23</v>
      </c>
      <c r="B38" s="46" t="str">
        <f aca="false">IF(Students!B27="","",Students!B27)</f>
        <v/>
      </c>
      <c r="C38" s="33" t="n">
        <f aca="false">'Aug 2027'!F38</f>
        <v>0</v>
      </c>
      <c r="D38" s="33" t="n">
        <f aca="false">IF(B38="",0,N(Students!E27))</f>
        <v>0</v>
      </c>
      <c r="E38" s="23"/>
      <c r="F38" s="24" t="n">
        <f aca="false">N(C38)+N(D38)-N(E38)</f>
        <v>0</v>
      </c>
      <c r="G38" s="33" t="n">
        <f aca="false">'Aug 2027'!J38</f>
        <v>0</v>
      </c>
      <c r="H38" s="33" t="n">
        <f aca="false">IF(B38="",0,N(Students!F27))</f>
        <v>0</v>
      </c>
      <c r="I38" s="23"/>
      <c r="J38" s="24" t="n">
        <f aca="false">N(G38)+N(H38)-N(I38)</f>
        <v>0</v>
      </c>
      <c r="K38" s="33" t="n">
        <f aca="false">'Aug 2027'!N38</f>
        <v>0</v>
      </c>
      <c r="L38" s="33" t="n">
        <f aca="false">IF(B38="",0,N(Students!G27))</f>
        <v>0</v>
      </c>
      <c r="M38" s="23"/>
      <c r="N38" s="24" t="n">
        <f aca="false">N(K38)+N(L38)-N(M38)</f>
        <v>0</v>
      </c>
      <c r="O38" s="33" t="n">
        <f aca="false">'Aug 2027'!R38</f>
        <v>0</v>
      </c>
      <c r="P38" s="33" t="n">
        <f aca="false">IF(B38="",0,N(Students!H27))</f>
        <v>0</v>
      </c>
      <c r="Q38" s="23"/>
      <c r="R38" s="24" t="n">
        <f aca="false">N(O38)+N(P38)-N(Q38)</f>
        <v>0</v>
      </c>
      <c r="S38" s="33" t="n">
        <f aca="false">'Aug 2027'!V38</f>
        <v>0</v>
      </c>
      <c r="T38" s="33" t="n">
        <f aca="false">IF(B38="",0,N(Students!I27))</f>
        <v>0</v>
      </c>
      <c r="U38" s="23"/>
      <c r="V38" s="24" t="n">
        <f aca="false">N(S38)+N(T38)-N(U38)</f>
        <v>0</v>
      </c>
      <c r="W38" s="33" t="n">
        <f aca="false">'Aug 2027'!Z38</f>
        <v>0</v>
      </c>
      <c r="X38" s="33" t="n">
        <f aca="false">IF(B38="",0,N(Students!J27))</f>
        <v>0</v>
      </c>
      <c r="Y38" s="23"/>
      <c r="Z38" s="24" t="n">
        <f aca="false">N(W38)+N(X38)-N(Y38)</f>
        <v>0</v>
      </c>
      <c r="AA38" s="33" t="n">
        <f aca="false">N(E38)+N(I38)+N(M38)+N(Q38)+N(U38)+N(Y38)</f>
        <v>0</v>
      </c>
      <c r="AB38" s="24" t="n">
        <f aca="false">F38+J38+N38+R38+V38+Z38</f>
        <v>0</v>
      </c>
      <c r="AC38" s="81" t="str">
        <f aca="false">IF(B38="","",IF(AB38&lt;=0,"Clear",IF(AA38&gt;0,"Partial","Due")))</f>
        <v/>
      </c>
    </row>
    <row r="39" customFormat="false" ht="15" hidden="false" customHeight="false" outlineLevel="0" collapsed="false">
      <c r="A39" s="25" t="n">
        <v>24</v>
      </c>
      <c r="B39" s="82" t="str">
        <f aca="false">IF(Students!B28="","",Students!B28)</f>
        <v/>
      </c>
      <c r="C39" s="37" t="n">
        <f aca="false">'Aug 2027'!F39</f>
        <v>0</v>
      </c>
      <c r="D39" s="37" t="n">
        <f aca="false">IF(B39="",0,N(Students!E28))</f>
        <v>0</v>
      </c>
      <c r="E39" s="23"/>
      <c r="F39" s="26" t="n">
        <f aca="false">N(C39)+N(D39)-N(E39)</f>
        <v>0</v>
      </c>
      <c r="G39" s="37" t="n">
        <f aca="false">'Aug 2027'!J39</f>
        <v>0</v>
      </c>
      <c r="H39" s="37" t="n">
        <f aca="false">IF(B39="",0,N(Students!F28))</f>
        <v>0</v>
      </c>
      <c r="I39" s="23"/>
      <c r="J39" s="26" t="n">
        <f aca="false">N(G39)+N(H39)-N(I39)</f>
        <v>0</v>
      </c>
      <c r="K39" s="37" t="n">
        <f aca="false">'Aug 2027'!N39</f>
        <v>0</v>
      </c>
      <c r="L39" s="37" t="n">
        <f aca="false">IF(B39="",0,N(Students!G28))</f>
        <v>0</v>
      </c>
      <c r="M39" s="23"/>
      <c r="N39" s="26" t="n">
        <f aca="false">N(K39)+N(L39)-N(M39)</f>
        <v>0</v>
      </c>
      <c r="O39" s="37" t="n">
        <f aca="false">'Aug 2027'!R39</f>
        <v>0</v>
      </c>
      <c r="P39" s="37" t="n">
        <f aca="false">IF(B39="",0,N(Students!H28))</f>
        <v>0</v>
      </c>
      <c r="Q39" s="23"/>
      <c r="R39" s="26" t="n">
        <f aca="false">N(O39)+N(P39)-N(Q39)</f>
        <v>0</v>
      </c>
      <c r="S39" s="37" t="n">
        <f aca="false">'Aug 2027'!V39</f>
        <v>0</v>
      </c>
      <c r="T39" s="37" t="n">
        <f aca="false">IF(B39="",0,N(Students!I28))</f>
        <v>0</v>
      </c>
      <c r="U39" s="23"/>
      <c r="V39" s="26" t="n">
        <f aca="false">N(S39)+N(T39)-N(U39)</f>
        <v>0</v>
      </c>
      <c r="W39" s="37" t="n">
        <f aca="false">'Aug 2027'!Z39</f>
        <v>0</v>
      </c>
      <c r="X39" s="37" t="n">
        <f aca="false">IF(B39="",0,N(Students!J28))</f>
        <v>0</v>
      </c>
      <c r="Y39" s="23"/>
      <c r="Z39" s="26" t="n">
        <f aca="false">N(W39)+N(X39)-N(Y39)</f>
        <v>0</v>
      </c>
      <c r="AA39" s="37" t="n">
        <f aca="false">N(E39)+N(I39)+N(M39)+N(Q39)+N(U39)+N(Y39)</f>
        <v>0</v>
      </c>
      <c r="AB39" s="26" t="n">
        <f aca="false">F39+J39+N39+R39+V39+Z39</f>
        <v>0</v>
      </c>
      <c r="AC39" s="83" t="str">
        <f aca="false">IF(B39="","",IF(AB39&lt;=0,"Clear",IF(AA39&gt;0,"Partial","Due")))</f>
        <v/>
      </c>
    </row>
    <row r="40" customFormat="false" ht="15" hidden="false" customHeight="false" outlineLevel="0" collapsed="false">
      <c r="A40" s="21" t="n">
        <v>25</v>
      </c>
      <c r="B40" s="46" t="str">
        <f aca="false">IF(Students!B29="","",Students!B29)</f>
        <v/>
      </c>
      <c r="C40" s="33" t="n">
        <f aca="false">'Aug 2027'!F40</f>
        <v>0</v>
      </c>
      <c r="D40" s="33" t="n">
        <f aca="false">IF(B40="",0,N(Students!E29))</f>
        <v>0</v>
      </c>
      <c r="E40" s="23"/>
      <c r="F40" s="24" t="n">
        <f aca="false">N(C40)+N(D40)-N(E40)</f>
        <v>0</v>
      </c>
      <c r="G40" s="33" t="n">
        <f aca="false">'Aug 2027'!J40</f>
        <v>0</v>
      </c>
      <c r="H40" s="33" t="n">
        <f aca="false">IF(B40="",0,N(Students!F29))</f>
        <v>0</v>
      </c>
      <c r="I40" s="23"/>
      <c r="J40" s="24" t="n">
        <f aca="false">N(G40)+N(H40)-N(I40)</f>
        <v>0</v>
      </c>
      <c r="K40" s="33" t="n">
        <f aca="false">'Aug 2027'!N40</f>
        <v>0</v>
      </c>
      <c r="L40" s="33" t="n">
        <f aca="false">IF(B40="",0,N(Students!G29))</f>
        <v>0</v>
      </c>
      <c r="M40" s="23"/>
      <c r="N40" s="24" t="n">
        <f aca="false">N(K40)+N(L40)-N(M40)</f>
        <v>0</v>
      </c>
      <c r="O40" s="33" t="n">
        <f aca="false">'Aug 2027'!R40</f>
        <v>0</v>
      </c>
      <c r="P40" s="33" t="n">
        <f aca="false">IF(B40="",0,N(Students!H29))</f>
        <v>0</v>
      </c>
      <c r="Q40" s="23"/>
      <c r="R40" s="24" t="n">
        <f aca="false">N(O40)+N(P40)-N(Q40)</f>
        <v>0</v>
      </c>
      <c r="S40" s="33" t="n">
        <f aca="false">'Aug 2027'!V40</f>
        <v>0</v>
      </c>
      <c r="T40" s="33" t="n">
        <f aca="false">IF(B40="",0,N(Students!I29))</f>
        <v>0</v>
      </c>
      <c r="U40" s="23"/>
      <c r="V40" s="24" t="n">
        <f aca="false">N(S40)+N(T40)-N(U40)</f>
        <v>0</v>
      </c>
      <c r="W40" s="33" t="n">
        <f aca="false">'Aug 2027'!Z40</f>
        <v>0</v>
      </c>
      <c r="X40" s="33" t="n">
        <f aca="false">IF(B40="",0,N(Students!J29))</f>
        <v>0</v>
      </c>
      <c r="Y40" s="23"/>
      <c r="Z40" s="24" t="n">
        <f aca="false">N(W40)+N(X40)-N(Y40)</f>
        <v>0</v>
      </c>
      <c r="AA40" s="33" t="n">
        <f aca="false">N(E40)+N(I40)+N(M40)+N(Q40)+N(U40)+N(Y40)</f>
        <v>0</v>
      </c>
      <c r="AB40" s="24" t="n">
        <f aca="false">F40+J40+N40+R40+V40+Z40</f>
        <v>0</v>
      </c>
      <c r="AC40" s="81" t="str">
        <f aca="false">IF(B40="","",IF(AB40&lt;=0,"Clear",IF(AA40&gt;0,"Partial","Due")))</f>
        <v/>
      </c>
    </row>
    <row r="41" customFormat="false" ht="15" hidden="false" customHeight="false" outlineLevel="0" collapsed="false">
      <c r="A41" s="25" t="n">
        <v>26</v>
      </c>
      <c r="B41" s="82" t="str">
        <f aca="false">IF(Students!B30="","",Students!B30)</f>
        <v/>
      </c>
      <c r="C41" s="37" t="n">
        <f aca="false">'Aug 2027'!F41</f>
        <v>0</v>
      </c>
      <c r="D41" s="37" t="n">
        <f aca="false">IF(B41="",0,N(Students!E30))</f>
        <v>0</v>
      </c>
      <c r="E41" s="23"/>
      <c r="F41" s="26" t="n">
        <f aca="false">N(C41)+N(D41)-N(E41)</f>
        <v>0</v>
      </c>
      <c r="G41" s="37" t="n">
        <f aca="false">'Aug 2027'!J41</f>
        <v>0</v>
      </c>
      <c r="H41" s="37" t="n">
        <f aca="false">IF(B41="",0,N(Students!F30))</f>
        <v>0</v>
      </c>
      <c r="I41" s="23"/>
      <c r="J41" s="26" t="n">
        <f aca="false">N(G41)+N(H41)-N(I41)</f>
        <v>0</v>
      </c>
      <c r="K41" s="37" t="n">
        <f aca="false">'Aug 2027'!N41</f>
        <v>0</v>
      </c>
      <c r="L41" s="37" t="n">
        <f aca="false">IF(B41="",0,N(Students!G30))</f>
        <v>0</v>
      </c>
      <c r="M41" s="23"/>
      <c r="N41" s="26" t="n">
        <f aca="false">N(K41)+N(L41)-N(M41)</f>
        <v>0</v>
      </c>
      <c r="O41" s="37" t="n">
        <f aca="false">'Aug 2027'!R41</f>
        <v>0</v>
      </c>
      <c r="P41" s="37" t="n">
        <f aca="false">IF(B41="",0,N(Students!H30))</f>
        <v>0</v>
      </c>
      <c r="Q41" s="23"/>
      <c r="R41" s="26" t="n">
        <f aca="false">N(O41)+N(P41)-N(Q41)</f>
        <v>0</v>
      </c>
      <c r="S41" s="37" t="n">
        <f aca="false">'Aug 2027'!V41</f>
        <v>0</v>
      </c>
      <c r="T41" s="37" t="n">
        <f aca="false">IF(B41="",0,N(Students!I30))</f>
        <v>0</v>
      </c>
      <c r="U41" s="23"/>
      <c r="V41" s="26" t="n">
        <f aca="false">N(S41)+N(T41)-N(U41)</f>
        <v>0</v>
      </c>
      <c r="W41" s="37" t="n">
        <f aca="false">'Aug 2027'!Z41</f>
        <v>0</v>
      </c>
      <c r="X41" s="37" t="n">
        <f aca="false">IF(B41="",0,N(Students!J30))</f>
        <v>0</v>
      </c>
      <c r="Y41" s="23"/>
      <c r="Z41" s="26" t="n">
        <f aca="false">N(W41)+N(X41)-N(Y41)</f>
        <v>0</v>
      </c>
      <c r="AA41" s="37" t="n">
        <f aca="false">N(E41)+N(I41)+N(M41)+N(Q41)+N(U41)+N(Y41)</f>
        <v>0</v>
      </c>
      <c r="AB41" s="26" t="n">
        <f aca="false">F41+J41+N41+R41+V41+Z41</f>
        <v>0</v>
      </c>
      <c r="AC41" s="83" t="str">
        <f aca="false">IF(B41="","",IF(AB41&lt;=0,"Clear",IF(AA41&gt;0,"Partial","Due")))</f>
        <v/>
      </c>
    </row>
    <row r="42" customFormat="false" ht="15" hidden="false" customHeight="false" outlineLevel="0" collapsed="false">
      <c r="A42" s="21" t="n">
        <v>27</v>
      </c>
      <c r="B42" s="46" t="str">
        <f aca="false">IF(Students!B31="","",Students!B31)</f>
        <v/>
      </c>
      <c r="C42" s="33" t="n">
        <f aca="false">'Aug 2027'!F42</f>
        <v>0</v>
      </c>
      <c r="D42" s="33" t="n">
        <f aca="false">IF(B42="",0,N(Students!E31))</f>
        <v>0</v>
      </c>
      <c r="E42" s="23"/>
      <c r="F42" s="24" t="n">
        <f aca="false">N(C42)+N(D42)-N(E42)</f>
        <v>0</v>
      </c>
      <c r="G42" s="33" t="n">
        <f aca="false">'Aug 2027'!J42</f>
        <v>0</v>
      </c>
      <c r="H42" s="33" t="n">
        <f aca="false">IF(B42="",0,N(Students!F31))</f>
        <v>0</v>
      </c>
      <c r="I42" s="23"/>
      <c r="J42" s="24" t="n">
        <f aca="false">N(G42)+N(H42)-N(I42)</f>
        <v>0</v>
      </c>
      <c r="K42" s="33" t="n">
        <f aca="false">'Aug 2027'!N42</f>
        <v>0</v>
      </c>
      <c r="L42" s="33" t="n">
        <f aca="false">IF(B42="",0,N(Students!G31))</f>
        <v>0</v>
      </c>
      <c r="M42" s="23"/>
      <c r="N42" s="24" t="n">
        <f aca="false">N(K42)+N(L42)-N(M42)</f>
        <v>0</v>
      </c>
      <c r="O42" s="33" t="n">
        <f aca="false">'Aug 2027'!R42</f>
        <v>0</v>
      </c>
      <c r="P42" s="33" t="n">
        <f aca="false">IF(B42="",0,N(Students!H31))</f>
        <v>0</v>
      </c>
      <c r="Q42" s="23"/>
      <c r="R42" s="24" t="n">
        <f aca="false">N(O42)+N(P42)-N(Q42)</f>
        <v>0</v>
      </c>
      <c r="S42" s="33" t="n">
        <f aca="false">'Aug 2027'!V42</f>
        <v>0</v>
      </c>
      <c r="T42" s="33" t="n">
        <f aca="false">IF(B42="",0,N(Students!I31))</f>
        <v>0</v>
      </c>
      <c r="U42" s="23"/>
      <c r="V42" s="24" t="n">
        <f aca="false">N(S42)+N(T42)-N(U42)</f>
        <v>0</v>
      </c>
      <c r="W42" s="33" t="n">
        <f aca="false">'Aug 2027'!Z42</f>
        <v>0</v>
      </c>
      <c r="X42" s="33" t="n">
        <f aca="false">IF(B42="",0,N(Students!J31))</f>
        <v>0</v>
      </c>
      <c r="Y42" s="23"/>
      <c r="Z42" s="24" t="n">
        <f aca="false">N(W42)+N(X42)-N(Y42)</f>
        <v>0</v>
      </c>
      <c r="AA42" s="33" t="n">
        <f aca="false">N(E42)+N(I42)+N(M42)+N(Q42)+N(U42)+N(Y42)</f>
        <v>0</v>
      </c>
      <c r="AB42" s="24" t="n">
        <f aca="false">F42+J42+N42+R42+V42+Z42</f>
        <v>0</v>
      </c>
      <c r="AC42" s="81" t="str">
        <f aca="false">IF(B42="","",IF(AB42&lt;=0,"Clear",IF(AA42&gt;0,"Partial","Due")))</f>
        <v/>
      </c>
    </row>
    <row r="43" customFormat="false" ht="15" hidden="false" customHeight="false" outlineLevel="0" collapsed="false">
      <c r="A43" s="25" t="n">
        <v>28</v>
      </c>
      <c r="B43" s="82" t="str">
        <f aca="false">IF(Students!B32="","",Students!B32)</f>
        <v/>
      </c>
      <c r="C43" s="37" t="n">
        <f aca="false">'Aug 2027'!F43</f>
        <v>0</v>
      </c>
      <c r="D43" s="37" t="n">
        <f aca="false">IF(B43="",0,N(Students!E32))</f>
        <v>0</v>
      </c>
      <c r="E43" s="23"/>
      <c r="F43" s="26" t="n">
        <f aca="false">N(C43)+N(D43)-N(E43)</f>
        <v>0</v>
      </c>
      <c r="G43" s="37" t="n">
        <f aca="false">'Aug 2027'!J43</f>
        <v>0</v>
      </c>
      <c r="H43" s="37" t="n">
        <f aca="false">IF(B43="",0,N(Students!F32))</f>
        <v>0</v>
      </c>
      <c r="I43" s="23"/>
      <c r="J43" s="26" t="n">
        <f aca="false">N(G43)+N(H43)-N(I43)</f>
        <v>0</v>
      </c>
      <c r="K43" s="37" t="n">
        <f aca="false">'Aug 2027'!N43</f>
        <v>0</v>
      </c>
      <c r="L43" s="37" t="n">
        <f aca="false">IF(B43="",0,N(Students!G32))</f>
        <v>0</v>
      </c>
      <c r="M43" s="23"/>
      <c r="N43" s="26" t="n">
        <f aca="false">N(K43)+N(L43)-N(M43)</f>
        <v>0</v>
      </c>
      <c r="O43" s="37" t="n">
        <f aca="false">'Aug 2027'!R43</f>
        <v>0</v>
      </c>
      <c r="P43" s="37" t="n">
        <f aca="false">IF(B43="",0,N(Students!H32))</f>
        <v>0</v>
      </c>
      <c r="Q43" s="23"/>
      <c r="R43" s="26" t="n">
        <f aca="false">N(O43)+N(P43)-N(Q43)</f>
        <v>0</v>
      </c>
      <c r="S43" s="37" t="n">
        <f aca="false">'Aug 2027'!V43</f>
        <v>0</v>
      </c>
      <c r="T43" s="37" t="n">
        <f aca="false">IF(B43="",0,N(Students!I32))</f>
        <v>0</v>
      </c>
      <c r="U43" s="23"/>
      <c r="V43" s="26" t="n">
        <f aca="false">N(S43)+N(T43)-N(U43)</f>
        <v>0</v>
      </c>
      <c r="W43" s="37" t="n">
        <f aca="false">'Aug 2027'!Z43</f>
        <v>0</v>
      </c>
      <c r="X43" s="37" t="n">
        <f aca="false">IF(B43="",0,N(Students!J32))</f>
        <v>0</v>
      </c>
      <c r="Y43" s="23"/>
      <c r="Z43" s="26" t="n">
        <f aca="false">N(W43)+N(X43)-N(Y43)</f>
        <v>0</v>
      </c>
      <c r="AA43" s="37" t="n">
        <f aca="false">N(E43)+N(I43)+N(M43)+N(Q43)+N(U43)+N(Y43)</f>
        <v>0</v>
      </c>
      <c r="AB43" s="26" t="n">
        <f aca="false">F43+J43+N43+R43+V43+Z43</f>
        <v>0</v>
      </c>
      <c r="AC43" s="83" t="str">
        <f aca="false">IF(B43="","",IF(AB43&lt;=0,"Clear",IF(AA43&gt;0,"Partial","Due")))</f>
        <v/>
      </c>
    </row>
    <row r="44" customFormat="false" ht="15" hidden="false" customHeight="false" outlineLevel="0" collapsed="false">
      <c r="A44" s="21" t="n">
        <v>29</v>
      </c>
      <c r="B44" s="46" t="str">
        <f aca="false">IF(Students!B33="","",Students!B33)</f>
        <v/>
      </c>
      <c r="C44" s="33" t="n">
        <f aca="false">'Aug 2027'!F44</f>
        <v>0</v>
      </c>
      <c r="D44" s="33" t="n">
        <f aca="false">IF(B44="",0,N(Students!E33))</f>
        <v>0</v>
      </c>
      <c r="E44" s="23"/>
      <c r="F44" s="24" t="n">
        <f aca="false">N(C44)+N(D44)-N(E44)</f>
        <v>0</v>
      </c>
      <c r="G44" s="33" t="n">
        <f aca="false">'Aug 2027'!J44</f>
        <v>0</v>
      </c>
      <c r="H44" s="33" t="n">
        <f aca="false">IF(B44="",0,N(Students!F33))</f>
        <v>0</v>
      </c>
      <c r="I44" s="23"/>
      <c r="J44" s="24" t="n">
        <f aca="false">N(G44)+N(H44)-N(I44)</f>
        <v>0</v>
      </c>
      <c r="K44" s="33" t="n">
        <f aca="false">'Aug 2027'!N44</f>
        <v>0</v>
      </c>
      <c r="L44" s="33" t="n">
        <f aca="false">IF(B44="",0,N(Students!G33))</f>
        <v>0</v>
      </c>
      <c r="M44" s="23"/>
      <c r="N44" s="24" t="n">
        <f aca="false">N(K44)+N(L44)-N(M44)</f>
        <v>0</v>
      </c>
      <c r="O44" s="33" t="n">
        <f aca="false">'Aug 2027'!R44</f>
        <v>0</v>
      </c>
      <c r="P44" s="33" t="n">
        <f aca="false">IF(B44="",0,N(Students!H33))</f>
        <v>0</v>
      </c>
      <c r="Q44" s="23"/>
      <c r="R44" s="24" t="n">
        <f aca="false">N(O44)+N(P44)-N(Q44)</f>
        <v>0</v>
      </c>
      <c r="S44" s="33" t="n">
        <f aca="false">'Aug 2027'!V44</f>
        <v>0</v>
      </c>
      <c r="T44" s="33" t="n">
        <f aca="false">IF(B44="",0,N(Students!I33))</f>
        <v>0</v>
      </c>
      <c r="U44" s="23"/>
      <c r="V44" s="24" t="n">
        <f aca="false">N(S44)+N(T44)-N(U44)</f>
        <v>0</v>
      </c>
      <c r="W44" s="33" t="n">
        <f aca="false">'Aug 2027'!Z44</f>
        <v>0</v>
      </c>
      <c r="X44" s="33" t="n">
        <f aca="false">IF(B44="",0,N(Students!J33))</f>
        <v>0</v>
      </c>
      <c r="Y44" s="23"/>
      <c r="Z44" s="24" t="n">
        <f aca="false">N(W44)+N(X44)-N(Y44)</f>
        <v>0</v>
      </c>
      <c r="AA44" s="33" t="n">
        <f aca="false">N(E44)+N(I44)+N(M44)+N(Q44)+N(U44)+N(Y44)</f>
        <v>0</v>
      </c>
      <c r="AB44" s="24" t="n">
        <f aca="false">F44+J44+N44+R44+V44+Z44</f>
        <v>0</v>
      </c>
      <c r="AC44" s="81" t="str">
        <f aca="false">IF(B44="","",IF(AB44&lt;=0,"Clear",IF(AA44&gt;0,"Partial","Due")))</f>
        <v/>
      </c>
    </row>
    <row r="45" customFormat="false" ht="15" hidden="false" customHeight="false" outlineLevel="0" collapsed="false">
      <c r="A45" s="25" t="n">
        <v>30</v>
      </c>
      <c r="B45" s="82" t="str">
        <f aca="false">IF(Students!B34="","",Students!B34)</f>
        <v/>
      </c>
      <c r="C45" s="37" t="n">
        <f aca="false">'Aug 2027'!F45</f>
        <v>0</v>
      </c>
      <c r="D45" s="37" t="n">
        <f aca="false">IF(B45="",0,N(Students!E34))</f>
        <v>0</v>
      </c>
      <c r="E45" s="23"/>
      <c r="F45" s="26" t="n">
        <f aca="false">N(C45)+N(D45)-N(E45)</f>
        <v>0</v>
      </c>
      <c r="G45" s="37" t="n">
        <f aca="false">'Aug 2027'!J45</f>
        <v>0</v>
      </c>
      <c r="H45" s="37" t="n">
        <f aca="false">IF(B45="",0,N(Students!F34))</f>
        <v>0</v>
      </c>
      <c r="I45" s="23"/>
      <c r="J45" s="26" t="n">
        <f aca="false">N(G45)+N(H45)-N(I45)</f>
        <v>0</v>
      </c>
      <c r="K45" s="37" t="n">
        <f aca="false">'Aug 2027'!N45</f>
        <v>0</v>
      </c>
      <c r="L45" s="37" t="n">
        <f aca="false">IF(B45="",0,N(Students!G34))</f>
        <v>0</v>
      </c>
      <c r="M45" s="23"/>
      <c r="N45" s="26" t="n">
        <f aca="false">N(K45)+N(L45)-N(M45)</f>
        <v>0</v>
      </c>
      <c r="O45" s="37" t="n">
        <f aca="false">'Aug 2027'!R45</f>
        <v>0</v>
      </c>
      <c r="P45" s="37" t="n">
        <f aca="false">IF(B45="",0,N(Students!H34))</f>
        <v>0</v>
      </c>
      <c r="Q45" s="23"/>
      <c r="R45" s="26" t="n">
        <f aca="false">N(O45)+N(P45)-N(Q45)</f>
        <v>0</v>
      </c>
      <c r="S45" s="37" t="n">
        <f aca="false">'Aug 2027'!V45</f>
        <v>0</v>
      </c>
      <c r="T45" s="37" t="n">
        <f aca="false">IF(B45="",0,N(Students!I34))</f>
        <v>0</v>
      </c>
      <c r="U45" s="23"/>
      <c r="V45" s="26" t="n">
        <f aca="false">N(S45)+N(T45)-N(U45)</f>
        <v>0</v>
      </c>
      <c r="W45" s="37" t="n">
        <f aca="false">'Aug 2027'!Z45</f>
        <v>0</v>
      </c>
      <c r="X45" s="37" t="n">
        <f aca="false">IF(B45="",0,N(Students!J34))</f>
        <v>0</v>
      </c>
      <c r="Y45" s="23"/>
      <c r="Z45" s="26" t="n">
        <f aca="false">N(W45)+N(X45)-N(Y45)</f>
        <v>0</v>
      </c>
      <c r="AA45" s="37" t="n">
        <f aca="false">N(E45)+N(I45)+N(M45)+N(Q45)+N(U45)+N(Y45)</f>
        <v>0</v>
      </c>
      <c r="AB45" s="26" t="n">
        <f aca="false">F45+J45+N45+R45+V45+Z45</f>
        <v>0</v>
      </c>
      <c r="AC45" s="83" t="str">
        <f aca="false">IF(B45="","",IF(AB45&lt;=0,"Clear",IF(AA45&gt;0,"Partial","Due")))</f>
        <v/>
      </c>
    </row>
    <row r="46" customFormat="false" ht="15" hidden="false" customHeight="false" outlineLevel="0" collapsed="false">
      <c r="A46" s="21" t="n">
        <v>31</v>
      </c>
      <c r="B46" s="46" t="str">
        <f aca="false">IF(Students!B35="","",Students!B35)</f>
        <v/>
      </c>
      <c r="C46" s="33" t="n">
        <f aca="false">'Aug 2027'!F46</f>
        <v>0</v>
      </c>
      <c r="D46" s="33" t="n">
        <f aca="false">IF(B46="",0,N(Students!E35))</f>
        <v>0</v>
      </c>
      <c r="E46" s="23"/>
      <c r="F46" s="24" t="n">
        <f aca="false">N(C46)+N(D46)-N(E46)</f>
        <v>0</v>
      </c>
      <c r="G46" s="33" t="n">
        <f aca="false">'Aug 2027'!J46</f>
        <v>0</v>
      </c>
      <c r="H46" s="33" t="n">
        <f aca="false">IF(B46="",0,N(Students!F35))</f>
        <v>0</v>
      </c>
      <c r="I46" s="23"/>
      <c r="J46" s="24" t="n">
        <f aca="false">N(G46)+N(H46)-N(I46)</f>
        <v>0</v>
      </c>
      <c r="K46" s="33" t="n">
        <f aca="false">'Aug 2027'!N46</f>
        <v>0</v>
      </c>
      <c r="L46" s="33" t="n">
        <f aca="false">IF(B46="",0,N(Students!G35))</f>
        <v>0</v>
      </c>
      <c r="M46" s="23"/>
      <c r="N46" s="24" t="n">
        <f aca="false">N(K46)+N(L46)-N(M46)</f>
        <v>0</v>
      </c>
      <c r="O46" s="33" t="n">
        <f aca="false">'Aug 2027'!R46</f>
        <v>0</v>
      </c>
      <c r="P46" s="33" t="n">
        <f aca="false">IF(B46="",0,N(Students!H35))</f>
        <v>0</v>
      </c>
      <c r="Q46" s="23"/>
      <c r="R46" s="24" t="n">
        <f aca="false">N(O46)+N(P46)-N(Q46)</f>
        <v>0</v>
      </c>
      <c r="S46" s="33" t="n">
        <f aca="false">'Aug 2027'!V46</f>
        <v>0</v>
      </c>
      <c r="T46" s="33" t="n">
        <f aca="false">IF(B46="",0,N(Students!I35))</f>
        <v>0</v>
      </c>
      <c r="U46" s="23"/>
      <c r="V46" s="24" t="n">
        <f aca="false">N(S46)+N(T46)-N(U46)</f>
        <v>0</v>
      </c>
      <c r="W46" s="33" t="n">
        <f aca="false">'Aug 2027'!Z46</f>
        <v>0</v>
      </c>
      <c r="X46" s="33" t="n">
        <f aca="false">IF(B46="",0,N(Students!J35))</f>
        <v>0</v>
      </c>
      <c r="Y46" s="23"/>
      <c r="Z46" s="24" t="n">
        <f aca="false">N(W46)+N(X46)-N(Y46)</f>
        <v>0</v>
      </c>
      <c r="AA46" s="33" t="n">
        <f aca="false">N(E46)+N(I46)+N(M46)+N(Q46)+N(U46)+N(Y46)</f>
        <v>0</v>
      </c>
      <c r="AB46" s="24" t="n">
        <f aca="false">F46+J46+N46+R46+V46+Z46</f>
        <v>0</v>
      </c>
      <c r="AC46" s="81" t="str">
        <f aca="false">IF(B46="","",IF(AB46&lt;=0,"Clear",IF(AA46&gt;0,"Partial","Due")))</f>
        <v/>
      </c>
    </row>
    <row r="47" customFormat="false" ht="15" hidden="false" customHeight="false" outlineLevel="0" collapsed="false">
      <c r="A47" s="25" t="n">
        <v>32</v>
      </c>
      <c r="B47" s="82" t="str">
        <f aca="false">IF(Students!B36="","",Students!B36)</f>
        <v/>
      </c>
      <c r="C47" s="37" t="n">
        <f aca="false">'Aug 2027'!F47</f>
        <v>0</v>
      </c>
      <c r="D47" s="37" t="n">
        <f aca="false">IF(B47="",0,N(Students!E36))</f>
        <v>0</v>
      </c>
      <c r="E47" s="23"/>
      <c r="F47" s="26" t="n">
        <f aca="false">N(C47)+N(D47)-N(E47)</f>
        <v>0</v>
      </c>
      <c r="G47" s="37" t="n">
        <f aca="false">'Aug 2027'!J47</f>
        <v>0</v>
      </c>
      <c r="H47" s="37" t="n">
        <f aca="false">IF(B47="",0,N(Students!F36))</f>
        <v>0</v>
      </c>
      <c r="I47" s="23"/>
      <c r="J47" s="26" t="n">
        <f aca="false">N(G47)+N(H47)-N(I47)</f>
        <v>0</v>
      </c>
      <c r="K47" s="37" t="n">
        <f aca="false">'Aug 2027'!N47</f>
        <v>0</v>
      </c>
      <c r="L47" s="37" t="n">
        <f aca="false">IF(B47="",0,N(Students!G36))</f>
        <v>0</v>
      </c>
      <c r="M47" s="23"/>
      <c r="N47" s="26" t="n">
        <f aca="false">N(K47)+N(L47)-N(M47)</f>
        <v>0</v>
      </c>
      <c r="O47" s="37" t="n">
        <f aca="false">'Aug 2027'!R47</f>
        <v>0</v>
      </c>
      <c r="P47" s="37" t="n">
        <f aca="false">IF(B47="",0,N(Students!H36))</f>
        <v>0</v>
      </c>
      <c r="Q47" s="23"/>
      <c r="R47" s="26" t="n">
        <f aca="false">N(O47)+N(P47)-N(Q47)</f>
        <v>0</v>
      </c>
      <c r="S47" s="37" t="n">
        <f aca="false">'Aug 2027'!V47</f>
        <v>0</v>
      </c>
      <c r="T47" s="37" t="n">
        <f aca="false">IF(B47="",0,N(Students!I36))</f>
        <v>0</v>
      </c>
      <c r="U47" s="23"/>
      <c r="V47" s="26" t="n">
        <f aca="false">N(S47)+N(T47)-N(U47)</f>
        <v>0</v>
      </c>
      <c r="W47" s="37" t="n">
        <f aca="false">'Aug 2027'!Z47</f>
        <v>0</v>
      </c>
      <c r="X47" s="37" t="n">
        <f aca="false">IF(B47="",0,N(Students!J36))</f>
        <v>0</v>
      </c>
      <c r="Y47" s="23"/>
      <c r="Z47" s="26" t="n">
        <f aca="false">N(W47)+N(X47)-N(Y47)</f>
        <v>0</v>
      </c>
      <c r="AA47" s="37" t="n">
        <f aca="false">N(E47)+N(I47)+N(M47)+N(Q47)+N(U47)+N(Y47)</f>
        <v>0</v>
      </c>
      <c r="AB47" s="26" t="n">
        <f aca="false">F47+J47+N47+R47+V47+Z47</f>
        <v>0</v>
      </c>
      <c r="AC47" s="83" t="str">
        <f aca="false">IF(B47="","",IF(AB47&lt;=0,"Clear",IF(AA47&gt;0,"Partial","Due")))</f>
        <v/>
      </c>
    </row>
    <row r="48" customFormat="false" ht="15" hidden="false" customHeight="false" outlineLevel="0" collapsed="false">
      <c r="A48" s="21" t="n">
        <v>33</v>
      </c>
      <c r="B48" s="46" t="str">
        <f aca="false">IF(Students!B37="","",Students!B37)</f>
        <v/>
      </c>
      <c r="C48" s="33" t="n">
        <f aca="false">'Aug 2027'!F48</f>
        <v>0</v>
      </c>
      <c r="D48" s="33" t="n">
        <f aca="false">IF(B48="",0,N(Students!E37))</f>
        <v>0</v>
      </c>
      <c r="E48" s="23"/>
      <c r="F48" s="24" t="n">
        <f aca="false">N(C48)+N(D48)-N(E48)</f>
        <v>0</v>
      </c>
      <c r="G48" s="33" t="n">
        <f aca="false">'Aug 2027'!J48</f>
        <v>0</v>
      </c>
      <c r="H48" s="33" t="n">
        <f aca="false">IF(B48="",0,N(Students!F37))</f>
        <v>0</v>
      </c>
      <c r="I48" s="23"/>
      <c r="J48" s="24" t="n">
        <f aca="false">N(G48)+N(H48)-N(I48)</f>
        <v>0</v>
      </c>
      <c r="K48" s="33" t="n">
        <f aca="false">'Aug 2027'!N48</f>
        <v>0</v>
      </c>
      <c r="L48" s="33" t="n">
        <f aca="false">IF(B48="",0,N(Students!G37))</f>
        <v>0</v>
      </c>
      <c r="M48" s="23"/>
      <c r="N48" s="24" t="n">
        <f aca="false">N(K48)+N(L48)-N(M48)</f>
        <v>0</v>
      </c>
      <c r="O48" s="33" t="n">
        <f aca="false">'Aug 2027'!R48</f>
        <v>0</v>
      </c>
      <c r="P48" s="33" t="n">
        <f aca="false">IF(B48="",0,N(Students!H37))</f>
        <v>0</v>
      </c>
      <c r="Q48" s="23"/>
      <c r="R48" s="24" t="n">
        <f aca="false">N(O48)+N(P48)-N(Q48)</f>
        <v>0</v>
      </c>
      <c r="S48" s="33" t="n">
        <f aca="false">'Aug 2027'!V48</f>
        <v>0</v>
      </c>
      <c r="T48" s="33" t="n">
        <f aca="false">IF(B48="",0,N(Students!I37))</f>
        <v>0</v>
      </c>
      <c r="U48" s="23"/>
      <c r="V48" s="24" t="n">
        <f aca="false">N(S48)+N(T48)-N(U48)</f>
        <v>0</v>
      </c>
      <c r="W48" s="33" t="n">
        <f aca="false">'Aug 2027'!Z48</f>
        <v>0</v>
      </c>
      <c r="X48" s="33" t="n">
        <f aca="false">IF(B48="",0,N(Students!J37))</f>
        <v>0</v>
      </c>
      <c r="Y48" s="23"/>
      <c r="Z48" s="24" t="n">
        <f aca="false">N(W48)+N(X48)-N(Y48)</f>
        <v>0</v>
      </c>
      <c r="AA48" s="33" t="n">
        <f aca="false">N(E48)+N(I48)+N(M48)+N(Q48)+N(U48)+N(Y48)</f>
        <v>0</v>
      </c>
      <c r="AB48" s="24" t="n">
        <f aca="false">F48+J48+N48+R48+V48+Z48</f>
        <v>0</v>
      </c>
      <c r="AC48" s="81" t="str">
        <f aca="false">IF(B48="","",IF(AB48&lt;=0,"Clear",IF(AA48&gt;0,"Partial","Due")))</f>
        <v/>
      </c>
    </row>
    <row r="49" customFormat="false" ht="15" hidden="false" customHeight="false" outlineLevel="0" collapsed="false">
      <c r="A49" s="25" t="n">
        <v>34</v>
      </c>
      <c r="B49" s="82" t="str">
        <f aca="false">IF(Students!B38="","",Students!B38)</f>
        <v/>
      </c>
      <c r="C49" s="37" t="n">
        <f aca="false">'Aug 2027'!F49</f>
        <v>0</v>
      </c>
      <c r="D49" s="37" t="n">
        <f aca="false">IF(B49="",0,N(Students!E38))</f>
        <v>0</v>
      </c>
      <c r="E49" s="23"/>
      <c r="F49" s="26" t="n">
        <f aca="false">N(C49)+N(D49)-N(E49)</f>
        <v>0</v>
      </c>
      <c r="G49" s="37" t="n">
        <f aca="false">'Aug 2027'!J49</f>
        <v>0</v>
      </c>
      <c r="H49" s="37" t="n">
        <f aca="false">IF(B49="",0,N(Students!F38))</f>
        <v>0</v>
      </c>
      <c r="I49" s="23"/>
      <c r="J49" s="26" t="n">
        <f aca="false">N(G49)+N(H49)-N(I49)</f>
        <v>0</v>
      </c>
      <c r="K49" s="37" t="n">
        <f aca="false">'Aug 2027'!N49</f>
        <v>0</v>
      </c>
      <c r="L49" s="37" t="n">
        <f aca="false">IF(B49="",0,N(Students!G38))</f>
        <v>0</v>
      </c>
      <c r="M49" s="23"/>
      <c r="N49" s="26" t="n">
        <f aca="false">N(K49)+N(L49)-N(M49)</f>
        <v>0</v>
      </c>
      <c r="O49" s="37" t="n">
        <f aca="false">'Aug 2027'!R49</f>
        <v>0</v>
      </c>
      <c r="P49" s="37" t="n">
        <f aca="false">IF(B49="",0,N(Students!H38))</f>
        <v>0</v>
      </c>
      <c r="Q49" s="23"/>
      <c r="R49" s="26" t="n">
        <f aca="false">N(O49)+N(P49)-N(Q49)</f>
        <v>0</v>
      </c>
      <c r="S49" s="37" t="n">
        <f aca="false">'Aug 2027'!V49</f>
        <v>0</v>
      </c>
      <c r="T49" s="37" t="n">
        <f aca="false">IF(B49="",0,N(Students!I38))</f>
        <v>0</v>
      </c>
      <c r="U49" s="23"/>
      <c r="V49" s="26" t="n">
        <f aca="false">N(S49)+N(T49)-N(U49)</f>
        <v>0</v>
      </c>
      <c r="W49" s="37" t="n">
        <f aca="false">'Aug 2027'!Z49</f>
        <v>0</v>
      </c>
      <c r="X49" s="37" t="n">
        <f aca="false">IF(B49="",0,N(Students!J38))</f>
        <v>0</v>
      </c>
      <c r="Y49" s="23"/>
      <c r="Z49" s="26" t="n">
        <f aca="false">N(W49)+N(X49)-N(Y49)</f>
        <v>0</v>
      </c>
      <c r="AA49" s="37" t="n">
        <f aca="false">N(E49)+N(I49)+N(M49)+N(Q49)+N(U49)+N(Y49)</f>
        <v>0</v>
      </c>
      <c r="AB49" s="26" t="n">
        <f aca="false">F49+J49+N49+R49+V49+Z49</f>
        <v>0</v>
      </c>
      <c r="AC49" s="83" t="str">
        <f aca="false">IF(B49="","",IF(AB49&lt;=0,"Clear",IF(AA49&gt;0,"Partial","Due")))</f>
        <v/>
      </c>
    </row>
    <row r="50" customFormat="false" ht="15" hidden="false" customHeight="false" outlineLevel="0" collapsed="false">
      <c r="A50" s="21" t="n">
        <v>35</v>
      </c>
      <c r="B50" s="46" t="str">
        <f aca="false">IF(Students!B39="","",Students!B39)</f>
        <v/>
      </c>
      <c r="C50" s="33" t="n">
        <f aca="false">'Aug 2027'!F50</f>
        <v>0</v>
      </c>
      <c r="D50" s="33" t="n">
        <f aca="false">IF(B50="",0,N(Students!E39))</f>
        <v>0</v>
      </c>
      <c r="E50" s="23"/>
      <c r="F50" s="24" t="n">
        <f aca="false">N(C50)+N(D50)-N(E50)</f>
        <v>0</v>
      </c>
      <c r="G50" s="33" t="n">
        <f aca="false">'Aug 2027'!J50</f>
        <v>0</v>
      </c>
      <c r="H50" s="33" t="n">
        <f aca="false">IF(B50="",0,N(Students!F39))</f>
        <v>0</v>
      </c>
      <c r="I50" s="23"/>
      <c r="J50" s="24" t="n">
        <f aca="false">N(G50)+N(H50)-N(I50)</f>
        <v>0</v>
      </c>
      <c r="K50" s="33" t="n">
        <f aca="false">'Aug 2027'!N50</f>
        <v>0</v>
      </c>
      <c r="L50" s="33" t="n">
        <f aca="false">IF(B50="",0,N(Students!G39))</f>
        <v>0</v>
      </c>
      <c r="M50" s="23"/>
      <c r="N50" s="24" t="n">
        <f aca="false">N(K50)+N(L50)-N(M50)</f>
        <v>0</v>
      </c>
      <c r="O50" s="33" t="n">
        <f aca="false">'Aug 2027'!R50</f>
        <v>0</v>
      </c>
      <c r="P50" s="33" t="n">
        <f aca="false">IF(B50="",0,N(Students!H39))</f>
        <v>0</v>
      </c>
      <c r="Q50" s="23"/>
      <c r="R50" s="24" t="n">
        <f aca="false">N(O50)+N(P50)-N(Q50)</f>
        <v>0</v>
      </c>
      <c r="S50" s="33" t="n">
        <f aca="false">'Aug 2027'!V50</f>
        <v>0</v>
      </c>
      <c r="T50" s="33" t="n">
        <f aca="false">IF(B50="",0,N(Students!I39))</f>
        <v>0</v>
      </c>
      <c r="U50" s="23"/>
      <c r="V50" s="24" t="n">
        <f aca="false">N(S50)+N(T50)-N(U50)</f>
        <v>0</v>
      </c>
      <c r="W50" s="33" t="n">
        <f aca="false">'Aug 2027'!Z50</f>
        <v>0</v>
      </c>
      <c r="X50" s="33" t="n">
        <f aca="false">IF(B50="",0,N(Students!J39))</f>
        <v>0</v>
      </c>
      <c r="Y50" s="23"/>
      <c r="Z50" s="24" t="n">
        <f aca="false">N(W50)+N(X50)-N(Y50)</f>
        <v>0</v>
      </c>
      <c r="AA50" s="33" t="n">
        <f aca="false">N(E50)+N(I50)+N(M50)+N(Q50)+N(U50)+N(Y50)</f>
        <v>0</v>
      </c>
      <c r="AB50" s="24" t="n">
        <f aca="false">F50+J50+N50+R50+V50+Z50</f>
        <v>0</v>
      </c>
      <c r="AC50" s="81" t="str">
        <f aca="false">IF(B50="","",IF(AB50&lt;=0,"Clear",IF(AA50&gt;0,"Partial","Due")))</f>
        <v/>
      </c>
    </row>
    <row r="51" customFormat="false" ht="15" hidden="false" customHeight="false" outlineLevel="0" collapsed="false">
      <c r="A51" s="25" t="n">
        <v>36</v>
      </c>
      <c r="B51" s="82" t="str">
        <f aca="false">IF(Students!B40="","",Students!B40)</f>
        <v/>
      </c>
      <c r="C51" s="37" t="n">
        <f aca="false">'Aug 2027'!F51</f>
        <v>0</v>
      </c>
      <c r="D51" s="37" t="n">
        <f aca="false">IF(B51="",0,N(Students!E40))</f>
        <v>0</v>
      </c>
      <c r="E51" s="23"/>
      <c r="F51" s="26" t="n">
        <f aca="false">N(C51)+N(D51)-N(E51)</f>
        <v>0</v>
      </c>
      <c r="G51" s="37" t="n">
        <f aca="false">'Aug 2027'!J51</f>
        <v>0</v>
      </c>
      <c r="H51" s="37" t="n">
        <f aca="false">IF(B51="",0,N(Students!F40))</f>
        <v>0</v>
      </c>
      <c r="I51" s="23"/>
      <c r="J51" s="26" t="n">
        <f aca="false">N(G51)+N(H51)-N(I51)</f>
        <v>0</v>
      </c>
      <c r="K51" s="37" t="n">
        <f aca="false">'Aug 2027'!N51</f>
        <v>0</v>
      </c>
      <c r="L51" s="37" t="n">
        <f aca="false">IF(B51="",0,N(Students!G40))</f>
        <v>0</v>
      </c>
      <c r="M51" s="23"/>
      <c r="N51" s="26" t="n">
        <f aca="false">N(K51)+N(L51)-N(M51)</f>
        <v>0</v>
      </c>
      <c r="O51" s="37" t="n">
        <f aca="false">'Aug 2027'!R51</f>
        <v>0</v>
      </c>
      <c r="P51" s="37" t="n">
        <f aca="false">IF(B51="",0,N(Students!H40))</f>
        <v>0</v>
      </c>
      <c r="Q51" s="23"/>
      <c r="R51" s="26" t="n">
        <f aca="false">N(O51)+N(P51)-N(Q51)</f>
        <v>0</v>
      </c>
      <c r="S51" s="37" t="n">
        <f aca="false">'Aug 2027'!V51</f>
        <v>0</v>
      </c>
      <c r="T51" s="37" t="n">
        <f aca="false">IF(B51="",0,N(Students!I40))</f>
        <v>0</v>
      </c>
      <c r="U51" s="23"/>
      <c r="V51" s="26" t="n">
        <f aca="false">N(S51)+N(T51)-N(U51)</f>
        <v>0</v>
      </c>
      <c r="W51" s="37" t="n">
        <f aca="false">'Aug 2027'!Z51</f>
        <v>0</v>
      </c>
      <c r="X51" s="37" t="n">
        <f aca="false">IF(B51="",0,N(Students!J40))</f>
        <v>0</v>
      </c>
      <c r="Y51" s="23"/>
      <c r="Z51" s="26" t="n">
        <f aca="false">N(W51)+N(X51)-N(Y51)</f>
        <v>0</v>
      </c>
      <c r="AA51" s="37" t="n">
        <f aca="false">N(E51)+N(I51)+N(M51)+N(Q51)+N(U51)+N(Y51)</f>
        <v>0</v>
      </c>
      <c r="AB51" s="26" t="n">
        <f aca="false">F51+J51+N51+R51+V51+Z51</f>
        <v>0</v>
      </c>
      <c r="AC51" s="83" t="str">
        <f aca="false">IF(B51="","",IF(AB51&lt;=0,"Clear",IF(AA51&gt;0,"Partial","Due")))</f>
        <v/>
      </c>
    </row>
    <row r="52" customFormat="false" ht="15" hidden="false" customHeight="false" outlineLevel="0" collapsed="false">
      <c r="A52" s="21" t="n">
        <v>37</v>
      </c>
      <c r="B52" s="46" t="str">
        <f aca="false">IF(Students!B41="","",Students!B41)</f>
        <v/>
      </c>
      <c r="C52" s="33" t="n">
        <f aca="false">'Aug 2027'!F52</f>
        <v>0</v>
      </c>
      <c r="D52" s="33" t="n">
        <f aca="false">IF(B52="",0,N(Students!E41))</f>
        <v>0</v>
      </c>
      <c r="E52" s="23"/>
      <c r="F52" s="24" t="n">
        <f aca="false">N(C52)+N(D52)-N(E52)</f>
        <v>0</v>
      </c>
      <c r="G52" s="33" t="n">
        <f aca="false">'Aug 2027'!J52</f>
        <v>0</v>
      </c>
      <c r="H52" s="33" t="n">
        <f aca="false">IF(B52="",0,N(Students!F41))</f>
        <v>0</v>
      </c>
      <c r="I52" s="23"/>
      <c r="J52" s="24" t="n">
        <f aca="false">N(G52)+N(H52)-N(I52)</f>
        <v>0</v>
      </c>
      <c r="K52" s="33" t="n">
        <f aca="false">'Aug 2027'!N52</f>
        <v>0</v>
      </c>
      <c r="L52" s="33" t="n">
        <f aca="false">IF(B52="",0,N(Students!G41))</f>
        <v>0</v>
      </c>
      <c r="M52" s="23"/>
      <c r="N52" s="24" t="n">
        <f aca="false">N(K52)+N(L52)-N(M52)</f>
        <v>0</v>
      </c>
      <c r="O52" s="33" t="n">
        <f aca="false">'Aug 2027'!R52</f>
        <v>0</v>
      </c>
      <c r="P52" s="33" t="n">
        <f aca="false">IF(B52="",0,N(Students!H41))</f>
        <v>0</v>
      </c>
      <c r="Q52" s="23"/>
      <c r="R52" s="24" t="n">
        <f aca="false">N(O52)+N(P52)-N(Q52)</f>
        <v>0</v>
      </c>
      <c r="S52" s="33" t="n">
        <f aca="false">'Aug 2027'!V52</f>
        <v>0</v>
      </c>
      <c r="T52" s="33" t="n">
        <f aca="false">IF(B52="",0,N(Students!I41))</f>
        <v>0</v>
      </c>
      <c r="U52" s="23"/>
      <c r="V52" s="24" t="n">
        <f aca="false">N(S52)+N(T52)-N(U52)</f>
        <v>0</v>
      </c>
      <c r="W52" s="33" t="n">
        <f aca="false">'Aug 2027'!Z52</f>
        <v>0</v>
      </c>
      <c r="X52" s="33" t="n">
        <f aca="false">IF(B52="",0,N(Students!J41))</f>
        <v>0</v>
      </c>
      <c r="Y52" s="23"/>
      <c r="Z52" s="24" t="n">
        <f aca="false">N(W52)+N(X52)-N(Y52)</f>
        <v>0</v>
      </c>
      <c r="AA52" s="33" t="n">
        <f aca="false">N(E52)+N(I52)+N(M52)+N(Q52)+N(U52)+N(Y52)</f>
        <v>0</v>
      </c>
      <c r="AB52" s="24" t="n">
        <f aca="false">F52+J52+N52+R52+V52+Z52</f>
        <v>0</v>
      </c>
      <c r="AC52" s="81" t="str">
        <f aca="false">IF(B52="","",IF(AB52&lt;=0,"Clear",IF(AA52&gt;0,"Partial","Due")))</f>
        <v/>
      </c>
    </row>
    <row r="53" customFormat="false" ht="15" hidden="false" customHeight="false" outlineLevel="0" collapsed="false">
      <c r="A53" s="25" t="n">
        <v>38</v>
      </c>
      <c r="B53" s="82" t="str">
        <f aca="false">IF(Students!B42="","",Students!B42)</f>
        <v/>
      </c>
      <c r="C53" s="37" t="n">
        <f aca="false">'Aug 2027'!F53</f>
        <v>0</v>
      </c>
      <c r="D53" s="37" t="n">
        <f aca="false">IF(B53="",0,N(Students!E42))</f>
        <v>0</v>
      </c>
      <c r="E53" s="23"/>
      <c r="F53" s="26" t="n">
        <f aca="false">N(C53)+N(D53)-N(E53)</f>
        <v>0</v>
      </c>
      <c r="G53" s="37" t="n">
        <f aca="false">'Aug 2027'!J53</f>
        <v>0</v>
      </c>
      <c r="H53" s="37" t="n">
        <f aca="false">IF(B53="",0,N(Students!F42))</f>
        <v>0</v>
      </c>
      <c r="I53" s="23"/>
      <c r="J53" s="26" t="n">
        <f aca="false">N(G53)+N(H53)-N(I53)</f>
        <v>0</v>
      </c>
      <c r="K53" s="37" t="n">
        <f aca="false">'Aug 2027'!N53</f>
        <v>0</v>
      </c>
      <c r="L53" s="37" t="n">
        <f aca="false">IF(B53="",0,N(Students!G42))</f>
        <v>0</v>
      </c>
      <c r="M53" s="23"/>
      <c r="N53" s="26" t="n">
        <f aca="false">N(K53)+N(L53)-N(M53)</f>
        <v>0</v>
      </c>
      <c r="O53" s="37" t="n">
        <f aca="false">'Aug 2027'!R53</f>
        <v>0</v>
      </c>
      <c r="P53" s="37" t="n">
        <f aca="false">IF(B53="",0,N(Students!H42))</f>
        <v>0</v>
      </c>
      <c r="Q53" s="23"/>
      <c r="R53" s="26" t="n">
        <f aca="false">N(O53)+N(P53)-N(Q53)</f>
        <v>0</v>
      </c>
      <c r="S53" s="37" t="n">
        <f aca="false">'Aug 2027'!V53</f>
        <v>0</v>
      </c>
      <c r="T53" s="37" t="n">
        <f aca="false">IF(B53="",0,N(Students!I42))</f>
        <v>0</v>
      </c>
      <c r="U53" s="23"/>
      <c r="V53" s="26" t="n">
        <f aca="false">N(S53)+N(T53)-N(U53)</f>
        <v>0</v>
      </c>
      <c r="W53" s="37" t="n">
        <f aca="false">'Aug 2027'!Z53</f>
        <v>0</v>
      </c>
      <c r="X53" s="37" t="n">
        <f aca="false">IF(B53="",0,N(Students!J42))</f>
        <v>0</v>
      </c>
      <c r="Y53" s="23"/>
      <c r="Z53" s="26" t="n">
        <f aca="false">N(W53)+N(X53)-N(Y53)</f>
        <v>0</v>
      </c>
      <c r="AA53" s="37" t="n">
        <f aca="false">N(E53)+N(I53)+N(M53)+N(Q53)+N(U53)+N(Y53)</f>
        <v>0</v>
      </c>
      <c r="AB53" s="26" t="n">
        <f aca="false">F53+J53+N53+R53+V53+Z53</f>
        <v>0</v>
      </c>
      <c r="AC53" s="83" t="str">
        <f aca="false">IF(B53="","",IF(AB53&lt;=0,"Clear",IF(AA53&gt;0,"Partial","Due")))</f>
        <v/>
      </c>
    </row>
    <row r="54" customFormat="false" ht="15" hidden="false" customHeight="false" outlineLevel="0" collapsed="false">
      <c r="A54" s="21" t="n">
        <v>39</v>
      </c>
      <c r="B54" s="46" t="str">
        <f aca="false">IF(Students!B43="","",Students!B43)</f>
        <v/>
      </c>
      <c r="C54" s="33" t="n">
        <f aca="false">'Aug 2027'!F54</f>
        <v>0</v>
      </c>
      <c r="D54" s="33" t="n">
        <f aca="false">IF(B54="",0,N(Students!E43))</f>
        <v>0</v>
      </c>
      <c r="E54" s="23"/>
      <c r="F54" s="24" t="n">
        <f aca="false">N(C54)+N(D54)-N(E54)</f>
        <v>0</v>
      </c>
      <c r="G54" s="33" t="n">
        <f aca="false">'Aug 2027'!J54</f>
        <v>0</v>
      </c>
      <c r="H54" s="33" t="n">
        <f aca="false">IF(B54="",0,N(Students!F43))</f>
        <v>0</v>
      </c>
      <c r="I54" s="23"/>
      <c r="J54" s="24" t="n">
        <f aca="false">N(G54)+N(H54)-N(I54)</f>
        <v>0</v>
      </c>
      <c r="K54" s="33" t="n">
        <f aca="false">'Aug 2027'!N54</f>
        <v>0</v>
      </c>
      <c r="L54" s="33" t="n">
        <f aca="false">IF(B54="",0,N(Students!G43))</f>
        <v>0</v>
      </c>
      <c r="M54" s="23"/>
      <c r="N54" s="24" t="n">
        <f aca="false">N(K54)+N(L54)-N(M54)</f>
        <v>0</v>
      </c>
      <c r="O54" s="33" t="n">
        <f aca="false">'Aug 2027'!R54</f>
        <v>0</v>
      </c>
      <c r="P54" s="33" t="n">
        <f aca="false">IF(B54="",0,N(Students!H43))</f>
        <v>0</v>
      </c>
      <c r="Q54" s="23"/>
      <c r="R54" s="24" t="n">
        <f aca="false">N(O54)+N(P54)-N(Q54)</f>
        <v>0</v>
      </c>
      <c r="S54" s="33" t="n">
        <f aca="false">'Aug 2027'!V54</f>
        <v>0</v>
      </c>
      <c r="T54" s="33" t="n">
        <f aca="false">IF(B54="",0,N(Students!I43))</f>
        <v>0</v>
      </c>
      <c r="U54" s="23"/>
      <c r="V54" s="24" t="n">
        <f aca="false">N(S54)+N(T54)-N(U54)</f>
        <v>0</v>
      </c>
      <c r="W54" s="33" t="n">
        <f aca="false">'Aug 2027'!Z54</f>
        <v>0</v>
      </c>
      <c r="X54" s="33" t="n">
        <f aca="false">IF(B54="",0,N(Students!J43))</f>
        <v>0</v>
      </c>
      <c r="Y54" s="23"/>
      <c r="Z54" s="24" t="n">
        <f aca="false">N(W54)+N(X54)-N(Y54)</f>
        <v>0</v>
      </c>
      <c r="AA54" s="33" t="n">
        <f aca="false">N(E54)+N(I54)+N(M54)+N(Q54)+N(U54)+N(Y54)</f>
        <v>0</v>
      </c>
      <c r="AB54" s="24" t="n">
        <f aca="false">F54+J54+N54+R54+V54+Z54</f>
        <v>0</v>
      </c>
      <c r="AC54" s="81" t="str">
        <f aca="false">IF(B54="","",IF(AB54&lt;=0,"Clear",IF(AA54&gt;0,"Partial","Due")))</f>
        <v/>
      </c>
    </row>
    <row r="55" customFormat="false" ht="15" hidden="false" customHeight="false" outlineLevel="0" collapsed="false">
      <c r="A55" s="25" t="n">
        <v>40</v>
      </c>
      <c r="B55" s="82" t="str">
        <f aca="false">IF(Students!B44="","",Students!B44)</f>
        <v/>
      </c>
      <c r="C55" s="37" t="n">
        <f aca="false">'Aug 2027'!F55</f>
        <v>0</v>
      </c>
      <c r="D55" s="37" t="n">
        <f aca="false">IF(B55="",0,N(Students!E44))</f>
        <v>0</v>
      </c>
      <c r="E55" s="23"/>
      <c r="F55" s="26" t="n">
        <f aca="false">N(C55)+N(D55)-N(E55)</f>
        <v>0</v>
      </c>
      <c r="G55" s="37" t="n">
        <f aca="false">'Aug 2027'!J55</f>
        <v>0</v>
      </c>
      <c r="H55" s="37" t="n">
        <f aca="false">IF(B55="",0,N(Students!F44))</f>
        <v>0</v>
      </c>
      <c r="I55" s="23"/>
      <c r="J55" s="26" t="n">
        <f aca="false">N(G55)+N(H55)-N(I55)</f>
        <v>0</v>
      </c>
      <c r="K55" s="37" t="n">
        <f aca="false">'Aug 2027'!N55</f>
        <v>0</v>
      </c>
      <c r="L55" s="37" t="n">
        <f aca="false">IF(B55="",0,N(Students!G44))</f>
        <v>0</v>
      </c>
      <c r="M55" s="23"/>
      <c r="N55" s="26" t="n">
        <f aca="false">N(K55)+N(L55)-N(M55)</f>
        <v>0</v>
      </c>
      <c r="O55" s="37" t="n">
        <f aca="false">'Aug 2027'!R55</f>
        <v>0</v>
      </c>
      <c r="P55" s="37" t="n">
        <f aca="false">IF(B55="",0,N(Students!H44))</f>
        <v>0</v>
      </c>
      <c r="Q55" s="23"/>
      <c r="R55" s="26" t="n">
        <f aca="false">N(O55)+N(P55)-N(Q55)</f>
        <v>0</v>
      </c>
      <c r="S55" s="37" t="n">
        <f aca="false">'Aug 2027'!V55</f>
        <v>0</v>
      </c>
      <c r="T55" s="37" t="n">
        <f aca="false">IF(B55="",0,N(Students!I44))</f>
        <v>0</v>
      </c>
      <c r="U55" s="23"/>
      <c r="V55" s="26" t="n">
        <f aca="false">N(S55)+N(T55)-N(U55)</f>
        <v>0</v>
      </c>
      <c r="W55" s="37" t="n">
        <f aca="false">'Aug 2027'!Z55</f>
        <v>0</v>
      </c>
      <c r="X55" s="37" t="n">
        <f aca="false">IF(B55="",0,N(Students!J44))</f>
        <v>0</v>
      </c>
      <c r="Y55" s="23"/>
      <c r="Z55" s="26" t="n">
        <f aca="false">N(W55)+N(X55)-N(Y55)</f>
        <v>0</v>
      </c>
      <c r="AA55" s="37" t="n">
        <f aca="false">N(E55)+N(I55)+N(M55)+N(Q55)+N(U55)+N(Y55)</f>
        <v>0</v>
      </c>
      <c r="AB55" s="26" t="n">
        <f aca="false">F55+J55+N55+R55+V55+Z55</f>
        <v>0</v>
      </c>
      <c r="AC55" s="83" t="str">
        <f aca="false">IF(B55="","",IF(AB55&lt;=0,"Clear",IF(AA55&gt;0,"Partial","Due")))</f>
        <v/>
      </c>
    </row>
    <row r="56" customFormat="false" ht="15" hidden="false" customHeight="false" outlineLevel="0" collapsed="false">
      <c r="A56" s="21" t="n">
        <v>41</v>
      </c>
      <c r="B56" s="46" t="str">
        <f aca="false">IF(Students!B45="","",Students!B45)</f>
        <v/>
      </c>
      <c r="C56" s="33" t="n">
        <f aca="false">'Aug 2027'!F56</f>
        <v>0</v>
      </c>
      <c r="D56" s="33" t="n">
        <f aca="false">IF(B56="",0,N(Students!E45))</f>
        <v>0</v>
      </c>
      <c r="E56" s="23"/>
      <c r="F56" s="24" t="n">
        <f aca="false">N(C56)+N(D56)-N(E56)</f>
        <v>0</v>
      </c>
      <c r="G56" s="33" t="n">
        <f aca="false">'Aug 2027'!J56</f>
        <v>0</v>
      </c>
      <c r="H56" s="33" t="n">
        <f aca="false">IF(B56="",0,N(Students!F45))</f>
        <v>0</v>
      </c>
      <c r="I56" s="23"/>
      <c r="J56" s="24" t="n">
        <f aca="false">N(G56)+N(H56)-N(I56)</f>
        <v>0</v>
      </c>
      <c r="K56" s="33" t="n">
        <f aca="false">'Aug 2027'!N56</f>
        <v>0</v>
      </c>
      <c r="L56" s="33" t="n">
        <f aca="false">IF(B56="",0,N(Students!G45))</f>
        <v>0</v>
      </c>
      <c r="M56" s="23"/>
      <c r="N56" s="24" t="n">
        <f aca="false">N(K56)+N(L56)-N(M56)</f>
        <v>0</v>
      </c>
      <c r="O56" s="33" t="n">
        <f aca="false">'Aug 2027'!R56</f>
        <v>0</v>
      </c>
      <c r="P56" s="33" t="n">
        <f aca="false">IF(B56="",0,N(Students!H45))</f>
        <v>0</v>
      </c>
      <c r="Q56" s="23"/>
      <c r="R56" s="24" t="n">
        <f aca="false">N(O56)+N(P56)-N(Q56)</f>
        <v>0</v>
      </c>
      <c r="S56" s="33" t="n">
        <f aca="false">'Aug 2027'!V56</f>
        <v>0</v>
      </c>
      <c r="T56" s="33" t="n">
        <f aca="false">IF(B56="",0,N(Students!I45))</f>
        <v>0</v>
      </c>
      <c r="U56" s="23"/>
      <c r="V56" s="24" t="n">
        <f aca="false">N(S56)+N(T56)-N(U56)</f>
        <v>0</v>
      </c>
      <c r="W56" s="33" t="n">
        <f aca="false">'Aug 2027'!Z56</f>
        <v>0</v>
      </c>
      <c r="X56" s="33" t="n">
        <f aca="false">IF(B56="",0,N(Students!J45))</f>
        <v>0</v>
      </c>
      <c r="Y56" s="23"/>
      <c r="Z56" s="24" t="n">
        <f aca="false">N(W56)+N(X56)-N(Y56)</f>
        <v>0</v>
      </c>
      <c r="AA56" s="33" t="n">
        <f aca="false">N(E56)+N(I56)+N(M56)+N(Q56)+N(U56)+N(Y56)</f>
        <v>0</v>
      </c>
      <c r="AB56" s="24" t="n">
        <f aca="false">F56+J56+N56+R56+V56+Z56</f>
        <v>0</v>
      </c>
      <c r="AC56" s="81" t="str">
        <f aca="false">IF(B56="","",IF(AB56&lt;=0,"Clear",IF(AA56&gt;0,"Partial","Due")))</f>
        <v/>
      </c>
    </row>
    <row r="57" customFormat="false" ht="15" hidden="false" customHeight="false" outlineLevel="0" collapsed="false">
      <c r="A57" s="25" t="n">
        <v>42</v>
      </c>
      <c r="B57" s="82" t="str">
        <f aca="false">IF(Students!B46="","",Students!B46)</f>
        <v/>
      </c>
      <c r="C57" s="37" t="n">
        <f aca="false">'Aug 2027'!F57</f>
        <v>0</v>
      </c>
      <c r="D57" s="37" t="n">
        <f aca="false">IF(B57="",0,N(Students!E46))</f>
        <v>0</v>
      </c>
      <c r="E57" s="23"/>
      <c r="F57" s="26" t="n">
        <f aca="false">N(C57)+N(D57)-N(E57)</f>
        <v>0</v>
      </c>
      <c r="G57" s="37" t="n">
        <f aca="false">'Aug 2027'!J57</f>
        <v>0</v>
      </c>
      <c r="H57" s="37" t="n">
        <f aca="false">IF(B57="",0,N(Students!F46))</f>
        <v>0</v>
      </c>
      <c r="I57" s="23"/>
      <c r="J57" s="26" t="n">
        <f aca="false">N(G57)+N(H57)-N(I57)</f>
        <v>0</v>
      </c>
      <c r="K57" s="37" t="n">
        <f aca="false">'Aug 2027'!N57</f>
        <v>0</v>
      </c>
      <c r="L57" s="37" t="n">
        <f aca="false">IF(B57="",0,N(Students!G46))</f>
        <v>0</v>
      </c>
      <c r="M57" s="23"/>
      <c r="N57" s="26" t="n">
        <f aca="false">N(K57)+N(L57)-N(M57)</f>
        <v>0</v>
      </c>
      <c r="O57" s="37" t="n">
        <f aca="false">'Aug 2027'!R57</f>
        <v>0</v>
      </c>
      <c r="P57" s="37" t="n">
        <f aca="false">IF(B57="",0,N(Students!H46))</f>
        <v>0</v>
      </c>
      <c r="Q57" s="23"/>
      <c r="R57" s="26" t="n">
        <f aca="false">N(O57)+N(P57)-N(Q57)</f>
        <v>0</v>
      </c>
      <c r="S57" s="37" t="n">
        <f aca="false">'Aug 2027'!V57</f>
        <v>0</v>
      </c>
      <c r="T57" s="37" t="n">
        <f aca="false">IF(B57="",0,N(Students!I46))</f>
        <v>0</v>
      </c>
      <c r="U57" s="23"/>
      <c r="V57" s="26" t="n">
        <f aca="false">N(S57)+N(T57)-N(U57)</f>
        <v>0</v>
      </c>
      <c r="W57" s="37" t="n">
        <f aca="false">'Aug 2027'!Z57</f>
        <v>0</v>
      </c>
      <c r="X57" s="37" t="n">
        <f aca="false">IF(B57="",0,N(Students!J46))</f>
        <v>0</v>
      </c>
      <c r="Y57" s="23"/>
      <c r="Z57" s="26" t="n">
        <f aca="false">N(W57)+N(X57)-N(Y57)</f>
        <v>0</v>
      </c>
      <c r="AA57" s="37" t="n">
        <f aca="false">N(E57)+N(I57)+N(M57)+N(Q57)+N(U57)+N(Y57)</f>
        <v>0</v>
      </c>
      <c r="AB57" s="26" t="n">
        <f aca="false">F57+J57+N57+R57+V57+Z57</f>
        <v>0</v>
      </c>
      <c r="AC57" s="83" t="str">
        <f aca="false">IF(B57="","",IF(AB57&lt;=0,"Clear",IF(AA57&gt;0,"Partial","Due")))</f>
        <v/>
      </c>
    </row>
    <row r="58" customFormat="false" ht="15" hidden="false" customHeight="false" outlineLevel="0" collapsed="false">
      <c r="A58" s="21" t="n">
        <v>43</v>
      </c>
      <c r="B58" s="46" t="str">
        <f aca="false">IF(Students!B47="","",Students!B47)</f>
        <v/>
      </c>
      <c r="C58" s="33" t="n">
        <f aca="false">'Aug 2027'!F58</f>
        <v>0</v>
      </c>
      <c r="D58" s="33" t="n">
        <f aca="false">IF(B58="",0,N(Students!E47))</f>
        <v>0</v>
      </c>
      <c r="E58" s="23"/>
      <c r="F58" s="24" t="n">
        <f aca="false">N(C58)+N(D58)-N(E58)</f>
        <v>0</v>
      </c>
      <c r="G58" s="33" t="n">
        <f aca="false">'Aug 2027'!J58</f>
        <v>0</v>
      </c>
      <c r="H58" s="33" t="n">
        <f aca="false">IF(B58="",0,N(Students!F47))</f>
        <v>0</v>
      </c>
      <c r="I58" s="23"/>
      <c r="J58" s="24" t="n">
        <f aca="false">N(G58)+N(H58)-N(I58)</f>
        <v>0</v>
      </c>
      <c r="K58" s="33" t="n">
        <f aca="false">'Aug 2027'!N58</f>
        <v>0</v>
      </c>
      <c r="L58" s="33" t="n">
        <f aca="false">IF(B58="",0,N(Students!G47))</f>
        <v>0</v>
      </c>
      <c r="M58" s="23"/>
      <c r="N58" s="24" t="n">
        <f aca="false">N(K58)+N(L58)-N(M58)</f>
        <v>0</v>
      </c>
      <c r="O58" s="33" t="n">
        <f aca="false">'Aug 2027'!R58</f>
        <v>0</v>
      </c>
      <c r="P58" s="33" t="n">
        <f aca="false">IF(B58="",0,N(Students!H47))</f>
        <v>0</v>
      </c>
      <c r="Q58" s="23"/>
      <c r="R58" s="24" t="n">
        <f aca="false">N(O58)+N(P58)-N(Q58)</f>
        <v>0</v>
      </c>
      <c r="S58" s="33" t="n">
        <f aca="false">'Aug 2027'!V58</f>
        <v>0</v>
      </c>
      <c r="T58" s="33" t="n">
        <f aca="false">IF(B58="",0,N(Students!I47))</f>
        <v>0</v>
      </c>
      <c r="U58" s="23"/>
      <c r="V58" s="24" t="n">
        <f aca="false">N(S58)+N(T58)-N(U58)</f>
        <v>0</v>
      </c>
      <c r="W58" s="33" t="n">
        <f aca="false">'Aug 2027'!Z58</f>
        <v>0</v>
      </c>
      <c r="X58" s="33" t="n">
        <f aca="false">IF(B58="",0,N(Students!J47))</f>
        <v>0</v>
      </c>
      <c r="Y58" s="23"/>
      <c r="Z58" s="24" t="n">
        <f aca="false">N(W58)+N(X58)-N(Y58)</f>
        <v>0</v>
      </c>
      <c r="AA58" s="33" t="n">
        <f aca="false">N(E58)+N(I58)+N(M58)+N(Q58)+N(U58)+N(Y58)</f>
        <v>0</v>
      </c>
      <c r="AB58" s="24" t="n">
        <f aca="false">F58+J58+N58+R58+V58+Z58</f>
        <v>0</v>
      </c>
      <c r="AC58" s="81" t="str">
        <f aca="false">IF(B58="","",IF(AB58&lt;=0,"Clear",IF(AA58&gt;0,"Partial","Due")))</f>
        <v/>
      </c>
    </row>
    <row r="59" customFormat="false" ht="15" hidden="false" customHeight="false" outlineLevel="0" collapsed="false">
      <c r="A59" s="25" t="n">
        <v>44</v>
      </c>
      <c r="B59" s="82" t="str">
        <f aca="false">IF(Students!B48="","",Students!B48)</f>
        <v/>
      </c>
      <c r="C59" s="37" t="n">
        <f aca="false">'Aug 2027'!F59</f>
        <v>0</v>
      </c>
      <c r="D59" s="37" t="n">
        <f aca="false">IF(B59="",0,N(Students!E48))</f>
        <v>0</v>
      </c>
      <c r="E59" s="23"/>
      <c r="F59" s="26" t="n">
        <f aca="false">N(C59)+N(D59)-N(E59)</f>
        <v>0</v>
      </c>
      <c r="G59" s="37" t="n">
        <f aca="false">'Aug 2027'!J59</f>
        <v>0</v>
      </c>
      <c r="H59" s="37" t="n">
        <f aca="false">IF(B59="",0,N(Students!F48))</f>
        <v>0</v>
      </c>
      <c r="I59" s="23"/>
      <c r="J59" s="26" t="n">
        <f aca="false">N(G59)+N(H59)-N(I59)</f>
        <v>0</v>
      </c>
      <c r="K59" s="37" t="n">
        <f aca="false">'Aug 2027'!N59</f>
        <v>0</v>
      </c>
      <c r="L59" s="37" t="n">
        <f aca="false">IF(B59="",0,N(Students!G48))</f>
        <v>0</v>
      </c>
      <c r="M59" s="23"/>
      <c r="N59" s="26" t="n">
        <f aca="false">N(K59)+N(L59)-N(M59)</f>
        <v>0</v>
      </c>
      <c r="O59" s="37" t="n">
        <f aca="false">'Aug 2027'!R59</f>
        <v>0</v>
      </c>
      <c r="P59" s="37" t="n">
        <f aca="false">IF(B59="",0,N(Students!H48))</f>
        <v>0</v>
      </c>
      <c r="Q59" s="23"/>
      <c r="R59" s="26" t="n">
        <f aca="false">N(O59)+N(P59)-N(Q59)</f>
        <v>0</v>
      </c>
      <c r="S59" s="37" t="n">
        <f aca="false">'Aug 2027'!V59</f>
        <v>0</v>
      </c>
      <c r="T59" s="37" t="n">
        <f aca="false">IF(B59="",0,N(Students!I48))</f>
        <v>0</v>
      </c>
      <c r="U59" s="23"/>
      <c r="V59" s="26" t="n">
        <f aca="false">N(S59)+N(T59)-N(U59)</f>
        <v>0</v>
      </c>
      <c r="W59" s="37" t="n">
        <f aca="false">'Aug 2027'!Z59</f>
        <v>0</v>
      </c>
      <c r="X59" s="37" t="n">
        <f aca="false">IF(B59="",0,N(Students!J48))</f>
        <v>0</v>
      </c>
      <c r="Y59" s="23"/>
      <c r="Z59" s="26" t="n">
        <f aca="false">N(W59)+N(X59)-N(Y59)</f>
        <v>0</v>
      </c>
      <c r="AA59" s="37" t="n">
        <f aca="false">N(E59)+N(I59)+N(M59)+N(Q59)+N(U59)+N(Y59)</f>
        <v>0</v>
      </c>
      <c r="AB59" s="26" t="n">
        <f aca="false">F59+J59+N59+R59+V59+Z59</f>
        <v>0</v>
      </c>
      <c r="AC59" s="83" t="str">
        <f aca="false">IF(B59="","",IF(AB59&lt;=0,"Clear",IF(AA59&gt;0,"Partial","Due")))</f>
        <v/>
      </c>
    </row>
    <row r="60" customFormat="false" ht="15" hidden="false" customHeight="false" outlineLevel="0" collapsed="false">
      <c r="A60" s="21" t="n">
        <v>45</v>
      </c>
      <c r="B60" s="46" t="str">
        <f aca="false">IF(Students!B49="","",Students!B49)</f>
        <v/>
      </c>
      <c r="C60" s="33" t="n">
        <f aca="false">'Aug 2027'!F60</f>
        <v>0</v>
      </c>
      <c r="D60" s="33" t="n">
        <f aca="false">IF(B60="",0,N(Students!E49))</f>
        <v>0</v>
      </c>
      <c r="E60" s="23"/>
      <c r="F60" s="24" t="n">
        <f aca="false">N(C60)+N(D60)-N(E60)</f>
        <v>0</v>
      </c>
      <c r="G60" s="33" t="n">
        <f aca="false">'Aug 2027'!J60</f>
        <v>0</v>
      </c>
      <c r="H60" s="33" t="n">
        <f aca="false">IF(B60="",0,N(Students!F49))</f>
        <v>0</v>
      </c>
      <c r="I60" s="23"/>
      <c r="J60" s="24" t="n">
        <f aca="false">N(G60)+N(H60)-N(I60)</f>
        <v>0</v>
      </c>
      <c r="K60" s="33" t="n">
        <f aca="false">'Aug 2027'!N60</f>
        <v>0</v>
      </c>
      <c r="L60" s="33" t="n">
        <f aca="false">IF(B60="",0,N(Students!G49))</f>
        <v>0</v>
      </c>
      <c r="M60" s="23"/>
      <c r="N60" s="24" t="n">
        <f aca="false">N(K60)+N(L60)-N(M60)</f>
        <v>0</v>
      </c>
      <c r="O60" s="33" t="n">
        <f aca="false">'Aug 2027'!R60</f>
        <v>0</v>
      </c>
      <c r="P60" s="33" t="n">
        <f aca="false">IF(B60="",0,N(Students!H49))</f>
        <v>0</v>
      </c>
      <c r="Q60" s="23"/>
      <c r="R60" s="24" t="n">
        <f aca="false">N(O60)+N(P60)-N(Q60)</f>
        <v>0</v>
      </c>
      <c r="S60" s="33" t="n">
        <f aca="false">'Aug 2027'!V60</f>
        <v>0</v>
      </c>
      <c r="T60" s="33" t="n">
        <f aca="false">IF(B60="",0,N(Students!I49))</f>
        <v>0</v>
      </c>
      <c r="U60" s="23"/>
      <c r="V60" s="24" t="n">
        <f aca="false">N(S60)+N(T60)-N(U60)</f>
        <v>0</v>
      </c>
      <c r="W60" s="33" t="n">
        <f aca="false">'Aug 2027'!Z60</f>
        <v>0</v>
      </c>
      <c r="X60" s="33" t="n">
        <f aca="false">IF(B60="",0,N(Students!J49))</f>
        <v>0</v>
      </c>
      <c r="Y60" s="23"/>
      <c r="Z60" s="24" t="n">
        <f aca="false">N(W60)+N(X60)-N(Y60)</f>
        <v>0</v>
      </c>
      <c r="AA60" s="33" t="n">
        <f aca="false">N(E60)+N(I60)+N(M60)+N(Q60)+N(U60)+N(Y60)</f>
        <v>0</v>
      </c>
      <c r="AB60" s="24" t="n">
        <f aca="false">F60+J60+N60+R60+V60+Z60</f>
        <v>0</v>
      </c>
      <c r="AC60" s="81" t="str">
        <f aca="false">IF(B60="","",IF(AB60&lt;=0,"Clear",IF(AA60&gt;0,"Partial","Due")))</f>
        <v/>
      </c>
    </row>
    <row r="61" customFormat="false" ht="15" hidden="false" customHeight="false" outlineLevel="0" collapsed="false">
      <c r="A61" s="25" t="n">
        <v>46</v>
      </c>
      <c r="B61" s="82" t="str">
        <f aca="false">IF(Students!B50="","",Students!B50)</f>
        <v/>
      </c>
      <c r="C61" s="37" t="n">
        <f aca="false">'Aug 2027'!F61</f>
        <v>0</v>
      </c>
      <c r="D61" s="37" t="n">
        <f aca="false">IF(B61="",0,N(Students!E50))</f>
        <v>0</v>
      </c>
      <c r="E61" s="23"/>
      <c r="F61" s="26" t="n">
        <f aca="false">N(C61)+N(D61)-N(E61)</f>
        <v>0</v>
      </c>
      <c r="G61" s="37" t="n">
        <f aca="false">'Aug 2027'!J61</f>
        <v>0</v>
      </c>
      <c r="H61" s="37" t="n">
        <f aca="false">IF(B61="",0,N(Students!F50))</f>
        <v>0</v>
      </c>
      <c r="I61" s="23"/>
      <c r="J61" s="26" t="n">
        <f aca="false">N(G61)+N(H61)-N(I61)</f>
        <v>0</v>
      </c>
      <c r="K61" s="37" t="n">
        <f aca="false">'Aug 2027'!N61</f>
        <v>0</v>
      </c>
      <c r="L61" s="37" t="n">
        <f aca="false">IF(B61="",0,N(Students!G50))</f>
        <v>0</v>
      </c>
      <c r="M61" s="23"/>
      <c r="N61" s="26" t="n">
        <f aca="false">N(K61)+N(L61)-N(M61)</f>
        <v>0</v>
      </c>
      <c r="O61" s="37" t="n">
        <f aca="false">'Aug 2027'!R61</f>
        <v>0</v>
      </c>
      <c r="P61" s="37" t="n">
        <f aca="false">IF(B61="",0,N(Students!H50))</f>
        <v>0</v>
      </c>
      <c r="Q61" s="23"/>
      <c r="R61" s="26" t="n">
        <f aca="false">N(O61)+N(P61)-N(Q61)</f>
        <v>0</v>
      </c>
      <c r="S61" s="37" t="n">
        <f aca="false">'Aug 2027'!V61</f>
        <v>0</v>
      </c>
      <c r="T61" s="37" t="n">
        <f aca="false">IF(B61="",0,N(Students!I50))</f>
        <v>0</v>
      </c>
      <c r="U61" s="23"/>
      <c r="V61" s="26" t="n">
        <f aca="false">N(S61)+N(T61)-N(U61)</f>
        <v>0</v>
      </c>
      <c r="W61" s="37" t="n">
        <f aca="false">'Aug 2027'!Z61</f>
        <v>0</v>
      </c>
      <c r="X61" s="37" t="n">
        <f aca="false">IF(B61="",0,N(Students!J50))</f>
        <v>0</v>
      </c>
      <c r="Y61" s="23"/>
      <c r="Z61" s="26" t="n">
        <f aca="false">N(W61)+N(X61)-N(Y61)</f>
        <v>0</v>
      </c>
      <c r="AA61" s="37" t="n">
        <f aca="false">N(E61)+N(I61)+N(M61)+N(Q61)+N(U61)+N(Y61)</f>
        <v>0</v>
      </c>
      <c r="AB61" s="26" t="n">
        <f aca="false">F61+J61+N61+R61+V61+Z61</f>
        <v>0</v>
      </c>
      <c r="AC61" s="83" t="str">
        <f aca="false">IF(B61="","",IF(AB61&lt;=0,"Clear",IF(AA61&gt;0,"Partial","Due")))</f>
        <v/>
      </c>
    </row>
    <row r="62" customFormat="false" ht="15" hidden="false" customHeight="false" outlineLevel="0" collapsed="false">
      <c r="A62" s="21" t="n">
        <v>47</v>
      </c>
      <c r="B62" s="46" t="str">
        <f aca="false">IF(Students!B51="","",Students!B51)</f>
        <v/>
      </c>
      <c r="C62" s="33" t="n">
        <f aca="false">'Aug 2027'!F62</f>
        <v>0</v>
      </c>
      <c r="D62" s="33" t="n">
        <f aca="false">IF(B62="",0,N(Students!E51))</f>
        <v>0</v>
      </c>
      <c r="E62" s="23"/>
      <c r="F62" s="24" t="n">
        <f aca="false">N(C62)+N(D62)-N(E62)</f>
        <v>0</v>
      </c>
      <c r="G62" s="33" t="n">
        <f aca="false">'Aug 2027'!J62</f>
        <v>0</v>
      </c>
      <c r="H62" s="33" t="n">
        <f aca="false">IF(B62="",0,N(Students!F51))</f>
        <v>0</v>
      </c>
      <c r="I62" s="23"/>
      <c r="J62" s="24" t="n">
        <f aca="false">N(G62)+N(H62)-N(I62)</f>
        <v>0</v>
      </c>
      <c r="K62" s="33" t="n">
        <f aca="false">'Aug 2027'!N62</f>
        <v>0</v>
      </c>
      <c r="L62" s="33" t="n">
        <f aca="false">IF(B62="",0,N(Students!G51))</f>
        <v>0</v>
      </c>
      <c r="M62" s="23"/>
      <c r="N62" s="24" t="n">
        <f aca="false">N(K62)+N(L62)-N(M62)</f>
        <v>0</v>
      </c>
      <c r="O62" s="33" t="n">
        <f aca="false">'Aug 2027'!R62</f>
        <v>0</v>
      </c>
      <c r="P62" s="33" t="n">
        <f aca="false">IF(B62="",0,N(Students!H51))</f>
        <v>0</v>
      </c>
      <c r="Q62" s="23"/>
      <c r="R62" s="24" t="n">
        <f aca="false">N(O62)+N(P62)-N(Q62)</f>
        <v>0</v>
      </c>
      <c r="S62" s="33" t="n">
        <f aca="false">'Aug 2027'!V62</f>
        <v>0</v>
      </c>
      <c r="T62" s="33" t="n">
        <f aca="false">IF(B62="",0,N(Students!I51))</f>
        <v>0</v>
      </c>
      <c r="U62" s="23"/>
      <c r="V62" s="24" t="n">
        <f aca="false">N(S62)+N(T62)-N(U62)</f>
        <v>0</v>
      </c>
      <c r="W62" s="33" t="n">
        <f aca="false">'Aug 2027'!Z62</f>
        <v>0</v>
      </c>
      <c r="X62" s="33" t="n">
        <f aca="false">IF(B62="",0,N(Students!J51))</f>
        <v>0</v>
      </c>
      <c r="Y62" s="23"/>
      <c r="Z62" s="24" t="n">
        <f aca="false">N(W62)+N(X62)-N(Y62)</f>
        <v>0</v>
      </c>
      <c r="AA62" s="33" t="n">
        <f aca="false">N(E62)+N(I62)+N(M62)+N(Q62)+N(U62)+N(Y62)</f>
        <v>0</v>
      </c>
      <c r="AB62" s="24" t="n">
        <f aca="false">F62+J62+N62+R62+V62+Z62</f>
        <v>0</v>
      </c>
      <c r="AC62" s="81" t="str">
        <f aca="false">IF(B62="","",IF(AB62&lt;=0,"Clear",IF(AA62&gt;0,"Partial","Due")))</f>
        <v/>
      </c>
    </row>
    <row r="63" customFormat="false" ht="15" hidden="false" customHeight="false" outlineLevel="0" collapsed="false">
      <c r="A63" s="25" t="n">
        <v>48</v>
      </c>
      <c r="B63" s="82" t="str">
        <f aca="false">IF(Students!B52="","",Students!B52)</f>
        <v/>
      </c>
      <c r="C63" s="37" t="n">
        <f aca="false">'Aug 2027'!F63</f>
        <v>0</v>
      </c>
      <c r="D63" s="37" t="n">
        <f aca="false">IF(B63="",0,N(Students!E52))</f>
        <v>0</v>
      </c>
      <c r="E63" s="23"/>
      <c r="F63" s="26" t="n">
        <f aca="false">N(C63)+N(D63)-N(E63)</f>
        <v>0</v>
      </c>
      <c r="G63" s="37" t="n">
        <f aca="false">'Aug 2027'!J63</f>
        <v>0</v>
      </c>
      <c r="H63" s="37" t="n">
        <f aca="false">IF(B63="",0,N(Students!F52))</f>
        <v>0</v>
      </c>
      <c r="I63" s="23"/>
      <c r="J63" s="26" t="n">
        <f aca="false">N(G63)+N(H63)-N(I63)</f>
        <v>0</v>
      </c>
      <c r="K63" s="37" t="n">
        <f aca="false">'Aug 2027'!N63</f>
        <v>0</v>
      </c>
      <c r="L63" s="37" t="n">
        <f aca="false">IF(B63="",0,N(Students!G52))</f>
        <v>0</v>
      </c>
      <c r="M63" s="23"/>
      <c r="N63" s="26" t="n">
        <f aca="false">N(K63)+N(L63)-N(M63)</f>
        <v>0</v>
      </c>
      <c r="O63" s="37" t="n">
        <f aca="false">'Aug 2027'!R63</f>
        <v>0</v>
      </c>
      <c r="P63" s="37" t="n">
        <f aca="false">IF(B63="",0,N(Students!H52))</f>
        <v>0</v>
      </c>
      <c r="Q63" s="23"/>
      <c r="R63" s="26" t="n">
        <f aca="false">N(O63)+N(P63)-N(Q63)</f>
        <v>0</v>
      </c>
      <c r="S63" s="37" t="n">
        <f aca="false">'Aug 2027'!V63</f>
        <v>0</v>
      </c>
      <c r="T63" s="37" t="n">
        <f aca="false">IF(B63="",0,N(Students!I52))</f>
        <v>0</v>
      </c>
      <c r="U63" s="23"/>
      <c r="V63" s="26" t="n">
        <f aca="false">N(S63)+N(T63)-N(U63)</f>
        <v>0</v>
      </c>
      <c r="W63" s="37" t="n">
        <f aca="false">'Aug 2027'!Z63</f>
        <v>0</v>
      </c>
      <c r="X63" s="37" t="n">
        <f aca="false">IF(B63="",0,N(Students!J52))</f>
        <v>0</v>
      </c>
      <c r="Y63" s="23"/>
      <c r="Z63" s="26" t="n">
        <f aca="false">N(W63)+N(X63)-N(Y63)</f>
        <v>0</v>
      </c>
      <c r="AA63" s="37" t="n">
        <f aca="false">N(E63)+N(I63)+N(M63)+N(Q63)+N(U63)+N(Y63)</f>
        <v>0</v>
      </c>
      <c r="AB63" s="26" t="n">
        <f aca="false">F63+J63+N63+R63+V63+Z63</f>
        <v>0</v>
      </c>
      <c r="AC63" s="83" t="str">
        <f aca="false">IF(B63="","",IF(AB63&lt;=0,"Clear",IF(AA63&gt;0,"Partial","Due")))</f>
        <v/>
      </c>
    </row>
    <row r="64" customFormat="false" ht="15" hidden="false" customHeight="false" outlineLevel="0" collapsed="false">
      <c r="A64" s="21" t="n">
        <v>49</v>
      </c>
      <c r="B64" s="46" t="str">
        <f aca="false">IF(Students!B53="","",Students!B53)</f>
        <v/>
      </c>
      <c r="C64" s="33" t="n">
        <f aca="false">'Aug 2027'!F64</f>
        <v>0</v>
      </c>
      <c r="D64" s="33" t="n">
        <f aca="false">IF(B64="",0,N(Students!E53))</f>
        <v>0</v>
      </c>
      <c r="E64" s="23"/>
      <c r="F64" s="24" t="n">
        <f aca="false">N(C64)+N(D64)-N(E64)</f>
        <v>0</v>
      </c>
      <c r="G64" s="33" t="n">
        <f aca="false">'Aug 2027'!J64</f>
        <v>0</v>
      </c>
      <c r="H64" s="33" t="n">
        <f aca="false">IF(B64="",0,N(Students!F53))</f>
        <v>0</v>
      </c>
      <c r="I64" s="23"/>
      <c r="J64" s="24" t="n">
        <f aca="false">N(G64)+N(H64)-N(I64)</f>
        <v>0</v>
      </c>
      <c r="K64" s="33" t="n">
        <f aca="false">'Aug 2027'!N64</f>
        <v>0</v>
      </c>
      <c r="L64" s="33" t="n">
        <f aca="false">IF(B64="",0,N(Students!G53))</f>
        <v>0</v>
      </c>
      <c r="M64" s="23"/>
      <c r="N64" s="24" t="n">
        <f aca="false">N(K64)+N(L64)-N(M64)</f>
        <v>0</v>
      </c>
      <c r="O64" s="33" t="n">
        <f aca="false">'Aug 2027'!R64</f>
        <v>0</v>
      </c>
      <c r="P64" s="33" t="n">
        <f aca="false">IF(B64="",0,N(Students!H53))</f>
        <v>0</v>
      </c>
      <c r="Q64" s="23"/>
      <c r="R64" s="24" t="n">
        <f aca="false">N(O64)+N(P64)-N(Q64)</f>
        <v>0</v>
      </c>
      <c r="S64" s="33" t="n">
        <f aca="false">'Aug 2027'!V64</f>
        <v>0</v>
      </c>
      <c r="T64" s="33" t="n">
        <f aca="false">IF(B64="",0,N(Students!I53))</f>
        <v>0</v>
      </c>
      <c r="U64" s="23"/>
      <c r="V64" s="24" t="n">
        <f aca="false">N(S64)+N(T64)-N(U64)</f>
        <v>0</v>
      </c>
      <c r="W64" s="33" t="n">
        <f aca="false">'Aug 2027'!Z64</f>
        <v>0</v>
      </c>
      <c r="X64" s="33" t="n">
        <f aca="false">IF(B64="",0,N(Students!J53))</f>
        <v>0</v>
      </c>
      <c r="Y64" s="23"/>
      <c r="Z64" s="24" t="n">
        <f aca="false">N(W64)+N(X64)-N(Y64)</f>
        <v>0</v>
      </c>
      <c r="AA64" s="33" t="n">
        <f aca="false">N(E64)+N(I64)+N(M64)+N(Q64)+N(U64)+N(Y64)</f>
        <v>0</v>
      </c>
      <c r="AB64" s="24" t="n">
        <f aca="false">F64+J64+N64+R64+V64+Z64</f>
        <v>0</v>
      </c>
      <c r="AC64" s="81" t="str">
        <f aca="false">IF(B64="","",IF(AB64&lt;=0,"Clear",IF(AA64&gt;0,"Partial","Due")))</f>
        <v/>
      </c>
    </row>
    <row r="65" customFormat="false" ht="15" hidden="false" customHeight="false" outlineLevel="0" collapsed="false">
      <c r="A65" s="25" t="n">
        <v>50</v>
      </c>
      <c r="B65" s="82" t="str">
        <f aca="false">IF(Students!B54="","",Students!B54)</f>
        <v/>
      </c>
      <c r="C65" s="37" t="n">
        <f aca="false">'Aug 2027'!F65</f>
        <v>0</v>
      </c>
      <c r="D65" s="37" t="n">
        <f aca="false">IF(B65="",0,N(Students!E54))</f>
        <v>0</v>
      </c>
      <c r="E65" s="23"/>
      <c r="F65" s="26" t="n">
        <f aca="false">N(C65)+N(D65)-N(E65)</f>
        <v>0</v>
      </c>
      <c r="G65" s="37" t="n">
        <f aca="false">'Aug 2027'!J65</f>
        <v>0</v>
      </c>
      <c r="H65" s="37" t="n">
        <f aca="false">IF(B65="",0,N(Students!F54))</f>
        <v>0</v>
      </c>
      <c r="I65" s="23"/>
      <c r="J65" s="26" t="n">
        <f aca="false">N(G65)+N(H65)-N(I65)</f>
        <v>0</v>
      </c>
      <c r="K65" s="37" t="n">
        <f aca="false">'Aug 2027'!N65</f>
        <v>0</v>
      </c>
      <c r="L65" s="37" t="n">
        <f aca="false">IF(B65="",0,N(Students!G54))</f>
        <v>0</v>
      </c>
      <c r="M65" s="23"/>
      <c r="N65" s="26" t="n">
        <f aca="false">N(K65)+N(L65)-N(M65)</f>
        <v>0</v>
      </c>
      <c r="O65" s="37" t="n">
        <f aca="false">'Aug 2027'!R65</f>
        <v>0</v>
      </c>
      <c r="P65" s="37" t="n">
        <f aca="false">IF(B65="",0,N(Students!H54))</f>
        <v>0</v>
      </c>
      <c r="Q65" s="23"/>
      <c r="R65" s="26" t="n">
        <f aca="false">N(O65)+N(P65)-N(Q65)</f>
        <v>0</v>
      </c>
      <c r="S65" s="37" t="n">
        <f aca="false">'Aug 2027'!V65</f>
        <v>0</v>
      </c>
      <c r="T65" s="37" t="n">
        <f aca="false">IF(B65="",0,N(Students!I54))</f>
        <v>0</v>
      </c>
      <c r="U65" s="23"/>
      <c r="V65" s="26" t="n">
        <f aca="false">N(S65)+N(T65)-N(U65)</f>
        <v>0</v>
      </c>
      <c r="W65" s="37" t="n">
        <f aca="false">'Aug 2027'!Z65</f>
        <v>0</v>
      </c>
      <c r="X65" s="37" t="n">
        <f aca="false">IF(B65="",0,N(Students!J54))</f>
        <v>0</v>
      </c>
      <c r="Y65" s="23"/>
      <c r="Z65" s="26" t="n">
        <f aca="false">N(W65)+N(X65)-N(Y65)</f>
        <v>0</v>
      </c>
      <c r="AA65" s="37" t="n">
        <f aca="false">N(E65)+N(I65)+N(M65)+N(Q65)+N(U65)+N(Y65)</f>
        <v>0</v>
      </c>
      <c r="AB65" s="26" t="n">
        <f aca="false">F65+J65+N65+R65+V65+Z65</f>
        <v>0</v>
      </c>
      <c r="AC65" s="83" t="str">
        <f aca="false">IF(B65="","",IF(AB65&lt;=0,"Clear",IF(AA65&gt;0,"Partial","Due")))</f>
        <v/>
      </c>
    </row>
    <row r="66" customFormat="false" ht="15" hidden="false" customHeight="false" outlineLevel="0" collapsed="false">
      <c r="A66" s="21" t="n">
        <v>51</v>
      </c>
      <c r="B66" s="46" t="str">
        <f aca="false">IF(Students!B55="","",Students!B55)</f>
        <v/>
      </c>
      <c r="C66" s="33" t="n">
        <f aca="false">'Aug 2027'!F66</f>
        <v>0</v>
      </c>
      <c r="D66" s="33" t="n">
        <f aca="false">IF(B66="",0,N(Students!E55))</f>
        <v>0</v>
      </c>
      <c r="E66" s="23"/>
      <c r="F66" s="24" t="n">
        <f aca="false">N(C66)+N(D66)-N(E66)</f>
        <v>0</v>
      </c>
      <c r="G66" s="33" t="n">
        <f aca="false">'Aug 2027'!J66</f>
        <v>0</v>
      </c>
      <c r="H66" s="33" t="n">
        <f aca="false">IF(B66="",0,N(Students!F55))</f>
        <v>0</v>
      </c>
      <c r="I66" s="23"/>
      <c r="J66" s="24" t="n">
        <f aca="false">N(G66)+N(H66)-N(I66)</f>
        <v>0</v>
      </c>
      <c r="K66" s="33" t="n">
        <f aca="false">'Aug 2027'!N66</f>
        <v>0</v>
      </c>
      <c r="L66" s="33" t="n">
        <f aca="false">IF(B66="",0,N(Students!G55))</f>
        <v>0</v>
      </c>
      <c r="M66" s="23"/>
      <c r="N66" s="24" t="n">
        <f aca="false">N(K66)+N(L66)-N(M66)</f>
        <v>0</v>
      </c>
      <c r="O66" s="33" t="n">
        <f aca="false">'Aug 2027'!R66</f>
        <v>0</v>
      </c>
      <c r="P66" s="33" t="n">
        <f aca="false">IF(B66="",0,N(Students!H55))</f>
        <v>0</v>
      </c>
      <c r="Q66" s="23"/>
      <c r="R66" s="24" t="n">
        <f aca="false">N(O66)+N(P66)-N(Q66)</f>
        <v>0</v>
      </c>
      <c r="S66" s="33" t="n">
        <f aca="false">'Aug 2027'!V66</f>
        <v>0</v>
      </c>
      <c r="T66" s="33" t="n">
        <f aca="false">IF(B66="",0,N(Students!I55))</f>
        <v>0</v>
      </c>
      <c r="U66" s="23"/>
      <c r="V66" s="24" t="n">
        <f aca="false">N(S66)+N(T66)-N(U66)</f>
        <v>0</v>
      </c>
      <c r="W66" s="33" t="n">
        <f aca="false">'Aug 2027'!Z66</f>
        <v>0</v>
      </c>
      <c r="X66" s="33" t="n">
        <f aca="false">IF(B66="",0,N(Students!J55))</f>
        <v>0</v>
      </c>
      <c r="Y66" s="23"/>
      <c r="Z66" s="24" t="n">
        <f aca="false">N(W66)+N(X66)-N(Y66)</f>
        <v>0</v>
      </c>
      <c r="AA66" s="33" t="n">
        <f aca="false">N(E66)+N(I66)+N(M66)+N(Q66)+N(U66)+N(Y66)</f>
        <v>0</v>
      </c>
      <c r="AB66" s="24" t="n">
        <f aca="false">F66+J66+N66+R66+V66+Z66</f>
        <v>0</v>
      </c>
      <c r="AC66" s="81" t="str">
        <f aca="false">IF(B66="","",IF(AB66&lt;=0,"Clear",IF(AA66&gt;0,"Partial","Due")))</f>
        <v/>
      </c>
    </row>
    <row r="67" customFormat="false" ht="15" hidden="false" customHeight="false" outlineLevel="0" collapsed="false">
      <c r="A67" s="25" t="n">
        <v>52</v>
      </c>
      <c r="B67" s="82" t="str">
        <f aca="false">IF(Students!B56="","",Students!B56)</f>
        <v/>
      </c>
      <c r="C67" s="37" t="n">
        <f aca="false">'Aug 2027'!F67</f>
        <v>0</v>
      </c>
      <c r="D67" s="37" t="n">
        <f aca="false">IF(B67="",0,N(Students!E56))</f>
        <v>0</v>
      </c>
      <c r="E67" s="23"/>
      <c r="F67" s="26" t="n">
        <f aca="false">N(C67)+N(D67)-N(E67)</f>
        <v>0</v>
      </c>
      <c r="G67" s="37" t="n">
        <f aca="false">'Aug 2027'!J67</f>
        <v>0</v>
      </c>
      <c r="H67" s="37" t="n">
        <f aca="false">IF(B67="",0,N(Students!F56))</f>
        <v>0</v>
      </c>
      <c r="I67" s="23"/>
      <c r="J67" s="26" t="n">
        <f aca="false">N(G67)+N(H67)-N(I67)</f>
        <v>0</v>
      </c>
      <c r="K67" s="37" t="n">
        <f aca="false">'Aug 2027'!N67</f>
        <v>0</v>
      </c>
      <c r="L67" s="37" t="n">
        <f aca="false">IF(B67="",0,N(Students!G56))</f>
        <v>0</v>
      </c>
      <c r="M67" s="23"/>
      <c r="N67" s="26" t="n">
        <f aca="false">N(K67)+N(L67)-N(M67)</f>
        <v>0</v>
      </c>
      <c r="O67" s="37" t="n">
        <f aca="false">'Aug 2027'!R67</f>
        <v>0</v>
      </c>
      <c r="P67" s="37" t="n">
        <f aca="false">IF(B67="",0,N(Students!H56))</f>
        <v>0</v>
      </c>
      <c r="Q67" s="23"/>
      <c r="R67" s="26" t="n">
        <f aca="false">N(O67)+N(P67)-N(Q67)</f>
        <v>0</v>
      </c>
      <c r="S67" s="37" t="n">
        <f aca="false">'Aug 2027'!V67</f>
        <v>0</v>
      </c>
      <c r="T67" s="37" t="n">
        <f aca="false">IF(B67="",0,N(Students!I56))</f>
        <v>0</v>
      </c>
      <c r="U67" s="23"/>
      <c r="V67" s="26" t="n">
        <f aca="false">N(S67)+N(T67)-N(U67)</f>
        <v>0</v>
      </c>
      <c r="W67" s="37" t="n">
        <f aca="false">'Aug 2027'!Z67</f>
        <v>0</v>
      </c>
      <c r="X67" s="37" t="n">
        <f aca="false">IF(B67="",0,N(Students!J56))</f>
        <v>0</v>
      </c>
      <c r="Y67" s="23"/>
      <c r="Z67" s="26" t="n">
        <f aca="false">N(W67)+N(X67)-N(Y67)</f>
        <v>0</v>
      </c>
      <c r="AA67" s="37" t="n">
        <f aca="false">N(E67)+N(I67)+N(M67)+N(Q67)+N(U67)+N(Y67)</f>
        <v>0</v>
      </c>
      <c r="AB67" s="26" t="n">
        <f aca="false">F67+J67+N67+R67+V67+Z67</f>
        <v>0</v>
      </c>
      <c r="AC67" s="83" t="str">
        <f aca="false">IF(B67="","",IF(AB67&lt;=0,"Clear",IF(AA67&gt;0,"Partial","Due")))</f>
        <v/>
      </c>
    </row>
    <row r="68" customFormat="false" ht="15" hidden="false" customHeight="false" outlineLevel="0" collapsed="false">
      <c r="A68" s="21" t="n">
        <v>53</v>
      </c>
      <c r="B68" s="46" t="str">
        <f aca="false">IF(Students!B57="","",Students!B57)</f>
        <v/>
      </c>
      <c r="C68" s="33" t="n">
        <f aca="false">'Aug 2027'!F68</f>
        <v>0</v>
      </c>
      <c r="D68" s="33" t="n">
        <f aca="false">IF(B68="",0,N(Students!E57))</f>
        <v>0</v>
      </c>
      <c r="E68" s="23"/>
      <c r="F68" s="24" t="n">
        <f aca="false">N(C68)+N(D68)-N(E68)</f>
        <v>0</v>
      </c>
      <c r="G68" s="33" t="n">
        <f aca="false">'Aug 2027'!J68</f>
        <v>0</v>
      </c>
      <c r="H68" s="33" t="n">
        <f aca="false">IF(B68="",0,N(Students!F57))</f>
        <v>0</v>
      </c>
      <c r="I68" s="23"/>
      <c r="J68" s="24" t="n">
        <f aca="false">N(G68)+N(H68)-N(I68)</f>
        <v>0</v>
      </c>
      <c r="K68" s="33" t="n">
        <f aca="false">'Aug 2027'!N68</f>
        <v>0</v>
      </c>
      <c r="L68" s="33" t="n">
        <f aca="false">IF(B68="",0,N(Students!G57))</f>
        <v>0</v>
      </c>
      <c r="M68" s="23"/>
      <c r="N68" s="24" t="n">
        <f aca="false">N(K68)+N(L68)-N(M68)</f>
        <v>0</v>
      </c>
      <c r="O68" s="33" t="n">
        <f aca="false">'Aug 2027'!R68</f>
        <v>0</v>
      </c>
      <c r="P68" s="33" t="n">
        <f aca="false">IF(B68="",0,N(Students!H57))</f>
        <v>0</v>
      </c>
      <c r="Q68" s="23"/>
      <c r="R68" s="24" t="n">
        <f aca="false">N(O68)+N(P68)-N(Q68)</f>
        <v>0</v>
      </c>
      <c r="S68" s="33" t="n">
        <f aca="false">'Aug 2027'!V68</f>
        <v>0</v>
      </c>
      <c r="T68" s="33" t="n">
        <f aca="false">IF(B68="",0,N(Students!I57))</f>
        <v>0</v>
      </c>
      <c r="U68" s="23"/>
      <c r="V68" s="24" t="n">
        <f aca="false">N(S68)+N(T68)-N(U68)</f>
        <v>0</v>
      </c>
      <c r="W68" s="33" t="n">
        <f aca="false">'Aug 2027'!Z68</f>
        <v>0</v>
      </c>
      <c r="X68" s="33" t="n">
        <f aca="false">IF(B68="",0,N(Students!J57))</f>
        <v>0</v>
      </c>
      <c r="Y68" s="23"/>
      <c r="Z68" s="24" t="n">
        <f aca="false">N(W68)+N(X68)-N(Y68)</f>
        <v>0</v>
      </c>
      <c r="AA68" s="33" t="n">
        <f aca="false">N(E68)+N(I68)+N(M68)+N(Q68)+N(U68)+N(Y68)</f>
        <v>0</v>
      </c>
      <c r="AB68" s="24" t="n">
        <f aca="false">F68+J68+N68+R68+V68+Z68</f>
        <v>0</v>
      </c>
      <c r="AC68" s="81" t="str">
        <f aca="false">IF(B68="","",IF(AB68&lt;=0,"Clear",IF(AA68&gt;0,"Partial","Due")))</f>
        <v/>
      </c>
    </row>
    <row r="69" customFormat="false" ht="15" hidden="false" customHeight="false" outlineLevel="0" collapsed="false">
      <c r="A69" s="25" t="n">
        <v>54</v>
      </c>
      <c r="B69" s="82" t="str">
        <f aca="false">IF(Students!B58="","",Students!B58)</f>
        <v/>
      </c>
      <c r="C69" s="37" t="n">
        <f aca="false">'Aug 2027'!F69</f>
        <v>0</v>
      </c>
      <c r="D69" s="37" t="n">
        <f aca="false">IF(B69="",0,N(Students!E58))</f>
        <v>0</v>
      </c>
      <c r="E69" s="23"/>
      <c r="F69" s="26" t="n">
        <f aca="false">N(C69)+N(D69)-N(E69)</f>
        <v>0</v>
      </c>
      <c r="G69" s="37" t="n">
        <f aca="false">'Aug 2027'!J69</f>
        <v>0</v>
      </c>
      <c r="H69" s="37" t="n">
        <f aca="false">IF(B69="",0,N(Students!F58))</f>
        <v>0</v>
      </c>
      <c r="I69" s="23"/>
      <c r="J69" s="26" t="n">
        <f aca="false">N(G69)+N(H69)-N(I69)</f>
        <v>0</v>
      </c>
      <c r="K69" s="37" t="n">
        <f aca="false">'Aug 2027'!N69</f>
        <v>0</v>
      </c>
      <c r="L69" s="37" t="n">
        <f aca="false">IF(B69="",0,N(Students!G58))</f>
        <v>0</v>
      </c>
      <c r="M69" s="23"/>
      <c r="N69" s="26" t="n">
        <f aca="false">N(K69)+N(L69)-N(M69)</f>
        <v>0</v>
      </c>
      <c r="O69" s="37" t="n">
        <f aca="false">'Aug 2027'!R69</f>
        <v>0</v>
      </c>
      <c r="P69" s="37" t="n">
        <f aca="false">IF(B69="",0,N(Students!H58))</f>
        <v>0</v>
      </c>
      <c r="Q69" s="23"/>
      <c r="R69" s="26" t="n">
        <f aca="false">N(O69)+N(P69)-N(Q69)</f>
        <v>0</v>
      </c>
      <c r="S69" s="37" t="n">
        <f aca="false">'Aug 2027'!V69</f>
        <v>0</v>
      </c>
      <c r="T69" s="37" t="n">
        <f aca="false">IF(B69="",0,N(Students!I58))</f>
        <v>0</v>
      </c>
      <c r="U69" s="23"/>
      <c r="V69" s="26" t="n">
        <f aca="false">N(S69)+N(T69)-N(U69)</f>
        <v>0</v>
      </c>
      <c r="W69" s="37" t="n">
        <f aca="false">'Aug 2027'!Z69</f>
        <v>0</v>
      </c>
      <c r="X69" s="37" t="n">
        <f aca="false">IF(B69="",0,N(Students!J58))</f>
        <v>0</v>
      </c>
      <c r="Y69" s="23"/>
      <c r="Z69" s="26" t="n">
        <f aca="false">N(W69)+N(X69)-N(Y69)</f>
        <v>0</v>
      </c>
      <c r="AA69" s="37" t="n">
        <f aca="false">N(E69)+N(I69)+N(M69)+N(Q69)+N(U69)+N(Y69)</f>
        <v>0</v>
      </c>
      <c r="AB69" s="26" t="n">
        <f aca="false">F69+J69+N69+R69+V69+Z69</f>
        <v>0</v>
      </c>
      <c r="AC69" s="83" t="str">
        <f aca="false">IF(B69="","",IF(AB69&lt;=0,"Clear",IF(AA69&gt;0,"Partial","Due")))</f>
        <v/>
      </c>
    </row>
    <row r="70" customFormat="false" ht="15" hidden="false" customHeight="false" outlineLevel="0" collapsed="false">
      <c r="A70" s="21" t="n">
        <v>55</v>
      </c>
      <c r="B70" s="46" t="str">
        <f aca="false">IF(Students!B59="","",Students!B59)</f>
        <v/>
      </c>
      <c r="C70" s="33" t="n">
        <f aca="false">'Aug 2027'!F70</f>
        <v>0</v>
      </c>
      <c r="D70" s="33" t="n">
        <f aca="false">IF(B70="",0,N(Students!E59))</f>
        <v>0</v>
      </c>
      <c r="E70" s="23"/>
      <c r="F70" s="24" t="n">
        <f aca="false">N(C70)+N(D70)-N(E70)</f>
        <v>0</v>
      </c>
      <c r="G70" s="33" t="n">
        <f aca="false">'Aug 2027'!J70</f>
        <v>0</v>
      </c>
      <c r="H70" s="33" t="n">
        <f aca="false">IF(B70="",0,N(Students!F59))</f>
        <v>0</v>
      </c>
      <c r="I70" s="23"/>
      <c r="J70" s="24" t="n">
        <f aca="false">N(G70)+N(H70)-N(I70)</f>
        <v>0</v>
      </c>
      <c r="K70" s="33" t="n">
        <f aca="false">'Aug 2027'!N70</f>
        <v>0</v>
      </c>
      <c r="L70" s="33" t="n">
        <f aca="false">IF(B70="",0,N(Students!G59))</f>
        <v>0</v>
      </c>
      <c r="M70" s="23"/>
      <c r="N70" s="24" t="n">
        <f aca="false">N(K70)+N(L70)-N(M70)</f>
        <v>0</v>
      </c>
      <c r="O70" s="33" t="n">
        <f aca="false">'Aug 2027'!R70</f>
        <v>0</v>
      </c>
      <c r="P70" s="33" t="n">
        <f aca="false">IF(B70="",0,N(Students!H59))</f>
        <v>0</v>
      </c>
      <c r="Q70" s="23"/>
      <c r="R70" s="24" t="n">
        <f aca="false">N(O70)+N(P70)-N(Q70)</f>
        <v>0</v>
      </c>
      <c r="S70" s="33" t="n">
        <f aca="false">'Aug 2027'!V70</f>
        <v>0</v>
      </c>
      <c r="T70" s="33" t="n">
        <f aca="false">IF(B70="",0,N(Students!I59))</f>
        <v>0</v>
      </c>
      <c r="U70" s="23"/>
      <c r="V70" s="24" t="n">
        <f aca="false">N(S70)+N(T70)-N(U70)</f>
        <v>0</v>
      </c>
      <c r="W70" s="33" t="n">
        <f aca="false">'Aug 2027'!Z70</f>
        <v>0</v>
      </c>
      <c r="X70" s="33" t="n">
        <f aca="false">IF(B70="",0,N(Students!J59))</f>
        <v>0</v>
      </c>
      <c r="Y70" s="23"/>
      <c r="Z70" s="24" t="n">
        <f aca="false">N(W70)+N(X70)-N(Y70)</f>
        <v>0</v>
      </c>
      <c r="AA70" s="33" t="n">
        <f aca="false">N(E70)+N(I70)+N(M70)+N(Q70)+N(U70)+N(Y70)</f>
        <v>0</v>
      </c>
      <c r="AB70" s="24" t="n">
        <f aca="false">F70+J70+N70+R70+V70+Z70</f>
        <v>0</v>
      </c>
      <c r="AC70" s="81" t="str">
        <f aca="false">IF(B70="","",IF(AB70&lt;=0,"Clear",IF(AA70&gt;0,"Partial","Due")))</f>
        <v/>
      </c>
    </row>
    <row r="71" customFormat="false" ht="15" hidden="false" customHeight="false" outlineLevel="0" collapsed="false">
      <c r="A71" s="25" t="n">
        <v>56</v>
      </c>
      <c r="B71" s="82" t="str">
        <f aca="false">IF(Students!B60="","",Students!B60)</f>
        <v/>
      </c>
      <c r="C71" s="37" t="n">
        <f aca="false">'Aug 2027'!F71</f>
        <v>0</v>
      </c>
      <c r="D71" s="37" t="n">
        <f aca="false">IF(B71="",0,N(Students!E60))</f>
        <v>0</v>
      </c>
      <c r="E71" s="23"/>
      <c r="F71" s="26" t="n">
        <f aca="false">N(C71)+N(D71)-N(E71)</f>
        <v>0</v>
      </c>
      <c r="G71" s="37" t="n">
        <f aca="false">'Aug 2027'!J71</f>
        <v>0</v>
      </c>
      <c r="H71" s="37" t="n">
        <f aca="false">IF(B71="",0,N(Students!F60))</f>
        <v>0</v>
      </c>
      <c r="I71" s="23"/>
      <c r="J71" s="26" t="n">
        <f aca="false">N(G71)+N(H71)-N(I71)</f>
        <v>0</v>
      </c>
      <c r="K71" s="37" t="n">
        <f aca="false">'Aug 2027'!N71</f>
        <v>0</v>
      </c>
      <c r="L71" s="37" t="n">
        <f aca="false">IF(B71="",0,N(Students!G60))</f>
        <v>0</v>
      </c>
      <c r="M71" s="23"/>
      <c r="N71" s="26" t="n">
        <f aca="false">N(K71)+N(L71)-N(M71)</f>
        <v>0</v>
      </c>
      <c r="O71" s="37" t="n">
        <f aca="false">'Aug 2027'!R71</f>
        <v>0</v>
      </c>
      <c r="P71" s="37" t="n">
        <f aca="false">IF(B71="",0,N(Students!H60))</f>
        <v>0</v>
      </c>
      <c r="Q71" s="23"/>
      <c r="R71" s="26" t="n">
        <f aca="false">N(O71)+N(P71)-N(Q71)</f>
        <v>0</v>
      </c>
      <c r="S71" s="37" t="n">
        <f aca="false">'Aug 2027'!V71</f>
        <v>0</v>
      </c>
      <c r="T71" s="37" t="n">
        <f aca="false">IF(B71="",0,N(Students!I60))</f>
        <v>0</v>
      </c>
      <c r="U71" s="23"/>
      <c r="V71" s="26" t="n">
        <f aca="false">N(S71)+N(T71)-N(U71)</f>
        <v>0</v>
      </c>
      <c r="W71" s="37" t="n">
        <f aca="false">'Aug 2027'!Z71</f>
        <v>0</v>
      </c>
      <c r="X71" s="37" t="n">
        <f aca="false">IF(B71="",0,N(Students!J60))</f>
        <v>0</v>
      </c>
      <c r="Y71" s="23"/>
      <c r="Z71" s="26" t="n">
        <f aca="false">N(W71)+N(X71)-N(Y71)</f>
        <v>0</v>
      </c>
      <c r="AA71" s="37" t="n">
        <f aca="false">N(E71)+N(I71)+N(M71)+N(Q71)+N(U71)+N(Y71)</f>
        <v>0</v>
      </c>
      <c r="AB71" s="26" t="n">
        <f aca="false">F71+J71+N71+R71+V71+Z71</f>
        <v>0</v>
      </c>
      <c r="AC71" s="83" t="str">
        <f aca="false">IF(B71="","",IF(AB71&lt;=0,"Clear",IF(AA71&gt;0,"Partial","Due")))</f>
        <v/>
      </c>
    </row>
    <row r="72" customFormat="false" ht="15" hidden="false" customHeight="false" outlineLevel="0" collapsed="false">
      <c r="A72" s="21" t="n">
        <v>57</v>
      </c>
      <c r="B72" s="46" t="str">
        <f aca="false">IF(Students!B61="","",Students!B61)</f>
        <v/>
      </c>
      <c r="C72" s="33" t="n">
        <f aca="false">'Aug 2027'!F72</f>
        <v>0</v>
      </c>
      <c r="D72" s="33" t="n">
        <f aca="false">IF(B72="",0,N(Students!E61))</f>
        <v>0</v>
      </c>
      <c r="E72" s="23"/>
      <c r="F72" s="24" t="n">
        <f aca="false">N(C72)+N(D72)-N(E72)</f>
        <v>0</v>
      </c>
      <c r="G72" s="33" t="n">
        <f aca="false">'Aug 2027'!J72</f>
        <v>0</v>
      </c>
      <c r="H72" s="33" t="n">
        <f aca="false">IF(B72="",0,N(Students!F61))</f>
        <v>0</v>
      </c>
      <c r="I72" s="23"/>
      <c r="J72" s="24" t="n">
        <f aca="false">N(G72)+N(H72)-N(I72)</f>
        <v>0</v>
      </c>
      <c r="K72" s="33" t="n">
        <f aca="false">'Aug 2027'!N72</f>
        <v>0</v>
      </c>
      <c r="L72" s="33" t="n">
        <f aca="false">IF(B72="",0,N(Students!G61))</f>
        <v>0</v>
      </c>
      <c r="M72" s="23"/>
      <c r="N72" s="24" t="n">
        <f aca="false">N(K72)+N(L72)-N(M72)</f>
        <v>0</v>
      </c>
      <c r="O72" s="33" t="n">
        <f aca="false">'Aug 2027'!R72</f>
        <v>0</v>
      </c>
      <c r="P72" s="33" t="n">
        <f aca="false">IF(B72="",0,N(Students!H61))</f>
        <v>0</v>
      </c>
      <c r="Q72" s="23"/>
      <c r="R72" s="24" t="n">
        <f aca="false">N(O72)+N(P72)-N(Q72)</f>
        <v>0</v>
      </c>
      <c r="S72" s="33" t="n">
        <f aca="false">'Aug 2027'!V72</f>
        <v>0</v>
      </c>
      <c r="T72" s="33" t="n">
        <f aca="false">IF(B72="",0,N(Students!I61))</f>
        <v>0</v>
      </c>
      <c r="U72" s="23"/>
      <c r="V72" s="24" t="n">
        <f aca="false">N(S72)+N(T72)-N(U72)</f>
        <v>0</v>
      </c>
      <c r="W72" s="33" t="n">
        <f aca="false">'Aug 2027'!Z72</f>
        <v>0</v>
      </c>
      <c r="X72" s="33" t="n">
        <f aca="false">IF(B72="",0,N(Students!J61))</f>
        <v>0</v>
      </c>
      <c r="Y72" s="23"/>
      <c r="Z72" s="24" t="n">
        <f aca="false">N(W72)+N(X72)-N(Y72)</f>
        <v>0</v>
      </c>
      <c r="AA72" s="33" t="n">
        <f aca="false">N(E72)+N(I72)+N(M72)+N(Q72)+N(U72)+N(Y72)</f>
        <v>0</v>
      </c>
      <c r="AB72" s="24" t="n">
        <f aca="false">F72+J72+N72+R72+V72+Z72</f>
        <v>0</v>
      </c>
      <c r="AC72" s="81" t="str">
        <f aca="false">IF(B72="","",IF(AB72&lt;=0,"Clear",IF(AA72&gt;0,"Partial","Due")))</f>
        <v/>
      </c>
    </row>
    <row r="73" customFormat="false" ht="15" hidden="false" customHeight="false" outlineLevel="0" collapsed="false">
      <c r="A73" s="25" t="n">
        <v>58</v>
      </c>
      <c r="B73" s="82" t="str">
        <f aca="false">IF(Students!B62="","",Students!B62)</f>
        <v/>
      </c>
      <c r="C73" s="37" t="n">
        <f aca="false">'Aug 2027'!F73</f>
        <v>0</v>
      </c>
      <c r="D73" s="37" t="n">
        <f aca="false">IF(B73="",0,N(Students!E62))</f>
        <v>0</v>
      </c>
      <c r="E73" s="23"/>
      <c r="F73" s="26" t="n">
        <f aca="false">N(C73)+N(D73)-N(E73)</f>
        <v>0</v>
      </c>
      <c r="G73" s="37" t="n">
        <f aca="false">'Aug 2027'!J73</f>
        <v>0</v>
      </c>
      <c r="H73" s="37" t="n">
        <f aca="false">IF(B73="",0,N(Students!F62))</f>
        <v>0</v>
      </c>
      <c r="I73" s="23"/>
      <c r="J73" s="26" t="n">
        <f aca="false">N(G73)+N(H73)-N(I73)</f>
        <v>0</v>
      </c>
      <c r="K73" s="37" t="n">
        <f aca="false">'Aug 2027'!N73</f>
        <v>0</v>
      </c>
      <c r="L73" s="37" t="n">
        <f aca="false">IF(B73="",0,N(Students!G62))</f>
        <v>0</v>
      </c>
      <c r="M73" s="23"/>
      <c r="N73" s="26" t="n">
        <f aca="false">N(K73)+N(L73)-N(M73)</f>
        <v>0</v>
      </c>
      <c r="O73" s="37" t="n">
        <f aca="false">'Aug 2027'!R73</f>
        <v>0</v>
      </c>
      <c r="P73" s="37" t="n">
        <f aca="false">IF(B73="",0,N(Students!H62))</f>
        <v>0</v>
      </c>
      <c r="Q73" s="23"/>
      <c r="R73" s="26" t="n">
        <f aca="false">N(O73)+N(P73)-N(Q73)</f>
        <v>0</v>
      </c>
      <c r="S73" s="37" t="n">
        <f aca="false">'Aug 2027'!V73</f>
        <v>0</v>
      </c>
      <c r="T73" s="37" t="n">
        <f aca="false">IF(B73="",0,N(Students!I62))</f>
        <v>0</v>
      </c>
      <c r="U73" s="23"/>
      <c r="V73" s="26" t="n">
        <f aca="false">N(S73)+N(T73)-N(U73)</f>
        <v>0</v>
      </c>
      <c r="W73" s="37" t="n">
        <f aca="false">'Aug 2027'!Z73</f>
        <v>0</v>
      </c>
      <c r="X73" s="37" t="n">
        <f aca="false">IF(B73="",0,N(Students!J62))</f>
        <v>0</v>
      </c>
      <c r="Y73" s="23"/>
      <c r="Z73" s="26" t="n">
        <f aca="false">N(W73)+N(X73)-N(Y73)</f>
        <v>0</v>
      </c>
      <c r="AA73" s="37" t="n">
        <f aca="false">N(E73)+N(I73)+N(M73)+N(Q73)+N(U73)+N(Y73)</f>
        <v>0</v>
      </c>
      <c r="AB73" s="26" t="n">
        <f aca="false">F73+J73+N73+R73+V73+Z73</f>
        <v>0</v>
      </c>
      <c r="AC73" s="83" t="str">
        <f aca="false">IF(B73="","",IF(AB73&lt;=0,"Clear",IF(AA73&gt;0,"Partial","Due")))</f>
        <v/>
      </c>
    </row>
    <row r="74" customFormat="false" ht="15" hidden="false" customHeight="false" outlineLevel="0" collapsed="false">
      <c r="A74" s="21" t="n">
        <v>59</v>
      </c>
      <c r="B74" s="46" t="str">
        <f aca="false">IF(Students!B63="","",Students!B63)</f>
        <v/>
      </c>
      <c r="C74" s="33" t="n">
        <f aca="false">'Aug 2027'!F74</f>
        <v>0</v>
      </c>
      <c r="D74" s="33" t="n">
        <f aca="false">IF(B74="",0,N(Students!E63))</f>
        <v>0</v>
      </c>
      <c r="E74" s="23"/>
      <c r="F74" s="24" t="n">
        <f aca="false">N(C74)+N(D74)-N(E74)</f>
        <v>0</v>
      </c>
      <c r="G74" s="33" t="n">
        <f aca="false">'Aug 2027'!J74</f>
        <v>0</v>
      </c>
      <c r="H74" s="33" t="n">
        <f aca="false">IF(B74="",0,N(Students!F63))</f>
        <v>0</v>
      </c>
      <c r="I74" s="23"/>
      <c r="J74" s="24" t="n">
        <f aca="false">N(G74)+N(H74)-N(I74)</f>
        <v>0</v>
      </c>
      <c r="K74" s="33" t="n">
        <f aca="false">'Aug 2027'!N74</f>
        <v>0</v>
      </c>
      <c r="L74" s="33" t="n">
        <f aca="false">IF(B74="",0,N(Students!G63))</f>
        <v>0</v>
      </c>
      <c r="M74" s="23"/>
      <c r="N74" s="24" t="n">
        <f aca="false">N(K74)+N(L74)-N(M74)</f>
        <v>0</v>
      </c>
      <c r="O74" s="33" t="n">
        <f aca="false">'Aug 2027'!R74</f>
        <v>0</v>
      </c>
      <c r="P74" s="33" t="n">
        <f aca="false">IF(B74="",0,N(Students!H63))</f>
        <v>0</v>
      </c>
      <c r="Q74" s="23"/>
      <c r="R74" s="24" t="n">
        <f aca="false">N(O74)+N(P74)-N(Q74)</f>
        <v>0</v>
      </c>
      <c r="S74" s="33" t="n">
        <f aca="false">'Aug 2027'!V74</f>
        <v>0</v>
      </c>
      <c r="T74" s="33" t="n">
        <f aca="false">IF(B74="",0,N(Students!I63))</f>
        <v>0</v>
      </c>
      <c r="U74" s="23"/>
      <c r="V74" s="24" t="n">
        <f aca="false">N(S74)+N(T74)-N(U74)</f>
        <v>0</v>
      </c>
      <c r="W74" s="33" t="n">
        <f aca="false">'Aug 2027'!Z74</f>
        <v>0</v>
      </c>
      <c r="X74" s="33" t="n">
        <f aca="false">IF(B74="",0,N(Students!J63))</f>
        <v>0</v>
      </c>
      <c r="Y74" s="23"/>
      <c r="Z74" s="24" t="n">
        <f aca="false">N(W74)+N(X74)-N(Y74)</f>
        <v>0</v>
      </c>
      <c r="AA74" s="33" t="n">
        <f aca="false">N(E74)+N(I74)+N(M74)+N(Q74)+N(U74)+N(Y74)</f>
        <v>0</v>
      </c>
      <c r="AB74" s="24" t="n">
        <f aca="false">F74+J74+N74+R74+V74+Z74</f>
        <v>0</v>
      </c>
      <c r="AC74" s="81" t="str">
        <f aca="false">IF(B74="","",IF(AB74&lt;=0,"Clear",IF(AA74&gt;0,"Partial","Due")))</f>
        <v/>
      </c>
    </row>
    <row r="75" customFormat="false" ht="15" hidden="false" customHeight="false" outlineLevel="0" collapsed="false">
      <c r="A75" s="25" t="n">
        <v>60</v>
      </c>
      <c r="B75" s="82" t="str">
        <f aca="false">IF(Students!B64="","",Students!B64)</f>
        <v/>
      </c>
      <c r="C75" s="37" t="n">
        <f aca="false">'Aug 2027'!F75</f>
        <v>0</v>
      </c>
      <c r="D75" s="37" t="n">
        <f aca="false">IF(B75="",0,N(Students!E64))</f>
        <v>0</v>
      </c>
      <c r="E75" s="23"/>
      <c r="F75" s="26" t="n">
        <f aca="false">N(C75)+N(D75)-N(E75)</f>
        <v>0</v>
      </c>
      <c r="G75" s="37" t="n">
        <f aca="false">'Aug 2027'!J75</f>
        <v>0</v>
      </c>
      <c r="H75" s="37" t="n">
        <f aca="false">IF(B75="",0,N(Students!F64))</f>
        <v>0</v>
      </c>
      <c r="I75" s="23"/>
      <c r="J75" s="26" t="n">
        <f aca="false">N(G75)+N(H75)-N(I75)</f>
        <v>0</v>
      </c>
      <c r="K75" s="37" t="n">
        <f aca="false">'Aug 2027'!N75</f>
        <v>0</v>
      </c>
      <c r="L75" s="37" t="n">
        <f aca="false">IF(B75="",0,N(Students!G64))</f>
        <v>0</v>
      </c>
      <c r="M75" s="23"/>
      <c r="N75" s="26" t="n">
        <f aca="false">N(K75)+N(L75)-N(M75)</f>
        <v>0</v>
      </c>
      <c r="O75" s="37" t="n">
        <f aca="false">'Aug 2027'!R75</f>
        <v>0</v>
      </c>
      <c r="P75" s="37" t="n">
        <f aca="false">IF(B75="",0,N(Students!H64))</f>
        <v>0</v>
      </c>
      <c r="Q75" s="23"/>
      <c r="R75" s="26" t="n">
        <f aca="false">N(O75)+N(P75)-N(Q75)</f>
        <v>0</v>
      </c>
      <c r="S75" s="37" t="n">
        <f aca="false">'Aug 2027'!V75</f>
        <v>0</v>
      </c>
      <c r="T75" s="37" t="n">
        <f aca="false">IF(B75="",0,N(Students!I64))</f>
        <v>0</v>
      </c>
      <c r="U75" s="23"/>
      <c r="V75" s="26" t="n">
        <f aca="false">N(S75)+N(T75)-N(U75)</f>
        <v>0</v>
      </c>
      <c r="W75" s="37" t="n">
        <f aca="false">'Aug 2027'!Z75</f>
        <v>0</v>
      </c>
      <c r="X75" s="37" t="n">
        <f aca="false">IF(B75="",0,N(Students!J64))</f>
        <v>0</v>
      </c>
      <c r="Y75" s="23"/>
      <c r="Z75" s="26" t="n">
        <f aca="false">N(W75)+N(X75)-N(Y75)</f>
        <v>0</v>
      </c>
      <c r="AA75" s="37" t="n">
        <f aca="false">N(E75)+N(I75)+N(M75)+N(Q75)+N(U75)+N(Y75)</f>
        <v>0</v>
      </c>
      <c r="AB75" s="26" t="n">
        <f aca="false">F75+J75+N75+R75+V75+Z75</f>
        <v>0</v>
      </c>
      <c r="AC75" s="83" t="str">
        <f aca="false">IF(B75="","",IF(AB75&lt;=0,"Clear",IF(AA75&gt;0,"Partial","Due")))</f>
        <v/>
      </c>
    </row>
    <row r="76" customFormat="false" ht="15" hidden="false" customHeight="false" outlineLevel="0" collapsed="false">
      <c r="A76" s="21" t="n">
        <v>61</v>
      </c>
      <c r="B76" s="46" t="str">
        <f aca="false">IF(Students!B65="","",Students!B65)</f>
        <v/>
      </c>
      <c r="C76" s="33" t="n">
        <f aca="false">'Aug 2027'!F76</f>
        <v>0</v>
      </c>
      <c r="D76" s="33" t="n">
        <f aca="false">IF(B76="",0,N(Students!E65))</f>
        <v>0</v>
      </c>
      <c r="E76" s="23"/>
      <c r="F76" s="24" t="n">
        <f aca="false">N(C76)+N(D76)-N(E76)</f>
        <v>0</v>
      </c>
      <c r="G76" s="33" t="n">
        <f aca="false">'Aug 2027'!J76</f>
        <v>0</v>
      </c>
      <c r="H76" s="33" t="n">
        <f aca="false">IF(B76="",0,N(Students!F65))</f>
        <v>0</v>
      </c>
      <c r="I76" s="23"/>
      <c r="J76" s="24" t="n">
        <f aca="false">N(G76)+N(H76)-N(I76)</f>
        <v>0</v>
      </c>
      <c r="K76" s="33" t="n">
        <f aca="false">'Aug 2027'!N76</f>
        <v>0</v>
      </c>
      <c r="L76" s="33" t="n">
        <f aca="false">IF(B76="",0,N(Students!G65))</f>
        <v>0</v>
      </c>
      <c r="M76" s="23"/>
      <c r="N76" s="24" t="n">
        <f aca="false">N(K76)+N(L76)-N(M76)</f>
        <v>0</v>
      </c>
      <c r="O76" s="33" t="n">
        <f aca="false">'Aug 2027'!R76</f>
        <v>0</v>
      </c>
      <c r="P76" s="33" t="n">
        <f aca="false">IF(B76="",0,N(Students!H65))</f>
        <v>0</v>
      </c>
      <c r="Q76" s="23"/>
      <c r="R76" s="24" t="n">
        <f aca="false">N(O76)+N(P76)-N(Q76)</f>
        <v>0</v>
      </c>
      <c r="S76" s="33" t="n">
        <f aca="false">'Aug 2027'!V76</f>
        <v>0</v>
      </c>
      <c r="T76" s="33" t="n">
        <f aca="false">IF(B76="",0,N(Students!I65))</f>
        <v>0</v>
      </c>
      <c r="U76" s="23"/>
      <c r="V76" s="24" t="n">
        <f aca="false">N(S76)+N(T76)-N(U76)</f>
        <v>0</v>
      </c>
      <c r="W76" s="33" t="n">
        <f aca="false">'Aug 2027'!Z76</f>
        <v>0</v>
      </c>
      <c r="X76" s="33" t="n">
        <f aca="false">IF(B76="",0,N(Students!J65))</f>
        <v>0</v>
      </c>
      <c r="Y76" s="23"/>
      <c r="Z76" s="24" t="n">
        <f aca="false">N(W76)+N(X76)-N(Y76)</f>
        <v>0</v>
      </c>
      <c r="AA76" s="33" t="n">
        <f aca="false">N(E76)+N(I76)+N(M76)+N(Q76)+N(U76)+N(Y76)</f>
        <v>0</v>
      </c>
      <c r="AB76" s="24" t="n">
        <f aca="false">F76+J76+N76+R76+V76+Z76</f>
        <v>0</v>
      </c>
      <c r="AC76" s="81" t="str">
        <f aca="false">IF(B76="","",IF(AB76&lt;=0,"Clear",IF(AA76&gt;0,"Partial","Due")))</f>
        <v/>
      </c>
    </row>
    <row r="77" customFormat="false" ht="15" hidden="false" customHeight="false" outlineLevel="0" collapsed="false">
      <c r="A77" s="25" t="n">
        <v>62</v>
      </c>
      <c r="B77" s="82" t="str">
        <f aca="false">IF(Students!B66="","",Students!B66)</f>
        <v/>
      </c>
      <c r="C77" s="37" t="n">
        <f aca="false">'Aug 2027'!F77</f>
        <v>0</v>
      </c>
      <c r="D77" s="37" t="n">
        <f aca="false">IF(B77="",0,N(Students!E66))</f>
        <v>0</v>
      </c>
      <c r="E77" s="23"/>
      <c r="F77" s="26" t="n">
        <f aca="false">N(C77)+N(D77)-N(E77)</f>
        <v>0</v>
      </c>
      <c r="G77" s="37" t="n">
        <f aca="false">'Aug 2027'!J77</f>
        <v>0</v>
      </c>
      <c r="H77" s="37" t="n">
        <f aca="false">IF(B77="",0,N(Students!F66))</f>
        <v>0</v>
      </c>
      <c r="I77" s="23"/>
      <c r="J77" s="26" t="n">
        <f aca="false">N(G77)+N(H77)-N(I77)</f>
        <v>0</v>
      </c>
      <c r="K77" s="37" t="n">
        <f aca="false">'Aug 2027'!N77</f>
        <v>0</v>
      </c>
      <c r="L77" s="37" t="n">
        <f aca="false">IF(B77="",0,N(Students!G66))</f>
        <v>0</v>
      </c>
      <c r="M77" s="23"/>
      <c r="N77" s="26" t="n">
        <f aca="false">N(K77)+N(L77)-N(M77)</f>
        <v>0</v>
      </c>
      <c r="O77" s="37" t="n">
        <f aca="false">'Aug 2027'!R77</f>
        <v>0</v>
      </c>
      <c r="P77" s="37" t="n">
        <f aca="false">IF(B77="",0,N(Students!H66))</f>
        <v>0</v>
      </c>
      <c r="Q77" s="23"/>
      <c r="R77" s="26" t="n">
        <f aca="false">N(O77)+N(P77)-N(Q77)</f>
        <v>0</v>
      </c>
      <c r="S77" s="37" t="n">
        <f aca="false">'Aug 2027'!V77</f>
        <v>0</v>
      </c>
      <c r="T77" s="37" t="n">
        <f aca="false">IF(B77="",0,N(Students!I66))</f>
        <v>0</v>
      </c>
      <c r="U77" s="23"/>
      <c r="V77" s="26" t="n">
        <f aca="false">N(S77)+N(T77)-N(U77)</f>
        <v>0</v>
      </c>
      <c r="W77" s="37" t="n">
        <f aca="false">'Aug 2027'!Z77</f>
        <v>0</v>
      </c>
      <c r="X77" s="37" t="n">
        <f aca="false">IF(B77="",0,N(Students!J66))</f>
        <v>0</v>
      </c>
      <c r="Y77" s="23"/>
      <c r="Z77" s="26" t="n">
        <f aca="false">N(W77)+N(X77)-N(Y77)</f>
        <v>0</v>
      </c>
      <c r="AA77" s="37" t="n">
        <f aca="false">N(E77)+N(I77)+N(M77)+N(Q77)+N(U77)+N(Y77)</f>
        <v>0</v>
      </c>
      <c r="AB77" s="26" t="n">
        <f aca="false">F77+J77+N77+R77+V77+Z77</f>
        <v>0</v>
      </c>
      <c r="AC77" s="83" t="str">
        <f aca="false">IF(B77="","",IF(AB77&lt;=0,"Clear",IF(AA77&gt;0,"Partial","Due")))</f>
        <v/>
      </c>
    </row>
    <row r="78" customFormat="false" ht="15" hidden="false" customHeight="false" outlineLevel="0" collapsed="false">
      <c r="A78" s="21" t="n">
        <v>63</v>
      </c>
      <c r="B78" s="46" t="str">
        <f aca="false">IF(Students!B67="","",Students!B67)</f>
        <v/>
      </c>
      <c r="C78" s="33" t="n">
        <f aca="false">'Aug 2027'!F78</f>
        <v>0</v>
      </c>
      <c r="D78" s="33" t="n">
        <f aca="false">IF(B78="",0,N(Students!E67))</f>
        <v>0</v>
      </c>
      <c r="E78" s="23"/>
      <c r="F78" s="24" t="n">
        <f aca="false">N(C78)+N(D78)-N(E78)</f>
        <v>0</v>
      </c>
      <c r="G78" s="33" t="n">
        <f aca="false">'Aug 2027'!J78</f>
        <v>0</v>
      </c>
      <c r="H78" s="33" t="n">
        <f aca="false">IF(B78="",0,N(Students!F67))</f>
        <v>0</v>
      </c>
      <c r="I78" s="23"/>
      <c r="J78" s="24" t="n">
        <f aca="false">N(G78)+N(H78)-N(I78)</f>
        <v>0</v>
      </c>
      <c r="K78" s="33" t="n">
        <f aca="false">'Aug 2027'!N78</f>
        <v>0</v>
      </c>
      <c r="L78" s="33" t="n">
        <f aca="false">IF(B78="",0,N(Students!G67))</f>
        <v>0</v>
      </c>
      <c r="M78" s="23"/>
      <c r="N78" s="24" t="n">
        <f aca="false">N(K78)+N(L78)-N(M78)</f>
        <v>0</v>
      </c>
      <c r="O78" s="33" t="n">
        <f aca="false">'Aug 2027'!R78</f>
        <v>0</v>
      </c>
      <c r="P78" s="33" t="n">
        <f aca="false">IF(B78="",0,N(Students!H67))</f>
        <v>0</v>
      </c>
      <c r="Q78" s="23"/>
      <c r="R78" s="24" t="n">
        <f aca="false">N(O78)+N(P78)-N(Q78)</f>
        <v>0</v>
      </c>
      <c r="S78" s="33" t="n">
        <f aca="false">'Aug 2027'!V78</f>
        <v>0</v>
      </c>
      <c r="T78" s="33" t="n">
        <f aca="false">IF(B78="",0,N(Students!I67))</f>
        <v>0</v>
      </c>
      <c r="U78" s="23"/>
      <c r="V78" s="24" t="n">
        <f aca="false">N(S78)+N(T78)-N(U78)</f>
        <v>0</v>
      </c>
      <c r="W78" s="33" t="n">
        <f aca="false">'Aug 2027'!Z78</f>
        <v>0</v>
      </c>
      <c r="X78" s="33" t="n">
        <f aca="false">IF(B78="",0,N(Students!J67))</f>
        <v>0</v>
      </c>
      <c r="Y78" s="23"/>
      <c r="Z78" s="24" t="n">
        <f aca="false">N(W78)+N(X78)-N(Y78)</f>
        <v>0</v>
      </c>
      <c r="AA78" s="33" t="n">
        <f aca="false">N(E78)+N(I78)+N(M78)+N(Q78)+N(U78)+N(Y78)</f>
        <v>0</v>
      </c>
      <c r="AB78" s="24" t="n">
        <f aca="false">F78+J78+N78+R78+V78+Z78</f>
        <v>0</v>
      </c>
      <c r="AC78" s="81" t="str">
        <f aca="false">IF(B78="","",IF(AB78&lt;=0,"Clear",IF(AA78&gt;0,"Partial","Due")))</f>
        <v/>
      </c>
    </row>
    <row r="79" customFormat="false" ht="15" hidden="false" customHeight="false" outlineLevel="0" collapsed="false">
      <c r="A79" s="25" t="n">
        <v>64</v>
      </c>
      <c r="B79" s="82" t="str">
        <f aca="false">IF(Students!B68="","",Students!B68)</f>
        <v/>
      </c>
      <c r="C79" s="37" t="n">
        <f aca="false">'Aug 2027'!F79</f>
        <v>0</v>
      </c>
      <c r="D79" s="37" t="n">
        <f aca="false">IF(B79="",0,N(Students!E68))</f>
        <v>0</v>
      </c>
      <c r="E79" s="23"/>
      <c r="F79" s="26" t="n">
        <f aca="false">N(C79)+N(D79)-N(E79)</f>
        <v>0</v>
      </c>
      <c r="G79" s="37" t="n">
        <f aca="false">'Aug 2027'!J79</f>
        <v>0</v>
      </c>
      <c r="H79" s="37" t="n">
        <f aca="false">IF(B79="",0,N(Students!F68))</f>
        <v>0</v>
      </c>
      <c r="I79" s="23"/>
      <c r="J79" s="26" t="n">
        <f aca="false">N(G79)+N(H79)-N(I79)</f>
        <v>0</v>
      </c>
      <c r="K79" s="37" t="n">
        <f aca="false">'Aug 2027'!N79</f>
        <v>0</v>
      </c>
      <c r="L79" s="37" t="n">
        <f aca="false">IF(B79="",0,N(Students!G68))</f>
        <v>0</v>
      </c>
      <c r="M79" s="23"/>
      <c r="N79" s="26" t="n">
        <f aca="false">N(K79)+N(L79)-N(M79)</f>
        <v>0</v>
      </c>
      <c r="O79" s="37" t="n">
        <f aca="false">'Aug 2027'!R79</f>
        <v>0</v>
      </c>
      <c r="P79" s="37" t="n">
        <f aca="false">IF(B79="",0,N(Students!H68))</f>
        <v>0</v>
      </c>
      <c r="Q79" s="23"/>
      <c r="R79" s="26" t="n">
        <f aca="false">N(O79)+N(P79)-N(Q79)</f>
        <v>0</v>
      </c>
      <c r="S79" s="37" t="n">
        <f aca="false">'Aug 2027'!V79</f>
        <v>0</v>
      </c>
      <c r="T79" s="37" t="n">
        <f aca="false">IF(B79="",0,N(Students!I68))</f>
        <v>0</v>
      </c>
      <c r="U79" s="23"/>
      <c r="V79" s="26" t="n">
        <f aca="false">N(S79)+N(T79)-N(U79)</f>
        <v>0</v>
      </c>
      <c r="W79" s="37" t="n">
        <f aca="false">'Aug 2027'!Z79</f>
        <v>0</v>
      </c>
      <c r="X79" s="37" t="n">
        <f aca="false">IF(B79="",0,N(Students!J68))</f>
        <v>0</v>
      </c>
      <c r="Y79" s="23"/>
      <c r="Z79" s="26" t="n">
        <f aca="false">N(W79)+N(X79)-N(Y79)</f>
        <v>0</v>
      </c>
      <c r="AA79" s="37" t="n">
        <f aca="false">N(E79)+N(I79)+N(M79)+N(Q79)+N(U79)+N(Y79)</f>
        <v>0</v>
      </c>
      <c r="AB79" s="26" t="n">
        <f aca="false">F79+J79+N79+R79+V79+Z79</f>
        <v>0</v>
      </c>
      <c r="AC79" s="83" t="str">
        <f aca="false">IF(B79="","",IF(AB79&lt;=0,"Clear",IF(AA79&gt;0,"Partial","Due")))</f>
        <v/>
      </c>
    </row>
    <row r="80" customFormat="false" ht="15" hidden="false" customHeight="false" outlineLevel="0" collapsed="false">
      <c r="A80" s="21" t="n">
        <v>65</v>
      </c>
      <c r="B80" s="46" t="str">
        <f aca="false">IF(Students!B69="","",Students!B69)</f>
        <v/>
      </c>
      <c r="C80" s="33" t="n">
        <f aca="false">'Aug 2027'!F80</f>
        <v>0</v>
      </c>
      <c r="D80" s="33" t="n">
        <f aca="false">IF(B80="",0,N(Students!E69))</f>
        <v>0</v>
      </c>
      <c r="E80" s="23"/>
      <c r="F80" s="24" t="n">
        <f aca="false">N(C80)+N(D80)-N(E80)</f>
        <v>0</v>
      </c>
      <c r="G80" s="33" t="n">
        <f aca="false">'Aug 2027'!J80</f>
        <v>0</v>
      </c>
      <c r="H80" s="33" t="n">
        <f aca="false">IF(B80="",0,N(Students!F69))</f>
        <v>0</v>
      </c>
      <c r="I80" s="23"/>
      <c r="J80" s="24" t="n">
        <f aca="false">N(G80)+N(H80)-N(I80)</f>
        <v>0</v>
      </c>
      <c r="K80" s="33" t="n">
        <f aca="false">'Aug 2027'!N80</f>
        <v>0</v>
      </c>
      <c r="L80" s="33" t="n">
        <f aca="false">IF(B80="",0,N(Students!G69))</f>
        <v>0</v>
      </c>
      <c r="M80" s="23"/>
      <c r="N80" s="24" t="n">
        <f aca="false">N(K80)+N(L80)-N(M80)</f>
        <v>0</v>
      </c>
      <c r="O80" s="33" t="n">
        <f aca="false">'Aug 2027'!R80</f>
        <v>0</v>
      </c>
      <c r="P80" s="33" t="n">
        <f aca="false">IF(B80="",0,N(Students!H69))</f>
        <v>0</v>
      </c>
      <c r="Q80" s="23"/>
      <c r="R80" s="24" t="n">
        <f aca="false">N(O80)+N(P80)-N(Q80)</f>
        <v>0</v>
      </c>
      <c r="S80" s="33" t="n">
        <f aca="false">'Aug 2027'!V80</f>
        <v>0</v>
      </c>
      <c r="T80" s="33" t="n">
        <f aca="false">IF(B80="",0,N(Students!I69))</f>
        <v>0</v>
      </c>
      <c r="U80" s="23"/>
      <c r="V80" s="24" t="n">
        <f aca="false">N(S80)+N(T80)-N(U80)</f>
        <v>0</v>
      </c>
      <c r="W80" s="33" t="n">
        <f aca="false">'Aug 2027'!Z80</f>
        <v>0</v>
      </c>
      <c r="X80" s="33" t="n">
        <f aca="false">IF(B80="",0,N(Students!J69))</f>
        <v>0</v>
      </c>
      <c r="Y80" s="23"/>
      <c r="Z80" s="24" t="n">
        <f aca="false">N(W80)+N(X80)-N(Y80)</f>
        <v>0</v>
      </c>
      <c r="AA80" s="33" t="n">
        <f aca="false">N(E80)+N(I80)+N(M80)+N(Q80)+N(U80)+N(Y80)</f>
        <v>0</v>
      </c>
      <c r="AB80" s="24" t="n">
        <f aca="false">F80+J80+N80+R80+V80+Z80</f>
        <v>0</v>
      </c>
      <c r="AC80" s="81" t="str">
        <f aca="false">IF(B80="","",IF(AB80&lt;=0,"Clear",IF(AA80&gt;0,"Partial","Due")))</f>
        <v/>
      </c>
    </row>
    <row r="81" customFormat="false" ht="15" hidden="false" customHeight="false" outlineLevel="0" collapsed="false">
      <c r="A81" s="25" t="n">
        <v>66</v>
      </c>
      <c r="B81" s="82" t="str">
        <f aca="false">IF(Students!B70="","",Students!B70)</f>
        <v/>
      </c>
      <c r="C81" s="37" t="n">
        <f aca="false">'Aug 2027'!F81</f>
        <v>0</v>
      </c>
      <c r="D81" s="37" t="n">
        <f aca="false">IF(B81="",0,N(Students!E70))</f>
        <v>0</v>
      </c>
      <c r="E81" s="23"/>
      <c r="F81" s="26" t="n">
        <f aca="false">N(C81)+N(D81)-N(E81)</f>
        <v>0</v>
      </c>
      <c r="G81" s="37" t="n">
        <f aca="false">'Aug 2027'!J81</f>
        <v>0</v>
      </c>
      <c r="H81" s="37" t="n">
        <f aca="false">IF(B81="",0,N(Students!F70))</f>
        <v>0</v>
      </c>
      <c r="I81" s="23"/>
      <c r="J81" s="26" t="n">
        <f aca="false">N(G81)+N(H81)-N(I81)</f>
        <v>0</v>
      </c>
      <c r="K81" s="37" t="n">
        <f aca="false">'Aug 2027'!N81</f>
        <v>0</v>
      </c>
      <c r="L81" s="37" t="n">
        <f aca="false">IF(B81="",0,N(Students!G70))</f>
        <v>0</v>
      </c>
      <c r="M81" s="23"/>
      <c r="N81" s="26" t="n">
        <f aca="false">N(K81)+N(L81)-N(M81)</f>
        <v>0</v>
      </c>
      <c r="O81" s="37" t="n">
        <f aca="false">'Aug 2027'!R81</f>
        <v>0</v>
      </c>
      <c r="P81" s="37" t="n">
        <f aca="false">IF(B81="",0,N(Students!H70))</f>
        <v>0</v>
      </c>
      <c r="Q81" s="23"/>
      <c r="R81" s="26" t="n">
        <f aca="false">N(O81)+N(P81)-N(Q81)</f>
        <v>0</v>
      </c>
      <c r="S81" s="37" t="n">
        <f aca="false">'Aug 2027'!V81</f>
        <v>0</v>
      </c>
      <c r="T81" s="37" t="n">
        <f aca="false">IF(B81="",0,N(Students!I70))</f>
        <v>0</v>
      </c>
      <c r="U81" s="23"/>
      <c r="V81" s="26" t="n">
        <f aca="false">N(S81)+N(T81)-N(U81)</f>
        <v>0</v>
      </c>
      <c r="W81" s="37" t="n">
        <f aca="false">'Aug 2027'!Z81</f>
        <v>0</v>
      </c>
      <c r="X81" s="37" t="n">
        <f aca="false">IF(B81="",0,N(Students!J70))</f>
        <v>0</v>
      </c>
      <c r="Y81" s="23"/>
      <c r="Z81" s="26" t="n">
        <f aca="false">N(W81)+N(X81)-N(Y81)</f>
        <v>0</v>
      </c>
      <c r="AA81" s="37" t="n">
        <f aca="false">N(E81)+N(I81)+N(M81)+N(Q81)+N(U81)+N(Y81)</f>
        <v>0</v>
      </c>
      <c r="AB81" s="26" t="n">
        <f aca="false">F81+J81+N81+R81+V81+Z81</f>
        <v>0</v>
      </c>
      <c r="AC81" s="83" t="str">
        <f aca="false">IF(B81="","",IF(AB81&lt;=0,"Clear",IF(AA81&gt;0,"Partial","Due")))</f>
        <v/>
      </c>
    </row>
    <row r="82" customFormat="false" ht="15" hidden="false" customHeight="false" outlineLevel="0" collapsed="false">
      <c r="A82" s="21" t="n">
        <v>67</v>
      </c>
      <c r="B82" s="46" t="str">
        <f aca="false">IF(Students!B71="","",Students!B71)</f>
        <v/>
      </c>
      <c r="C82" s="33" t="n">
        <f aca="false">'Aug 2027'!F82</f>
        <v>0</v>
      </c>
      <c r="D82" s="33" t="n">
        <f aca="false">IF(B82="",0,N(Students!E71))</f>
        <v>0</v>
      </c>
      <c r="E82" s="23"/>
      <c r="F82" s="24" t="n">
        <f aca="false">N(C82)+N(D82)-N(E82)</f>
        <v>0</v>
      </c>
      <c r="G82" s="33" t="n">
        <f aca="false">'Aug 2027'!J82</f>
        <v>0</v>
      </c>
      <c r="H82" s="33" t="n">
        <f aca="false">IF(B82="",0,N(Students!F71))</f>
        <v>0</v>
      </c>
      <c r="I82" s="23"/>
      <c r="J82" s="24" t="n">
        <f aca="false">N(G82)+N(H82)-N(I82)</f>
        <v>0</v>
      </c>
      <c r="K82" s="33" t="n">
        <f aca="false">'Aug 2027'!N82</f>
        <v>0</v>
      </c>
      <c r="L82" s="33" t="n">
        <f aca="false">IF(B82="",0,N(Students!G71))</f>
        <v>0</v>
      </c>
      <c r="M82" s="23"/>
      <c r="N82" s="24" t="n">
        <f aca="false">N(K82)+N(L82)-N(M82)</f>
        <v>0</v>
      </c>
      <c r="O82" s="33" t="n">
        <f aca="false">'Aug 2027'!R82</f>
        <v>0</v>
      </c>
      <c r="P82" s="33" t="n">
        <f aca="false">IF(B82="",0,N(Students!H71))</f>
        <v>0</v>
      </c>
      <c r="Q82" s="23"/>
      <c r="R82" s="24" t="n">
        <f aca="false">N(O82)+N(P82)-N(Q82)</f>
        <v>0</v>
      </c>
      <c r="S82" s="33" t="n">
        <f aca="false">'Aug 2027'!V82</f>
        <v>0</v>
      </c>
      <c r="T82" s="33" t="n">
        <f aca="false">IF(B82="",0,N(Students!I71))</f>
        <v>0</v>
      </c>
      <c r="U82" s="23"/>
      <c r="V82" s="24" t="n">
        <f aca="false">N(S82)+N(T82)-N(U82)</f>
        <v>0</v>
      </c>
      <c r="W82" s="33" t="n">
        <f aca="false">'Aug 2027'!Z82</f>
        <v>0</v>
      </c>
      <c r="X82" s="33" t="n">
        <f aca="false">IF(B82="",0,N(Students!J71))</f>
        <v>0</v>
      </c>
      <c r="Y82" s="23"/>
      <c r="Z82" s="24" t="n">
        <f aca="false">N(W82)+N(X82)-N(Y82)</f>
        <v>0</v>
      </c>
      <c r="AA82" s="33" t="n">
        <f aca="false">N(E82)+N(I82)+N(M82)+N(Q82)+N(U82)+N(Y82)</f>
        <v>0</v>
      </c>
      <c r="AB82" s="24" t="n">
        <f aca="false">F82+J82+N82+R82+V82+Z82</f>
        <v>0</v>
      </c>
      <c r="AC82" s="81" t="str">
        <f aca="false">IF(B82="","",IF(AB82&lt;=0,"Clear",IF(AA82&gt;0,"Partial","Due")))</f>
        <v/>
      </c>
    </row>
    <row r="83" customFormat="false" ht="15" hidden="false" customHeight="false" outlineLevel="0" collapsed="false">
      <c r="A83" s="25" t="n">
        <v>68</v>
      </c>
      <c r="B83" s="82" t="str">
        <f aca="false">IF(Students!B72="","",Students!B72)</f>
        <v/>
      </c>
      <c r="C83" s="37" t="n">
        <f aca="false">'Aug 2027'!F83</f>
        <v>0</v>
      </c>
      <c r="D83" s="37" t="n">
        <f aca="false">IF(B83="",0,N(Students!E72))</f>
        <v>0</v>
      </c>
      <c r="E83" s="23"/>
      <c r="F83" s="26" t="n">
        <f aca="false">N(C83)+N(D83)-N(E83)</f>
        <v>0</v>
      </c>
      <c r="G83" s="37" t="n">
        <f aca="false">'Aug 2027'!J83</f>
        <v>0</v>
      </c>
      <c r="H83" s="37" t="n">
        <f aca="false">IF(B83="",0,N(Students!F72))</f>
        <v>0</v>
      </c>
      <c r="I83" s="23"/>
      <c r="J83" s="26" t="n">
        <f aca="false">N(G83)+N(H83)-N(I83)</f>
        <v>0</v>
      </c>
      <c r="K83" s="37" t="n">
        <f aca="false">'Aug 2027'!N83</f>
        <v>0</v>
      </c>
      <c r="L83" s="37" t="n">
        <f aca="false">IF(B83="",0,N(Students!G72))</f>
        <v>0</v>
      </c>
      <c r="M83" s="23"/>
      <c r="N83" s="26" t="n">
        <f aca="false">N(K83)+N(L83)-N(M83)</f>
        <v>0</v>
      </c>
      <c r="O83" s="37" t="n">
        <f aca="false">'Aug 2027'!R83</f>
        <v>0</v>
      </c>
      <c r="P83" s="37" t="n">
        <f aca="false">IF(B83="",0,N(Students!H72))</f>
        <v>0</v>
      </c>
      <c r="Q83" s="23"/>
      <c r="R83" s="26" t="n">
        <f aca="false">N(O83)+N(P83)-N(Q83)</f>
        <v>0</v>
      </c>
      <c r="S83" s="37" t="n">
        <f aca="false">'Aug 2027'!V83</f>
        <v>0</v>
      </c>
      <c r="T83" s="37" t="n">
        <f aca="false">IF(B83="",0,N(Students!I72))</f>
        <v>0</v>
      </c>
      <c r="U83" s="23"/>
      <c r="V83" s="26" t="n">
        <f aca="false">N(S83)+N(T83)-N(U83)</f>
        <v>0</v>
      </c>
      <c r="W83" s="37" t="n">
        <f aca="false">'Aug 2027'!Z83</f>
        <v>0</v>
      </c>
      <c r="X83" s="37" t="n">
        <f aca="false">IF(B83="",0,N(Students!J72))</f>
        <v>0</v>
      </c>
      <c r="Y83" s="23"/>
      <c r="Z83" s="26" t="n">
        <f aca="false">N(W83)+N(X83)-N(Y83)</f>
        <v>0</v>
      </c>
      <c r="AA83" s="37" t="n">
        <f aca="false">N(E83)+N(I83)+N(M83)+N(Q83)+N(U83)+N(Y83)</f>
        <v>0</v>
      </c>
      <c r="AB83" s="26" t="n">
        <f aca="false">F83+J83+N83+R83+V83+Z83</f>
        <v>0</v>
      </c>
      <c r="AC83" s="83" t="str">
        <f aca="false">IF(B83="","",IF(AB83&lt;=0,"Clear",IF(AA83&gt;0,"Partial","Due")))</f>
        <v/>
      </c>
    </row>
    <row r="84" customFormat="false" ht="15" hidden="false" customHeight="false" outlineLevel="0" collapsed="false">
      <c r="A84" s="21" t="n">
        <v>69</v>
      </c>
      <c r="B84" s="46" t="str">
        <f aca="false">IF(Students!B73="","",Students!B73)</f>
        <v/>
      </c>
      <c r="C84" s="33" t="n">
        <f aca="false">'Aug 2027'!F84</f>
        <v>0</v>
      </c>
      <c r="D84" s="33" t="n">
        <f aca="false">IF(B84="",0,N(Students!E73))</f>
        <v>0</v>
      </c>
      <c r="E84" s="23"/>
      <c r="F84" s="24" t="n">
        <f aca="false">N(C84)+N(D84)-N(E84)</f>
        <v>0</v>
      </c>
      <c r="G84" s="33" t="n">
        <f aca="false">'Aug 2027'!J84</f>
        <v>0</v>
      </c>
      <c r="H84" s="33" t="n">
        <f aca="false">IF(B84="",0,N(Students!F73))</f>
        <v>0</v>
      </c>
      <c r="I84" s="23"/>
      <c r="J84" s="24" t="n">
        <f aca="false">N(G84)+N(H84)-N(I84)</f>
        <v>0</v>
      </c>
      <c r="K84" s="33" t="n">
        <f aca="false">'Aug 2027'!N84</f>
        <v>0</v>
      </c>
      <c r="L84" s="33" t="n">
        <f aca="false">IF(B84="",0,N(Students!G73))</f>
        <v>0</v>
      </c>
      <c r="M84" s="23"/>
      <c r="N84" s="24" t="n">
        <f aca="false">N(K84)+N(L84)-N(M84)</f>
        <v>0</v>
      </c>
      <c r="O84" s="33" t="n">
        <f aca="false">'Aug 2027'!R84</f>
        <v>0</v>
      </c>
      <c r="P84" s="33" t="n">
        <f aca="false">IF(B84="",0,N(Students!H73))</f>
        <v>0</v>
      </c>
      <c r="Q84" s="23"/>
      <c r="R84" s="24" t="n">
        <f aca="false">N(O84)+N(P84)-N(Q84)</f>
        <v>0</v>
      </c>
      <c r="S84" s="33" t="n">
        <f aca="false">'Aug 2027'!V84</f>
        <v>0</v>
      </c>
      <c r="T84" s="33" t="n">
        <f aca="false">IF(B84="",0,N(Students!I73))</f>
        <v>0</v>
      </c>
      <c r="U84" s="23"/>
      <c r="V84" s="24" t="n">
        <f aca="false">N(S84)+N(T84)-N(U84)</f>
        <v>0</v>
      </c>
      <c r="W84" s="33" t="n">
        <f aca="false">'Aug 2027'!Z84</f>
        <v>0</v>
      </c>
      <c r="X84" s="33" t="n">
        <f aca="false">IF(B84="",0,N(Students!J73))</f>
        <v>0</v>
      </c>
      <c r="Y84" s="23"/>
      <c r="Z84" s="24" t="n">
        <f aca="false">N(W84)+N(X84)-N(Y84)</f>
        <v>0</v>
      </c>
      <c r="AA84" s="33" t="n">
        <f aca="false">N(E84)+N(I84)+N(M84)+N(Q84)+N(U84)+N(Y84)</f>
        <v>0</v>
      </c>
      <c r="AB84" s="24" t="n">
        <f aca="false">F84+J84+N84+R84+V84+Z84</f>
        <v>0</v>
      </c>
      <c r="AC84" s="81" t="str">
        <f aca="false">IF(B84="","",IF(AB84&lt;=0,"Clear",IF(AA84&gt;0,"Partial","Due")))</f>
        <v/>
      </c>
    </row>
    <row r="85" customFormat="false" ht="15" hidden="false" customHeight="false" outlineLevel="0" collapsed="false">
      <c r="A85" s="25" t="n">
        <v>70</v>
      </c>
      <c r="B85" s="82" t="str">
        <f aca="false">IF(Students!B74="","",Students!B74)</f>
        <v/>
      </c>
      <c r="C85" s="37" t="n">
        <f aca="false">'Aug 2027'!F85</f>
        <v>0</v>
      </c>
      <c r="D85" s="37" t="n">
        <f aca="false">IF(B85="",0,N(Students!E74))</f>
        <v>0</v>
      </c>
      <c r="E85" s="23"/>
      <c r="F85" s="26" t="n">
        <f aca="false">N(C85)+N(D85)-N(E85)</f>
        <v>0</v>
      </c>
      <c r="G85" s="37" t="n">
        <f aca="false">'Aug 2027'!J85</f>
        <v>0</v>
      </c>
      <c r="H85" s="37" t="n">
        <f aca="false">IF(B85="",0,N(Students!F74))</f>
        <v>0</v>
      </c>
      <c r="I85" s="23"/>
      <c r="J85" s="26" t="n">
        <f aca="false">N(G85)+N(H85)-N(I85)</f>
        <v>0</v>
      </c>
      <c r="K85" s="37" t="n">
        <f aca="false">'Aug 2027'!N85</f>
        <v>0</v>
      </c>
      <c r="L85" s="37" t="n">
        <f aca="false">IF(B85="",0,N(Students!G74))</f>
        <v>0</v>
      </c>
      <c r="M85" s="23"/>
      <c r="N85" s="26" t="n">
        <f aca="false">N(K85)+N(L85)-N(M85)</f>
        <v>0</v>
      </c>
      <c r="O85" s="37" t="n">
        <f aca="false">'Aug 2027'!R85</f>
        <v>0</v>
      </c>
      <c r="P85" s="37" t="n">
        <f aca="false">IF(B85="",0,N(Students!H74))</f>
        <v>0</v>
      </c>
      <c r="Q85" s="23"/>
      <c r="R85" s="26" t="n">
        <f aca="false">N(O85)+N(P85)-N(Q85)</f>
        <v>0</v>
      </c>
      <c r="S85" s="37" t="n">
        <f aca="false">'Aug 2027'!V85</f>
        <v>0</v>
      </c>
      <c r="T85" s="37" t="n">
        <f aca="false">IF(B85="",0,N(Students!I74))</f>
        <v>0</v>
      </c>
      <c r="U85" s="23"/>
      <c r="V85" s="26" t="n">
        <f aca="false">N(S85)+N(T85)-N(U85)</f>
        <v>0</v>
      </c>
      <c r="W85" s="37" t="n">
        <f aca="false">'Aug 2027'!Z85</f>
        <v>0</v>
      </c>
      <c r="X85" s="37" t="n">
        <f aca="false">IF(B85="",0,N(Students!J74))</f>
        <v>0</v>
      </c>
      <c r="Y85" s="23"/>
      <c r="Z85" s="26" t="n">
        <f aca="false">N(W85)+N(X85)-N(Y85)</f>
        <v>0</v>
      </c>
      <c r="AA85" s="37" t="n">
        <f aca="false">N(E85)+N(I85)+N(M85)+N(Q85)+N(U85)+N(Y85)</f>
        <v>0</v>
      </c>
      <c r="AB85" s="26" t="n">
        <f aca="false">F85+J85+N85+R85+V85+Z85</f>
        <v>0</v>
      </c>
      <c r="AC85" s="83" t="str">
        <f aca="false">IF(B85="","",IF(AB85&lt;=0,"Clear",IF(AA85&gt;0,"Partial","Due")))</f>
        <v/>
      </c>
    </row>
    <row r="86" customFormat="false" ht="15" hidden="false" customHeight="false" outlineLevel="0" collapsed="false">
      <c r="A86" s="21" t="n">
        <v>71</v>
      </c>
      <c r="B86" s="46" t="str">
        <f aca="false">IF(Students!B75="","",Students!B75)</f>
        <v/>
      </c>
      <c r="C86" s="33" t="n">
        <f aca="false">'Aug 2027'!F86</f>
        <v>0</v>
      </c>
      <c r="D86" s="33" t="n">
        <f aca="false">IF(B86="",0,N(Students!E75))</f>
        <v>0</v>
      </c>
      <c r="E86" s="23"/>
      <c r="F86" s="24" t="n">
        <f aca="false">N(C86)+N(D86)-N(E86)</f>
        <v>0</v>
      </c>
      <c r="G86" s="33" t="n">
        <f aca="false">'Aug 2027'!J86</f>
        <v>0</v>
      </c>
      <c r="H86" s="33" t="n">
        <f aca="false">IF(B86="",0,N(Students!F75))</f>
        <v>0</v>
      </c>
      <c r="I86" s="23"/>
      <c r="J86" s="24" t="n">
        <f aca="false">N(G86)+N(H86)-N(I86)</f>
        <v>0</v>
      </c>
      <c r="K86" s="33" t="n">
        <f aca="false">'Aug 2027'!N86</f>
        <v>0</v>
      </c>
      <c r="L86" s="33" t="n">
        <f aca="false">IF(B86="",0,N(Students!G75))</f>
        <v>0</v>
      </c>
      <c r="M86" s="23"/>
      <c r="N86" s="24" t="n">
        <f aca="false">N(K86)+N(L86)-N(M86)</f>
        <v>0</v>
      </c>
      <c r="O86" s="33" t="n">
        <f aca="false">'Aug 2027'!R86</f>
        <v>0</v>
      </c>
      <c r="P86" s="33" t="n">
        <f aca="false">IF(B86="",0,N(Students!H75))</f>
        <v>0</v>
      </c>
      <c r="Q86" s="23"/>
      <c r="R86" s="24" t="n">
        <f aca="false">N(O86)+N(P86)-N(Q86)</f>
        <v>0</v>
      </c>
      <c r="S86" s="33" t="n">
        <f aca="false">'Aug 2027'!V86</f>
        <v>0</v>
      </c>
      <c r="T86" s="33" t="n">
        <f aca="false">IF(B86="",0,N(Students!I75))</f>
        <v>0</v>
      </c>
      <c r="U86" s="23"/>
      <c r="V86" s="24" t="n">
        <f aca="false">N(S86)+N(T86)-N(U86)</f>
        <v>0</v>
      </c>
      <c r="W86" s="33" t="n">
        <f aca="false">'Aug 2027'!Z86</f>
        <v>0</v>
      </c>
      <c r="X86" s="33" t="n">
        <f aca="false">IF(B86="",0,N(Students!J75))</f>
        <v>0</v>
      </c>
      <c r="Y86" s="23"/>
      <c r="Z86" s="24" t="n">
        <f aca="false">N(W86)+N(X86)-N(Y86)</f>
        <v>0</v>
      </c>
      <c r="AA86" s="33" t="n">
        <f aca="false">N(E86)+N(I86)+N(M86)+N(Q86)+N(U86)+N(Y86)</f>
        <v>0</v>
      </c>
      <c r="AB86" s="24" t="n">
        <f aca="false">F86+J86+N86+R86+V86+Z86</f>
        <v>0</v>
      </c>
      <c r="AC86" s="81" t="str">
        <f aca="false">IF(B86="","",IF(AB86&lt;=0,"Clear",IF(AA86&gt;0,"Partial","Due")))</f>
        <v/>
      </c>
    </row>
    <row r="87" customFormat="false" ht="15" hidden="false" customHeight="false" outlineLevel="0" collapsed="false">
      <c r="A87" s="25" t="n">
        <v>72</v>
      </c>
      <c r="B87" s="82" t="str">
        <f aca="false">IF(Students!B76="","",Students!B76)</f>
        <v/>
      </c>
      <c r="C87" s="37" t="n">
        <f aca="false">'Aug 2027'!F87</f>
        <v>0</v>
      </c>
      <c r="D87" s="37" t="n">
        <f aca="false">IF(B87="",0,N(Students!E76))</f>
        <v>0</v>
      </c>
      <c r="E87" s="23"/>
      <c r="F87" s="26" t="n">
        <f aca="false">N(C87)+N(D87)-N(E87)</f>
        <v>0</v>
      </c>
      <c r="G87" s="37" t="n">
        <f aca="false">'Aug 2027'!J87</f>
        <v>0</v>
      </c>
      <c r="H87" s="37" t="n">
        <f aca="false">IF(B87="",0,N(Students!F76))</f>
        <v>0</v>
      </c>
      <c r="I87" s="23"/>
      <c r="J87" s="26" t="n">
        <f aca="false">N(G87)+N(H87)-N(I87)</f>
        <v>0</v>
      </c>
      <c r="K87" s="37" t="n">
        <f aca="false">'Aug 2027'!N87</f>
        <v>0</v>
      </c>
      <c r="L87" s="37" t="n">
        <f aca="false">IF(B87="",0,N(Students!G76))</f>
        <v>0</v>
      </c>
      <c r="M87" s="23"/>
      <c r="N87" s="26" t="n">
        <f aca="false">N(K87)+N(L87)-N(M87)</f>
        <v>0</v>
      </c>
      <c r="O87" s="37" t="n">
        <f aca="false">'Aug 2027'!R87</f>
        <v>0</v>
      </c>
      <c r="P87" s="37" t="n">
        <f aca="false">IF(B87="",0,N(Students!H76))</f>
        <v>0</v>
      </c>
      <c r="Q87" s="23"/>
      <c r="R87" s="26" t="n">
        <f aca="false">N(O87)+N(P87)-N(Q87)</f>
        <v>0</v>
      </c>
      <c r="S87" s="37" t="n">
        <f aca="false">'Aug 2027'!V87</f>
        <v>0</v>
      </c>
      <c r="T87" s="37" t="n">
        <f aca="false">IF(B87="",0,N(Students!I76))</f>
        <v>0</v>
      </c>
      <c r="U87" s="23"/>
      <c r="V87" s="26" t="n">
        <f aca="false">N(S87)+N(T87)-N(U87)</f>
        <v>0</v>
      </c>
      <c r="W87" s="37" t="n">
        <f aca="false">'Aug 2027'!Z87</f>
        <v>0</v>
      </c>
      <c r="X87" s="37" t="n">
        <f aca="false">IF(B87="",0,N(Students!J76))</f>
        <v>0</v>
      </c>
      <c r="Y87" s="23"/>
      <c r="Z87" s="26" t="n">
        <f aca="false">N(W87)+N(X87)-N(Y87)</f>
        <v>0</v>
      </c>
      <c r="AA87" s="37" t="n">
        <f aca="false">N(E87)+N(I87)+N(M87)+N(Q87)+N(U87)+N(Y87)</f>
        <v>0</v>
      </c>
      <c r="AB87" s="26" t="n">
        <f aca="false">F87+J87+N87+R87+V87+Z87</f>
        <v>0</v>
      </c>
      <c r="AC87" s="83" t="str">
        <f aca="false">IF(B87="","",IF(AB87&lt;=0,"Clear",IF(AA87&gt;0,"Partial","Due")))</f>
        <v/>
      </c>
    </row>
    <row r="88" customFormat="false" ht="15" hidden="false" customHeight="false" outlineLevel="0" collapsed="false">
      <c r="A88" s="21" t="n">
        <v>73</v>
      </c>
      <c r="B88" s="46" t="str">
        <f aca="false">IF(Students!B77="","",Students!B77)</f>
        <v/>
      </c>
      <c r="C88" s="33" t="n">
        <f aca="false">'Aug 2027'!F88</f>
        <v>0</v>
      </c>
      <c r="D88" s="33" t="n">
        <f aca="false">IF(B88="",0,N(Students!E77))</f>
        <v>0</v>
      </c>
      <c r="E88" s="23"/>
      <c r="F88" s="24" t="n">
        <f aca="false">N(C88)+N(D88)-N(E88)</f>
        <v>0</v>
      </c>
      <c r="G88" s="33" t="n">
        <f aca="false">'Aug 2027'!J88</f>
        <v>0</v>
      </c>
      <c r="H88" s="33" t="n">
        <f aca="false">IF(B88="",0,N(Students!F77))</f>
        <v>0</v>
      </c>
      <c r="I88" s="23"/>
      <c r="J88" s="24" t="n">
        <f aca="false">N(G88)+N(H88)-N(I88)</f>
        <v>0</v>
      </c>
      <c r="K88" s="33" t="n">
        <f aca="false">'Aug 2027'!N88</f>
        <v>0</v>
      </c>
      <c r="L88" s="33" t="n">
        <f aca="false">IF(B88="",0,N(Students!G77))</f>
        <v>0</v>
      </c>
      <c r="M88" s="23"/>
      <c r="N88" s="24" t="n">
        <f aca="false">N(K88)+N(L88)-N(M88)</f>
        <v>0</v>
      </c>
      <c r="O88" s="33" t="n">
        <f aca="false">'Aug 2027'!R88</f>
        <v>0</v>
      </c>
      <c r="P88" s="33" t="n">
        <f aca="false">IF(B88="",0,N(Students!H77))</f>
        <v>0</v>
      </c>
      <c r="Q88" s="23"/>
      <c r="R88" s="24" t="n">
        <f aca="false">N(O88)+N(P88)-N(Q88)</f>
        <v>0</v>
      </c>
      <c r="S88" s="33" t="n">
        <f aca="false">'Aug 2027'!V88</f>
        <v>0</v>
      </c>
      <c r="T88" s="33" t="n">
        <f aca="false">IF(B88="",0,N(Students!I77))</f>
        <v>0</v>
      </c>
      <c r="U88" s="23"/>
      <c r="V88" s="24" t="n">
        <f aca="false">N(S88)+N(T88)-N(U88)</f>
        <v>0</v>
      </c>
      <c r="W88" s="33" t="n">
        <f aca="false">'Aug 2027'!Z88</f>
        <v>0</v>
      </c>
      <c r="X88" s="33" t="n">
        <f aca="false">IF(B88="",0,N(Students!J77))</f>
        <v>0</v>
      </c>
      <c r="Y88" s="23"/>
      <c r="Z88" s="24" t="n">
        <f aca="false">N(W88)+N(X88)-N(Y88)</f>
        <v>0</v>
      </c>
      <c r="AA88" s="33" t="n">
        <f aca="false">N(E88)+N(I88)+N(M88)+N(Q88)+N(U88)+N(Y88)</f>
        <v>0</v>
      </c>
      <c r="AB88" s="24" t="n">
        <f aca="false">F88+J88+N88+R88+V88+Z88</f>
        <v>0</v>
      </c>
      <c r="AC88" s="81" t="str">
        <f aca="false">IF(B88="","",IF(AB88&lt;=0,"Clear",IF(AA88&gt;0,"Partial","Due")))</f>
        <v/>
      </c>
    </row>
    <row r="89" customFormat="false" ht="15" hidden="false" customHeight="false" outlineLevel="0" collapsed="false">
      <c r="A89" s="25" t="n">
        <v>74</v>
      </c>
      <c r="B89" s="82" t="str">
        <f aca="false">IF(Students!B78="","",Students!B78)</f>
        <v/>
      </c>
      <c r="C89" s="37" t="n">
        <f aca="false">'Aug 2027'!F89</f>
        <v>0</v>
      </c>
      <c r="D89" s="37" t="n">
        <f aca="false">IF(B89="",0,N(Students!E78))</f>
        <v>0</v>
      </c>
      <c r="E89" s="23"/>
      <c r="F89" s="26" t="n">
        <f aca="false">N(C89)+N(D89)-N(E89)</f>
        <v>0</v>
      </c>
      <c r="G89" s="37" t="n">
        <f aca="false">'Aug 2027'!J89</f>
        <v>0</v>
      </c>
      <c r="H89" s="37" t="n">
        <f aca="false">IF(B89="",0,N(Students!F78))</f>
        <v>0</v>
      </c>
      <c r="I89" s="23"/>
      <c r="J89" s="26" t="n">
        <f aca="false">N(G89)+N(H89)-N(I89)</f>
        <v>0</v>
      </c>
      <c r="K89" s="37" t="n">
        <f aca="false">'Aug 2027'!N89</f>
        <v>0</v>
      </c>
      <c r="L89" s="37" t="n">
        <f aca="false">IF(B89="",0,N(Students!G78))</f>
        <v>0</v>
      </c>
      <c r="M89" s="23"/>
      <c r="N89" s="26" t="n">
        <f aca="false">N(K89)+N(L89)-N(M89)</f>
        <v>0</v>
      </c>
      <c r="O89" s="37" t="n">
        <f aca="false">'Aug 2027'!R89</f>
        <v>0</v>
      </c>
      <c r="P89" s="37" t="n">
        <f aca="false">IF(B89="",0,N(Students!H78))</f>
        <v>0</v>
      </c>
      <c r="Q89" s="23"/>
      <c r="R89" s="26" t="n">
        <f aca="false">N(O89)+N(P89)-N(Q89)</f>
        <v>0</v>
      </c>
      <c r="S89" s="37" t="n">
        <f aca="false">'Aug 2027'!V89</f>
        <v>0</v>
      </c>
      <c r="T89" s="37" t="n">
        <f aca="false">IF(B89="",0,N(Students!I78))</f>
        <v>0</v>
      </c>
      <c r="U89" s="23"/>
      <c r="V89" s="26" t="n">
        <f aca="false">N(S89)+N(T89)-N(U89)</f>
        <v>0</v>
      </c>
      <c r="W89" s="37" t="n">
        <f aca="false">'Aug 2027'!Z89</f>
        <v>0</v>
      </c>
      <c r="X89" s="37" t="n">
        <f aca="false">IF(B89="",0,N(Students!J78))</f>
        <v>0</v>
      </c>
      <c r="Y89" s="23"/>
      <c r="Z89" s="26" t="n">
        <f aca="false">N(W89)+N(X89)-N(Y89)</f>
        <v>0</v>
      </c>
      <c r="AA89" s="37" t="n">
        <f aca="false">N(E89)+N(I89)+N(M89)+N(Q89)+N(U89)+N(Y89)</f>
        <v>0</v>
      </c>
      <c r="AB89" s="26" t="n">
        <f aca="false">F89+J89+N89+R89+V89+Z89</f>
        <v>0</v>
      </c>
      <c r="AC89" s="83" t="str">
        <f aca="false">IF(B89="","",IF(AB89&lt;=0,"Clear",IF(AA89&gt;0,"Partial","Due")))</f>
        <v/>
      </c>
    </row>
    <row r="90" customFormat="false" ht="15" hidden="false" customHeight="false" outlineLevel="0" collapsed="false">
      <c r="A90" s="21" t="n">
        <v>75</v>
      </c>
      <c r="B90" s="46" t="str">
        <f aca="false">IF(Students!B79="","",Students!B79)</f>
        <v/>
      </c>
      <c r="C90" s="33" t="n">
        <f aca="false">'Aug 2027'!F90</f>
        <v>0</v>
      </c>
      <c r="D90" s="33" t="n">
        <f aca="false">IF(B90="",0,N(Students!E79))</f>
        <v>0</v>
      </c>
      <c r="E90" s="23"/>
      <c r="F90" s="24" t="n">
        <f aca="false">N(C90)+N(D90)-N(E90)</f>
        <v>0</v>
      </c>
      <c r="G90" s="33" t="n">
        <f aca="false">'Aug 2027'!J90</f>
        <v>0</v>
      </c>
      <c r="H90" s="33" t="n">
        <f aca="false">IF(B90="",0,N(Students!F79))</f>
        <v>0</v>
      </c>
      <c r="I90" s="23"/>
      <c r="J90" s="24" t="n">
        <f aca="false">N(G90)+N(H90)-N(I90)</f>
        <v>0</v>
      </c>
      <c r="K90" s="33" t="n">
        <f aca="false">'Aug 2027'!N90</f>
        <v>0</v>
      </c>
      <c r="L90" s="33" t="n">
        <f aca="false">IF(B90="",0,N(Students!G79))</f>
        <v>0</v>
      </c>
      <c r="M90" s="23"/>
      <c r="N90" s="24" t="n">
        <f aca="false">N(K90)+N(L90)-N(M90)</f>
        <v>0</v>
      </c>
      <c r="O90" s="33" t="n">
        <f aca="false">'Aug 2027'!R90</f>
        <v>0</v>
      </c>
      <c r="P90" s="33" t="n">
        <f aca="false">IF(B90="",0,N(Students!H79))</f>
        <v>0</v>
      </c>
      <c r="Q90" s="23"/>
      <c r="R90" s="24" t="n">
        <f aca="false">N(O90)+N(P90)-N(Q90)</f>
        <v>0</v>
      </c>
      <c r="S90" s="33" t="n">
        <f aca="false">'Aug 2027'!V90</f>
        <v>0</v>
      </c>
      <c r="T90" s="33" t="n">
        <f aca="false">IF(B90="",0,N(Students!I79))</f>
        <v>0</v>
      </c>
      <c r="U90" s="23"/>
      <c r="V90" s="24" t="n">
        <f aca="false">N(S90)+N(T90)-N(U90)</f>
        <v>0</v>
      </c>
      <c r="W90" s="33" t="n">
        <f aca="false">'Aug 2027'!Z90</f>
        <v>0</v>
      </c>
      <c r="X90" s="33" t="n">
        <f aca="false">IF(B90="",0,N(Students!J79))</f>
        <v>0</v>
      </c>
      <c r="Y90" s="23"/>
      <c r="Z90" s="24" t="n">
        <f aca="false">N(W90)+N(X90)-N(Y90)</f>
        <v>0</v>
      </c>
      <c r="AA90" s="33" t="n">
        <f aca="false">N(E90)+N(I90)+N(M90)+N(Q90)+N(U90)+N(Y90)</f>
        <v>0</v>
      </c>
      <c r="AB90" s="24" t="n">
        <f aca="false">F90+J90+N90+R90+V90+Z90</f>
        <v>0</v>
      </c>
      <c r="AC90" s="81" t="str">
        <f aca="false">IF(B90="","",IF(AB90&lt;=0,"Clear",IF(AA90&gt;0,"Partial","Due")))</f>
        <v/>
      </c>
    </row>
    <row r="91" customFormat="false" ht="15" hidden="false" customHeight="false" outlineLevel="0" collapsed="false">
      <c r="A91" s="25" t="n">
        <v>76</v>
      </c>
      <c r="B91" s="82" t="str">
        <f aca="false">IF(Students!B80="","",Students!B80)</f>
        <v/>
      </c>
      <c r="C91" s="37" t="n">
        <f aca="false">'Aug 2027'!F91</f>
        <v>0</v>
      </c>
      <c r="D91" s="37" t="n">
        <f aca="false">IF(B91="",0,N(Students!E80))</f>
        <v>0</v>
      </c>
      <c r="E91" s="23"/>
      <c r="F91" s="26" t="n">
        <f aca="false">N(C91)+N(D91)-N(E91)</f>
        <v>0</v>
      </c>
      <c r="G91" s="37" t="n">
        <f aca="false">'Aug 2027'!J91</f>
        <v>0</v>
      </c>
      <c r="H91" s="37" t="n">
        <f aca="false">IF(B91="",0,N(Students!F80))</f>
        <v>0</v>
      </c>
      <c r="I91" s="23"/>
      <c r="J91" s="26" t="n">
        <f aca="false">N(G91)+N(H91)-N(I91)</f>
        <v>0</v>
      </c>
      <c r="K91" s="37" t="n">
        <f aca="false">'Aug 2027'!N91</f>
        <v>0</v>
      </c>
      <c r="L91" s="37" t="n">
        <f aca="false">IF(B91="",0,N(Students!G80))</f>
        <v>0</v>
      </c>
      <c r="M91" s="23"/>
      <c r="N91" s="26" t="n">
        <f aca="false">N(K91)+N(L91)-N(M91)</f>
        <v>0</v>
      </c>
      <c r="O91" s="37" t="n">
        <f aca="false">'Aug 2027'!R91</f>
        <v>0</v>
      </c>
      <c r="P91" s="37" t="n">
        <f aca="false">IF(B91="",0,N(Students!H80))</f>
        <v>0</v>
      </c>
      <c r="Q91" s="23"/>
      <c r="R91" s="26" t="n">
        <f aca="false">N(O91)+N(P91)-N(Q91)</f>
        <v>0</v>
      </c>
      <c r="S91" s="37" t="n">
        <f aca="false">'Aug 2027'!V91</f>
        <v>0</v>
      </c>
      <c r="T91" s="37" t="n">
        <f aca="false">IF(B91="",0,N(Students!I80))</f>
        <v>0</v>
      </c>
      <c r="U91" s="23"/>
      <c r="V91" s="26" t="n">
        <f aca="false">N(S91)+N(T91)-N(U91)</f>
        <v>0</v>
      </c>
      <c r="W91" s="37" t="n">
        <f aca="false">'Aug 2027'!Z91</f>
        <v>0</v>
      </c>
      <c r="X91" s="37" t="n">
        <f aca="false">IF(B91="",0,N(Students!J80))</f>
        <v>0</v>
      </c>
      <c r="Y91" s="23"/>
      <c r="Z91" s="26" t="n">
        <f aca="false">N(W91)+N(X91)-N(Y91)</f>
        <v>0</v>
      </c>
      <c r="AA91" s="37" t="n">
        <f aca="false">N(E91)+N(I91)+N(M91)+N(Q91)+N(U91)+N(Y91)</f>
        <v>0</v>
      </c>
      <c r="AB91" s="26" t="n">
        <f aca="false">F91+J91+N91+R91+V91+Z91</f>
        <v>0</v>
      </c>
      <c r="AC91" s="83" t="str">
        <f aca="false">IF(B91="","",IF(AB91&lt;=0,"Clear",IF(AA91&gt;0,"Partial","Due")))</f>
        <v/>
      </c>
    </row>
    <row r="92" customFormat="false" ht="15" hidden="false" customHeight="false" outlineLevel="0" collapsed="false">
      <c r="A92" s="21" t="n">
        <v>77</v>
      </c>
      <c r="B92" s="46" t="str">
        <f aca="false">IF(Students!B81="","",Students!B81)</f>
        <v/>
      </c>
      <c r="C92" s="33" t="n">
        <f aca="false">'Aug 2027'!F92</f>
        <v>0</v>
      </c>
      <c r="D92" s="33" t="n">
        <f aca="false">IF(B92="",0,N(Students!E81))</f>
        <v>0</v>
      </c>
      <c r="E92" s="23"/>
      <c r="F92" s="24" t="n">
        <f aca="false">N(C92)+N(D92)-N(E92)</f>
        <v>0</v>
      </c>
      <c r="G92" s="33" t="n">
        <f aca="false">'Aug 2027'!J92</f>
        <v>0</v>
      </c>
      <c r="H92" s="33" t="n">
        <f aca="false">IF(B92="",0,N(Students!F81))</f>
        <v>0</v>
      </c>
      <c r="I92" s="23"/>
      <c r="J92" s="24" t="n">
        <f aca="false">N(G92)+N(H92)-N(I92)</f>
        <v>0</v>
      </c>
      <c r="K92" s="33" t="n">
        <f aca="false">'Aug 2027'!N92</f>
        <v>0</v>
      </c>
      <c r="L92" s="33" t="n">
        <f aca="false">IF(B92="",0,N(Students!G81))</f>
        <v>0</v>
      </c>
      <c r="M92" s="23"/>
      <c r="N92" s="24" t="n">
        <f aca="false">N(K92)+N(L92)-N(M92)</f>
        <v>0</v>
      </c>
      <c r="O92" s="33" t="n">
        <f aca="false">'Aug 2027'!R92</f>
        <v>0</v>
      </c>
      <c r="P92" s="33" t="n">
        <f aca="false">IF(B92="",0,N(Students!H81))</f>
        <v>0</v>
      </c>
      <c r="Q92" s="23"/>
      <c r="R92" s="24" t="n">
        <f aca="false">N(O92)+N(P92)-N(Q92)</f>
        <v>0</v>
      </c>
      <c r="S92" s="33" t="n">
        <f aca="false">'Aug 2027'!V92</f>
        <v>0</v>
      </c>
      <c r="T92" s="33" t="n">
        <f aca="false">IF(B92="",0,N(Students!I81))</f>
        <v>0</v>
      </c>
      <c r="U92" s="23"/>
      <c r="V92" s="24" t="n">
        <f aca="false">N(S92)+N(T92)-N(U92)</f>
        <v>0</v>
      </c>
      <c r="W92" s="33" t="n">
        <f aca="false">'Aug 2027'!Z92</f>
        <v>0</v>
      </c>
      <c r="X92" s="33" t="n">
        <f aca="false">IF(B92="",0,N(Students!J81))</f>
        <v>0</v>
      </c>
      <c r="Y92" s="23"/>
      <c r="Z92" s="24" t="n">
        <f aca="false">N(W92)+N(X92)-N(Y92)</f>
        <v>0</v>
      </c>
      <c r="AA92" s="33" t="n">
        <f aca="false">N(E92)+N(I92)+N(M92)+N(Q92)+N(U92)+N(Y92)</f>
        <v>0</v>
      </c>
      <c r="AB92" s="24" t="n">
        <f aca="false">F92+J92+N92+R92+V92+Z92</f>
        <v>0</v>
      </c>
      <c r="AC92" s="81" t="str">
        <f aca="false">IF(B92="","",IF(AB92&lt;=0,"Clear",IF(AA92&gt;0,"Partial","Due")))</f>
        <v/>
      </c>
    </row>
    <row r="93" customFormat="false" ht="15" hidden="false" customHeight="false" outlineLevel="0" collapsed="false">
      <c r="A93" s="25" t="n">
        <v>78</v>
      </c>
      <c r="B93" s="82" t="str">
        <f aca="false">IF(Students!B82="","",Students!B82)</f>
        <v/>
      </c>
      <c r="C93" s="37" t="n">
        <f aca="false">'Aug 2027'!F93</f>
        <v>0</v>
      </c>
      <c r="D93" s="37" t="n">
        <f aca="false">IF(B93="",0,N(Students!E82))</f>
        <v>0</v>
      </c>
      <c r="E93" s="23"/>
      <c r="F93" s="26" t="n">
        <f aca="false">N(C93)+N(D93)-N(E93)</f>
        <v>0</v>
      </c>
      <c r="G93" s="37" t="n">
        <f aca="false">'Aug 2027'!J93</f>
        <v>0</v>
      </c>
      <c r="H93" s="37" t="n">
        <f aca="false">IF(B93="",0,N(Students!F82))</f>
        <v>0</v>
      </c>
      <c r="I93" s="23"/>
      <c r="J93" s="26" t="n">
        <f aca="false">N(G93)+N(H93)-N(I93)</f>
        <v>0</v>
      </c>
      <c r="K93" s="37" t="n">
        <f aca="false">'Aug 2027'!N93</f>
        <v>0</v>
      </c>
      <c r="L93" s="37" t="n">
        <f aca="false">IF(B93="",0,N(Students!G82))</f>
        <v>0</v>
      </c>
      <c r="M93" s="23"/>
      <c r="N93" s="26" t="n">
        <f aca="false">N(K93)+N(L93)-N(M93)</f>
        <v>0</v>
      </c>
      <c r="O93" s="37" t="n">
        <f aca="false">'Aug 2027'!R93</f>
        <v>0</v>
      </c>
      <c r="P93" s="37" t="n">
        <f aca="false">IF(B93="",0,N(Students!H82))</f>
        <v>0</v>
      </c>
      <c r="Q93" s="23"/>
      <c r="R93" s="26" t="n">
        <f aca="false">N(O93)+N(P93)-N(Q93)</f>
        <v>0</v>
      </c>
      <c r="S93" s="37" t="n">
        <f aca="false">'Aug 2027'!V93</f>
        <v>0</v>
      </c>
      <c r="T93" s="37" t="n">
        <f aca="false">IF(B93="",0,N(Students!I82))</f>
        <v>0</v>
      </c>
      <c r="U93" s="23"/>
      <c r="V93" s="26" t="n">
        <f aca="false">N(S93)+N(T93)-N(U93)</f>
        <v>0</v>
      </c>
      <c r="W93" s="37" t="n">
        <f aca="false">'Aug 2027'!Z93</f>
        <v>0</v>
      </c>
      <c r="X93" s="37" t="n">
        <f aca="false">IF(B93="",0,N(Students!J82))</f>
        <v>0</v>
      </c>
      <c r="Y93" s="23"/>
      <c r="Z93" s="26" t="n">
        <f aca="false">N(W93)+N(X93)-N(Y93)</f>
        <v>0</v>
      </c>
      <c r="AA93" s="37" t="n">
        <f aca="false">N(E93)+N(I93)+N(M93)+N(Q93)+N(U93)+N(Y93)</f>
        <v>0</v>
      </c>
      <c r="AB93" s="26" t="n">
        <f aca="false">F93+J93+N93+R93+V93+Z93</f>
        <v>0</v>
      </c>
      <c r="AC93" s="83" t="str">
        <f aca="false">IF(B93="","",IF(AB93&lt;=0,"Clear",IF(AA93&gt;0,"Partial","Due")))</f>
        <v/>
      </c>
    </row>
    <row r="94" customFormat="false" ht="15" hidden="false" customHeight="false" outlineLevel="0" collapsed="false">
      <c r="A94" s="21" t="n">
        <v>79</v>
      </c>
      <c r="B94" s="46" t="str">
        <f aca="false">IF(Students!B83="","",Students!B83)</f>
        <v/>
      </c>
      <c r="C94" s="33" t="n">
        <f aca="false">'Aug 2027'!F94</f>
        <v>0</v>
      </c>
      <c r="D94" s="33" t="n">
        <f aca="false">IF(B94="",0,N(Students!E83))</f>
        <v>0</v>
      </c>
      <c r="E94" s="23"/>
      <c r="F94" s="24" t="n">
        <f aca="false">N(C94)+N(D94)-N(E94)</f>
        <v>0</v>
      </c>
      <c r="G94" s="33" t="n">
        <f aca="false">'Aug 2027'!J94</f>
        <v>0</v>
      </c>
      <c r="H94" s="33" t="n">
        <f aca="false">IF(B94="",0,N(Students!F83))</f>
        <v>0</v>
      </c>
      <c r="I94" s="23"/>
      <c r="J94" s="24" t="n">
        <f aca="false">N(G94)+N(H94)-N(I94)</f>
        <v>0</v>
      </c>
      <c r="K94" s="33" t="n">
        <f aca="false">'Aug 2027'!N94</f>
        <v>0</v>
      </c>
      <c r="L94" s="33" t="n">
        <f aca="false">IF(B94="",0,N(Students!G83))</f>
        <v>0</v>
      </c>
      <c r="M94" s="23"/>
      <c r="N94" s="24" t="n">
        <f aca="false">N(K94)+N(L94)-N(M94)</f>
        <v>0</v>
      </c>
      <c r="O94" s="33" t="n">
        <f aca="false">'Aug 2027'!R94</f>
        <v>0</v>
      </c>
      <c r="P94" s="33" t="n">
        <f aca="false">IF(B94="",0,N(Students!H83))</f>
        <v>0</v>
      </c>
      <c r="Q94" s="23"/>
      <c r="R94" s="24" t="n">
        <f aca="false">N(O94)+N(P94)-N(Q94)</f>
        <v>0</v>
      </c>
      <c r="S94" s="33" t="n">
        <f aca="false">'Aug 2027'!V94</f>
        <v>0</v>
      </c>
      <c r="T94" s="33" t="n">
        <f aca="false">IF(B94="",0,N(Students!I83))</f>
        <v>0</v>
      </c>
      <c r="U94" s="23"/>
      <c r="V94" s="24" t="n">
        <f aca="false">N(S94)+N(T94)-N(U94)</f>
        <v>0</v>
      </c>
      <c r="W94" s="33" t="n">
        <f aca="false">'Aug 2027'!Z94</f>
        <v>0</v>
      </c>
      <c r="X94" s="33" t="n">
        <f aca="false">IF(B94="",0,N(Students!J83))</f>
        <v>0</v>
      </c>
      <c r="Y94" s="23"/>
      <c r="Z94" s="24" t="n">
        <f aca="false">N(W94)+N(X94)-N(Y94)</f>
        <v>0</v>
      </c>
      <c r="AA94" s="33" t="n">
        <f aca="false">N(E94)+N(I94)+N(M94)+N(Q94)+N(U94)+N(Y94)</f>
        <v>0</v>
      </c>
      <c r="AB94" s="24" t="n">
        <f aca="false">F94+J94+N94+R94+V94+Z94</f>
        <v>0</v>
      </c>
      <c r="AC94" s="81" t="str">
        <f aca="false">IF(B94="","",IF(AB94&lt;=0,"Clear",IF(AA94&gt;0,"Partial","Due")))</f>
        <v/>
      </c>
    </row>
    <row r="95" customFormat="false" ht="15" hidden="false" customHeight="false" outlineLevel="0" collapsed="false">
      <c r="A95" s="25" t="n">
        <v>80</v>
      </c>
      <c r="B95" s="82" t="str">
        <f aca="false">IF(Students!B84="","",Students!B84)</f>
        <v/>
      </c>
      <c r="C95" s="37" t="n">
        <f aca="false">'Aug 2027'!F95</f>
        <v>0</v>
      </c>
      <c r="D95" s="37" t="n">
        <f aca="false">IF(B95="",0,N(Students!E84))</f>
        <v>0</v>
      </c>
      <c r="E95" s="23"/>
      <c r="F95" s="26" t="n">
        <f aca="false">N(C95)+N(D95)-N(E95)</f>
        <v>0</v>
      </c>
      <c r="G95" s="37" t="n">
        <f aca="false">'Aug 2027'!J95</f>
        <v>0</v>
      </c>
      <c r="H95" s="37" t="n">
        <f aca="false">IF(B95="",0,N(Students!F84))</f>
        <v>0</v>
      </c>
      <c r="I95" s="23"/>
      <c r="J95" s="26" t="n">
        <f aca="false">N(G95)+N(H95)-N(I95)</f>
        <v>0</v>
      </c>
      <c r="K95" s="37" t="n">
        <f aca="false">'Aug 2027'!N95</f>
        <v>0</v>
      </c>
      <c r="L95" s="37" t="n">
        <f aca="false">IF(B95="",0,N(Students!G84))</f>
        <v>0</v>
      </c>
      <c r="M95" s="23"/>
      <c r="N95" s="26" t="n">
        <f aca="false">N(K95)+N(L95)-N(M95)</f>
        <v>0</v>
      </c>
      <c r="O95" s="37" t="n">
        <f aca="false">'Aug 2027'!R95</f>
        <v>0</v>
      </c>
      <c r="P95" s="37" t="n">
        <f aca="false">IF(B95="",0,N(Students!H84))</f>
        <v>0</v>
      </c>
      <c r="Q95" s="23"/>
      <c r="R95" s="26" t="n">
        <f aca="false">N(O95)+N(P95)-N(Q95)</f>
        <v>0</v>
      </c>
      <c r="S95" s="37" t="n">
        <f aca="false">'Aug 2027'!V95</f>
        <v>0</v>
      </c>
      <c r="T95" s="37" t="n">
        <f aca="false">IF(B95="",0,N(Students!I84))</f>
        <v>0</v>
      </c>
      <c r="U95" s="23"/>
      <c r="V95" s="26" t="n">
        <f aca="false">N(S95)+N(T95)-N(U95)</f>
        <v>0</v>
      </c>
      <c r="W95" s="37" t="n">
        <f aca="false">'Aug 2027'!Z95</f>
        <v>0</v>
      </c>
      <c r="X95" s="37" t="n">
        <f aca="false">IF(B95="",0,N(Students!J84))</f>
        <v>0</v>
      </c>
      <c r="Y95" s="23"/>
      <c r="Z95" s="26" t="n">
        <f aca="false">N(W95)+N(X95)-N(Y95)</f>
        <v>0</v>
      </c>
      <c r="AA95" s="37" t="n">
        <f aca="false">N(E95)+N(I95)+N(M95)+N(Q95)+N(U95)+N(Y95)</f>
        <v>0</v>
      </c>
      <c r="AB95" s="26" t="n">
        <f aca="false">F95+J95+N95+R95+V95+Z95</f>
        <v>0</v>
      </c>
      <c r="AC95" s="83" t="str">
        <f aca="false">IF(B95="","",IF(AB95&lt;=0,"Clear",IF(AA95&gt;0,"Partial","Due")))</f>
        <v/>
      </c>
    </row>
    <row r="96" customFormat="false" ht="15" hidden="false" customHeight="false" outlineLevel="0" collapsed="false">
      <c r="A96" s="21" t="n">
        <v>81</v>
      </c>
      <c r="B96" s="46" t="str">
        <f aca="false">IF(Students!B85="","",Students!B85)</f>
        <v/>
      </c>
      <c r="C96" s="33" t="n">
        <f aca="false">'Aug 2027'!F96</f>
        <v>0</v>
      </c>
      <c r="D96" s="33" t="n">
        <f aca="false">IF(B96="",0,N(Students!E85))</f>
        <v>0</v>
      </c>
      <c r="E96" s="23"/>
      <c r="F96" s="24" t="n">
        <f aca="false">N(C96)+N(D96)-N(E96)</f>
        <v>0</v>
      </c>
      <c r="G96" s="33" t="n">
        <f aca="false">'Aug 2027'!J96</f>
        <v>0</v>
      </c>
      <c r="H96" s="33" t="n">
        <f aca="false">IF(B96="",0,N(Students!F85))</f>
        <v>0</v>
      </c>
      <c r="I96" s="23"/>
      <c r="J96" s="24" t="n">
        <f aca="false">N(G96)+N(H96)-N(I96)</f>
        <v>0</v>
      </c>
      <c r="K96" s="33" t="n">
        <f aca="false">'Aug 2027'!N96</f>
        <v>0</v>
      </c>
      <c r="L96" s="33" t="n">
        <f aca="false">IF(B96="",0,N(Students!G85))</f>
        <v>0</v>
      </c>
      <c r="M96" s="23"/>
      <c r="N96" s="24" t="n">
        <f aca="false">N(K96)+N(L96)-N(M96)</f>
        <v>0</v>
      </c>
      <c r="O96" s="33" t="n">
        <f aca="false">'Aug 2027'!R96</f>
        <v>0</v>
      </c>
      <c r="P96" s="33" t="n">
        <f aca="false">IF(B96="",0,N(Students!H85))</f>
        <v>0</v>
      </c>
      <c r="Q96" s="23"/>
      <c r="R96" s="24" t="n">
        <f aca="false">N(O96)+N(P96)-N(Q96)</f>
        <v>0</v>
      </c>
      <c r="S96" s="33" t="n">
        <f aca="false">'Aug 2027'!V96</f>
        <v>0</v>
      </c>
      <c r="T96" s="33" t="n">
        <f aca="false">IF(B96="",0,N(Students!I85))</f>
        <v>0</v>
      </c>
      <c r="U96" s="23"/>
      <c r="V96" s="24" t="n">
        <f aca="false">N(S96)+N(T96)-N(U96)</f>
        <v>0</v>
      </c>
      <c r="W96" s="33" t="n">
        <f aca="false">'Aug 2027'!Z96</f>
        <v>0</v>
      </c>
      <c r="X96" s="33" t="n">
        <f aca="false">IF(B96="",0,N(Students!J85))</f>
        <v>0</v>
      </c>
      <c r="Y96" s="23"/>
      <c r="Z96" s="24" t="n">
        <f aca="false">N(W96)+N(X96)-N(Y96)</f>
        <v>0</v>
      </c>
      <c r="AA96" s="33" t="n">
        <f aca="false">N(E96)+N(I96)+N(M96)+N(Q96)+N(U96)+N(Y96)</f>
        <v>0</v>
      </c>
      <c r="AB96" s="24" t="n">
        <f aca="false">F96+J96+N96+R96+V96+Z96</f>
        <v>0</v>
      </c>
      <c r="AC96" s="81" t="str">
        <f aca="false">IF(B96="","",IF(AB96&lt;=0,"Clear",IF(AA96&gt;0,"Partial","Due")))</f>
        <v/>
      </c>
    </row>
    <row r="97" customFormat="false" ht="15" hidden="false" customHeight="false" outlineLevel="0" collapsed="false">
      <c r="A97" s="25" t="n">
        <v>82</v>
      </c>
      <c r="B97" s="82" t="str">
        <f aca="false">IF(Students!B86="","",Students!B86)</f>
        <v/>
      </c>
      <c r="C97" s="37" t="n">
        <f aca="false">'Aug 2027'!F97</f>
        <v>0</v>
      </c>
      <c r="D97" s="37" t="n">
        <f aca="false">IF(B97="",0,N(Students!E86))</f>
        <v>0</v>
      </c>
      <c r="E97" s="23"/>
      <c r="F97" s="26" t="n">
        <f aca="false">N(C97)+N(D97)-N(E97)</f>
        <v>0</v>
      </c>
      <c r="G97" s="37" t="n">
        <f aca="false">'Aug 2027'!J97</f>
        <v>0</v>
      </c>
      <c r="H97" s="37" t="n">
        <f aca="false">IF(B97="",0,N(Students!F86))</f>
        <v>0</v>
      </c>
      <c r="I97" s="23"/>
      <c r="J97" s="26" t="n">
        <f aca="false">N(G97)+N(H97)-N(I97)</f>
        <v>0</v>
      </c>
      <c r="K97" s="37" t="n">
        <f aca="false">'Aug 2027'!N97</f>
        <v>0</v>
      </c>
      <c r="L97" s="37" t="n">
        <f aca="false">IF(B97="",0,N(Students!G86))</f>
        <v>0</v>
      </c>
      <c r="M97" s="23"/>
      <c r="N97" s="26" t="n">
        <f aca="false">N(K97)+N(L97)-N(M97)</f>
        <v>0</v>
      </c>
      <c r="O97" s="37" t="n">
        <f aca="false">'Aug 2027'!R97</f>
        <v>0</v>
      </c>
      <c r="P97" s="37" t="n">
        <f aca="false">IF(B97="",0,N(Students!H86))</f>
        <v>0</v>
      </c>
      <c r="Q97" s="23"/>
      <c r="R97" s="26" t="n">
        <f aca="false">N(O97)+N(P97)-N(Q97)</f>
        <v>0</v>
      </c>
      <c r="S97" s="37" t="n">
        <f aca="false">'Aug 2027'!V97</f>
        <v>0</v>
      </c>
      <c r="T97" s="37" t="n">
        <f aca="false">IF(B97="",0,N(Students!I86))</f>
        <v>0</v>
      </c>
      <c r="U97" s="23"/>
      <c r="V97" s="26" t="n">
        <f aca="false">N(S97)+N(T97)-N(U97)</f>
        <v>0</v>
      </c>
      <c r="W97" s="37" t="n">
        <f aca="false">'Aug 2027'!Z97</f>
        <v>0</v>
      </c>
      <c r="X97" s="37" t="n">
        <f aca="false">IF(B97="",0,N(Students!J86))</f>
        <v>0</v>
      </c>
      <c r="Y97" s="23"/>
      <c r="Z97" s="26" t="n">
        <f aca="false">N(W97)+N(X97)-N(Y97)</f>
        <v>0</v>
      </c>
      <c r="AA97" s="37" t="n">
        <f aca="false">N(E97)+N(I97)+N(M97)+N(Q97)+N(U97)+N(Y97)</f>
        <v>0</v>
      </c>
      <c r="AB97" s="26" t="n">
        <f aca="false">F97+J97+N97+R97+V97+Z97</f>
        <v>0</v>
      </c>
      <c r="AC97" s="83" t="str">
        <f aca="false">IF(B97="","",IF(AB97&lt;=0,"Clear",IF(AA97&gt;0,"Partial","Due")))</f>
        <v/>
      </c>
    </row>
    <row r="98" customFormat="false" ht="15" hidden="false" customHeight="false" outlineLevel="0" collapsed="false">
      <c r="A98" s="21" t="n">
        <v>83</v>
      </c>
      <c r="B98" s="46" t="str">
        <f aca="false">IF(Students!B87="","",Students!B87)</f>
        <v/>
      </c>
      <c r="C98" s="33" t="n">
        <f aca="false">'Aug 2027'!F98</f>
        <v>0</v>
      </c>
      <c r="D98" s="33" t="n">
        <f aca="false">IF(B98="",0,N(Students!E87))</f>
        <v>0</v>
      </c>
      <c r="E98" s="23"/>
      <c r="F98" s="24" t="n">
        <f aca="false">N(C98)+N(D98)-N(E98)</f>
        <v>0</v>
      </c>
      <c r="G98" s="33" t="n">
        <f aca="false">'Aug 2027'!J98</f>
        <v>0</v>
      </c>
      <c r="H98" s="33" t="n">
        <f aca="false">IF(B98="",0,N(Students!F87))</f>
        <v>0</v>
      </c>
      <c r="I98" s="23"/>
      <c r="J98" s="24" t="n">
        <f aca="false">N(G98)+N(H98)-N(I98)</f>
        <v>0</v>
      </c>
      <c r="K98" s="33" t="n">
        <f aca="false">'Aug 2027'!N98</f>
        <v>0</v>
      </c>
      <c r="L98" s="33" t="n">
        <f aca="false">IF(B98="",0,N(Students!G87))</f>
        <v>0</v>
      </c>
      <c r="M98" s="23"/>
      <c r="N98" s="24" t="n">
        <f aca="false">N(K98)+N(L98)-N(M98)</f>
        <v>0</v>
      </c>
      <c r="O98" s="33" t="n">
        <f aca="false">'Aug 2027'!R98</f>
        <v>0</v>
      </c>
      <c r="P98" s="33" t="n">
        <f aca="false">IF(B98="",0,N(Students!H87))</f>
        <v>0</v>
      </c>
      <c r="Q98" s="23"/>
      <c r="R98" s="24" t="n">
        <f aca="false">N(O98)+N(P98)-N(Q98)</f>
        <v>0</v>
      </c>
      <c r="S98" s="33" t="n">
        <f aca="false">'Aug 2027'!V98</f>
        <v>0</v>
      </c>
      <c r="T98" s="33" t="n">
        <f aca="false">IF(B98="",0,N(Students!I87))</f>
        <v>0</v>
      </c>
      <c r="U98" s="23"/>
      <c r="V98" s="24" t="n">
        <f aca="false">N(S98)+N(T98)-N(U98)</f>
        <v>0</v>
      </c>
      <c r="W98" s="33" t="n">
        <f aca="false">'Aug 2027'!Z98</f>
        <v>0</v>
      </c>
      <c r="X98" s="33" t="n">
        <f aca="false">IF(B98="",0,N(Students!J87))</f>
        <v>0</v>
      </c>
      <c r="Y98" s="23"/>
      <c r="Z98" s="24" t="n">
        <f aca="false">N(W98)+N(X98)-N(Y98)</f>
        <v>0</v>
      </c>
      <c r="AA98" s="33" t="n">
        <f aca="false">N(E98)+N(I98)+N(M98)+N(Q98)+N(U98)+N(Y98)</f>
        <v>0</v>
      </c>
      <c r="AB98" s="24" t="n">
        <f aca="false">F98+J98+N98+R98+V98+Z98</f>
        <v>0</v>
      </c>
      <c r="AC98" s="81" t="str">
        <f aca="false">IF(B98="","",IF(AB98&lt;=0,"Clear",IF(AA98&gt;0,"Partial","Due")))</f>
        <v/>
      </c>
    </row>
    <row r="99" customFormat="false" ht="15" hidden="false" customHeight="false" outlineLevel="0" collapsed="false">
      <c r="A99" s="25" t="n">
        <v>84</v>
      </c>
      <c r="B99" s="82" t="str">
        <f aca="false">IF(Students!B88="","",Students!B88)</f>
        <v/>
      </c>
      <c r="C99" s="37" t="n">
        <f aca="false">'Aug 2027'!F99</f>
        <v>0</v>
      </c>
      <c r="D99" s="37" t="n">
        <f aca="false">IF(B99="",0,N(Students!E88))</f>
        <v>0</v>
      </c>
      <c r="E99" s="23"/>
      <c r="F99" s="26" t="n">
        <f aca="false">N(C99)+N(D99)-N(E99)</f>
        <v>0</v>
      </c>
      <c r="G99" s="37" t="n">
        <f aca="false">'Aug 2027'!J99</f>
        <v>0</v>
      </c>
      <c r="H99" s="37" t="n">
        <f aca="false">IF(B99="",0,N(Students!F88))</f>
        <v>0</v>
      </c>
      <c r="I99" s="23"/>
      <c r="J99" s="26" t="n">
        <f aca="false">N(G99)+N(H99)-N(I99)</f>
        <v>0</v>
      </c>
      <c r="K99" s="37" t="n">
        <f aca="false">'Aug 2027'!N99</f>
        <v>0</v>
      </c>
      <c r="L99" s="37" t="n">
        <f aca="false">IF(B99="",0,N(Students!G88))</f>
        <v>0</v>
      </c>
      <c r="M99" s="23"/>
      <c r="N99" s="26" t="n">
        <f aca="false">N(K99)+N(L99)-N(M99)</f>
        <v>0</v>
      </c>
      <c r="O99" s="37" t="n">
        <f aca="false">'Aug 2027'!R99</f>
        <v>0</v>
      </c>
      <c r="P99" s="37" t="n">
        <f aca="false">IF(B99="",0,N(Students!H88))</f>
        <v>0</v>
      </c>
      <c r="Q99" s="23"/>
      <c r="R99" s="26" t="n">
        <f aca="false">N(O99)+N(P99)-N(Q99)</f>
        <v>0</v>
      </c>
      <c r="S99" s="37" t="n">
        <f aca="false">'Aug 2027'!V99</f>
        <v>0</v>
      </c>
      <c r="T99" s="37" t="n">
        <f aca="false">IF(B99="",0,N(Students!I88))</f>
        <v>0</v>
      </c>
      <c r="U99" s="23"/>
      <c r="V99" s="26" t="n">
        <f aca="false">N(S99)+N(T99)-N(U99)</f>
        <v>0</v>
      </c>
      <c r="W99" s="37" t="n">
        <f aca="false">'Aug 2027'!Z99</f>
        <v>0</v>
      </c>
      <c r="X99" s="37" t="n">
        <f aca="false">IF(B99="",0,N(Students!J88))</f>
        <v>0</v>
      </c>
      <c r="Y99" s="23"/>
      <c r="Z99" s="26" t="n">
        <f aca="false">N(W99)+N(X99)-N(Y99)</f>
        <v>0</v>
      </c>
      <c r="AA99" s="37" t="n">
        <f aca="false">N(E99)+N(I99)+N(M99)+N(Q99)+N(U99)+N(Y99)</f>
        <v>0</v>
      </c>
      <c r="AB99" s="26" t="n">
        <f aca="false">F99+J99+N99+R99+V99+Z99</f>
        <v>0</v>
      </c>
      <c r="AC99" s="83" t="str">
        <f aca="false">IF(B99="","",IF(AB99&lt;=0,"Clear",IF(AA99&gt;0,"Partial","Due")))</f>
        <v/>
      </c>
    </row>
    <row r="100" customFormat="false" ht="15" hidden="false" customHeight="false" outlineLevel="0" collapsed="false">
      <c r="A100" s="21" t="n">
        <v>85</v>
      </c>
      <c r="B100" s="46" t="str">
        <f aca="false">IF(Students!B89="","",Students!B89)</f>
        <v/>
      </c>
      <c r="C100" s="33" t="n">
        <f aca="false">'Aug 2027'!F100</f>
        <v>0</v>
      </c>
      <c r="D100" s="33" t="n">
        <f aca="false">IF(B100="",0,N(Students!E89))</f>
        <v>0</v>
      </c>
      <c r="E100" s="23"/>
      <c r="F100" s="24" t="n">
        <f aca="false">N(C100)+N(D100)-N(E100)</f>
        <v>0</v>
      </c>
      <c r="G100" s="33" t="n">
        <f aca="false">'Aug 2027'!J100</f>
        <v>0</v>
      </c>
      <c r="H100" s="33" t="n">
        <f aca="false">IF(B100="",0,N(Students!F89))</f>
        <v>0</v>
      </c>
      <c r="I100" s="23"/>
      <c r="J100" s="24" t="n">
        <f aca="false">N(G100)+N(H100)-N(I100)</f>
        <v>0</v>
      </c>
      <c r="K100" s="33" t="n">
        <f aca="false">'Aug 2027'!N100</f>
        <v>0</v>
      </c>
      <c r="L100" s="33" t="n">
        <f aca="false">IF(B100="",0,N(Students!G89))</f>
        <v>0</v>
      </c>
      <c r="M100" s="23"/>
      <c r="N100" s="24" t="n">
        <f aca="false">N(K100)+N(L100)-N(M100)</f>
        <v>0</v>
      </c>
      <c r="O100" s="33" t="n">
        <f aca="false">'Aug 2027'!R100</f>
        <v>0</v>
      </c>
      <c r="P100" s="33" t="n">
        <f aca="false">IF(B100="",0,N(Students!H89))</f>
        <v>0</v>
      </c>
      <c r="Q100" s="23"/>
      <c r="R100" s="24" t="n">
        <f aca="false">N(O100)+N(P100)-N(Q100)</f>
        <v>0</v>
      </c>
      <c r="S100" s="33" t="n">
        <f aca="false">'Aug 2027'!V100</f>
        <v>0</v>
      </c>
      <c r="T100" s="33" t="n">
        <f aca="false">IF(B100="",0,N(Students!I89))</f>
        <v>0</v>
      </c>
      <c r="U100" s="23"/>
      <c r="V100" s="24" t="n">
        <f aca="false">N(S100)+N(T100)-N(U100)</f>
        <v>0</v>
      </c>
      <c r="W100" s="33" t="n">
        <f aca="false">'Aug 2027'!Z100</f>
        <v>0</v>
      </c>
      <c r="X100" s="33" t="n">
        <f aca="false">IF(B100="",0,N(Students!J89))</f>
        <v>0</v>
      </c>
      <c r="Y100" s="23"/>
      <c r="Z100" s="24" t="n">
        <f aca="false">N(W100)+N(X100)-N(Y100)</f>
        <v>0</v>
      </c>
      <c r="AA100" s="33" t="n">
        <f aca="false">N(E100)+N(I100)+N(M100)+N(Q100)+N(U100)+N(Y100)</f>
        <v>0</v>
      </c>
      <c r="AB100" s="24" t="n">
        <f aca="false">F100+J100+N100+R100+V100+Z100</f>
        <v>0</v>
      </c>
      <c r="AC100" s="81" t="str">
        <f aca="false">IF(B100="","",IF(AB100&lt;=0,"Clear",IF(AA100&gt;0,"Partial","Due")))</f>
        <v/>
      </c>
    </row>
    <row r="101" customFormat="false" ht="15" hidden="false" customHeight="false" outlineLevel="0" collapsed="false">
      <c r="A101" s="25" t="n">
        <v>86</v>
      </c>
      <c r="B101" s="82" t="str">
        <f aca="false">IF(Students!B90="","",Students!B90)</f>
        <v/>
      </c>
      <c r="C101" s="37" t="n">
        <f aca="false">'Aug 2027'!F101</f>
        <v>0</v>
      </c>
      <c r="D101" s="37" t="n">
        <f aca="false">IF(B101="",0,N(Students!E90))</f>
        <v>0</v>
      </c>
      <c r="E101" s="23"/>
      <c r="F101" s="26" t="n">
        <f aca="false">N(C101)+N(D101)-N(E101)</f>
        <v>0</v>
      </c>
      <c r="G101" s="37" t="n">
        <f aca="false">'Aug 2027'!J101</f>
        <v>0</v>
      </c>
      <c r="H101" s="37" t="n">
        <f aca="false">IF(B101="",0,N(Students!F90))</f>
        <v>0</v>
      </c>
      <c r="I101" s="23"/>
      <c r="J101" s="26" t="n">
        <f aca="false">N(G101)+N(H101)-N(I101)</f>
        <v>0</v>
      </c>
      <c r="K101" s="37" t="n">
        <f aca="false">'Aug 2027'!N101</f>
        <v>0</v>
      </c>
      <c r="L101" s="37" t="n">
        <f aca="false">IF(B101="",0,N(Students!G90))</f>
        <v>0</v>
      </c>
      <c r="M101" s="23"/>
      <c r="N101" s="26" t="n">
        <f aca="false">N(K101)+N(L101)-N(M101)</f>
        <v>0</v>
      </c>
      <c r="O101" s="37" t="n">
        <f aca="false">'Aug 2027'!R101</f>
        <v>0</v>
      </c>
      <c r="P101" s="37" t="n">
        <f aca="false">IF(B101="",0,N(Students!H90))</f>
        <v>0</v>
      </c>
      <c r="Q101" s="23"/>
      <c r="R101" s="26" t="n">
        <f aca="false">N(O101)+N(P101)-N(Q101)</f>
        <v>0</v>
      </c>
      <c r="S101" s="37" t="n">
        <f aca="false">'Aug 2027'!V101</f>
        <v>0</v>
      </c>
      <c r="T101" s="37" t="n">
        <f aca="false">IF(B101="",0,N(Students!I90))</f>
        <v>0</v>
      </c>
      <c r="U101" s="23"/>
      <c r="V101" s="26" t="n">
        <f aca="false">N(S101)+N(T101)-N(U101)</f>
        <v>0</v>
      </c>
      <c r="W101" s="37" t="n">
        <f aca="false">'Aug 2027'!Z101</f>
        <v>0</v>
      </c>
      <c r="X101" s="37" t="n">
        <f aca="false">IF(B101="",0,N(Students!J90))</f>
        <v>0</v>
      </c>
      <c r="Y101" s="23"/>
      <c r="Z101" s="26" t="n">
        <f aca="false">N(W101)+N(X101)-N(Y101)</f>
        <v>0</v>
      </c>
      <c r="AA101" s="37" t="n">
        <f aca="false">N(E101)+N(I101)+N(M101)+N(Q101)+N(U101)+N(Y101)</f>
        <v>0</v>
      </c>
      <c r="AB101" s="26" t="n">
        <f aca="false">F101+J101+N101+R101+V101+Z101</f>
        <v>0</v>
      </c>
      <c r="AC101" s="83" t="str">
        <f aca="false">IF(B101="","",IF(AB101&lt;=0,"Clear",IF(AA101&gt;0,"Partial","Due")))</f>
        <v/>
      </c>
    </row>
    <row r="102" customFormat="false" ht="15" hidden="false" customHeight="false" outlineLevel="0" collapsed="false">
      <c r="A102" s="21" t="n">
        <v>87</v>
      </c>
      <c r="B102" s="46" t="str">
        <f aca="false">IF(Students!B91="","",Students!B91)</f>
        <v/>
      </c>
      <c r="C102" s="33" t="n">
        <f aca="false">'Aug 2027'!F102</f>
        <v>0</v>
      </c>
      <c r="D102" s="33" t="n">
        <f aca="false">IF(B102="",0,N(Students!E91))</f>
        <v>0</v>
      </c>
      <c r="E102" s="23"/>
      <c r="F102" s="24" t="n">
        <f aca="false">N(C102)+N(D102)-N(E102)</f>
        <v>0</v>
      </c>
      <c r="G102" s="33" t="n">
        <f aca="false">'Aug 2027'!J102</f>
        <v>0</v>
      </c>
      <c r="H102" s="33" t="n">
        <f aca="false">IF(B102="",0,N(Students!F91))</f>
        <v>0</v>
      </c>
      <c r="I102" s="23"/>
      <c r="J102" s="24" t="n">
        <f aca="false">N(G102)+N(H102)-N(I102)</f>
        <v>0</v>
      </c>
      <c r="K102" s="33" t="n">
        <f aca="false">'Aug 2027'!N102</f>
        <v>0</v>
      </c>
      <c r="L102" s="33" t="n">
        <f aca="false">IF(B102="",0,N(Students!G91))</f>
        <v>0</v>
      </c>
      <c r="M102" s="23"/>
      <c r="N102" s="24" t="n">
        <f aca="false">N(K102)+N(L102)-N(M102)</f>
        <v>0</v>
      </c>
      <c r="O102" s="33" t="n">
        <f aca="false">'Aug 2027'!R102</f>
        <v>0</v>
      </c>
      <c r="P102" s="33" t="n">
        <f aca="false">IF(B102="",0,N(Students!H91))</f>
        <v>0</v>
      </c>
      <c r="Q102" s="23"/>
      <c r="R102" s="24" t="n">
        <f aca="false">N(O102)+N(P102)-N(Q102)</f>
        <v>0</v>
      </c>
      <c r="S102" s="33" t="n">
        <f aca="false">'Aug 2027'!V102</f>
        <v>0</v>
      </c>
      <c r="T102" s="33" t="n">
        <f aca="false">IF(B102="",0,N(Students!I91))</f>
        <v>0</v>
      </c>
      <c r="U102" s="23"/>
      <c r="V102" s="24" t="n">
        <f aca="false">N(S102)+N(T102)-N(U102)</f>
        <v>0</v>
      </c>
      <c r="W102" s="33" t="n">
        <f aca="false">'Aug 2027'!Z102</f>
        <v>0</v>
      </c>
      <c r="X102" s="33" t="n">
        <f aca="false">IF(B102="",0,N(Students!J91))</f>
        <v>0</v>
      </c>
      <c r="Y102" s="23"/>
      <c r="Z102" s="24" t="n">
        <f aca="false">N(W102)+N(X102)-N(Y102)</f>
        <v>0</v>
      </c>
      <c r="AA102" s="33" t="n">
        <f aca="false">N(E102)+N(I102)+N(M102)+N(Q102)+N(U102)+N(Y102)</f>
        <v>0</v>
      </c>
      <c r="AB102" s="24" t="n">
        <f aca="false">F102+J102+N102+R102+V102+Z102</f>
        <v>0</v>
      </c>
      <c r="AC102" s="81" t="str">
        <f aca="false">IF(B102="","",IF(AB102&lt;=0,"Clear",IF(AA102&gt;0,"Partial","Due")))</f>
        <v/>
      </c>
    </row>
    <row r="103" customFormat="false" ht="15" hidden="false" customHeight="false" outlineLevel="0" collapsed="false">
      <c r="A103" s="25" t="n">
        <v>88</v>
      </c>
      <c r="B103" s="82" t="str">
        <f aca="false">IF(Students!B92="","",Students!B92)</f>
        <v/>
      </c>
      <c r="C103" s="37" t="n">
        <f aca="false">'Aug 2027'!F103</f>
        <v>0</v>
      </c>
      <c r="D103" s="37" t="n">
        <f aca="false">IF(B103="",0,N(Students!E92))</f>
        <v>0</v>
      </c>
      <c r="E103" s="23"/>
      <c r="F103" s="26" t="n">
        <f aca="false">N(C103)+N(D103)-N(E103)</f>
        <v>0</v>
      </c>
      <c r="G103" s="37" t="n">
        <f aca="false">'Aug 2027'!J103</f>
        <v>0</v>
      </c>
      <c r="H103" s="37" t="n">
        <f aca="false">IF(B103="",0,N(Students!F92))</f>
        <v>0</v>
      </c>
      <c r="I103" s="23"/>
      <c r="J103" s="26" t="n">
        <f aca="false">N(G103)+N(H103)-N(I103)</f>
        <v>0</v>
      </c>
      <c r="K103" s="37" t="n">
        <f aca="false">'Aug 2027'!N103</f>
        <v>0</v>
      </c>
      <c r="L103" s="37" t="n">
        <f aca="false">IF(B103="",0,N(Students!G92))</f>
        <v>0</v>
      </c>
      <c r="M103" s="23"/>
      <c r="N103" s="26" t="n">
        <f aca="false">N(K103)+N(L103)-N(M103)</f>
        <v>0</v>
      </c>
      <c r="O103" s="37" t="n">
        <f aca="false">'Aug 2027'!R103</f>
        <v>0</v>
      </c>
      <c r="P103" s="37" t="n">
        <f aca="false">IF(B103="",0,N(Students!H92))</f>
        <v>0</v>
      </c>
      <c r="Q103" s="23"/>
      <c r="R103" s="26" t="n">
        <f aca="false">N(O103)+N(P103)-N(Q103)</f>
        <v>0</v>
      </c>
      <c r="S103" s="37" t="n">
        <f aca="false">'Aug 2027'!V103</f>
        <v>0</v>
      </c>
      <c r="T103" s="37" t="n">
        <f aca="false">IF(B103="",0,N(Students!I92))</f>
        <v>0</v>
      </c>
      <c r="U103" s="23"/>
      <c r="V103" s="26" t="n">
        <f aca="false">N(S103)+N(T103)-N(U103)</f>
        <v>0</v>
      </c>
      <c r="W103" s="37" t="n">
        <f aca="false">'Aug 2027'!Z103</f>
        <v>0</v>
      </c>
      <c r="X103" s="37" t="n">
        <f aca="false">IF(B103="",0,N(Students!J92))</f>
        <v>0</v>
      </c>
      <c r="Y103" s="23"/>
      <c r="Z103" s="26" t="n">
        <f aca="false">N(W103)+N(X103)-N(Y103)</f>
        <v>0</v>
      </c>
      <c r="AA103" s="37" t="n">
        <f aca="false">N(E103)+N(I103)+N(M103)+N(Q103)+N(U103)+N(Y103)</f>
        <v>0</v>
      </c>
      <c r="AB103" s="26" t="n">
        <f aca="false">F103+J103+N103+R103+V103+Z103</f>
        <v>0</v>
      </c>
      <c r="AC103" s="83" t="str">
        <f aca="false">IF(B103="","",IF(AB103&lt;=0,"Clear",IF(AA103&gt;0,"Partial","Due")))</f>
        <v/>
      </c>
    </row>
    <row r="104" customFormat="false" ht="15" hidden="false" customHeight="false" outlineLevel="0" collapsed="false">
      <c r="A104" s="21" t="n">
        <v>89</v>
      </c>
      <c r="B104" s="46" t="str">
        <f aca="false">IF(Students!B93="","",Students!B93)</f>
        <v/>
      </c>
      <c r="C104" s="33" t="n">
        <f aca="false">'Aug 2027'!F104</f>
        <v>0</v>
      </c>
      <c r="D104" s="33" t="n">
        <f aca="false">IF(B104="",0,N(Students!E93))</f>
        <v>0</v>
      </c>
      <c r="E104" s="23"/>
      <c r="F104" s="24" t="n">
        <f aca="false">N(C104)+N(D104)-N(E104)</f>
        <v>0</v>
      </c>
      <c r="G104" s="33" t="n">
        <f aca="false">'Aug 2027'!J104</f>
        <v>0</v>
      </c>
      <c r="H104" s="33" t="n">
        <f aca="false">IF(B104="",0,N(Students!F93))</f>
        <v>0</v>
      </c>
      <c r="I104" s="23"/>
      <c r="J104" s="24" t="n">
        <f aca="false">N(G104)+N(H104)-N(I104)</f>
        <v>0</v>
      </c>
      <c r="K104" s="33" t="n">
        <f aca="false">'Aug 2027'!N104</f>
        <v>0</v>
      </c>
      <c r="L104" s="33" t="n">
        <f aca="false">IF(B104="",0,N(Students!G93))</f>
        <v>0</v>
      </c>
      <c r="M104" s="23"/>
      <c r="N104" s="24" t="n">
        <f aca="false">N(K104)+N(L104)-N(M104)</f>
        <v>0</v>
      </c>
      <c r="O104" s="33" t="n">
        <f aca="false">'Aug 2027'!R104</f>
        <v>0</v>
      </c>
      <c r="P104" s="33" t="n">
        <f aca="false">IF(B104="",0,N(Students!H93))</f>
        <v>0</v>
      </c>
      <c r="Q104" s="23"/>
      <c r="R104" s="24" t="n">
        <f aca="false">N(O104)+N(P104)-N(Q104)</f>
        <v>0</v>
      </c>
      <c r="S104" s="33" t="n">
        <f aca="false">'Aug 2027'!V104</f>
        <v>0</v>
      </c>
      <c r="T104" s="33" t="n">
        <f aca="false">IF(B104="",0,N(Students!I93))</f>
        <v>0</v>
      </c>
      <c r="U104" s="23"/>
      <c r="V104" s="24" t="n">
        <f aca="false">N(S104)+N(T104)-N(U104)</f>
        <v>0</v>
      </c>
      <c r="W104" s="33" t="n">
        <f aca="false">'Aug 2027'!Z104</f>
        <v>0</v>
      </c>
      <c r="X104" s="33" t="n">
        <f aca="false">IF(B104="",0,N(Students!J93))</f>
        <v>0</v>
      </c>
      <c r="Y104" s="23"/>
      <c r="Z104" s="24" t="n">
        <f aca="false">N(W104)+N(X104)-N(Y104)</f>
        <v>0</v>
      </c>
      <c r="AA104" s="33" t="n">
        <f aca="false">N(E104)+N(I104)+N(M104)+N(Q104)+N(U104)+N(Y104)</f>
        <v>0</v>
      </c>
      <c r="AB104" s="24" t="n">
        <f aca="false">F104+J104+N104+R104+V104+Z104</f>
        <v>0</v>
      </c>
      <c r="AC104" s="81" t="str">
        <f aca="false">IF(B104="","",IF(AB104&lt;=0,"Clear",IF(AA104&gt;0,"Partial","Due")))</f>
        <v/>
      </c>
    </row>
    <row r="105" customFormat="false" ht="15" hidden="false" customHeight="false" outlineLevel="0" collapsed="false">
      <c r="A105" s="25" t="n">
        <v>90</v>
      </c>
      <c r="B105" s="82" t="str">
        <f aca="false">IF(Students!B94="","",Students!B94)</f>
        <v/>
      </c>
      <c r="C105" s="37" t="n">
        <f aca="false">'Aug 2027'!F105</f>
        <v>0</v>
      </c>
      <c r="D105" s="37" t="n">
        <f aca="false">IF(B105="",0,N(Students!E94))</f>
        <v>0</v>
      </c>
      <c r="E105" s="23"/>
      <c r="F105" s="26" t="n">
        <f aca="false">N(C105)+N(D105)-N(E105)</f>
        <v>0</v>
      </c>
      <c r="G105" s="37" t="n">
        <f aca="false">'Aug 2027'!J105</f>
        <v>0</v>
      </c>
      <c r="H105" s="37" t="n">
        <f aca="false">IF(B105="",0,N(Students!F94))</f>
        <v>0</v>
      </c>
      <c r="I105" s="23"/>
      <c r="J105" s="26" t="n">
        <f aca="false">N(G105)+N(H105)-N(I105)</f>
        <v>0</v>
      </c>
      <c r="K105" s="37" t="n">
        <f aca="false">'Aug 2027'!N105</f>
        <v>0</v>
      </c>
      <c r="L105" s="37" t="n">
        <f aca="false">IF(B105="",0,N(Students!G94))</f>
        <v>0</v>
      </c>
      <c r="M105" s="23"/>
      <c r="N105" s="26" t="n">
        <f aca="false">N(K105)+N(L105)-N(M105)</f>
        <v>0</v>
      </c>
      <c r="O105" s="37" t="n">
        <f aca="false">'Aug 2027'!R105</f>
        <v>0</v>
      </c>
      <c r="P105" s="37" t="n">
        <f aca="false">IF(B105="",0,N(Students!H94))</f>
        <v>0</v>
      </c>
      <c r="Q105" s="23"/>
      <c r="R105" s="26" t="n">
        <f aca="false">N(O105)+N(P105)-N(Q105)</f>
        <v>0</v>
      </c>
      <c r="S105" s="37" t="n">
        <f aca="false">'Aug 2027'!V105</f>
        <v>0</v>
      </c>
      <c r="T105" s="37" t="n">
        <f aca="false">IF(B105="",0,N(Students!I94))</f>
        <v>0</v>
      </c>
      <c r="U105" s="23"/>
      <c r="V105" s="26" t="n">
        <f aca="false">N(S105)+N(T105)-N(U105)</f>
        <v>0</v>
      </c>
      <c r="W105" s="37" t="n">
        <f aca="false">'Aug 2027'!Z105</f>
        <v>0</v>
      </c>
      <c r="X105" s="37" t="n">
        <f aca="false">IF(B105="",0,N(Students!J94))</f>
        <v>0</v>
      </c>
      <c r="Y105" s="23"/>
      <c r="Z105" s="26" t="n">
        <f aca="false">N(W105)+N(X105)-N(Y105)</f>
        <v>0</v>
      </c>
      <c r="AA105" s="37" t="n">
        <f aca="false">N(E105)+N(I105)+N(M105)+N(Q105)+N(U105)+N(Y105)</f>
        <v>0</v>
      </c>
      <c r="AB105" s="26" t="n">
        <f aca="false">F105+J105+N105+R105+V105+Z105</f>
        <v>0</v>
      </c>
      <c r="AC105" s="83" t="str">
        <f aca="false">IF(B105="","",IF(AB105&lt;=0,"Clear",IF(AA105&gt;0,"Partial","Due")))</f>
        <v/>
      </c>
    </row>
    <row r="106" customFormat="false" ht="15" hidden="false" customHeight="false" outlineLevel="0" collapsed="false">
      <c r="A106" s="21" t="n">
        <v>91</v>
      </c>
      <c r="B106" s="46" t="str">
        <f aca="false">IF(Students!B95="","",Students!B95)</f>
        <v/>
      </c>
      <c r="C106" s="33" t="n">
        <f aca="false">'Aug 2027'!F106</f>
        <v>0</v>
      </c>
      <c r="D106" s="33" t="n">
        <f aca="false">IF(B106="",0,N(Students!E95))</f>
        <v>0</v>
      </c>
      <c r="E106" s="23"/>
      <c r="F106" s="24" t="n">
        <f aca="false">N(C106)+N(D106)-N(E106)</f>
        <v>0</v>
      </c>
      <c r="G106" s="33" t="n">
        <f aca="false">'Aug 2027'!J106</f>
        <v>0</v>
      </c>
      <c r="H106" s="33" t="n">
        <f aca="false">IF(B106="",0,N(Students!F95))</f>
        <v>0</v>
      </c>
      <c r="I106" s="23"/>
      <c r="J106" s="24" t="n">
        <f aca="false">N(G106)+N(H106)-N(I106)</f>
        <v>0</v>
      </c>
      <c r="K106" s="33" t="n">
        <f aca="false">'Aug 2027'!N106</f>
        <v>0</v>
      </c>
      <c r="L106" s="33" t="n">
        <f aca="false">IF(B106="",0,N(Students!G95))</f>
        <v>0</v>
      </c>
      <c r="M106" s="23"/>
      <c r="N106" s="24" t="n">
        <f aca="false">N(K106)+N(L106)-N(M106)</f>
        <v>0</v>
      </c>
      <c r="O106" s="33" t="n">
        <f aca="false">'Aug 2027'!R106</f>
        <v>0</v>
      </c>
      <c r="P106" s="33" t="n">
        <f aca="false">IF(B106="",0,N(Students!H95))</f>
        <v>0</v>
      </c>
      <c r="Q106" s="23"/>
      <c r="R106" s="24" t="n">
        <f aca="false">N(O106)+N(P106)-N(Q106)</f>
        <v>0</v>
      </c>
      <c r="S106" s="33" t="n">
        <f aca="false">'Aug 2027'!V106</f>
        <v>0</v>
      </c>
      <c r="T106" s="33" t="n">
        <f aca="false">IF(B106="",0,N(Students!I95))</f>
        <v>0</v>
      </c>
      <c r="U106" s="23"/>
      <c r="V106" s="24" t="n">
        <f aca="false">N(S106)+N(T106)-N(U106)</f>
        <v>0</v>
      </c>
      <c r="W106" s="33" t="n">
        <f aca="false">'Aug 2027'!Z106</f>
        <v>0</v>
      </c>
      <c r="X106" s="33" t="n">
        <f aca="false">IF(B106="",0,N(Students!J95))</f>
        <v>0</v>
      </c>
      <c r="Y106" s="23"/>
      <c r="Z106" s="24" t="n">
        <f aca="false">N(W106)+N(X106)-N(Y106)</f>
        <v>0</v>
      </c>
      <c r="AA106" s="33" t="n">
        <f aca="false">N(E106)+N(I106)+N(M106)+N(Q106)+N(U106)+N(Y106)</f>
        <v>0</v>
      </c>
      <c r="AB106" s="24" t="n">
        <f aca="false">F106+J106+N106+R106+V106+Z106</f>
        <v>0</v>
      </c>
      <c r="AC106" s="81" t="str">
        <f aca="false">IF(B106="","",IF(AB106&lt;=0,"Clear",IF(AA106&gt;0,"Partial","Due")))</f>
        <v/>
      </c>
    </row>
    <row r="107" customFormat="false" ht="15" hidden="false" customHeight="false" outlineLevel="0" collapsed="false">
      <c r="A107" s="25" t="n">
        <v>92</v>
      </c>
      <c r="B107" s="82" t="str">
        <f aca="false">IF(Students!B96="","",Students!B96)</f>
        <v/>
      </c>
      <c r="C107" s="37" t="n">
        <f aca="false">'Aug 2027'!F107</f>
        <v>0</v>
      </c>
      <c r="D107" s="37" t="n">
        <f aca="false">IF(B107="",0,N(Students!E96))</f>
        <v>0</v>
      </c>
      <c r="E107" s="23"/>
      <c r="F107" s="26" t="n">
        <f aca="false">N(C107)+N(D107)-N(E107)</f>
        <v>0</v>
      </c>
      <c r="G107" s="37" t="n">
        <f aca="false">'Aug 2027'!J107</f>
        <v>0</v>
      </c>
      <c r="H107" s="37" t="n">
        <f aca="false">IF(B107="",0,N(Students!F96))</f>
        <v>0</v>
      </c>
      <c r="I107" s="23"/>
      <c r="J107" s="26" t="n">
        <f aca="false">N(G107)+N(H107)-N(I107)</f>
        <v>0</v>
      </c>
      <c r="K107" s="37" t="n">
        <f aca="false">'Aug 2027'!N107</f>
        <v>0</v>
      </c>
      <c r="L107" s="37" t="n">
        <f aca="false">IF(B107="",0,N(Students!G96))</f>
        <v>0</v>
      </c>
      <c r="M107" s="23"/>
      <c r="N107" s="26" t="n">
        <f aca="false">N(K107)+N(L107)-N(M107)</f>
        <v>0</v>
      </c>
      <c r="O107" s="37" t="n">
        <f aca="false">'Aug 2027'!R107</f>
        <v>0</v>
      </c>
      <c r="P107" s="37" t="n">
        <f aca="false">IF(B107="",0,N(Students!H96))</f>
        <v>0</v>
      </c>
      <c r="Q107" s="23"/>
      <c r="R107" s="26" t="n">
        <f aca="false">N(O107)+N(P107)-N(Q107)</f>
        <v>0</v>
      </c>
      <c r="S107" s="37" t="n">
        <f aca="false">'Aug 2027'!V107</f>
        <v>0</v>
      </c>
      <c r="T107" s="37" t="n">
        <f aca="false">IF(B107="",0,N(Students!I96))</f>
        <v>0</v>
      </c>
      <c r="U107" s="23"/>
      <c r="V107" s="26" t="n">
        <f aca="false">N(S107)+N(T107)-N(U107)</f>
        <v>0</v>
      </c>
      <c r="W107" s="37" t="n">
        <f aca="false">'Aug 2027'!Z107</f>
        <v>0</v>
      </c>
      <c r="X107" s="37" t="n">
        <f aca="false">IF(B107="",0,N(Students!J96))</f>
        <v>0</v>
      </c>
      <c r="Y107" s="23"/>
      <c r="Z107" s="26" t="n">
        <f aca="false">N(W107)+N(X107)-N(Y107)</f>
        <v>0</v>
      </c>
      <c r="AA107" s="37" t="n">
        <f aca="false">N(E107)+N(I107)+N(M107)+N(Q107)+N(U107)+N(Y107)</f>
        <v>0</v>
      </c>
      <c r="AB107" s="26" t="n">
        <f aca="false">F107+J107+N107+R107+V107+Z107</f>
        <v>0</v>
      </c>
      <c r="AC107" s="83" t="str">
        <f aca="false">IF(B107="","",IF(AB107&lt;=0,"Clear",IF(AA107&gt;0,"Partial","Due")))</f>
        <v/>
      </c>
    </row>
    <row r="108" customFormat="false" ht="15" hidden="false" customHeight="false" outlineLevel="0" collapsed="false">
      <c r="A108" s="21" t="n">
        <v>93</v>
      </c>
      <c r="B108" s="46" t="str">
        <f aca="false">IF(Students!B97="","",Students!B97)</f>
        <v/>
      </c>
      <c r="C108" s="33" t="n">
        <f aca="false">'Aug 2027'!F108</f>
        <v>0</v>
      </c>
      <c r="D108" s="33" t="n">
        <f aca="false">IF(B108="",0,N(Students!E97))</f>
        <v>0</v>
      </c>
      <c r="E108" s="23"/>
      <c r="F108" s="24" t="n">
        <f aca="false">N(C108)+N(D108)-N(E108)</f>
        <v>0</v>
      </c>
      <c r="G108" s="33" t="n">
        <f aca="false">'Aug 2027'!J108</f>
        <v>0</v>
      </c>
      <c r="H108" s="33" t="n">
        <f aca="false">IF(B108="",0,N(Students!F97))</f>
        <v>0</v>
      </c>
      <c r="I108" s="23"/>
      <c r="J108" s="24" t="n">
        <f aca="false">N(G108)+N(H108)-N(I108)</f>
        <v>0</v>
      </c>
      <c r="K108" s="33" t="n">
        <f aca="false">'Aug 2027'!N108</f>
        <v>0</v>
      </c>
      <c r="L108" s="33" t="n">
        <f aca="false">IF(B108="",0,N(Students!G97))</f>
        <v>0</v>
      </c>
      <c r="M108" s="23"/>
      <c r="N108" s="24" t="n">
        <f aca="false">N(K108)+N(L108)-N(M108)</f>
        <v>0</v>
      </c>
      <c r="O108" s="33" t="n">
        <f aca="false">'Aug 2027'!R108</f>
        <v>0</v>
      </c>
      <c r="P108" s="33" t="n">
        <f aca="false">IF(B108="",0,N(Students!H97))</f>
        <v>0</v>
      </c>
      <c r="Q108" s="23"/>
      <c r="R108" s="24" t="n">
        <f aca="false">N(O108)+N(P108)-N(Q108)</f>
        <v>0</v>
      </c>
      <c r="S108" s="33" t="n">
        <f aca="false">'Aug 2027'!V108</f>
        <v>0</v>
      </c>
      <c r="T108" s="33" t="n">
        <f aca="false">IF(B108="",0,N(Students!I97))</f>
        <v>0</v>
      </c>
      <c r="U108" s="23"/>
      <c r="V108" s="24" t="n">
        <f aca="false">N(S108)+N(T108)-N(U108)</f>
        <v>0</v>
      </c>
      <c r="W108" s="33" t="n">
        <f aca="false">'Aug 2027'!Z108</f>
        <v>0</v>
      </c>
      <c r="X108" s="33" t="n">
        <f aca="false">IF(B108="",0,N(Students!J97))</f>
        <v>0</v>
      </c>
      <c r="Y108" s="23"/>
      <c r="Z108" s="24" t="n">
        <f aca="false">N(W108)+N(X108)-N(Y108)</f>
        <v>0</v>
      </c>
      <c r="AA108" s="33" t="n">
        <f aca="false">N(E108)+N(I108)+N(M108)+N(Q108)+N(U108)+N(Y108)</f>
        <v>0</v>
      </c>
      <c r="AB108" s="24" t="n">
        <f aca="false">F108+J108+N108+R108+V108+Z108</f>
        <v>0</v>
      </c>
      <c r="AC108" s="81" t="str">
        <f aca="false">IF(B108="","",IF(AB108&lt;=0,"Clear",IF(AA108&gt;0,"Partial","Due")))</f>
        <v/>
      </c>
    </row>
    <row r="109" customFormat="false" ht="15" hidden="false" customHeight="false" outlineLevel="0" collapsed="false">
      <c r="A109" s="25" t="n">
        <v>94</v>
      </c>
      <c r="B109" s="82" t="str">
        <f aca="false">IF(Students!B98="","",Students!B98)</f>
        <v/>
      </c>
      <c r="C109" s="37" t="n">
        <f aca="false">'Aug 2027'!F109</f>
        <v>0</v>
      </c>
      <c r="D109" s="37" t="n">
        <f aca="false">IF(B109="",0,N(Students!E98))</f>
        <v>0</v>
      </c>
      <c r="E109" s="23"/>
      <c r="F109" s="26" t="n">
        <f aca="false">N(C109)+N(D109)-N(E109)</f>
        <v>0</v>
      </c>
      <c r="G109" s="37" t="n">
        <f aca="false">'Aug 2027'!J109</f>
        <v>0</v>
      </c>
      <c r="H109" s="37" t="n">
        <f aca="false">IF(B109="",0,N(Students!F98))</f>
        <v>0</v>
      </c>
      <c r="I109" s="23"/>
      <c r="J109" s="26" t="n">
        <f aca="false">N(G109)+N(H109)-N(I109)</f>
        <v>0</v>
      </c>
      <c r="K109" s="37" t="n">
        <f aca="false">'Aug 2027'!N109</f>
        <v>0</v>
      </c>
      <c r="L109" s="37" t="n">
        <f aca="false">IF(B109="",0,N(Students!G98))</f>
        <v>0</v>
      </c>
      <c r="M109" s="23"/>
      <c r="N109" s="26" t="n">
        <f aca="false">N(K109)+N(L109)-N(M109)</f>
        <v>0</v>
      </c>
      <c r="O109" s="37" t="n">
        <f aca="false">'Aug 2027'!R109</f>
        <v>0</v>
      </c>
      <c r="P109" s="37" t="n">
        <f aca="false">IF(B109="",0,N(Students!H98))</f>
        <v>0</v>
      </c>
      <c r="Q109" s="23"/>
      <c r="R109" s="26" t="n">
        <f aca="false">N(O109)+N(P109)-N(Q109)</f>
        <v>0</v>
      </c>
      <c r="S109" s="37" t="n">
        <f aca="false">'Aug 2027'!V109</f>
        <v>0</v>
      </c>
      <c r="T109" s="37" t="n">
        <f aca="false">IF(B109="",0,N(Students!I98))</f>
        <v>0</v>
      </c>
      <c r="U109" s="23"/>
      <c r="V109" s="26" t="n">
        <f aca="false">N(S109)+N(T109)-N(U109)</f>
        <v>0</v>
      </c>
      <c r="W109" s="37" t="n">
        <f aca="false">'Aug 2027'!Z109</f>
        <v>0</v>
      </c>
      <c r="X109" s="37" t="n">
        <f aca="false">IF(B109="",0,N(Students!J98))</f>
        <v>0</v>
      </c>
      <c r="Y109" s="23"/>
      <c r="Z109" s="26" t="n">
        <f aca="false">N(W109)+N(X109)-N(Y109)</f>
        <v>0</v>
      </c>
      <c r="AA109" s="37" t="n">
        <f aca="false">N(E109)+N(I109)+N(M109)+N(Q109)+N(U109)+N(Y109)</f>
        <v>0</v>
      </c>
      <c r="AB109" s="26" t="n">
        <f aca="false">F109+J109+N109+R109+V109+Z109</f>
        <v>0</v>
      </c>
      <c r="AC109" s="83" t="str">
        <f aca="false">IF(B109="","",IF(AB109&lt;=0,"Clear",IF(AA109&gt;0,"Partial","Due")))</f>
        <v/>
      </c>
    </row>
    <row r="110" customFormat="false" ht="15" hidden="false" customHeight="false" outlineLevel="0" collapsed="false">
      <c r="A110" s="21" t="n">
        <v>95</v>
      </c>
      <c r="B110" s="46" t="str">
        <f aca="false">IF(Students!B99="","",Students!B99)</f>
        <v/>
      </c>
      <c r="C110" s="33" t="n">
        <f aca="false">'Aug 2027'!F110</f>
        <v>0</v>
      </c>
      <c r="D110" s="33" t="n">
        <f aca="false">IF(B110="",0,N(Students!E99))</f>
        <v>0</v>
      </c>
      <c r="E110" s="23"/>
      <c r="F110" s="24" t="n">
        <f aca="false">N(C110)+N(D110)-N(E110)</f>
        <v>0</v>
      </c>
      <c r="G110" s="33" t="n">
        <f aca="false">'Aug 2027'!J110</f>
        <v>0</v>
      </c>
      <c r="H110" s="33" t="n">
        <f aca="false">IF(B110="",0,N(Students!F99))</f>
        <v>0</v>
      </c>
      <c r="I110" s="23"/>
      <c r="J110" s="24" t="n">
        <f aca="false">N(G110)+N(H110)-N(I110)</f>
        <v>0</v>
      </c>
      <c r="K110" s="33" t="n">
        <f aca="false">'Aug 2027'!N110</f>
        <v>0</v>
      </c>
      <c r="L110" s="33" t="n">
        <f aca="false">IF(B110="",0,N(Students!G99))</f>
        <v>0</v>
      </c>
      <c r="M110" s="23"/>
      <c r="N110" s="24" t="n">
        <f aca="false">N(K110)+N(L110)-N(M110)</f>
        <v>0</v>
      </c>
      <c r="O110" s="33" t="n">
        <f aca="false">'Aug 2027'!R110</f>
        <v>0</v>
      </c>
      <c r="P110" s="33" t="n">
        <f aca="false">IF(B110="",0,N(Students!H99))</f>
        <v>0</v>
      </c>
      <c r="Q110" s="23"/>
      <c r="R110" s="24" t="n">
        <f aca="false">N(O110)+N(P110)-N(Q110)</f>
        <v>0</v>
      </c>
      <c r="S110" s="33" t="n">
        <f aca="false">'Aug 2027'!V110</f>
        <v>0</v>
      </c>
      <c r="T110" s="33" t="n">
        <f aca="false">IF(B110="",0,N(Students!I99))</f>
        <v>0</v>
      </c>
      <c r="U110" s="23"/>
      <c r="V110" s="24" t="n">
        <f aca="false">N(S110)+N(T110)-N(U110)</f>
        <v>0</v>
      </c>
      <c r="W110" s="33" t="n">
        <f aca="false">'Aug 2027'!Z110</f>
        <v>0</v>
      </c>
      <c r="X110" s="33" t="n">
        <f aca="false">IF(B110="",0,N(Students!J99))</f>
        <v>0</v>
      </c>
      <c r="Y110" s="23"/>
      <c r="Z110" s="24" t="n">
        <f aca="false">N(W110)+N(X110)-N(Y110)</f>
        <v>0</v>
      </c>
      <c r="AA110" s="33" t="n">
        <f aca="false">N(E110)+N(I110)+N(M110)+N(Q110)+N(U110)+N(Y110)</f>
        <v>0</v>
      </c>
      <c r="AB110" s="24" t="n">
        <f aca="false">F110+J110+N110+R110+V110+Z110</f>
        <v>0</v>
      </c>
      <c r="AC110" s="81" t="str">
        <f aca="false">IF(B110="","",IF(AB110&lt;=0,"Clear",IF(AA110&gt;0,"Partial","Due")))</f>
        <v/>
      </c>
    </row>
    <row r="111" customFormat="false" ht="15" hidden="false" customHeight="false" outlineLevel="0" collapsed="false">
      <c r="A111" s="25" t="n">
        <v>96</v>
      </c>
      <c r="B111" s="82" t="str">
        <f aca="false">IF(Students!B100="","",Students!B100)</f>
        <v/>
      </c>
      <c r="C111" s="37" t="n">
        <f aca="false">'Aug 2027'!F111</f>
        <v>0</v>
      </c>
      <c r="D111" s="37" t="n">
        <f aca="false">IF(B111="",0,N(Students!E100))</f>
        <v>0</v>
      </c>
      <c r="E111" s="23"/>
      <c r="F111" s="26" t="n">
        <f aca="false">N(C111)+N(D111)-N(E111)</f>
        <v>0</v>
      </c>
      <c r="G111" s="37" t="n">
        <f aca="false">'Aug 2027'!J111</f>
        <v>0</v>
      </c>
      <c r="H111" s="37" t="n">
        <f aca="false">IF(B111="",0,N(Students!F100))</f>
        <v>0</v>
      </c>
      <c r="I111" s="23"/>
      <c r="J111" s="26" t="n">
        <f aca="false">N(G111)+N(H111)-N(I111)</f>
        <v>0</v>
      </c>
      <c r="K111" s="37" t="n">
        <f aca="false">'Aug 2027'!N111</f>
        <v>0</v>
      </c>
      <c r="L111" s="37" t="n">
        <f aca="false">IF(B111="",0,N(Students!G100))</f>
        <v>0</v>
      </c>
      <c r="M111" s="23"/>
      <c r="N111" s="26" t="n">
        <f aca="false">N(K111)+N(L111)-N(M111)</f>
        <v>0</v>
      </c>
      <c r="O111" s="37" t="n">
        <f aca="false">'Aug 2027'!R111</f>
        <v>0</v>
      </c>
      <c r="P111" s="37" t="n">
        <f aca="false">IF(B111="",0,N(Students!H100))</f>
        <v>0</v>
      </c>
      <c r="Q111" s="23"/>
      <c r="R111" s="26" t="n">
        <f aca="false">N(O111)+N(P111)-N(Q111)</f>
        <v>0</v>
      </c>
      <c r="S111" s="37" t="n">
        <f aca="false">'Aug 2027'!V111</f>
        <v>0</v>
      </c>
      <c r="T111" s="37" t="n">
        <f aca="false">IF(B111="",0,N(Students!I100))</f>
        <v>0</v>
      </c>
      <c r="U111" s="23"/>
      <c r="V111" s="26" t="n">
        <f aca="false">N(S111)+N(T111)-N(U111)</f>
        <v>0</v>
      </c>
      <c r="W111" s="37" t="n">
        <f aca="false">'Aug 2027'!Z111</f>
        <v>0</v>
      </c>
      <c r="X111" s="37" t="n">
        <f aca="false">IF(B111="",0,N(Students!J100))</f>
        <v>0</v>
      </c>
      <c r="Y111" s="23"/>
      <c r="Z111" s="26" t="n">
        <f aca="false">N(W111)+N(X111)-N(Y111)</f>
        <v>0</v>
      </c>
      <c r="AA111" s="37" t="n">
        <f aca="false">N(E111)+N(I111)+N(M111)+N(Q111)+N(U111)+N(Y111)</f>
        <v>0</v>
      </c>
      <c r="AB111" s="26" t="n">
        <f aca="false">F111+J111+N111+R111+V111+Z111</f>
        <v>0</v>
      </c>
      <c r="AC111" s="83" t="str">
        <f aca="false">IF(B111="","",IF(AB111&lt;=0,"Clear",IF(AA111&gt;0,"Partial","Due")))</f>
        <v/>
      </c>
    </row>
    <row r="112" customFormat="false" ht="15" hidden="false" customHeight="false" outlineLevel="0" collapsed="false">
      <c r="A112" s="21" t="n">
        <v>97</v>
      </c>
      <c r="B112" s="46" t="str">
        <f aca="false">IF(Students!B101="","",Students!B101)</f>
        <v/>
      </c>
      <c r="C112" s="33" t="n">
        <f aca="false">'Aug 2027'!F112</f>
        <v>0</v>
      </c>
      <c r="D112" s="33" t="n">
        <f aca="false">IF(B112="",0,N(Students!E101))</f>
        <v>0</v>
      </c>
      <c r="E112" s="23"/>
      <c r="F112" s="24" t="n">
        <f aca="false">N(C112)+N(D112)-N(E112)</f>
        <v>0</v>
      </c>
      <c r="G112" s="33" t="n">
        <f aca="false">'Aug 2027'!J112</f>
        <v>0</v>
      </c>
      <c r="H112" s="33" t="n">
        <f aca="false">IF(B112="",0,N(Students!F101))</f>
        <v>0</v>
      </c>
      <c r="I112" s="23"/>
      <c r="J112" s="24" t="n">
        <f aca="false">N(G112)+N(H112)-N(I112)</f>
        <v>0</v>
      </c>
      <c r="K112" s="33" t="n">
        <f aca="false">'Aug 2027'!N112</f>
        <v>0</v>
      </c>
      <c r="L112" s="33" t="n">
        <f aca="false">IF(B112="",0,N(Students!G101))</f>
        <v>0</v>
      </c>
      <c r="M112" s="23"/>
      <c r="N112" s="24" t="n">
        <f aca="false">N(K112)+N(L112)-N(M112)</f>
        <v>0</v>
      </c>
      <c r="O112" s="33" t="n">
        <f aca="false">'Aug 2027'!R112</f>
        <v>0</v>
      </c>
      <c r="P112" s="33" t="n">
        <f aca="false">IF(B112="",0,N(Students!H101))</f>
        <v>0</v>
      </c>
      <c r="Q112" s="23"/>
      <c r="R112" s="24" t="n">
        <f aca="false">N(O112)+N(P112)-N(Q112)</f>
        <v>0</v>
      </c>
      <c r="S112" s="33" t="n">
        <f aca="false">'Aug 2027'!V112</f>
        <v>0</v>
      </c>
      <c r="T112" s="33" t="n">
        <f aca="false">IF(B112="",0,N(Students!I101))</f>
        <v>0</v>
      </c>
      <c r="U112" s="23"/>
      <c r="V112" s="24" t="n">
        <f aca="false">N(S112)+N(T112)-N(U112)</f>
        <v>0</v>
      </c>
      <c r="W112" s="33" t="n">
        <f aca="false">'Aug 2027'!Z112</f>
        <v>0</v>
      </c>
      <c r="X112" s="33" t="n">
        <f aca="false">IF(B112="",0,N(Students!J101))</f>
        <v>0</v>
      </c>
      <c r="Y112" s="23"/>
      <c r="Z112" s="24" t="n">
        <f aca="false">N(W112)+N(X112)-N(Y112)</f>
        <v>0</v>
      </c>
      <c r="AA112" s="33" t="n">
        <f aca="false">N(E112)+N(I112)+N(M112)+N(Q112)+N(U112)+N(Y112)</f>
        <v>0</v>
      </c>
      <c r="AB112" s="24" t="n">
        <f aca="false">F112+J112+N112+R112+V112+Z112</f>
        <v>0</v>
      </c>
      <c r="AC112" s="81" t="str">
        <f aca="false">IF(B112="","",IF(AB112&lt;=0,"Clear",IF(AA112&gt;0,"Partial","Due")))</f>
        <v/>
      </c>
    </row>
    <row r="113" customFormat="false" ht="15" hidden="false" customHeight="false" outlineLevel="0" collapsed="false">
      <c r="A113" s="25" t="n">
        <v>98</v>
      </c>
      <c r="B113" s="82" t="str">
        <f aca="false">IF(Students!B102="","",Students!B102)</f>
        <v/>
      </c>
      <c r="C113" s="37" t="n">
        <f aca="false">'Aug 2027'!F113</f>
        <v>0</v>
      </c>
      <c r="D113" s="37" t="n">
        <f aca="false">IF(B113="",0,N(Students!E102))</f>
        <v>0</v>
      </c>
      <c r="E113" s="23"/>
      <c r="F113" s="26" t="n">
        <f aca="false">N(C113)+N(D113)-N(E113)</f>
        <v>0</v>
      </c>
      <c r="G113" s="37" t="n">
        <f aca="false">'Aug 2027'!J113</f>
        <v>0</v>
      </c>
      <c r="H113" s="37" t="n">
        <f aca="false">IF(B113="",0,N(Students!F102))</f>
        <v>0</v>
      </c>
      <c r="I113" s="23"/>
      <c r="J113" s="26" t="n">
        <f aca="false">N(G113)+N(H113)-N(I113)</f>
        <v>0</v>
      </c>
      <c r="K113" s="37" t="n">
        <f aca="false">'Aug 2027'!N113</f>
        <v>0</v>
      </c>
      <c r="L113" s="37" t="n">
        <f aca="false">IF(B113="",0,N(Students!G102))</f>
        <v>0</v>
      </c>
      <c r="M113" s="23"/>
      <c r="N113" s="26" t="n">
        <f aca="false">N(K113)+N(L113)-N(M113)</f>
        <v>0</v>
      </c>
      <c r="O113" s="37" t="n">
        <f aca="false">'Aug 2027'!R113</f>
        <v>0</v>
      </c>
      <c r="P113" s="37" t="n">
        <f aca="false">IF(B113="",0,N(Students!H102))</f>
        <v>0</v>
      </c>
      <c r="Q113" s="23"/>
      <c r="R113" s="26" t="n">
        <f aca="false">N(O113)+N(P113)-N(Q113)</f>
        <v>0</v>
      </c>
      <c r="S113" s="37" t="n">
        <f aca="false">'Aug 2027'!V113</f>
        <v>0</v>
      </c>
      <c r="T113" s="37" t="n">
        <f aca="false">IF(B113="",0,N(Students!I102))</f>
        <v>0</v>
      </c>
      <c r="U113" s="23"/>
      <c r="V113" s="26" t="n">
        <f aca="false">N(S113)+N(T113)-N(U113)</f>
        <v>0</v>
      </c>
      <c r="W113" s="37" t="n">
        <f aca="false">'Aug 2027'!Z113</f>
        <v>0</v>
      </c>
      <c r="X113" s="37" t="n">
        <f aca="false">IF(B113="",0,N(Students!J102))</f>
        <v>0</v>
      </c>
      <c r="Y113" s="23"/>
      <c r="Z113" s="26" t="n">
        <f aca="false">N(W113)+N(X113)-N(Y113)</f>
        <v>0</v>
      </c>
      <c r="AA113" s="37" t="n">
        <f aca="false">N(E113)+N(I113)+N(M113)+N(Q113)+N(U113)+N(Y113)</f>
        <v>0</v>
      </c>
      <c r="AB113" s="26" t="n">
        <f aca="false">F113+J113+N113+R113+V113+Z113</f>
        <v>0</v>
      </c>
      <c r="AC113" s="83" t="str">
        <f aca="false">IF(B113="","",IF(AB113&lt;=0,"Clear",IF(AA113&gt;0,"Partial","Due")))</f>
        <v/>
      </c>
    </row>
    <row r="114" customFormat="false" ht="15" hidden="false" customHeight="false" outlineLevel="0" collapsed="false">
      <c r="A114" s="21" t="n">
        <v>99</v>
      </c>
      <c r="B114" s="46" t="str">
        <f aca="false">IF(Students!B103="","",Students!B103)</f>
        <v/>
      </c>
      <c r="C114" s="33" t="n">
        <f aca="false">'Aug 2027'!F114</f>
        <v>0</v>
      </c>
      <c r="D114" s="33" t="n">
        <f aca="false">IF(B114="",0,N(Students!E103))</f>
        <v>0</v>
      </c>
      <c r="E114" s="23"/>
      <c r="F114" s="24" t="n">
        <f aca="false">N(C114)+N(D114)-N(E114)</f>
        <v>0</v>
      </c>
      <c r="G114" s="33" t="n">
        <f aca="false">'Aug 2027'!J114</f>
        <v>0</v>
      </c>
      <c r="H114" s="33" t="n">
        <f aca="false">IF(B114="",0,N(Students!F103))</f>
        <v>0</v>
      </c>
      <c r="I114" s="23"/>
      <c r="J114" s="24" t="n">
        <f aca="false">N(G114)+N(H114)-N(I114)</f>
        <v>0</v>
      </c>
      <c r="K114" s="33" t="n">
        <f aca="false">'Aug 2027'!N114</f>
        <v>0</v>
      </c>
      <c r="L114" s="33" t="n">
        <f aca="false">IF(B114="",0,N(Students!G103))</f>
        <v>0</v>
      </c>
      <c r="M114" s="23"/>
      <c r="N114" s="24" t="n">
        <f aca="false">N(K114)+N(L114)-N(M114)</f>
        <v>0</v>
      </c>
      <c r="O114" s="33" t="n">
        <f aca="false">'Aug 2027'!R114</f>
        <v>0</v>
      </c>
      <c r="P114" s="33" t="n">
        <f aca="false">IF(B114="",0,N(Students!H103))</f>
        <v>0</v>
      </c>
      <c r="Q114" s="23"/>
      <c r="R114" s="24" t="n">
        <f aca="false">N(O114)+N(P114)-N(Q114)</f>
        <v>0</v>
      </c>
      <c r="S114" s="33" t="n">
        <f aca="false">'Aug 2027'!V114</f>
        <v>0</v>
      </c>
      <c r="T114" s="33" t="n">
        <f aca="false">IF(B114="",0,N(Students!I103))</f>
        <v>0</v>
      </c>
      <c r="U114" s="23"/>
      <c r="V114" s="24" t="n">
        <f aca="false">N(S114)+N(T114)-N(U114)</f>
        <v>0</v>
      </c>
      <c r="W114" s="33" t="n">
        <f aca="false">'Aug 2027'!Z114</f>
        <v>0</v>
      </c>
      <c r="X114" s="33" t="n">
        <f aca="false">IF(B114="",0,N(Students!J103))</f>
        <v>0</v>
      </c>
      <c r="Y114" s="23"/>
      <c r="Z114" s="24" t="n">
        <f aca="false">N(W114)+N(X114)-N(Y114)</f>
        <v>0</v>
      </c>
      <c r="AA114" s="33" t="n">
        <f aca="false">N(E114)+N(I114)+N(M114)+N(Q114)+N(U114)+N(Y114)</f>
        <v>0</v>
      </c>
      <c r="AB114" s="24" t="n">
        <f aca="false">F114+J114+N114+R114+V114+Z114</f>
        <v>0</v>
      </c>
      <c r="AC114" s="81" t="str">
        <f aca="false">IF(B114="","",IF(AB114&lt;=0,"Clear",IF(AA114&gt;0,"Partial","Due")))</f>
        <v/>
      </c>
    </row>
    <row r="115" customFormat="false" ht="15" hidden="false" customHeight="false" outlineLevel="0" collapsed="false">
      <c r="A115" s="25" t="n">
        <v>100</v>
      </c>
      <c r="B115" s="82" t="str">
        <f aca="false">IF(Students!B104="","",Students!B104)</f>
        <v/>
      </c>
      <c r="C115" s="37" t="n">
        <f aca="false">'Aug 2027'!F115</f>
        <v>0</v>
      </c>
      <c r="D115" s="37" t="n">
        <f aca="false">IF(B115="",0,N(Students!E104))</f>
        <v>0</v>
      </c>
      <c r="E115" s="23"/>
      <c r="F115" s="26" t="n">
        <f aca="false">N(C115)+N(D115)-N(E115)</f>
        <v>0</v>
      </c>
      <c r="G115" s="37" t="n">
        <f aca="false">'Aug 2027'!J115</f>
        <v>0</v>
      </c>
      <c r="H115" s="37" t="n">
        <f aca="false">IF(B115="",0,N(Students!F104))</f>
        <v>0</v>
      </c>
      <c r="I115" s="23"/>
      <c r="J115" s="26" t="n">
        <f aca="false">N(G115)+N(H115)-N(I115)</f>
        <v>0</v>
      </c>
      <c r="K115" s="37" t="n">
        <f aca="false">'Aug 2027'!N115</f>
        <v>0</v>
      </c>
      <c r="L115" s="37" t="n">
        <f aca="false">IF(B115="",0,N(Students!G104))</f>
        <v>0</v>
      </c>
      <c r="M115" s="23"/>
      <c r="N115" s="26" t="n">
        <f aca="false">N(K115)+N(L115)-N(M115)</f>
        <v>0</v>
      </c>
      <c r="O115" s="37" t="n">
        <f aca="false">'Aug 2027'!R115</f>
        <v>0</v>
      </c>
      <c r="P115" s="37" t="n">
        <f aca="false">IF(B115="",0,N(Students!H104))</f>
        <v>0</v>
      </c>
      <c r="Q115" s="23"/>
      <c r="R115" s="26" t="n">
        <f aca="false">N(O115)+N(P115)-N(Q115)</f>
        <v>0</v>
      </c>
      <c r="S115" s="37" t="n">
        <f aca="false">'Aug 2027'!V115</f>
        <v>0</v>
      </c>
      <c r="T115" s="37" t="n">
        <f aca="false">IF(B115="",0,N(Students!I104))</f>
        <v>0</v>
      </c>
      <c r="U115" s="23"/>
      <c r="V115" s="26" t="n">
        <f aca="false">N(S115)+N(T115)-N(U115)</f>
        <v>0</v>
      </c>
      <c r="W115" s="37" t="n">
        <f aca="false">'Aug 2027'!Z115</f>
        <v>0</v>
      </c>
      <c r="X115" s="37" t="n">
        <f aca="false">IF(B115="",0,N(Students!J104))</f>
        <v>0</v>
      </c>
      <c r="Y115" s="23"/>
      <c r="Z115" s="26" t="n">
        <f aca="false">N(W115)+N(X115)-N(Y115)</f>
        <v>0</v>
      </c>
      <c r="AA115" s="37" t="n">
        <f aca="false">N(E115)+N(I115)+N(M115)+N(Q115)+N(U115)+N(Y115)</f>
        <v>0</v>
      </c>
      <c r="AB115" s="26" t="n">
        <f aca="false">F115+J115+N115+R115+V115+Z115</f>
        <v>0</v>
      </c>
      <c r="AC115" s="83" t="str">
        <f aca="false">IF(B115="","",IF(AB115&lt;=0,"Clear",IF(AA115&gt;0,"Partial","Due")))</f>
        <v/>
      </c>
    </row>
    <row r="116" customFormat="false" ht="15" hidden="false" customHeight="false" outlineLevel="0" collapsed="false">
      <c r="A116" s="21" t="n">
        <v>101</v>
      </c>
      <c r="B116" s="46" t="str">
        <f aca="false">IF(Students!B105="","",Students!B105)</f>
        <v/>
      </c>
      <c r="C116" s="33" t="n">
        <f aca="false">'Aug 2027'!F116</f>
        <v>0</v>
      </c>
      <c r="D116" s="33" t="n">
        <f aca="false">IF(B116="",0,N(Students!E105))</f>
        <v>0</v>
      </c>
      <c r="E116" s="23"/>
      <c r="F116" s="24" t="n">
        <f aca="false">N(C116)+N(D116)-N(E116)</f>
        <v>0</v>
      </c>
      <c r="G116" s="33" t="n">
        <f aca="false">'Aug 2027'!J116</f>
        <v>0</v>
      </c>
      <c r="H116" s="33" t="n">
        <f aca="false">IF(B116="",0,N(Students!F105))</f>
        <v>0</v>
      </c>
      <c r="I116" s="23"/>
      <c r="J116" s="24" t="n">
        <f aca="false">N(G116)+N(H116)-N(I116)</f>
        <v>0</v>
      </c>
      <c r="K116" s="33" t="n">
        <f aca="false">'Aug 2027'!N116</f>
        <v>0</v>
      </c>
      <c r="L116" s="33" t="n">
        <f aca="false">IF(B116="",0,N(Students!G105))</f>
        <v>0</v>
      </c>
      <c r="M116" s="23"/>
      <c r="N116" s="24" t="n">
        <f aca="false">N(K116)+N(L116)-N(M116)</f>
        <v>0</v>
      </c>
      <c r="O116" s="33" t="n">
        <f aca="false">'Aug 2027'!R116</f>
        <v>0</v>
      </c>
      <c r="P116" s="33" t="n">
        <f aca="false">IF(B116="",0,N(Students!H105))</f>
        <v>0</v>
      </c>
      <c r="Q116" s="23"/>
      <c r="R116" s="24" t="n">
        <f aca="false">N(O116)+N(P116)-N(Q116)</f>
        <v>0</v>
      </c>
      <c r="S116" s="33" t="n">
        <f aca="false">'Aug 2027'!V116</f>
        <v>0</v>
      </c>
      <c r="T116" s="33" t="n">
        <f aca="false">IF(B116="",0,N(Students!I105))</f>
        <v>0</v>
      </c>
      <c r="U116" s="23"/>
      <c r="V116" s="24" t="n">
        <f aca="false">N(S116)+N(T116)-N(U116)</f>
        <v>0</v>
      </c>
      <c r="W116" s="33" t="n">
        <f aca="false">'Aug 2027'!Z116</f>
        <v>0</v>
      </c>
      <c r="X116" s="33" t="n">
        <f aca="false">IF(B116="",0,N(Students!J105))</f>
        <v>0</v>
      </c>
      <c r="Y116" s="23"/>
      <c r="Z116" s="24" t="n">
        <f aca="false">N(W116)+N(X116)-N(Y116)</f>
        <v>0</v>
      </c>
      <c r="AA116" s="33" t="n">
        <f aca="false">N(E116)+N(I116)+N(M116)+N(Q116)+N(U116)+N(Y116)</f>
        <v>0</v>
      </c>
      <c r="AB116" s="24" t="n">
        <f aca="false">F116+J116+N116+R116+V116+Z116</f>
        <v>0</v>
      </c>
      <c r="AC116" s="81" t="str">
        <f aca="false">IF(B116="","",IF(AB116&lt;=0,"Clear",IF(AA116&gt;0,"Partial","Due")))</f>
        <v/>
      </c>
    </row>
    <row r="117" customFormat="false" ht="15" hidden="false" customHeight="false" outlineLevel="0" collapsed="false">
      <c r="A117" s="25" t="n">
        <v>102</v>
      </c>
      <c r="B117" s="82" t="str">
        <f aca="false">IF(Students!B106="","",Students!B106)</f>
        <v/>
      </c>
      <c r="C117" s="37" t="n">
        <f aca="false">'Aug 2027'!F117</f>
        <v>0</v>
      </c>
      <c r="D117" s="37" t="n">
        <f aca="false">IF(B117="",0,N(Students!E106))</f>
        <v>0</v>
      </c>
      <c r="E117" s="23"/>
      <c r="F117" s="26" t="n">
        <f aca="false">N(C117)+N(D117)-N(E117)</f>
        <v>0</v>
      </c>
      <c r="G117" s="37" t="n">
        <f aca="false">'Aug 2027'!J117</f>
        <v>0</v>
      </c>
      <c r="H117" s="37" t="n">
        <f aca="false">IF(B117="",0,N(Students!F106))</f>
        <v>0</v>
      </c>
      <c r="I117" s="23"/>
      <c r="J117" s="26" t="n">
        <f aca="false">N(G117)+N(H117)-N(I117)</f>
        <v>0</v>
      </c>
      <c r="K117" s="37" t="n">
        <f aca="false">'Aug 2027'!N117</f>
        <v>0</v>
      </c>
      <c r="L117" s="37" t="n">
        <f aca="false">IF(B117="",0,N(Students!G106))</f>
        <v>0</v>
      </c>
      <c r="M117" s="23"/>
      <c r="N117" s="26" t="n">
        <f aca="false">N(K117)+N(L117)-N(M117)</f>
        <v>0</v>
      </c>
      <c r="O117" s="37" t="n">
        <f aca="false">'Aug 2027'!R117</f>
        <v>0</v>
      </c>
      <c r="P117" s="37" t="n">
        <f aca="false">IF(B117="",0,N(Students!H106))</f>
        <v>0</v>
      </c>
      <c r="Q117" s="23"/>
      <c r="R117" s="26" t="n">
        <f aca="false">N(O117)+N(P117)-N(Q117)</f>
        <v>0</v>
      </c>
      <c r="S117" s="37" t="n">
        <f aca="false">'Aug 2027'!V117</f>
        <v>0</v>
      </c>
      <c r="T117" s="37" t="n">
        <f aca="false">IF(B117="",0,N(Students!I106))</f>
        <v>0</v>
      </c>
      <c r="U117" s="23"/>
      <c r="V117" s="26" t="n">
        <f aca="false">N(S117)+N(T117)-N(U117)</f>
        <v>0</v>
      </c>
      <c r="W117" s="37" t="n">
        <f aca="false">'Aug 2027'!Z117</f>
        <v>0</v>
      </c>
      <c r="X117" s="37" t="n">
        <f aca="false">IF(B117="",0,N(Students!J106))</f>
        <v>0</v>
      </c>
      <c r="Y117" s="23"/>
      <c r="Z117" s="26" t="n">
        <f aca="false">N(W117)+N(X117)-N(Y117)</f>
        <v>0</v>
      </c>
      <c r="AA117" s="37" t="n">
        <f aca="false">N(E117)+N(I117)+N(M117)+N(Q117)+N(U117)+N(Y117)</f>
        <v>0</v>
      </c>
      <c r="AB117" s="26" t="n">
        <f aca="false">F117+J117+N117+R117+V117+Z117</f>
        <v>0</v>
      </c>
      <c r="AC117" s="83" t="str">
        <f aca="false">IF(B117="","",IF(AB117&lt;=0,"Clear",IF(AA117&gt;0,"Partial","Due")))</f>
        <v/>
      </c>
    </row>
    <row r="118" customFormat="false" ht="15" hidden="false" customHeight="false" outlineLevel="0" collapsed="false">
      <c r="A118" s="21" t="n">
        <v>103</v>
      </c>
      <c r="B118" s="46" t="str">
        <f aca="false">IF(Students!B107="","",Students!B107)</f>
        <v/>
      </c>
      <c r="C118" s="33" t="n">
        <f aca="false">'Aug 2027'!F118</f>
        <v>0</v>
      </c>
      <c r="D118" s="33" t="n">
        <f aca="false">IF(B118="",0,N(Students!E107))</f>
        <v>0</v>
      </c>
      <c r="E118" s="23"/>
      <c r="F118" s="24" t="n">
        <f aca="false">N(C118)+N(D118)-N(E118)</f>
        <v>0</v>
      </c>
      <c r="G118" s="33" t="n">
        <f aca="false">'Aug 2027'!J118</f>
        <v>0</v>
      </c>
      <c r="H118" s="33" t="n">
        <f aca="false">IF(B118="",0,N(Students!F107))</f>
        <v>0</v>
      </c>
      <c r="I118" s="23"/>
      <c r="J118" s="24" t="n">
        <f aca="false">N(G118)+N(H118)-N(I118)</f>
        <v>0</v>
      </c>
      <c r="K118" s="33" t="n">
        <f aca="false">'Aug 2027'!N118</f>
        <v>0</v>
      </c>
      <c r="L118" s="33" t="n">
        <f aca="false">IF(B118="",0,N(Students!G107))</f>
        <v>0</v>
      </c>
      <c r="M118" s="23"/>
      <c r="N118" s="24" t="n">
        <f aca="false">N(K118)+N(L118)-N(M118)</f>
        <v>0</v>
      </c>
      <c r="O118" s="33" t="n">
        <f aca="false">'Aug 2027'!R118</f>
        <v>0</v>
      </c>
      <c r="P118" s="33" t="n">
        <f aca="false">IF(B118="",0,N(Students!H107))</f>
        <v>0</v>
      </c>
      <c r="Q118" s="23"/>
      <c r="R118" s="24" t="n">
        <f aca="false">N(O118)+N(P118)-N(Q118)</f>
        <v>0</v>
      </c>
      <c r="S118" s="33" t="n">
        <f aca="false">'Aug 2027'!V118</f>
        <v>0</v>
      </c>
      <c r="T118" s="33" t="n">
        <f aca="false">IF(B118="",0,N(Students!I107))</f>
        <v>0</v>
      </c>
      <c r="U118" s="23"/>
      <c r="V118" s="24" t="n">
        <f aca="false">N(S118)+N(T118)-N(U118)</f>
        <v>0</v>
      </c>
      <c r="W118" s="33" t="n">
        <f aca="false">'Aug 2027'!Z118</f>
        <v>0</v>
      </c>
      <c r="X118" s="33" t="n">
        <f aca="false">IF(B118="",0,N(Students!J107))</f>
        <v>0</v>
      </c>
      <c r="Y118" s="23"/>
      <c r="Z118" s="24" t="n">
        <f aca="false">N(W118)+N(X118)-N(Y118)</f>
        <v>0</v>
      </c>
      <c r="AA118" s="33" t="n">
        <f aca="false">N(E118)+N(I118)+N(M118)+N(Q118)+N(U118)+N(Y118)</f>
        <v>0</v>
      </c>
      <c r="AB118" s="24" t="n">
        <f aca="false">F118+J118+N118+R118+V118+Z118</f>
        <v>0</v>
      </c>
      <c r="AC118" s="81" t="str">
        <f aca="false">IF(B118="","",IF(AB118&lt;=0,"Clear",IF(AA118&gt;0,"Partial","Due")))</f>
        <v/>
      </c>
    </row>
    <row r="119" customFormat="false" ht="15" hidden="false" customHeight="false" outlineLevel="0" collapsed="false">
      <c r="A119" s="25" t="n">
        <v>104</v>
      </c>
      <c r="B119" s="82" t="str">
        <f aca="false">IF(Students!B108="","",Students!B108)</f>
        <v/>
      </c>
      <c r="C119" s="37" t="n">
        <f aca="false">'Aug 2027'!F119</f>
        <v>0</v>
      </c>
      <c r="D119" s="37" t="n">
        <f aca="false">IF(B119="",0,N(Students!E108))</f>
        <v>0</v>
      </c>
      <c r="E119" s="23"/>
      <c r="F119" s="26" t="n">
        <f aca="false">N(C119)+N(D119)-N(E119)</f>
        <v>0</v>
      </c>
      <c r="G119" s="37" t="n">
        <f aca="false">'Aug 2027'!J119</f>
        <v>0</v>
      </c>
      <c r="H119" s="37" t="n">
        <f aca="false">IF(B119="",0,N(Students!F108))</f>
        <v>0</v>
      </c>
      <c r="I119" s="23"/>
      <c r="J119" s="26" t="n">
        <f aca="false">N(G119)+N(H119)-N(I119)</f>
        <v>0</v>
      </c>
      <c r="K119" s="37" t="n">
        <f aca="false">'Aug 2027'!N119</f>
        <v>0</v>
      </c>
      <c r="L119" s="37" t="n">
        <f aca="false">IF(B119="",0,N(Students!G108))</f>
        <v>0</v>
      </c>
      <c r="M119" s="23"/>
      <c r="N119" s="26" t="n">
        <f aca="false">N(K119)+N(L119)-N(M119)</f>
        <v>0</v>
      </c>
      <c r="O119" s="37" t="n">
        <f aca="false">'Aug 2027'!R119</f>
        <v>0</v>
      </c>
      <c r="P119" s="37" t="n">
        <f aca="false">IF(B119="",0,N(Students!H108))</f>
        <v>0</v>
      </c>
      <c r="Q119" s="23"/>
      <c r="R119" s="26" t="n">
        <f aca="false">N(O119)+N(P119)-N(Q119)</f>
        <v>0</v>
      </c>
      <c r="S119" s="37" t="n">
        <f aca="false">'Aug 2027'!V119</f>
        <v>0</v>
      </c>
      <c r="T119" s="37" t="n">
        <f aca="false">IF(B119="",0,N(Students!I108))</f>
        <v>0</v>
      </c>
      <c r="U119" s="23"/>
      <c r="V119" s="26" t="n">
        <f aca="false">N(S119)+N(T119)-N(U119)</f>
        <v>0</v>
      </c>
      <c r="W119" s="37" t="n">
        <f aca="false">'Aug 2027'!Z119</f>
        <v>0</v>
      </c>
      <c r="X119" s="37" t="n">
        <f aca="false">IF(B119="",0,N(Students!J108))</f>
        <v>0</v>
      </c>
      <c r="Y119" s="23"/>
      <c r="Z119" s="26" t="n">
        <f aca="false">N(W119)+N(X119)-N(Y119)</f>
        <v>0</v>
      </c>
      <c r="AA119" s="37" t="n">
        <f aca="false">N(E119)+N(I119)+N(M119)+N(Q119)+N(U119)+N(Y119)</f>
        <v>0</v>
      </c>
      <c r="AB119" s="26" t="n">
        <f aca="false">F119+J119+N119+R119+V119+Z119</f>
        <v>0</v>
      </c>
      <c r="AC119" s="83" t="str">
        <f aca="false">IF(B119="","",IF(AB119&lt;=0,"Clear",IF(AA119&gt;0,"Partial","Due")))</f>
        <v/>
      </c>
    </row>
    <row r="120" customFormat="false" ht="15" hidden="false" customHeight="false" outlineLevel="0" collapsed="false">
      <c r="A120" s="21" t="n">
        <v>105</v>
      </c>
      <c r="B120" s="46" t="str">
        <f aca="false">IF(Students!B109="","",Students!B109)</f>
        <v/>
      </c>
      <c r="C120" s="33" t="n">
        <f aca="false">'Aug 2027'!F120</f>
        <v>0</v>
      </c>
      <c r="D120" s="33" t="n">
        <f aca="false">IF(B120="",0,N(Students!E109))</f>
        <v>0</v>
      </c>
      <c r="E120" s="23"/>
      <c r="F120" s="24" t="n">
        <f aca="false">N(C120)+N(D120)-N(E120)</f>
        <v>0</v>
      </c>
      <c r="G120" s="33" t="n">
        <f aca="false">'Aug 2027'!J120</f>
        <v>0</v>
      </c>
      <c r="H120" s="33" t="n">
        <f aca="false">IF(B120="",0,N(Students!F109))</f>
        <v>0</v>
      </c>
      <c r="I120" s="23"/>
      <c r="J120" s="24" t="n">
        <f aca="false">N(G120)+N(H120)-N(I120)</f>
        <v>0</v>
      </c>
      <c r="K120" s="33" t="n">
        <f aca="false">'Aug 2027'!N120</f>
        <v>0</v>
      </c>
      <c r="L120" s="33" t="n">
        <f aca="false">IF(B120="",0,N(Students!G109))</f>
        <v>0</v>
      </c>
      <c r="M120" s="23"/>
      <c r="N120" s="24" t="n">
        <f aca="false">N(K120)+N(L120)-N(M120)</f>
        <v>0</v>
      </c>
      <c r="O120" s="33" t="n">
        <f aca="false">'Aug 2027'!R120</f>
        <v>0</v>
      </c>
      <c r="P120" s="33" t="n">
        <f aca="false">IF(B120="",0,N(Students!H109))</f>
        <v>0</v>
      </c>
      <c r="Q120" s="23"/>
      <c r="R120" s="24" t="n">
        <f aca="false">N(O120)+N(P120)-N(Q120)</f>
        <v>0</v>
      </c>
      <c r="S120" s="33" t="n">
        <f aca="false">'Aug 2027'!V120</f>
        <v>0</v>
      </c>
      <c r="T120" s="33" t="n">
        <f aca="false">IF(B120="",0,N(Students!I109))</f>
        <v>0</v>
      </c>
      <c r="U120" s="23"/>
      <c r="V120" s="24" t="n">
        <f aca="false">N(S120)+N(T120)-N(U120)</f>
        <v>0</v>
      </c>
      <c r="W120" s="33" t="n">
        <f aca="false">'Aug 2027'!Z120</f>
        <v>0</v>
      </c>
      <c r="X120" s="33" t="n">
        <f aca="false">IF(B120="",0,N(Students!J109))</f>
        <v>0</v>
      </c>
      <c r="Y120" s="23"/>
      <c r="Z120" s="24" t="n">
        <f aca="false">N(W120)+N(X120)-N(Y120)</f>
        <v>0</v>
      </c>
      <c r="AA120" s="33" t="n">
        <f aca="false">N(E120)+N(I120)+N(M120)+N(Q120)+N(U120)+N(Y120)</f>
        <v>0</v>
      </c>
      <c r="AB120" s="24" t="n">
        <f aca="false">F120+J120+N120+R120+V120+Z120</f>
        <v>0</v>
      </c>
      <c r="AC120" s="81" t="str">
        <f aca="false">IF(B120="","",IF(AB120&lt;=0,"Clear",IF(AA120&gt;0,"Partial","Due")))</f>
        <v/>
      </c>
    </row>
    <row r="121" customFormat="false" ht="15" hidden="false" customHeight="false" outlineLevel="0" collapsed="false">
      <c r="A121" s="25" t="n">
        <v>106</v>
      </c>
      <c r="B121" s="82" t="str">
        <f aca="false">IF(Students!B110="","",Students!B110)</f>
        <v/>
      </c>
      <c r="C121" s="37" t="n">
        <f aca="false">'Aug 2027'!F121</f>
        <v>0</v>
      </c>
      <c r="D121" s="37" t="n">
        <f aca="false">IF(B121="",0,N(Students!E110))</f>
        <v>0</v>
      </c>
      <c r="E121" s="23"/>
      <c r="F121" s="26" t="n">
        <f aca="false">N(C121)+N(D121)-N(E121)</f>
        <v>0</v>
      </c>
      <c r="G121" s="37" t="n">
        <f aca="false">'Aug 2027'!J121</f>
        <v>0</v>
      </c>
      <c r="H121" s="37" t="n">
        <f aca="false">IF(B121="",0,N(Students!F110))</f>
        <v>0</v>
      </c>
      <c r="I121" s="23"/>
      <c r="J121" s="26" t="n">
        <f aca="false">N(G121)+N(H121)-N(I121)</f>
        <v>0</v>
      </c>
      <c r="K121" s="37" t="n">
        <f aca="false">'Aug 2027'!N121</f>
        <v>0</v>
      </c>
      <c r="L121" s="37" t="n">
        <f aca="false">IF(B121="",0,N(Students!G110))</f>
        <v>0</v>
      </c>
      <c r="M121" s="23"/>
      <c r="N121" s="26" t="n">
        <f aca="false">N(K121)+N(L121)-N(M121)</f>
        <v>0</v>
      </c>
      <c r="O121" s="37" t="n">
        <f aca="false">'Aug 2027'!R121</f>
        <v>0</v>
      </c>
      <c r="P121" s="37" t="n">
        <f aca="false">IF(B121="",0,N(Students!H110))</f>
        <v>0</v>
      </c>
      <c r="Q121" s="23"/>
      <c r="R121" s="26" t="n">
        <f aca="false">N(O121)+N(P121)-N(Q121)</f>
        <v>0</v>
      </c>
      <c r="S121" s="37" t="n">
        <f aca="false">'Aug 2027'!V121</f>
        <v>0</v>
      </c>
      <c r="T121" s="37" t="n">
        <f aca="false">IF(B121="",0,N(Students!I110))</f>
        <v>0</v>
      </c>
      <c r="U121" s="23"/>
      <c r="V121" s="26" t="n">
        <f aca="false">N(S121)+N(T121)-N(U121)</f>
        <v>0</v>
      </c>
      <c r="W121" s="37" t="n">
        <f aca="false">'Aug 2027'!Z121</f>
        <v>0</v>
      </c>
      <c r="X121" s="37" t="n">
        <f aca="false">IF(B121="",0,N(Students!J110))</f>
        <v>0</v>
      </c>
      <c r="Y121" s="23"/>
      <c r="Z121" s="26" t="n">
        <f aca="false">N(W121)+N(X121)-N(Y121)</f>
        <v>0</v>
      </c>
      <c r="AA121" s="37" t="n">
        <f aca="false">N(E121)+N(I121)+N(M121)+N(Q121)+N(U121)+N(Y121)</f>
        <v>0</v>
      </c>
      <c r="AB121" s="26" t="n">
        <f aca="false">F121+J121+N121+R121+V121+Z121</f>
        <v>0</v>
      </c>
      <c r="AC121" s="83" t="str">
        <f aca="false">IF(B121="","",IF(AB121&lt;=0,"Clear",IF(AA121&gt;0,"Partial","Due")))</f>
        <v/>
      </c>
    </row>
    <row r="122" customFormat="false" ht="15" hidden="false" customHeight="false" outlineLevel="0" collapsed="false">
      <c r="A122" s="21" t="n">
        <v>107</v>
      </c>
      <c r="B122" s="46" t="str">
        <f aca="false">IF(Students!B111="","",Students!B111)</f>
        <v/>
      </c>
      <c r="C122" s="33" t="n">
        <f aca="false">'Aug 2027'!F122</f>
        <v>0</v>
      </c>
      <c r="D122" s="33" t="n">
        <f aca="false">IF(B122="",0,N(Students!E111))</f>
        <v>0</v>
      </c>
      <c r="E122" s="23"/>
      <c r="F122" s="24" t="n">
        <f aca="false">N(C122)+N(D122)-N(E122)</f>
        <v>0</v>
      </c>
      <c r="G122" s="33" t="n">
        <f aca="false">'Aug 2027'!J122</f>
        <v>0</v>
      </c>
      <c r="H122" s="33" t="n">
        <f aca="false">IF(B122="",0,N(Students!F111))</f>
        <v>0</v>
      </c>
      <c r="I122" s="23"/>
      <c r="J122" s="24" t="n">
        <f aca="false">N(G122)+N(H122)-N(I122)</f>
        <v>0</v>
      </c>
      <c r="K122" s="33" t="n">
        <f aca="false">'Aug 2027'!N122</f>
        <v>0</v>
      </c>
      <c r="L122" s="33" t="n">
        <f aca="false">IF(B122="",0,N(Students!G111))</f>
        <v>0</v>
      </c>
      <c r="M122" s="23"/>
      <c r="N122" s="24" t="n">
        <f aca="false">N(K122)+N(L122)-N(M122)</f>
        <v>0</v>
      </c>
      <c r="O122" s="33" t="n">
        <f aca="false">'Aug 2027'!R122</f>
        <v>0</v>
      </c>
      <c r="P122" s="33" t="n">
        <f aca="false">IF(B122="",0,N(Students!H111))</f>
        <v>0</v>
      </c>
      <c r="Q122" s="23"/>
      <c r="R122" s="24" t="n">
        <f aca="false">N(O122)+N(P122)-N(Q122)</f>
        <v>0</v>
      </c>
      <c r="S122" s="33" t="n">
        <f aca="false">'Aug 2027'!V122</f>
        <v>0</v>
      </c>
      <c r="T122" s="33" t="n">
        <f aca="false">IF(B122="",0,N(Students!I111))</f>
        <v>0</v>
      </c>
      <c r="U122" s="23"/>
      <c r="V122" s="24" t="n">
        <f aca="false">N(S122)+N(T122)-N(U122)</f>
        <v>0</v>
      </c>
      <c r="W122" s="33" t="n">
        <f aca="false">'Aug 2027'!Z122</f>
        <v>0</v>
      </c>
      <c r="X122" s="33" t="n">
        <f aca="false">IF(B122="",0,N(Students!J111))</f>
        <v>0</v>
      </c>
      <c r="Y122" s="23"/>
      <c r="Z122" s="24" t="n">
        <f aca="false">N(W122)+N(X122)-N(Y122)</f>
        <v>0</v>
      </c>
      <c r="AA122" s="33" t="n">
        <f aca="false">N(E122)+N(I122)+N(M122)+N(Q122)+N(U122)+N(Y122)</f>
        <v>0</v>
      </c>
      <c r="AB122" s="24" t="n">
        <f aca="false">F122+J122+N122+R122+V122+Z122</f>
        <v>0</v>
      </c>
      <c r="AC122" s="81" t="str">
        <f aca="false">IF(B122="","",IF(AB122&lt;=0,"Clear",IF(AA122&gt;0,"Partial","Due")))</f>
        <v/>
      </c>
    </row>
    <row r="123" customFormat="false" ht="15" hidden="false" customHeight="false" outlineLevel="0" collapsed="false">
      <c r="A123" s="25" t="n">
        <v>108</v>
      </c>
      <c r="B123" s="82" t="str">
        <f aca="false">IF(Students!B112="","",Students!B112)</f>
        <v/>
      </c>
      <c r="C123" s="37" t="n">
        <f aca="false">'Aug 2027'!F123</f>
        <v>0</v>
      </c>
      <c r="D123" s="37" t="n">
        <f aca="false">IF(B123="",0,N(Students!E112))</f>
        <v>0</v>
      </c>
      <c r="E123" s="23"/>
      <c r="F123" s="26" t="n">
        <f aca="false">N(C123)+N(D123)-N(E123)</f>
        <v>0</v>
      </c>
      <c r="G123" s="37" t="n">
        <f aca="false">'Aug 2027'!J123</f>
        <v>0</v>
      </c>
      <c r="H123" s="37" t="n">
        <f aca="false">IF(B123="",0,N(Students!F112))</f>
        <v>0</v>
      </c>
      <c r="I123" s="23"/>
      <c r="J123" s="26" t="n">
        <f aca="false">N(G123)+N(H123)-N(I123)</f>
        <v>0</v>
      </c>
      <c r="K123" s="37" t="n">
        <f aca="false">'Aug 2027'!N123</f>
        <v>0</v>
      </c>
      <c r="L123" s="37" t="n">
        <f aca="false">IF(B123="",0,N(Students!G112))</f>
        <v>0</v>
      </c>
      <c r="M123" s="23"/>
      <c r="N123" s="26" t="n">
        <f aca="false">N(K123)+N(L123)-N(M123)</f>
        <v>0</v>
      </c>
      <c r="O123" s="37" t="n">
        <f aca="false">'Aug 2027'!R123</f>
        <v>0</v>
      </c>
      <c r="P123" s="37" t="n">
        <f aca="false">IF(B123="",0,N(Students!H112))</f>
        <v>0</v>
      </c>
      <c r="Q123" s="23"/>
      <c r="R123" s="26" t="n">
        <f aca="false">N(O123)+N(P123)-N(Q123)</f>
        <v>0</v>
      </c>
      <c r="S123" s="37" t="n">
        <f aca="false">'Aug 2027'!V123</f>
        <v>0</v>
      </c>
      <c r="T123" s="37" t="n">
        <f aca="false">IF(B123="",0,N(Students!I112))</f>
        <v>0</v>
      </c>
      <c r="U123" s="23"/>
      <c r="V123" s="26" t="n">
        <f aca="false">N(S123)+N(T123)-N(U123)</f>
        <v>0</v>
      </c>
      <c r="W123" s="37" t="n">
        <f aca="false">'Aug 2027'!Z123</f>
        <v>0</v>
      </c>
      <c r="X123" s="37" t="n">
        <f aca="false">IF(B123="",0,N(Students!J112))</f>
        <v>0</v>
      </c>
      <c r="Y123" s="23"/>
      <c r="Z123" s="26" t="n">
        <f aca="false">N(W123)+N(X123)-N(Y123)</f>
        <v>0</v>
      </c>
      <c r="AA123" s="37" t="n">
        <f aca="false">N(E123)+N(I123)+N(M123)+N(Q123)+N(U123)+N(Y123)</f>
        <v>0</v>
      </c>
      <c r="AB123" s="26" t="n">
        <f aca="false">F123+J123+N123+R123+V123+Z123</f>
        <v>0</v>
      </c>
      <c r="AC123" s="83" t="str">
        <f aca="false">IF(B123="","",IF(AB123&lt;=0,"Clear",IF(AA123&gt;0,"Partial","Due")))</f>
        <v/>
      </c>
    </row>
    <row r="124" customFormat="false" ht="15" hidden="false" customHeight="false" outlineLevel="0" collapsed="false">
      <c r="A124" s="21" t="n">
        <v>109</v>
      </c>
      <c r="B124" s="46" t="str">
        <f aca="false">IF(Students!B113="","",Students!B113)</f>
        <v/>
      </c>
      <c r="C124" s="33" t="n">
        <f aca="false">'Aug 2027'!F124</f>
        <v>0</v>
      </c>
      <c r="D124" s="33" t="n">
        <f aca="false">IF(B124="",0,N(Students!E113))</f>
        <v>0</v>
      </c>
      <c r="E124" s="23"/>
      <c r="F124" s="24" t="n">
        <f aca="false">N(C124)+N(D124)-N(E124)</f>
        <v>0</v>
      </c>
      <c r="G124" s="33" t="n">
        <f aca="false">'Aug 2027'!J124</f>
        <v>0</v>
      </c>
      <c r="H124" s="33" t="n">
        <f aca="false">IF(B124="",0,N(Students!F113))</f>
        <v>0</v>
      </c>
      <c r="I124" s="23"/>
      <c r="J124" s="24" t="n">
        <f aca="false">N(G124)+N(H124)-N(I124)</f>
        <v>0</v>
      </c>
      <c r="K124" s="33" t="n">
        <f aca="false">'Aug 2027'!N124</f>
        <v>0</v>
      </c>
      <c r="L124" s="33" t="n">
        <f aca="false">IF(B124="",0,N(Students!G113))</f>
        <v>0</v>
      </c>
      <c r="M124" s="23"/>
      <c r="N124" s="24" t="n">
        <f aca="false">N(K124)+N(L124)-N(M124)</f>
        <v>0</v>
      </c>
      <c r="O124" s="33" t="n">
        <f aca="false">'Aug 2027'!R124</f>
        <v>0</v>
      </c>
      <c r="P124" s="33" t="n">
        <f aca="false">IF(B124="",0,N(Students!H113))</f>
        <v>0</v>
      </c>
      <c r="Q124" s="23"/>
      <c r="R124" s="24" t="n">
        <f aca="false">N(O124)+N(P124)-N(Q124)</f>
        <v>0</v>
      </c>
      <c r="S124" s="33" t="n">
        <f aca="false">'Aug 2027'!V124</f>
        <v>0</v>
      </c>
      <c r="T124" s="33" t="n">
        <f aca="false">IF(B124="",0,N(Students!I113))</f>
        <v>0</v>
      </c>
      <c r="U124" s="23"/>
      <c r="V124" s="24" t="n">
        <f aca="false">N(S124)+N(T124)-N(U124)</f>
        <v>0</v>
      </c>
      <c r="W124" s="33" t="n">
        <f aca="false">'Aug 2027'!Z124</f>
        <v>0</v>
      </c>
      <c r="X124" s="33" t="n">
        <f aca="false">IF(B124="",0,N(Students!J113))</f>
        <v>0</v>
      </c>
      <c r="Y124" s="23"/>
      <c r="Z124" s="24" t="n">
        <f aca="false">N(W124)+N(X124)-N(Y124)</f>
        <v>0</v>
      </c>
      <c r="AA124" s="33" t="n">
        <f aca="false">N(E124)+N(I124)+N(M124)+N(Q124)+N(U124)+N(Y124)</f>
        <v>0</v>
      </c>
      <c r="AB124" s="24" t="n">
        <f aca="false">F124+J124+N124+R124+V124+Z124</f>
        <v>0</v>
      </c>
      <c r="AC124" s="81" t="str">
        <f aca="false">IF(B124="","",IF(AB124&lt;=0,"Clear",IF(AA124&gt;0,"Partial","Due")))</f>
        <v/>
      </c>
    </row>
    <row r="125" customFormat="false" ht="15" hidden="false" customHeight="false" outlineLevel="0" collapsed="false">
      <c r="A125" s="25" t="n">
        <v>110</v>
      </c>
      <c r="B125" s="82" t="str">
        <f aca="false">IF(Students!B114="","",Students!B114)</f>
        <v/>
      </c>
      <c r="C125" s="37" t="n">
        <f aca="false">'Aug 2027'!F125</f>
        <v>0</v>
      </c>
      <c r="D125" s="37" t="n">
        <f aca="false">IF(B125="",0,N(Students!E114))</f>
        <v>0</v>
      </c>
      <c r="E125" s="23"/>
      <c r="F125" s="26" t="n">
        <f aca="false">N(C125)+N(D125)-N(E125)</f>
        <v>0</v>
      </c>
      <c r="G125" s="37" t="n">
        <f aca="false">'Aug 2027'!J125</f>
        <v>0</v>
      </c>
      <c r="H125" s="37" t="n">
        <f aca="false">IF(B125="",0,N(Students!F114))</f>
        <v>0</v>
      </c>
      <c r="I125" s="23"/>
      <c r="J125" s="26" t="n">
        <f aca="false">N(G125)+N(H125)-N(I125)</f>
        <v>0</v>
      </c>
      <c r="K125" s="37" t="n">
        <f aca="false">'Aug 2027'!N125</f>
        <v>0</v>
      </c>
      <c r="L125" s="37" t="n">
        <f aca="false">IF(B125="",0,N(Students!G114))</f>
        <v>0</v>
      </c>
      <c r="M125" s="23"/>
      <c r="N125" s="26" t="n">
        <f aca="false">N(K125)+N(L125)-N(M125)</f>
        <v>0</v>
      </c>
      <c r="O125" s="37" t="n">
        <f aca="false">'Aug 2027'!R125</f>
        <v>0</v>
      </c>
      <c r="P125" s="37" t="n">
        <f aca="false">IF(B125="",0,N(Students!H114))</f>
        <v>0</v>
      </c>
      <c r="Q125" s="23"/>
      <c r="R125" s="26" t="n">
        <f aca="false">N(O125)+N(P125)-N(Q125)</f>
        <v>0</v>
      </c>
      <c r="S125" s="37" t="n">
        <f aca="false">'Aug 2027'!V125</f>
        <v>0</v>
      </c>
      <c r="T125" s="37" t="n">
        <f aca="false">IF(B125="",0,N(Students!I114))</f>
        <v>0</v>
      </c>
      <c r="U125" s="23"/>
      <c r="V125" s="26" t="n">
        <f aca="false">N(S125)+N(T125)-N(U125)</f>
        <v>0</v>
      </c>
      <c r="W125" s="37" t="n">
        <f aca="false">'Aug 2027'!Z125</f>
        <v>0</v>
      </c>
      <c r="X125" s="37" t="n">
        <f aca="false">IF(B125="",0,N(Students!J114))</f>
        <v>0</v>
      </c>
      <c r="Y125" s="23"/>
      <c r="Z125" s="26" t="n">
        <f aca="false">N(W125)+N(X125)-N(Y125)</f>
        <v>0</v>
      </c>
      <c r="AA125" s="37" t="n">
        <f aca="false">N(E125)+N(I125)+N(M125)+N(Q125)+N(U125)+N(Y125)</f>
        <v>0</v>
      </c>
      <c r="AB125" s="26" t="n">
        <f aca="false">F125+J125+N125+R125+V125+Z125</f>
        <v>0</v>
      </c>
      <c r="AC125" s="83" t="str">
        <f aca="false">IF(B125="","",IF(AB125&lt;=0,"Clear",IF(AA125&gt;0,"Partial","Due")))</f>
        <v/>
      </c>
    </row>
    <row r="126" customFormat="false" ht="15" hidden="false" customHeight="false" outlineLevel="0" collapsed="false">
      <c r="A126" s="21" t="n">
        <v>111</v>
      </c>
      <c r="B126" s="46" t="str">
        <f aca="false">IF(Students!B115="","",Students!B115)</f>
        <v/>
      </c>
      <c r="C126" s="33" t="n">
        <f aca="false">'Aug 2027'!F126</f>
        <v>0</v>
      </c>
      <c r="D126" s="33" t="n">
        <f aca="false">IF(B126="",0,N(Students!E115))</f>
        <v>0</v>
      </c>
      <c r="E126" s="23"/>
      <c r="F126" s="24" t="n">
        <f aca="false">N(C126)+N(D126)-N(E126)</f>
        <v>0</v>
      </c>
      <c r="G126" s="33" t="n">
        <f aca="false">'Aug 2027'!J126</f>
        <v>0</v>
      </c>
      <c r="H126" s="33" t="n">
        <f aca="false">IF(B126="",0,N(Students!F115))</f>
        <v>0</v>
      </c>
      <c r="I126" s="23"/>
      <c r="J126" s="24" t="n">
        <f aca="false">N(G126)+N(H126)-N(I126)</f>
        <v>0</v>
      </c>
      <c r="K126" s="33" t="n">
        <f aca="false">'Aug 2027'!N126</f>
        <v>0</v>
      </c>
      <c r="L126" s="33" t="n">
        <f aca="false">IF(B126="",0,N(Students!G115))</f>
        <v>0</v>
      </c>
      <c r="M126" s="23"/>
      <c r="N126" s="24" t="n">
        <f aca="false">N(K126)+N(L126)-N(M126)</f>
        <v>0</v>
      </c>
      <c r="O126" s="33" t="n">
        <f aca="false">'Aug 2027'!R126</f>
        <v>0</v>
      </c>
      <c r="P126" s="33" t="n">
        <f aca="false">IF(B126="",0,N(Students!H115))</f>
        <v>0</v>
      </c>
      <c r="Q126" s="23"/>
      <c r="R126" s="24" t="n">
        <f aca="false">N(O126)+N(P126)-N(Q126)</f>
        <v>0</v>
      </c>
      <c r="S126" s="33" t="n">
        <f aca="false">'Aug 2027'!V126</f>
        <v>0</v>
      </c>
      <c r="T126" s="33" t="n">
        <f aca="false">IF(B126="",0,N(Students!I115))</f>
        <v>0</v>
      </c>
      <c r="U126" s="23"/>
      <c r="V126" s="24" t="n">
        <f aca="false">N(S126)+N(T126)-N(U126)</f>
        <v>0</v>
      </c>
      <c r="W126" s="33" t="n">
        <f aca="false">'Aug 2027'!Z126</f>
        <v>0</v>
      </c>
      <c r="X126" s="33" t="n">
        <f aca="false">IF(B126="",0,N(Students!J115))</f>
        <v>0</v>
      </c>
      <c r="Y126" s="23"/>
      <c r="Z126" s="24" t="n">
        <f aca="false">N(W126)+N(X126)-N(Y126)</f>
        <v>0</v>
      </c>
      <c r="AA126" s="33" t="n">
        <f aca="false">N(E126)+N(I126)+N(M126)+N(Q126)+N(U126)+N(Y126)</f>
        <v>0</v>
      </c>
      <c r="AB126" s="24" t="n">
        <f aca="false">F126+J126+N126+R126+V126+Z126</f>
        <v>0</v>
      </c>
      <c r="AC126" s="81" t="str">
        <f aca="false">IF(B126="","",IF(AB126&lt;=0,"Clear",IF(AA126&gt;0,"Partial","Due")))</f>
        <v/>
      </c>
    </row>
    <row r="127" customFormat="false" ht="15" hidden="false" customHeight="false" outlineLevel="0" collapsed="false">
      <c r="A127" s="25" t="n">
        <v>112</v>
      </c>
      <c r="B127" s="82" t="str">
        <f aca="false">IF(Students!B116="","",Students!B116)</f>
        <v/>
      </c>
      <c r="C127" s="37" t="n">
        <f aca="false">'Aug 2027'!F127</f>
        <v>0</v>
      </c>
      <c r="D127" s="37" t="n">
        <f aca="false">IF(B127="",0,N(Students!E116))</f>
        <v>0</v>
      </c>
      <c r="E127" s="23"/>
      <c r="F127" s="26" t="n">
        <f aca="false">N(C127)+N(D127)-N(E127)</f>
        <v>0</v>
      </c>
      <c r="G127" s="37" t="n">
        <f aca="false">'Aug 2027'!J127</f>
        <v>0</v>
      </c>
      <c r="H127" s="37" t="n">
        <f aca="false">IF(B127="",0,N(Students!F116))</f>
        <v>0</v>
      </c>
      <c r="I127" s="23"/>
      <c r="J127" s="26" t="n">
        <f aca="false">N(G127)+N(H127)-N(I127)</f>
        <v>0</v>
      </c>
      <c r="K127" s="37" t="n">
        <f aca="false">'Aug 2027'!N127</f>
        <v>0</v>
      </c>
      <c r="L127" s="37" t="n">
        <f aca="false">IF(B127="",0,N(Students!G116))</f>
        <v>0</v>
      </c>
      <c r="M127" s="23"/>
      <c r="N127" s="26" t="n">
        <f aca="false">N(K127)+N(L127)-N(M127)</f>
        <v>0</v>
      </c>
      <c r="O127" s="37" t="n">
        <f aca="false">'Aug 2027'!R127</f>
        <v>0</v>
      </c>
      <c r="P127" s="37" t="n">
        <f aca="false">IF(B127="",0,N(Students!H116))</f>
        <v>0</v>
      </c>
      <c r="Q127" s="23"/>
      <c r="R127" s="26" t="n">
        <f aca="false">N(O127)+N(P127)-N(Q127)</f>
        <v>0</v>
      </c>
      <c r="S127" s="37" t="n">
        <f aca="false">'Aug 2027'!V127</f>
        <v>0</v>
      </c>
      <c r="T127" s="37" t="n">
        <f aca="false">IF(B127="",0,N(Students!I116))</f>
        <v>0</v>
      </c>
      <c r="U127" s="23"/>
      <c r="V127" s="26" t="n">
        <f aca="false">N(S127)+N(T127)-N(U127)</f>
        <v>0</v>
      </c>
      <c r="W127" s="37" t="n">
        <f aca="false">'Aug 2027'!Z127</f>
        <v>0</v>
      </c>
      <c r="X127" s="37" t="n">
        <f aca="false">IF(B127="",0,N(Students!J116))</f>
        <v>0</v>
      </c>
      <c r="Y127" s="23"/>
      <c r="Z127" s="26" t="n">
        <f aca="false">N(W127)+N(X127)-N(Y127)</f>
        <v>0</v>
      </c>
      <c r="AA127" s="37" t="n">
        <f aca="false">N(E127)+N(I127)+N(M127)+N(Q127)+N(U127)+N(Y127)</f>
        <v>0</v>
      </c>
      <c r="AB127" s="26" t="n">
        <f aca="false">F127+J127+N127+R127+V127+Z127</f>
        <v>0</v>
      </c>
      <c r="AC127" s="83" t="str">
        <f aca="false">IF(B127="","",IF(AB127&lt;=0,"Clear",IF(AA127&gt;0,"Partial","Due")))</f>
        <v/>
      </c>
    </row>
    <row r="128" customFormat="false" ht="15" hidden="false" customHeight="false" outlineLevel="0" collapsed="false">
      <c r="A128" s="21" t="n">
        <v>113</v>
      </c>
      <c r="B128" s="46" t="str">
        <f aca="false">IF(Students!B117="","",Students!B117)</f>
        <v/>
      </c>
      <c r="C128" s="33" t="n">
        <f aca="false">'Aug 2027'!F128</f>
        <v>0</v>
      </c>
      <c r="D128" s="33" t="n">
        <f aca="false">IF(B128="",0,N(Students!E117))</f>
        <v>0</v>
      </c>
      <c r="E128" s="23"/>
      <c r="F128" s="24" t="n">
        <f aca="false">N(C128)+N(D128)-N(E128)</f>
        <v>0</v>
      </c>
      <c r="G128" s="33" t="n">
        <f aca="false">'Aug 2027'!J128</f>
        <v>0</v>
      </c>
      <c r="H128" s="33" t="n">
        <f aca="false">IF(B128="",0,N(Students!F117))</f>
        <v>0</v>
      </c>
      <c r="I128" s="23"/>
      <c r="J128" s="24" t="n">
        <f aca="false">N(G128)+N(H128)-N(I128)</f>
        <v>0</v>
      </c>
      <c r="K128" s="33" t="n">
        <f aca="false">'Aug 2027'!N128</f>
        <v>0</v>
      </c>
      <c r="L128" s="33" t="n">
        <f aca="false">IF(B128="",0,N(Students!G117))</f>
        <v>0</v>
      </c>
      <c r="M128" s="23"/>
      <c r="N128" s="24" t="n">
        <f aca="false">N(K128)+N(L128)-N(M128)</f>
        <v>0</v>
      </c>
      <c r="O128" s="33" t="n">
        <f aca="false">'Aug 2027'!R128</f>
        <v>0</v>
      </c>
      <c r="P128" s="33" t="n">
        <f aca="false">IF(B128="",0,N(Students!H117))</f>
        <v>0</v>
      </c>
      <c r="Q128" s="23"/>
      <c r="R128" s="24" t="n">
        <f aca="false">N(O128)+N(P128)-N(Q128)</f>
        <v>0</v>
      </c>
      <c r="S128" s="33" t="n">
        <f aca="false">'Aug 2027'!V128</f>
        <v>0</v>
      </c>
      <c r="T128" s="33" t="n">
        <f aca="false">IF(B128="",0,N(Students!I117))</f>
        <v>0</v>
      </c>
      <c r="U128" s="23"/>
      <c r="V128" s="24" t="n">
        <f aca="false">N(S128)+N(T128)-N(U128)</f>
        <v>0</v>
      </c>
      <c r="W128" s="33" t="n">
        <f aca="false">'Aug 2027'!Z128</f>
        <v>0</v>
      </c>
      <c r="X128" s="33" t="n">
        <f aca="false">IF(B128="",0,N(Students!J117))</f>
        <v>0</v>
      </c>
      <c r="Y128" s="23"/>
      <c r="Z128" s="24" t="n">
        <f aca="false">N(W128)+N(X128)-N(Y128)</f>
        <v>0</v>
      </c>
      <c r="AA128" s="33" t="n">
        <f aca="false">N(E128)+N(I128)+N(M128)+N(Q128)+N(U128)+N(Y128)</f>
        <v>0</v>
      </c>
      <c r="AB128" s="24" t="n">
        <f aca="false">F128+J128+N128+R128+V128+Z128</f>
        <v>0</v>
      </c>
      <c r="AC128" s="81" t="str">
        <f aca="false">IF(B128="","",IF(AB128&lt;=0,"Clear",IF(AA128&gt;0,"Partial","Due")))</f>
        <v/>
      </c>
    </row>
    <row r="129" customFormat="false" ht="15" hidden="false" customHeight="false" outlineLevel="0" collapsed="false">
      <c r="A129" s="25" t="n">
        <v>114</v>
      </c>
      <c r="B129" s="82" t="str">
        <f aca="false">IF(Students!B118="","",Students!B118)</f>
        <v/>
      </c>
      <c r="C129" s="37" t="n">
        <f aca="false">'Aug 2027'!F129</f>
        <v>0</v>
      </c>
      <c r="D129" s="37" t="n">
        <f aca="false">IF(B129="",0,N(Students!E118))</f>
        <v>0</v>
      </c>
      <c r="E129" s="23"/>
      <c r="F129" s="26" t="n">
        <f aca="false">N(C129)+N(D129)-N(E129)</f>
        <v>0</v>
      </c>
      <c r="G129" s="37" t="n">
        <f aca="false">'Aug 2027'!J129</f>
        <v>0</v>
      </c>
      <c r="H129" s="37" t="n">
        <f aca="false">IF(B129="",0,N(Students!F118))</f>
        <v>0</v>
      </c>
      <c r="I129" s="23"/>
      <c r="J129" s="26" t="n">
        <f aca="false">N(G129)+N(H129)-N(I129)</f>
        <v>0</v>
      </c>
      <c r="K129" s="37" t="n">
        <f aca="false">'Aug 2027'!N129</f>
        <v>0</v>
      </c>
      <c r="L129" s="37" t="n">
        <f aca="false">IF(B129="",0,N(Students!G118))</f>
        <v>0</v>
      </c>
      <c r="M129" s="23"/>
      <c r="N129" s="26" t="n">
        <f aca="false">N(K129)+N(L129)-N(M129)</f>
        <v>0</v>
      </c>
      <c r="O129" s="37" t="n">
        <f aca="false">'Aug 2027'!R129</f>
        <v>0</v>
      </c>
      <c r="P129" s="37" t="n">
        <f aca="false">IF(B129="",0,N(Students!H118))</f>
        <v>0</v>
      </c>
      <c r="Q129" s="23"/>
      <c r="R129" s="26" t="n">
        <f aca="false">N(O129)+N(P129)-N(Q129)</f>
        <v>0</v>
      </c>
      <c r="S129" s="37" t="n">
        <f aca="false">'Aug 2027'!V129</f>
        <v>0</v>
      </c>
      <c r="T129" s="37" t="n">
        <f aca="false">IF(B129="",0,N(Students!I118))</f>
        <v>0</v>
      </c>
      <c r="U129" s="23"/>
      <c r="V129" s="26" t="n">
        <f aca="false">N(S129)+N(T129)-N(U129)</f>
        <v>0</v>
      </c>
      <c r="W129" s="37" t="n">
        <f aca="false">'Aug 2027'!Z129</f>
        <v>0</v>
      </c>
      <c r="X129" s="37" t="n">
        <f aca="false">IF(B129="",0,N(Students!J118))</f>
        <v>0</v>
      </c>
      <c r="Y129" s="23"/>
      <c r="Z129" s="26" t="n">
        <f aca="false">N(W129)+N(X129)-N(Y129)</f>
        <v>0</v>
      </c>
      <c r="AA129" s="37" t="n">
        <f aca="false">N(E129)+N(I129)+N(M129)+N(Q129)+N(U129)+N(Y129)</f>
        <v>0</v>
      </c>
      <c r="AB129" s="26" t="n">
        <f aca="false">F129+J129+N129+R129+V129+Z129</f>
        <v>0</v>
      </c>
      <c r="AC129" s="83" t="str">
        <f aca="false">IF(B129="","",IF(AB129&lt;=0,"Clear",IF(AA129&gt;0,"Partial","Due")))</f>
        <v/>
      </c>
    </row>
    <row r="130" customFormat="false" ht="15" hidden="false" customHeight="false" outlineLevel="0" collapsed="false">
      <c r="A130" s="21" t="n">
        <v>115</v>
      </c>
      <c r="B130" s="46" t="str">
        <f aca="false">IF(Students!B119="","",Students!B119)</f>
        <v/>
      </c>
      <c r="C130" s="33" t="n">
        <f aca="false">'Aug 2027'!F130</f>
        <v>0</v>
      </c>
      <c r="D130" s="33" t="n">
        <f aca="false">IF(B130="",0,N(Students!E119))</f>
        <v>0</v>
      </c>
      <c r="E130" s="23"/>
      <c r="F130" s="24" t="n">
        <f aca="false">N(C130)+N(D130)-N(E130)</f>
        <v>0</v>
      </c>
      <c r="G130" s="33" t="n">
        <f aca="false">'Aug 2027'!J130</f>
        <v>0</v>
      </c>
      <c r="H130" s="33" t="n">
        <f aca="false">IF(B130="",0,N(Students!F119))</f>
        <v>0</v>
      </c>
      <c r="I130" s="23"/>
      <c r="J130" s="24" t="n">
        <f aca="false">N(G130)+N(H130)-N(I130)</f>
        <v>0</v>
      </c>
      <c r="K130" s="33" t="n">
        <f aca="false">'Aug 2027'!N130</f>
        <v>0</v>
      </c>
      <c r="L130" s="33" t="n">
        <f aca="false">IF(B130="",0,N(Students!G119))</f>
        <v>0</v>
      </c>
      <c r="M130" s="23"/>
      <c r="N130" s="24" t="n">
        <f aca="false">N(K130)+N(L130)-N(M130)</f>
        <v>0</v>
      </c>
      <c r="O130" s="33" t="n">
        <f aca="false">'Aug 2027'!R130</f>
        <v>0</v>
      </c>
      <c r="P130" s="33" t="n">
        <f aca="false">IF(B130="",0,N(Students!H119))</f>
        <v>0</v>
      </c>
      <c r="Q130" s="23"/>
      <c r="R130" s="24" t="n">
        <f aca="false">N(O130)+N(P130)-N(Q130)</f>
        <v>0</v>
      </c>
      <c r="S130" s="33" t="n">
        <f aca="false">'Aug 2027'!V130</f>
        <v>0</v>
      </c>
      <c r="T130" s="33" t="n">
        <f aca="false">IF(B130="",0,N(Students!I119))</f>
        <v>0</v>
      </c>
      <c r="U130" s="23"/>
      <c r="V130" s="24" t="n">
        <f aca="false">N(S130)+N(T130)-N(U130)</f>
        <v>0</v>
      </c>
      <c r="W130" s="33" t="n">
        <f aca="false">'Aug 2027'!Z130</f>
        <v>0</v>
      </c>
      <c r="X130" s="33" t="n">
        <f aca="false">IF(B130="",0,N(Students!J119))</f>
        <v>0</v>
      </c>
      <c r="Y130" s="23"/>
      <c r="Z130" s="24" t="n">
        <f aca="false">N(W130)+N(X130)-N(Y130)</f>
        <v>0</v>
      </c>
      <c r="AA130" s="33" t="n">
        <f aca="false">N(E130)+N(I130)+N(M130)+N(Q130)+N(U130)+N(Y130)</f>
        <v>0</v>
      </c>
      <c r="AB130" s="24" t="n">
        <f aca="false">F130+J130+N130+R130+V130+Z130</f>
        <v>0</v>
      </c>
      <c r="AC130" s="81" t="str">
        <f aca="false">IF(B130="","",IF(AB130&lt;=0,"Clear",IF(AA130&gt;0,"Partial","Due")))</f>
        <v/>
      </c>
    </row>
    <row r="131" customFormat="false" ht="15" hidden="false" customHeight="false" outlineLevel="0" collapsed="false">
      <c r="A131" s="25" t="n">
        <v>116</v>
      </c>
      <c r="B131" s="82" t="str">
        <f aca="false">IF(Students!B120="","",Students!B120)</f>
        <v/>
      </c>
      <c r="C131" s="37" t="n">
        <f aca="false">'Aug 2027'!F131</f>
        <v>0</v>
      </c>
      <c r="D131" s="37" t="n">
        <f aca="false">IF(B131="",0,N(Students!E120))</f>
        <v>0</v>
      </c>
      <c r="E131" s="23"/>
      <c r="F131" s="26" t="n">
        <f aca="false">N(C131)+N(D131)-N(E131)</f>
        <v>0</v>
      </c>
      <c r="G131" s="37" t="n">
        <f aca="false">'Aug 2027'!J131</f>
        <v>0</v>
      </c>
      <c r="H131" s="37" t="n">
        <f aca="false">IF(B131="",0,N(Students!F120))</f>
        <v>0</v>
      </c>
      <c r="I131" s="23"/>
      <c r="J131" s="26" t="n">
        <f aca="false">N(G131)+N(H131)-N(I131)</f>
        <v>0</v>
      </c>
      <c r="K131" s="37" t="n">
        <f aca="false">'Aug 2027'!N131</f>
        <v>0</v>
      </c>
      <c r="L131" s="37" t="n">
        <f aca="false">IF(B131="",0,N(Students!G120))</f>
        <v>0</v>
      </c>
      <c r="M131" s="23"/>
      <c r="N131" s="26" t="n">
        <f aca="false">N(K131)+N(L131)-N(M131)</f>
        <v>0</v>
      </c>
      <c r="O131" s="37" t="n">
        <f aca="false">'Aug 2027'!R131</f>
        <v>0</v>
      </c>
      <c r="P131" s="37" t="n">
        <f aca="false">IF(B131="",0,N(Students!H120))</f>
        <v>0</v>
      </c>
      <c r="Q131" s="23"/>
      <c r="R131" s="26" t="n">
        <f aca="false">N(O131)+N(P131)-N(Q131)</f>
        <v>0</v>
      </c>
      <c r="S131" s="37" t="n">
        <f aca="false">'Aug 2027'!V131</f>
        <v>0</v>
      </c>
      <c r="T131" s="37" t="n">
        <f aca="false">IF(B131="",0,N(Students!I120))</f>
        <v>0</v>
      </c>
      <c r="U131" s="23"/>
      <c r="V131" s="26" t="n">
        <f aca="false">N(S131)+N(T131)-N(U131)</f>
        <v>0</v>
      </c>
      <c r="W131" s="37" t="n">
        <f aca="false">'Aug 2027'!Z131</f>
        <v>0</v>
      </c>
      <c r="X131" s="37" t="n">
        <f aca="false">IF(B131="",0,N(Students!J120))</f>
        <v>0</v>
      </c>
      <c r="Y131" s="23"/>
      <c r="Z131" s="26" t="n">
        <f aca="false">N(W131)+N(X131)-N(Y131)</f>
        <v>0</v>
      </c>
      <c r="AA131" s="37" t="n">
        <f aca="false">N(E131)+N(I131)+N(M131)+N(Q131)+N(U131)+N(Y131)</f>
        <v>0</v>
      </c>
      <c r="AB131" s="26" t="n">
        <f aca="false">F131+J131+N131+R131+V131+Z131</f>
        <v>0</v>
      </c>
      <c r="AC131" s="83" t="str">
        <f aca="false">IF(B131="","",IF(AB131&lt;=0,"Clear",IF(AA131&gt;0,"Partial","Due")))</f>
        <v/>
      </c>
    </row>
    <row r="132" customFormat="false" ht="15" hidden="false" customHeight="false" outlineLevel="0" collapsed="false">
      <c r="A132" s="21" t="n">
        <v>117</v>
      </c>
      <c r="B132" s="46" t="str">
        <f aca="false">IF(Students!B121="","",Students!B121)</f>
        <v/>
      </c>
      <c r="C132" s="33" t="n">
        <f aca="false">'Aug 2027'!F132</f>
        <v>0</v>
      </c>
      <c r="D132" s="33" t="n">
        <f aca="false">IF(B132="",0,N(Students!E121))</f>
        <v>0</v>
      </c>
      <c r="E132" s="23"/>
      <c r="F132" s="24" t="n">
        <f aca="false">N(C132)+N(D132)-N(E132)</f>
        <v>0</v>
      </c>
      <c r="G132" s="33" t="n">
        <f aca="false">'Aug 2027'!J132</f>
        <v>0</v>
      </c>
      <c r="H132" s="33" t="n">
        <f aca="false">IF(B132="",0,N(Students!F121))</f>
        <v>0</v>
      </c>
      <c r="I132" s="23"/>
      <c r="J132" s="24" t="n">
        <f aca="false">N(G132)+N(H132)-N(I132)</f>
        <v>0</v>
      </c>
      <c r="K132" s="33" t="n">
        <f aca="false">'Aug 2027'!N132</f>
        <v>0</v>
      </c>
      <c r="L132" s="33" t="n">
        <f aca="false">IF(B132="",0,N(Students!G121))</f>
        <v>0</v>
      </c>
      <c r="M132" s="23"/>
      <c r="N132" s="24" t="n">
        <f aca="false">N(K132)+N(L132)-N(M132)</f>
        <v>0</v>
      </c>
      <c r="O132" s="33" t="n">
        <f aca="false">'Aug 2027'!R132</f>
        <v>0</v>
      </c>
      <c r="P132" s="33" t="n">
        <f aca="false">IF(B132="",0,N(Students!H121))</f>
        <v>0</v>
      </c>
      <c r="Q132" s="23"/>
      <c r="R132" s="24" t="n">
        <f aca="false">N(O132)+N(P132)-N(Q132)</f>
        <v>0</v>
      </c>
      <c r="S132" s="33" t="n">
        <f aca="false">'Aug 2027'!V132</f>
        <v>0</v>
      </c>
      <c r="T132" s="33" t="n">
        <f aca="false">IF(B132="",0,N(Students!I121))</f>
        <v>0</v>
      </c>
      <c r="U132" s="23"/>
      <c r="V132" s="24" t="n">
        <f aca="false">N(S132)+N(T132)-N(U132)</f>
        <v>0</v>
      </c>
      <c r="W132" s="33" t="n">
        <f aca="false">'Aug 2027'!Z132</f>
        <v>0</v>
      </c>
      <c r="X132" s="33" t="n">
        <f aca="false">IF(B132="",0,N(Students!J121))</f>
        <v>0</v>
      </c>
      <c r="Y132" s="23"/>
      <c r="Z132" s="24" t="n">
        <f aca="false">N(W132)+N(X132)-N(Y132)</f>
        <v>0</v>
      </c>
      <c r="AA132" s="33" t="n">
        <f aca="false">N(E132)+N(I132)+N(M132)+N(Q132)+N(U132)+N(Y132)</f>
        <v>0</v>
      </c>
      <c r="AB132" s="24" t="n">
        <f aca="false">F132+J132+N132+R132+V132+Z132</f>
        <v>0</v>
      </c>
      <c r="AC132" s="81" t="str">
        <f aca="false">IF(B132="","",IF(AB132&lt;=0,"Clear",IF(AA132&gt;0,"Partial","Due")))</f>
        <v/>
      </c>
    </row>
    <row r="133" customFormat="false" ht="15" hidden="false" customHeight="false" outlineLevel="0" collapsed="false">
      <c r="A133" s="25" t="n">
        <v>118</v>
      </c>
      <c r="B133" s="82" t="str">
        <f aca="false">IF(Students!B122="","",Students!B122)</f>
        <v/>
      </c>
      <c r="C133" s="37" t="n">
        <f aca="false">'Aug 2027'!F133</f>
        <v>0</v>
      </c>
      <c r="D133" s="37" t="n">
        <f aca="false">IF(B133="",0,N(Students!E122))</f>
        <v>0</v>
      </c>
      <c r="E133" s="23"/>
      <c r="F133" s="26" t="n">
        <f aca="false">N(C133)+N(D133)-N(E133)</f>
        <v>0</v>
      </c>
      <c r="G133" s="37" t="n">
        <f aca="false">'Aug 2027'!J133</f>
        <v>0</v>
      </c>
      <c r="H133" s="37" t="n">
        <f aca="false">IF(B133="",0,N(Students!F122))</f>
        <v>0</v>
      </c>
      <c r="I133" s="23"/>
      <c r="J133" s="26" t="n">
        <f aca="false">N(G133)+N(H133)-N(I133)</f>
        <v>0</v>
      </c>
      <c r="K133" s="37" t="n">
        <f aca="false">'Aug 2027'!N133</f>
        <v>0</v>
      </c>
      <c r="L133" s="37" t="n">
        <f aca="false">IF(B133="",0,N(Students!G122))</f>
        <v>0</v>
      </c>
      <c r="M133" s="23"/>
      <c r="N133" s="26" t="n">
        <f aca="false">N(K133)+N(L133)-N(M133)</f>
        <v>0</v>
      </c>
      <c r="O133" s="37" t="n">
        <f aca="false">'Aug 2027'!R133</f>
        <v>0</v>
      </c>
      <c r="P133" s="37" t="n">
        <f aca="false">IF(B133="",0,N(Students!H122))</f>
        <v>0</v>
      </c>
      <c r="Q133" s="23"/>
      <c r="R133" s="26" t="n">
        <f aca="false">N(O133)+N(P133)-N(Q133)</f>
        <v>0</v>
      </c>
      <c r="S133" s="37" t="n">
        <f aca="false">'Aug 2027'!V133</f>
        <v>0</v>
      </c>
      <c r="T133" s="37" t="n">
        <f aca="false">IF(B133="",0,N(Students!I122))</f>
        <v>0</v>
      </c>
      <c r="U133" s="23"/>
      <c r="V133" s="26" t="n">
        <f aca="false">N(S133)+N(T133)-N(U133)</f>
        <v>0</v>
      </c>
      <c r="W133" s="37" t="n">
        <f aca="false">'Aug 2027'!Z133</f>
        <v>0</v>
      </c>
      <c r="X133" s="37" t="n">
        <f aca="false">IF(B133="",0,N(Students!J122))</f>
        <v>0</v>
      </c>
      <c r="Y133" s="23"/>
      <c r="Z133" s="26" t="n">
        <f aca="false">N(W133)+N(X133)-N(Y133)</f>
        <v>0</v>
      </c>
      <c r="AA133" s="37" t="n">
        <f aca="false">N(E133)+N(I133)+N(M133)+N(Q133)+N(U133)+N(Y133)</f>
        <v>0</v>
      </c>
      <c r="AB133" s="26" t="n">
        <f aca="false">F133+J133+N133+R133+V133+Z133</f>
        <v>0</v>
      </c>
      <c r="AC133" s="83" t="str">
        <f aca="false">IF(B133="","",IF(AB133&lt;=0,"Clear",IF(AA133&gt;0,"Partial","Due")))</f>
        <v/>
      </c>
    </row>
    <row r="134" customFormat="false" ht="15" hidden="false" customHeight="false" outlineLevel="0" collapsed="false">
      <c r="A134" s="21" t="n">
        <v>119</v>
      </c>
      <c r="B134" s="46" t="str">
        <f aca="false">IF(Students!B123="","",Students!B123)</f>
        <v/>
      </c>
      <c r="C134" s="33" t="n">
        <f aca="false">'Aug 2027'!F134</f>
        <v>0</v>
      </c>
      <c r="D134" s="33" t="n">
        <f aca="false">IF(B134="",0,N(Students!E123))</f>
        <v>0</v>
      </c>
      <c r="E134" s="23"/>
      <c r="F134" s="24" t="n">
        <f aca="false">N(C134)+N(D134)-N(E134)</f>
        <v>0</v>
      </c>
      <c r="G134" s="33" t="n">
        <f aca="false">'Aug 2027'!J134</f>
        <v>0</v>
      </c>
      <c r="H134" s="33" t="n">
        <f aca="false">IF(B134="",0,N(Students!F123))</f>
        <v>0</v>
      </c>
      <c r="I134" s="23"/>
      <c r="J134" s="24" t="n">
        <f aca="false">N(G134)+N(H134)-N(I134)</f>
        <v>0</v>
      </c>
      <c r="K134" s="33" t="n">
        <f aca="false">'Aug 2027'!N134</f>
        <v>0</v>
      </c>
      <c r="L134" s="33" t="n">
        <f aca="false">IF(B134="",0,N(Students!G123))</f>
        <v>0</v>
      </c>
      <c r="M134" s="23"/>
      <c r="N134" s="24" t="n">
        <f aca="false">N(K134)+N(L134)-N(M134)</f>
        <v>0</v>
      </c>
      <c r="O134" s="33" t="n">
        <f aca="false">'Aug 2027'!R134</f>
        <v>0</v>
      </c>
      <c r="P134" s="33" t="n">
        <f aca="false">IF(B134="",0,N(Students!H123))</f>
        <v>0</v>
      </c>
      <c r="Q134" s="23"/>
      <c r="R134" s="24" t="n">
        <f aca="false">N(O134)+N(P134)-N(Q134)</f>
        <v>0</v>
      </c>
      <c r="S134" s="33" t="n">
        <f aca="false">'Aug 2027'!V134</f>
        <v>0</v>
      </c>
      <c r="T134" s="33" t="n">
        <f aca="false">IF(B134="",0,N(Students!I123))</f>
        <v>0</v>
      </c>
      <c r="U134" s="23"/>
      <c r="V134" s="24" t="n">
        <f aca="false">N(S134)+N(T134)-N(U134)</f>
        <v>0</v>
      </c>
      <c r="W134" s="33" t="n">
        <f aca="false">'Aug 2027'!Z134</f>
        <v>0</v>
      </c>
      <c r="X134" s="33" t="n">
        <f aca="false">IF(B134="",0,N(Students!J123))</f>
        <v>0</v>
      </c>
      <c r="Y134" s="23"/>
      <c r="Z134" s="24" t="n">
        <f aca="false">N(W134)+N(X134)-N(Y134)</f>
        <v>0</v>
      </c>
      <c r="AA134" s="33" t="n">
        <f aca="false">N(E134)+N(I134)+N(M134)+N(Q134)+N(U134)+N(Y134)</f>
        <v>0</v>
      </c>
      <c r="AB134" s="24" t="n">
        <f aca="false">F134+J134+N134+R134+V134+Z134</f>
        <v>0</v>
      </c>
      <c r="AC134" s="81" t="str">
        <f aca="false">IF(B134="","",IF(AB134&lt;=0,"Clear",IF(AA134&gt;0,"Partial","Due")))</f>
        <v/>
      </c>
    </row>
    <row r="135" customFormat="false" ht="15" hidden="false" customHeight="false" outlineLevel="0" collapsed="false">
      <c r="A135" s="25" t="n">
        <v>120</v>
      </c>
      <c r="B135" s="82" t="str">
        <f aca="false">IF(Students!B124="","",Students!B124)</f>
        <v/>
      </c>
      <c r="C135" s="37" t="n">
        <f aca="false">'Aug 2027'!F135</f>
        <v>0</v>
      </c>
      <c r="D135" s="37" t="n">
        <f aca="false">IF(B135="",0,N(Students!E124))</f>
        <v>0</v>
      </c>
      <c r="E135" s="23"/>
      <c r="F135" s="26" t="n">
        <f aca="false">N(C135)+N(D135)-N(E135)</f>
        <v>0</v>
      </c>
      <c r="G135" s="37" t="n">
        <f aca="false">'Aug 2027'!J135</f>
        <v>0</v>
      </c>
      <c r="H135" s="37" t="n">
        <f aca="false">IF(B135="",0,N(Students!F124))</f>
        <v>0</v>
      </c>
      <c r="I135" s="23"/>
      <c r="J135" s="26" t="n">
        <f aca="false">N(G135)+N(H135)-N(I135)</f>
        <v>0</v>
      </c>
      <c r="K135" s="37" t="n">
        <f aca="false">'Aug 2027'!N135</f>
        <v>0</v>
      </c>
      <c r="L135" s="37" t="n">
        <f aca="false">IF(B135="",0,N(Students!G124))</f>
        <v>0</v>
      </c>
      <c r="M135" s="23"/>
      <c r="N135" s="26" t="n">
        <f aca="false">N(K135)+N(L135)-N(M135)</f>
        <v>0</v>
      </c>
      <c r="O135" s="37" t="n">
        <f aca="false">'Aug 2027'!R135</f>
        <v>0</v>
      </c>
      <c r="P135" s="37" t="n">
        <f aca="false">IF(B135="",0,N(Students!H124))</f>
        <v>0</v>
      </c>
      <c r="Q135" s="23"/>
      <c r="R135" s="26" t="n">
        <f aca="false">N(O135)+N(P135)-N(Q135)</f>
        <v>0</v>
      </c>
      <c r="S135" s="37" t="n">
        <f aca="false">'Aug 2027'!V135</f>
        <v>0</v>
      </c>
      <c r="T135" s="37" t="n">
        <f aca="false">IF(B135="",0,N(Students!I124))</f>
        <v>0</v>
      </c>
      <c r="U135" s="23"/>
      <c r="V135" s="26" t="n">
        <f aca="false">N(S135)+N(T135)-N(U135)</f>
        <v>0</v>
      </c>
      <c r="W135" s="37" t="n">
        <f aca="false">'Aug 2027'!Z135</f>
        <v>0</v>
      </c>
      <c r="X135" s="37" t="n">
        <f aca="false">IF(B135="",0,N(Students!J124))</f>
        <v>0</v>
      </c>
      <c r="Y135" s="23"/>
      <c r="Z135" s="26" t="n">
        <f aca="false">N(W135)+N(X135)-N(Y135)</f>
        <v>0</v>
      </c>
      <c r="AA135" s="37" t="n">
        <f aca="false">N(E135)+N(I135)+N(M135)+N(Q135)+N(U135)+N(Y135)</f>
        <v>0</v>
      </c>
      <c r="AB135" s="26" t="n">
        <f aca="false">F135+J135+N135+R135+V135+Z135</f>
        <v>0</v>
      </c>
      <c r="AC135" s="83" t="str">
        <f aca="false">IF(B135="","",IF(AB135&lt;=0,"Clear",IF(AA135&gt;0,"Partial","Due")))</f>
        <v/>
      </c>
    </row>
    <row r="136" customFormat="false" ht="15" hidden="false" customHeight="false" outlineLevel="0" collapsed="false">
      <c r="A136" s="21" t="n">
        <v>121</v>
      </c>
      <c r="B136" s="46" t="str">
        <f aca="false">IF(Students!B125="","",Students!B125)</f>
        <v/>
      </c>
      <c r="C136" s="33" t="n">
        <f aca="false">'Aug 2027'!F136</f>
        <v>0</v>
      </c>
      <c r="D136" s="33" t="n">
        <f aca="false">IF(B136="",0,N(Students!E125))</f>
        <v>0</v>
      </c>
      <c r="E136" s="23"/>
      <c r="F136" s="24" t="n">
        <f aca="false">N(C136)+N(D136)-N(E136)</f>
        <v>0</v>
      </c>
      <c r="G136" s="33" t="n">
        <f aca="false">'Aug 2027'!J136</f>
        <v>0</v>
      </c>
      <c r="H136" s="33" t="n">
        <f aca="false">IF(B136="",0,N(Students!F125))</f>
        <v>0</v>
      </c>
      <c r="I136" s="23"/>
      <c r="J136" s="24" t="n">
        <f aca="false">N(G136)+N(H136)-N(I136)</f>
        <v>0</v>
      </c>
      <c r="K136" s="33" t="n">
        <f aca="false">'Aug 2027'!N136</f>
        <v>0</v>
      </c>
      <c r="L136" s="33" t="n">
        <f aca="false">IF(B136="",0,N(Students!G125))</f>
        <v>0</v>
      </c>
      <c r="M136" s="23"/>
      <c r="N136" s="24" t="n">
        <f aca="false">N(K136)+N(L136)-N(M136)</f>
        <v>0</v>
      </c>
      <c r="O136" s="33" t="n">
        <f aca="false">'Aug 2027'!R136</f>
        <v>0</v>
      </c>
      <c r="P136" s="33" t="n">
        <f aca="false">IF(B136="",0,N(Students!H125))</f>
        <v>0</v>
      </c>
      <c r="Q136" s="23"/>
      <c r="R136" s="24" t="n">
        <f aca="false">N(O136)+N(P136)-N(Q136)</f>
        <v>0</v>
      </c>
      <c r="S136" s="33" t="n">
        <f aca="false">'Aug 2027'!V136</f>
        <v>0</v>
      </c>
      <c r="T136" s="33" t="n">
        <f aca="false">IF(B136="",0,N(Students!I125))</f>
        <v>0</v>
      </c>
      <c r="U136" s="23"/>
      <c r="V136" s="24" t="n">
        <f aca="false">N(S136)+N(T136)-N(U136)</f>
        <v>0</v>
      </c>
      <c r="W136" s="33" t="n">
        <f aca="false">'Aug 2027'!Z136</f>
        <v>0</v>
      </c>
      <c r="X136" s="33" t="n">
        <f aca="false">IF(B136="",0,N(Students!J125))</f>
        <v>0</v>
      </c>
      <c r="Y136" s="23"/>
      <c r="Z136" s="24" t="n">
        <f aca="false">N(W136)+N(X136)-N(Y136)</f>
        <v>0</v>
      </c>
      <c r="AA136" s="33" t="n">
        <f aca="false">N(E136)+N(I136)+N(M136)+N(Q136)+N(U136)+N(Y136)</f>
        <v>0</v>
      </c>
      <c r="AB136" s="24" t="n">
        <f aca="false">F136+J136+N136+R136+V136+Z136</f>
        <v>0</v>
      </c>
      <c r="AC136" s="81" t="str">
        <f aca="false">IF(B136="","",IF(AB136&lt;=0,"Clear",IF(AA136&gt;0,"Partial","Due")))</f>
        <v/>
      </c>
    </row>
    <row r="137" customFormat="false" ht="15" hidden="false" customHeight="false" outlineLevel="0" collapsed="false">
      <c r="A137" s="25" t="n">
        <v>122</v>
      </c>
      <c r="B137" s="82" t="str">
        <f aca="false">IF(Students!B126="","",Students!B126)</f>
        <v/>
      </c>
      <c r="C137" s="37" t="n">
        <f aca="false">'Aug 2027'!F137</f>
        <v>0</v>
      </c>
      <c r="D137" s="37" t="n">
        <f aca="false">IF(B137="",0,N(Students!E126))</f>
        <v>0</v>
      </c>
      <c r="E137" s="23"/>
      <c r="F137" s="26" t="n">
        <f aca="false">N(C137)+N(D137)-N(E137)</f>
        <v>0</v>
      </c>
      <c r="G137" s="37" t="n">
        <f aca="false">'Aug 2027'!J137</f>
        <v>0</v>
      </c>
      <c r="H137" s="37" t="n">
        <f aca="false">IF(B137="",0,N(Students!F126))</f>
        <v>0</v>
      </c>
      <c r="I137" s="23"/>
      <c r="J137" s="26" t="n">
        <f aca="false">N(G137)+N(H137)-N(I137)</f>
        <v>0</v>
      </c>
      <c r="K137" s="37" t="n">
        <f aca="false">'Aug 2027'!N137</f>
        <v>0</v>
      </c>
      <c r="L137" s="37" t="n">
        <f aca="false">IF(B137="",0,N(Students!G126))</f>
        <v>0</v>
      </c>
      <c r="M137" s="23"/>
      <c r="N137" s="26" t="n">
        <f aca="false">N(K137)+N(L137)-N(M137)</f>
        <v>0</v>
      </c>
      <c r="O137" s="37" t="n">
        <f aca="false">'Aug 2027'!R137</f>
        <v>0</v>
      </c>
      <c r="P137" s="37" t="n">
        <f aca="false">IF(B137="",0,N(Students!H126))</f>
        <v>0</v>
      </c>
      <c r="Q137" s="23"/>
      <c r="R137" s="26" t="n">
        <f aca="false">N(O137)+N(P137)-N(Q137)</f>
        <v>0</v>
      </c>
      <c r="S137" s="37" t="n">
        <f aca="false">'Aug 2027'!V137</f>
        <v>0</v>
      </c>
      <c r="T137" s="37" t="n">
        <f aca="false">IF(B137="",0,N(Students!I126))</f>
        <v>0</v>
      </c>
      <c r="U137" s="23"/>
      <c r="V137" s="26" t="n">
        <f aca="false">N(S137)+N(T137)-N(U137)</f>
        <v>0</v>
      </c>
      <c r="W137" s="37" t="n">
        <f aca="false">'Aug 2027'!Z137</f>
        <v>0</v>
      </c>
      <c r="X137" s="37" t="n">
        <f aca="false">IF(B137="",0,N(Students!J126))</f>
        <v>0</v>
      </c>
      <c r="Y137" s="23"/>
      <c r="Z137" s="26" t="n">
        <f aca="false">N(W137)+N(X137)-N(Y137)</f>
        <v>0</v>
      </c>
      <c r="AA137" s="37" t="n">
        <f aca="false">N(E137)+N(I137)+N(M137)+N(Q137)+N(U137)+N(Y137)</f>
        <v>0</v>
      </c>
      <c r="AB137" s="26" t="n">
        <f aca="false">F137+J137+N137+R137+V137+Z137</f>
        <v>0</v>
      </c>
      <c r="AC137" s="83" t="str">
        <f aca="false">IF(B137="","",IF(AB137&lt;=0,"Clear",IF(AA137&gt;0,"Partial","Due")))</f>
        <v/>
      </c>
    </row>
    <row r="138" customFormat="false" ht="15" hidden="false" customHeight="false" outlineLevel="0" collapsed="false">
      <c r="A138" s="21" t="n">
        <v>123</v>
      </c>
      <c r="B138" s="46" t="str">
        <f aca="false">IF(Students!B127="","",Students!B127)</f>
        <v/>
      </c>
      <c r="C138" s="33" t="n">
        <f aca="false">'Aug 2027'!F138</f>
        <v>0</v>
      </c>
      <c r="D138" s="33" t="n">
        <f aca="false">IF(B138="",0,N(Students!E127))</f>
        <v>0</v>
      </c>
      <c r="E138" s="23"/>
      <c r="F138" s="24" t="n">
        <f aca="false">N(C138)+N(D138)-N(E138)</f>
        <v>0</v>
      </c>
      <c r="G138" s="33" t="n">
        <f aca="false">'Aug 2027'!J138</f>
        <v>0</v>
      </c>
      <c r="H138" s="33" t="n">
        <f aca="false">IF(B138="",0,N(Students!F127))</f>
        <v>0</v>
      </c>
      <c r="I138" s="23"/>
      <c r="J138" s="24" t="n">
        <f aca="false">N(G138)+N(H138)-N(I138)</f>
        <v>0</v>
      </c>
      <c r="K138" s="33" t="n">
        <f aca="false">'Aug 2027'!N138</f>
        <v>0</v>
      </c>
      <c r="L138" s="33" t="n">
        <f aca="false">IF(B138="",0,N(Students!G127))</f>
        <v>0</v>
      </c>
      <c r="M138" s="23"/>
      <c r="N138" s="24" t="n">
        <f aca="false">N(K138)+N(L138)-N(M138)</f>
        <v>0</v>
      </c>
      <c r="O138" s="33" t="n">
        <f aca="false">'Aug 2027'!R138</f>
        <v>0</v>
      </c>
      <c r="P138" s="33" t="n">
        <f aca="false">IF(B138="",0,N(Students!H127))</f>
        <v>0</v>
      </c>
      <c r="Q138" s="23"/>
      <c r="R138" s="24" t="n">
        <f aca="false">N(O138)+N(P138)-N(Q138)</f>
        <v>0</v>
      </c>
      <c r="S138" s="33" t="n">
        <f aca="false">'Aug 2027'!V138</f>
        <v>0</v>
      </c>
      <c r="T138" s="33" t="n">
        <f aca="false">IF(B138="",0,N(Students!I127))</f>
        <v>0</v>
      </c>
      <c r="U138" s="23"/>
      <c r="V138" s="24" t="n">
        <f aca="false">N(S138)+N(T138)-N(U138)</f>
        <v>0</v>
      </c>
      <c r="W138" s="33" t="n">
        <f aca="false">'Aug 2027'!Z138</f>
        <v>0</v>
      </c>
      <c r="X138" s="33" t="n">
        <f aca="false">IF(B138="",0,N(Students!J127))</f>
        <v>0</v>
      </c>
      <c r="Y138" s="23"/>
      <c r="Z138" s="24" t="n">
        <f aca="false">N(W138)+N(X138)-N(Y138)</f>
        <v>0</v>
      </c>
      <c r="AA138" s="33" t="n">
        <f aca="false">N(E138)+N(I138)+N(M138)+N(Q138)+N(U138)+N(Y138)</f>
        <v>0</v>
      </c>
      <c r="AB138" s="24" t="n">
        <f aca="false">F138+J138+N138+R138+V138+Z138</f>
        <v>0</v>
      </c>
      <c r="AC138" s="81" t="str">
        <f aca="false">IF(B138="","",IF(AB138&lt;=0,"Clear",IF(AA138&gt;0,"Partial","Due")))</f>
        <v/>
      </c>
    </row>
    <row r="139" customFormat="false" ht="15" hidden="false" customHeight="false" outlineLevel="0" collapsed="false">
      <c r="A139" s="25" t="n">
        <v>124</v>
      </c>
      <c r="B139" s="82" t="str">
        <f aca="false">IF(Students!B128="","",Students!B128)</f>
        <v/>
      </c>
      <c r="C139" s="37" t="n">
        <f aca="false">'Aug 2027'!F139</f>
        <v>0</v>
      </c>
      <c r="D139" s="37" t="n">
        <f aca="false">IF(B139="",0,N(Students!E128))</f>
        <v>0</v>
      </c>
      <c r="E139" s="23"/>
      <c r="F139" s="26" t="n">
        <f aca="false">N(C139)+N(D139)-N(E139)</f>
        <v>0</v>
      </c>
      <c r="G139" s="37" t="n">
        <f aca="false">'Aug 2027'!J139</f>
        <v>0</v>
      </c>
      <c r="H139" s="37" t="n">
        <f aca="false">IF(B139="",0,N(Students!F128))</f>
        <v>0</v>
      </c>
      <c r="I139" s="23"/>
      <c r="J139" s="26" t="n">
        <f aca="false">N(G139)+N(H139)-N(I139)</f>
        <v>0</v>
      </c>
      <c r="K139" s="37" t="n">
        <f aca="false">'Aug 2027'!N139</f>
        <v>0</v>
      </c>
      <c r="L139" s="37" t="n">
        <f aca="false">IF(B139="",0,N(Students!G128))</f>
        <v>0</v>
      </c>
      <c r="M139" s="23"/>
      <c r="N139" s="26" t="n">
        <f aca="false">N(K139)+N(L139)-N(M139)</f>
        <v>0</v>
      </c>
      <c r="O139" s="37" t="n">
        <f aca="false">'Aug 2027'!R139</f>
        <v>0</v>
      </c>
      <c r="P139" s="37" t="n">
        <f aca="false">IF(B139="",0,N(Students!H128))</f>
        <v>0</v>
      </c>
      <c r="Q139" s="23"/>
      <c r="R139" s="26" t="n">
        <f aca="false">N(O139)+N(P139)-N(Q139)</f>
        <v>0</v>
      </c>
      <c r="S139" s="37" t="n">
        <f aca="false">'Aug 2027'!V139</f>
        <v>0</v>
      </c>
      <c r="T139" s="37" t="n">
        <f aca="false">IF(B139="",0,N(Students!I128))</f>
        <v>0</v>
      </c>
      <c r="U139" s="23"/>
      <c r="V139" s="26" t="n">
        <f aca="false">N(S139)+N(T139)-N(U139)</f>
        <v>0</v>
      </c>
      <c r="W139" s="37" t="n">
        <f aca="false">'Aug 2027'!Z139</f>
        <v>0</v>
      </c>
      <c r="X139" s="37" t="n">
        <f aca="false">IF(B139="",0,N(Students!J128))</f>
        <v>0</v>
      </c>
      <c r="Y139" s="23"/>
      <c r="Z139" s="26" t="n">
        <f aca="false">N(W139)+N(X139)-N(Y139)</f>
        <v>0</v>
      </c>
      <c r="AA139" s="37" t="n">
        <f aca="false">N(E139)+N(I139)+N(M139)+N(Q139)+N(U139)+N(Y139)</f>
        <v>0</v>
      </c>
      <c r="AB139" s="26" t="n">
        <f aca="false">F139+J139+N139+R139+V139+Z139</f>
        <v>0</v>
      </c>
      <c r="AC139" s="83" t="str">
        <f aca="false">IF(B139="","",IF(AB139&lt;=0,"Clear",IF(AA139&gt;0,"Partial","Due")))</f>
        <v/>
      </c>
    </row>
    <row r="140" customFormat="false" ht="15" hidden="false" customHeight="false" outlineLevel="0" collapsed="false">
      <c r="A140" s="21" t="n">
        <v>125</v>
      </c>
      <c r="B140" s="46" t="str">
        <f aca="false">IF(Students!B129="","",Students!B129)</f>
        <v/>
      </c>
      <c r="C140" s="33" t="n">
        <f aca="false">'Aug 2027'!F140</f>
        <v>0</v>
      </c>
      <c r="D140" s="33" t="n">
        <f aca="false">IF(B140="",0,N(Students!E129))</f>
        <v>0</v>
      </c>
      <c r="E140" s="23"/>
      <c r="F140" s="24" t="n">
        <f aca="false">N(C140)+N(D140)-N(E140)</f>
        <v>0</v>
      </c>
      <c r="G140" s="33" t="n">
        <f aca="false">'Aug 2027'!J140</f>
        <v>0</v>
      </c>
      <c r="H140" s="33" t="n">
        <f aca="false">IF(B140="",0,N(Students!F129))</f>
        <v>0</v>
      </c>
      <c r="I140" s="23"/>
      <c r="J140" s="24" t="n">
        <f aca="false">N(G140)+N(H140)-N(I140)</f>
        <v>0</v>
      </c>
      <c r="K140" s="33" t="n">
        <f aca="false">'Aug 2027'!N140</f>
        <v>0</v>
      </c>
      <c r="L140" s="33" t="n">
        <f aca="false">IF(B140="",0,N(Students!G129))</f>
        <v>0</v>
      </c>
      <c r="M140" s="23"/>
      <c r="N140" s="24" t="n">
        <f aca="false">N(K140)+N(L140)-N(M140)</f>
        <v>0</v>
      </c>
      <c r="O140" s="33" t="n">
        <f aca="false">'Aug 2027'!R140</f>
        <v>0</v>
      </c>
      <c r="P140" s="33" t="n">
        <f aca="false">IF(B140="",0,N(Students!H129))</f>
        <v>0</v>
      </c>
      <c r="Q140" s="23"/>
      <c r="R140" s="24" t="n">
        <f aca="false">N(O140)+N(P140)-N(Q140)</f>
        <v>0</v>
      </c>
      <c r="S140" s="33" t="n">
        <f aca="false">'Aug 2027'!V140</f>
        <v>0</v>
      </c>
      <c r="T140" s="33" t="n">
        <f aca="false">IF(B140="",0,N(Students!I129))</f>
        <v>0</v>
      </c>
      <c r="U140" s="23"/>
      <c r="V140" s="24" t="n">
        <f aca="false">N(S140)+N(T140)-N(U140)</f>
        <v>0</v>
      </c>
      <c r="W140" s="33" t="n">
        <f aca="false">'Aug 2027'!Z140</f>
        <v>0</v>
      </c>
      <c r="X140" s="33" t="n">
        <f aca="false">IF(B140="",0,N(Students!J129))</f>
        <v>0</v>
      </c>
      <c r="Y140" s="23"/>
      <c r="Z140" s="24" t="n">
        <f aca="false">N(W140)+N(X140)-N(Y140)</f>
        <v>0</v>
      </c>
      <c r="AA140" s="33" t="n">
        <f aca="false">N(E140)+N(I140)+N(M140)+N(Q140)+N(U140)+N(Y140)</f>
        <v>0</v>
      </c>
      <c r="AB140" s="24" t="n">
        <f aca="false">F140+J140+N140+R140+V140+Z140</f>
        <v>0</v>
      </c>
      <c r="AC140" s="81" t="str">
        <f aca="false">IF(B140="","",IF(AB140&lt;=0,"Clear",IF(AA140&gt;0,"Partial","Due")))</f>
        <v/>
      </c>
    </row>
    <row r="141" customFormat="false" ht="15" hidden="false" customHeight="false" outlineLevel="0" collapsed="false">
      <c r="A141" s="25" t="n">
        <v>126</v>
      </c>
      <c r="B141" s="82" t="str">
        <f aca="false">IF(Students!B130="","",Students!B130)</f>
        <v/>
      </c>
      <c r="C141" s="37" t="n">
        <f aca="false">'Aug 2027'!F141</f>
        <v>0</v>
      </c>
      <c r="D141" s="37" t="n">
        <f aca="false">IF(B141="",0,N(Students!E130))</f>
        <v>0</v>
      </c>
      <c r="E141" s="23"/>
      <c r="F141" s="26" t="n">
        <f aca="false">N(C141)+N(D141)-N(E141)</f>
        <v>0</v>
      </c>
      <c r="G141" s="37" t="n">
        <f aca="false">'Aug 2027'!J141</f>
        <v>0</v>
      </c>
      <c r="H141" s="37" t="n">
        <f aca="false">IF(B141="",0,N(Students!F130))</f>
        <v>0</v>
      </c>
      <c r="I141" s="23"/>
      <c r="J141" s="26" t="n">
        <f aca="false">N(G141)+N(H141)-N(I141)</f>
        <v>0</v>
      </c>
      <c r="K141" s="37" t="n">
        <f aca="false">'Aug 2027'!N141</f>
        <v>0</v>
      </c>
      <c r="L141" s="37" t="n">
        <f aca="false">IF(B141="",0,N(Students!G130))</f>
        <v>0</v>
      </c>
      <c r="M141" s="23"/>
      <c r="N141" s="26" t="n">
        <f aca="false">N(K141)+N(L141)-N(M141)</f>
        <v>0</v>
      </c>
      <c r="O141" s="37" t="n">
        <f aca="false">'Aug 2027'!R141</f>
        <v>0</v>
      </c>
      <c r="P141" s="37" t="n">
        <f aca="false">IF(B141="",0,N(Students!H130))</f>
        <v>0</v>
      </c>
      <c r="Q141" s="23"/>
      <c r="R141" s="26" t="n">
        <f aca="false">N(O141)+N(P141)-N(Q141)</f>
        <v>0</v>
      </c>
      <c r="S141" s="37" t="n">
        <f aca="false">'Aug 2027'!V141</f>
        <v>0</v>
      </c>
      <c r="T141" s="37" t="n">
        <f aca="false">IF(B141="",0,N(Students!I130))</f>
        <v>0</v>
      </c>
      <c r="U141" s="23"/>
      <c r="V141" s="26" t="n">
        <f aca="false">N(S141)+N(T141)-N(U141)</f>
        <v>0</v>
      </c>
      <c r="W141" s="37" t="n">
        <f aca="false">'Aug 2027'!Z141</f>
        <v>0</v>
      </c>
      <c r="X141" s="37" t="n">
        <f aca="false">IF(B141="",0,N(Students!J130))</f>
        <v>0</v>
      </c>
      <c r="Y141" s="23"/>
      <c r="Z141" s="26" t="n">
        <f aca="false">N(W141)+N(X141)-N(Y141)</f>
        <v>0</v>
      </c>
      <c r="AA141" s="37" t="n">
        <f aca="false">N(E141)+N(I141)+N(M141)+N(Q141)+N(U141)+N(Y141)</f>
        <v>0</v>
      </c>
      <c r="AB141" s="26" t="n">
        <f aca="false">F141+J141+N141+R141+V141+Z141</f>
        <v>0</v>
      </c>
      <c r="AC141" s="83" t="str">
        <f aca="false">IF(B141="","",IF(AB141&lt;=0,"Clear",IF(AA141&gt;0,"Partial","Due")))</f>
        <v/>
      </c>
    </row>
    <row r="142" customFormat="false" ht="15" hidden="false" customHeight="false" outlineLevel="0" collapsed="false">
      <c r="A142" s="21" t="n">
        <v>127</v>
      </c>
      <c r="B142" s="46" t="str">
        <f aca="false">IF(Students!B131="","",Students!B131)</f>
        <v/>
      </c>
      <c r="C142" s="33" t="n">
        <f aca="false">'Aug 2027'!F142</f>
        <v>0</v>
      </c>
      <c r="D142" s="33" t="n">
        <f aca="false">IF(B142="",0,N(Students!E131))</f>
        <v>0</v>
      </c>
      <c r="E142" s="23"/>
      <c r="F142" s="24" t="n">
        <f aca="false">N(C142)+N(D142)-N(E142)</f>
        <v>0</v>
      </c>
      <c r="G142" s="33" t="n">
        <f aca="false">'Aug 2027'!J142</f>
        <v>0</v>
      </c>
      <c r="H142" s="33" t="n">
        <f aca="false">IF(B142="",0,N(Students!F131))</f>
        <v>0</v>
      </c>
      <c r="I142" s="23"/>
      <c r="J142" s="24" t="n">
        <f aca="false">N(G142)+N(H142)-N(I142)</f>
        <v>0</v>
      </c>
      <c r="K142" s="33" t="n">
        <f aca="false">'Aug 2027'!N142</f>
        <v>0</v>
      </c>
      <c r="L142" s="33" t="n">
        <f aca="false">IF(B142="",0,N(Students!G131))</f>
        <v>0</v>
      </c>
      <c r="M142" s="23"/>
      <c r="N142" s="24" t="n">
        <f aca="false">N(K142)+N(L142)-N(M142)</f>
        <v>0</v>
      </c>
      <c r="O142" s="33" t="n">
        <f aca="false">'Aug 2027'!R142</f>
        <v>0</v>
      </c>
      <c r="P142" s="33" t="n">
        <f aca="false">IF(B142="",0,N(Students!H131))</f>
        <v>0</v>
      </c>
      <c r="Q142" s="23"/>
      <c r="R142" s="24" t="n">
        <f aca="false">N(O142)+N(P142)-N(Q142)</f>
        <v>0</v>
      </c>
      <c r="S142" s="33" t="n">
        <f aca="false">'Aug 2027'!V142</f>
        <v>0</v>
      </c>
      <c r="T142" s="33" t="n">
        <f aca="false">IF(B142="",0,N(Students!I131))</f>
        <v>0</v>
      </c>
      <c r="U142" s="23"/>
      <c r="V142" s="24" t="n">
        <f aca="false">N(S142)+N(T142)-N(U142)</f>
        <v>0</v>
      </c>
      <c r="W142" s="33" t="n">
        <f aca="false">'Aug 2027'!Z142</f>
        <v>0</v>
      </c>
      <c r="X142" s="33" t="n">
        <f aca="false">IF(B142="",0,N(Students!J131))</f>
        <v>0</v>
      </c>
      <c r="Y142" s="23"/>
      <c r="Z142" s="24" t="n">
        <f aca="false">N(W142)+N(X142)-N(Y142)</f>
        <v>0</v>
      </c>
      <c r="AA142" s="33" t="n">
        <f aca="false">N(E142)+N(I142)+N(M142)+N(Q142)+N(U142)+N(Y142)</f>
        <v>0</v>
      </c>
      <c r="AB142" s="24" t="n">
        <f aca="false">F142+J142+N142+R142+V142+Z142</f>
        <v>0</v>
      </c>
      <c r="AC142" s="81" t="str">
        <f aca="false">IF(B142="","",IF(AB142&lt;=0,"Clear",IF(AA142&gt;0,"Partial","Due")))</f>
        <v/>
      </c>
    </row>
    <row r="143" customFormat="false" ht="15" hidden="false" customHeight="false" outlineLevel="0" collapsed="false">
      <c r="A143" s="25" t="n">
        <v>128</v>
      </c>
      <c r="B143" s="82" t="str">
        <f aca="false">IF(Students!B132="","",Students!B132)</f>
        <v/>
      </c>
      <c r="C143" s="37" t="n">
        <f aca="false">'Aug 2027'!F143</f>
        <v>0</v>
      </c>
      <c r="D143" s="37" t="n">
        <f aca="false">IF(B143="",0,N(Students!E132))</f>
        <v>0</v>
      </c>
      <c r="E143" s="23"/>
      <c r="F143" s="26" t="n">
        <f aca="false">N(C143)+N(D143)-N(E143)</f>
        <v>0</v>
      </c>
      <c r="G143" s="37" t="n">
        <f aca="false">'Aug 2027'!J143</f>
        <v>0</v>
      </c>
      <c r="H143" s="37" t="n">
        <f aca="false">IF(B143="",0,N(Students!F132))</f>
        <v>0</v>
      </c>
      <c r="I143" s="23"/>
      <c r="J143" s="26" t="n">
        <f aca="false">N(G143)+N(H143)-N(I143)</f>
        <v>0</v>
      </c>
      <c r="K143" s="37" t="n">
        <f aca="false">'Aug 2027'!N143</f>
        <v>0</v>
      </c>
      <c r="L143" s="37" t="n">
        <f aca="false">IF(B143="",0,N(Students!G132))</f>
        <v>0</v>
      </c>
      <c r="M143" s="23"/>
      <c r="N143" s="26" t="n">
        <f aca="false">N(K143)+N(L143)-N(M143)</f>
        <v>0</v>
      </c>
      <c r="O143" s="37" t="n">
        <f aca="false">'Aug 2027'!R143</f>
        <v>0</v>
      </c>
      <c r="P143" s="37" t="n">
        <f aca="false">IF(B143="",0,N(Students!H132))</f>
        <v>0</v>
      </c>
      <c r="Q143" s="23"/>
      <c r="R143" s="26" t="n">
        <f aca="false">N(O143)+N(P143)-N(Q143)</f>
        <v>0</v>
      </c>
      <c r="S143" s="37" t="n">
        <f aca="false">'Aug 2027'!V143</f>
        <v>0</v>
      </c>
      <c r="T143" s="37" t="n">
        <f aca="false">IF(B143="",0,N(Students!I132))</f>
        <v>0</v>
      </c>
      <c r="U143" s="23"/>
      <c r="V143" s="26" t="n">
        <f aca="false">N(S143)+N(T143)-N(U143)</f>
        <v>0</v>
      </c>
      <c r="W143" s="37" t="n">
        <f aca="false">'Aug 2027'!Z143</f>
        <v>0</v>
      </c>
      <c r="X143" s="37" t="n">
        <f aca="false">IF(B143="",0,N(Students!J132))</f>
        <v>0</v>
      </c>
      <c r="Y143" s="23"/>
      <c r="Z143" s="26" t="n">
        <f aca="false">N(W143)+N(X143)-N(Y143)</f>
        <v>0</v>
      </c>
      <c r="AA143" s="37" t="n">
        <f aca="false">N(E143)+N(I143)+N(M143)+N(Q143)+N(U143)+N(Y143)</f>
        <v>0</v>
      </c>
      <c r="AB143" s="26" t="n">
        <f aca="false">F143+J143+N143+R143+V143+Z143</f>
        <v>0</v>
      </c>
      <c r="AC143" s="83" t="str">
        <f aca="false">IF(B143="","",IF(AB143&lt;=0,"Clear",IF(AA143&gt;0,"Partial","Due")))</f>
        <v/>
      </c>
    </row>
    <row r="144" customFormat="false" ht="15" hidden="false" customHeight="false" outlineLevel="0" collapsed="false">
      <c r="A144" s="21" t="n">
        <v>129</v>
      </c>
      <c r="B144" s="46" t="str">
        <f aca="false">IF(Students!B133="","",Students!B133)</f>
        <v/>
      </c>
      <c r="C144" s="33" t="n">
        <f aca="false">'Aug 2027'!F144</f>
        <v>0</v>
      </c>
      <c r="D144" s="33" t="n">
        <f aca="false">IF(B144="",0,N(Students!E133))</f>
        <v>0</v>
      </c>
      <c r="E144" s="23"/>
      <c r="F144" s="24" t="n">
        <f aca="false">N(C144)+N(D144)-N(E144)</f>
        <v>0</v>
      </c>
      <c r="G144" s="33" t="n">
        <f aca="false">'Aug 2027'!J144</f>
        <v>0</v>
      </c>
      <c r="H144" s="33" t="n">
        <f aca="false">IF(B144="",0,N(Students!F133))</f>
        <v>0</v>
      </c>
      <c r="I144" s="23"/>
      <c r="J144" s="24" t="n">
        <f aca="false">N(G144)+N(H144)-N(I144)</f>
        <v>0</v>
      </c>
      <c r="K144" s="33" t="n">
        <f aca="false">'Aug 2027'!N144</f>
        <v>0</v>
      </c>
      <c r="L144" s="33" t="n">
        <f aca="false">IF(B144="",0,N(Students!G133))</f>
        <v>0</v>
      </c>
      <c r="M144" s="23"/>
      <c r="N144" s="24" t="n">
        <f aca="false">N(K144)+N(L144)-N(M144)</f>
        <v>0</v>
      </c>
      <c r="O144" s="33" t="n">
        <f aca="false">'Aug 2027'!R144</f>
        <v>0</v>
      </c>
      <c r="P144" s="33" t="n">
        <f aca="false">IF(B144="",0,N(Students!H133))</f>
        <v>0</v>
      </c>
      <c r="Q144" s="23"/>
      <c r="R144" s="24" t="n">
        <f aca="false">N(O144)+N(P144)-N(Q144)</f>
        <v>0</v>
      </c>
      <c r="S144" s="33" t="n">
        <f aca="false">'Aug 2027'!V144</f>
        <v>0</v>
      </c>
      <c r="T144" s="33" t="n">
        <f aca="false">IF(B144="",0,N(Students!I133))</f>
        <v>0</v>
      </c>
      <c r="U144" s="23"/>
      <c r="V144" s="24" t="n">
        <f aca="false">N(S144)+N(T144)-N(U144)</f>
        <v>0</v>
      </c>
      <c r="W144" s="33" t="n">
        <f aca="false">'Aug 2027'!Z144</f>
        <v>0</v>
      </c>
      <c r="X144" s="33" t="n">
        <f aca="false">IF(B144="",0,N(Students!J133))</f>
        <v>0</v>
      </c>
      <c r="Y144" s="23"/>
      <c r="Z144" s="24" t="n">
        <f aca="false">N(W144)+N(X144)-N(Y144)</f>
        <v>0</v>
      </c>
      <c r="AA144" s="33" t="n">
        <f aca="false">N(E144)+N(I144)+N(M144)+N(Q144)+N(U144)+N(Y144)</f>
        <v>0</v>
      </c>
      <c r="AB144" s="24" t="n">
        <f aca="false">F144+J144+N144+R144+V144+Z144</f>
        <v>0</v>
      </c>
      <c r="AC144" s="81" t="str">
        <f aca="false">IF(B144="","",IF(AB144&lt;=0,"Clear",IF(AA144&gt;0,"Partial","Due")))</f>
        <v/>
      </c>
    </row>
    <row r="145" customFormat="false" ht="15" hidden="false" customHeight="false" outlineLevel="0" collapsed="false">
      <c r="A145" s="25" t="n">
        <v>130</v>
      </c>
      <c r="B145" s="82" t="str">
        <f aca="false">IF(Students!B134="","",Students!B134)</f>
        <v/>
      </c>
      <c r="C145" s="37" t="n">
        <f aca="false">'Aug 2027'!F145</f>
        <v>0</v>
      </c>
      <c r="D145" s="37" t="n">
        <f aca="false">IF(B145="",0,N(Students!E134))</f>
        <v>0</v>
      </c>
      <c r="E145" s="23"/>
      <c r="F145" s="26" t="n">
        <f aca="false">N(C145)+N(D145)-N(E145)</f>
        <v>0</v>
      </c>
      <c r="G145" s="37" t="n">
        <f aca="false">'Aug 2027'!J145</f>
        <v>0</v>
      </c>
      <c r="H145" s="37" t="n">
        <f aca="false">IF(B145="",0,N(Students!F134))</f>
        <v>0</v>
      </c>
      <c r="I145" s="23"/>
      <c r="J145" s="26" t="n">
        <f aca="false">N(G145)+N(H145)-N(I145)</f>
        <v>0</v>
      </c>
      <c r="K145" s="37" t="n">
        <f aca="false">'Aug 2027'!N145</f>
        <v>0</v>
      </c>
      <c r="L145" s="37" t="n">
        <f aca="false">IF(B145="",0,N(Students!G134))</f>
        <v>0</v>
      </c>
      <c r="M145" s="23"/>
      <c r="N145" s="26" t="n">
        <f aca="false">N(K145)+N(L145)-N(M145)</f>
        <v>0</v>
      </c>
      <c r="O145" s="37" t="n">
        <f aca="false">'Aug 2027'!R145</f>
        <v>0</v>
      </c>
      <c r="P145" s="37" t="n">
        <f aca="false">IF(B145="",0,N(Students!H134))</f>
        <v>0</v>
      </c>
      <c r="Q145" s="23"/>
      <c r="R145" s="26" t="n">
        <f aca="false">N(O145)+N(P145)-N(Q145)</f>
        <v>0</v>
      </c>
      <c r="S145" s="37" t="n">
        <f aca="false">'Aug 2027'!V145</f>
        <v>0</v>
      </c>
      <c r="T145" s="37" t="n">
        <f aca="false">IF(B145="",0,N(Students!I134))</f>
        <v>0</v>
      </c>
      <c r="U145" s="23"/>
      <c r="V145" s="26" t="n">
        <f aca="false">N(S145)+N(T145)-N(U145)</f>
        <v>0</v>
      </c>
      <c r="W145" s="37" t="n">
        <f aca="false">'Aug 2027'!Z145</f>
        <v>0</v>
      </c>
      <c r="X145" s="37" t="n">
        <f aca="false">IF(B145="",0,N(Students!J134))</f>
        <v>0</v>
      </c>
      <c r="Y145" s="23"/>
      <c r="Z145" s="26" t="n">
        <f aca="false">N(W145)+N(X145)-N(Y145)</f>
        <v>0</v>
      </c>
      <c r="AA145" s="37" t="n">
        <f aca="false">N(E145)+N(I145)+N(M145)+N(Q145)+N(U145)+N(Y145)</f>
        <v>0</v>
      </c>
      <c r="AB145" s="26" t="n">
        <f aca="false">F145+J145+N145+R145+V145+Z145</f>
        <v>0</v>
      </c>
      <c r="AC145" s="83" t="str">
        <f aca="false">IF(B145="","",IF(AB145&lt;=0,"Clear",IF(AA145&gt;0,"Partial","Due")))</f>
        <v/>
      </c>
    </row>
    <row r="146" customFormat="false" ht="15" hidden="false" customHeight="false" outlineLevel="0" collapsed="false">
      <c r="A146" s="21" t="n">
        <v>131</v>
      </c>
      <c r="B146" s="46" t="str">
        <f aca="false">IF(Students!B135="","",Students!B135)</f>
        <v/>
      </c>
      <c r="C146" s="33" t="n">
        <f aca="false">'Aug 2027'!F146</f>
        <v>0</v>
      </c>
      <c r="D146" s="33" t="n">
        <f aca="false">IF(B146="",0,N(Students!E135))</f>
        <v>0</v>
      </c>
      <c r="E146" s="23"/>
      <c r="F146" s="24" t="n">
        <f aca="false">N(C146)+N(D146)-N(E146)</f>
        <v>0</v>
      </c>
      <c r="G146" s="33" t="n">
        <f aca="false">'Aug 2027'!J146</f>
        <v>0</v>
      </c>
      <c r="H146" s="33" t="n">
        <f aca="false">IF(B146="",0,N(Students!F135))</f>
        <v>0</v>
      </c>
      <c r="I146" s="23"/>
      <c r="J146" s="24" t="n">
        <f aca="false">N(G146)+N(H146)-N(I146)</f>
        <v>0</v>
      </c>
      <c r="K146" s="33" t="n">
        <f aca="false">'Aug 2027'!N146</f>
        <v>0</v>
      </c>
      <c r="L146" s="33" t="n">
        <f aca="false">IF(B146="",0,N(Students!G135))</f>
        <v>0</v>
      </c>
      <c r="M146" s="23"/>
      <c r="N146" s="24" t="n">
        <f aca="false">N(K146)+N(L146)-N(M146)</f>
        <v>0</v>
      </c>
      <c r="O146" s="33" t="n">
        <f aca="false">'Aug 2027'!R146</f>
        <v>0</v>
      </c>
      <c r="P146" s="33" t="n">
        <f aca="false">IF(B146="",0,N(Students!H135))</f>
        <v>0</v>
      </c>
      <c r="Q146" s="23"/>
      <c r="R146" s="24" t="n">
        <f aca="false">N(O146)+N(P146)-N(Q146)</f>
        <v>0</v>
      </c>
      <c r="S146" s="33" t="n">
        <f aca="false">'Aug 2027'!V146</f>
        <v>0</v>
      </c>
      <c r="T146" s="33" t="n">
        <f aca="false">IF(B146="",0,N(Students!I135))</f>
        <v>0</v>
      </c>
      <c r="U146" s="23"/>
      <c r="V146" s="24" t="n">
        <f aca="false">N(S146)+N(T146)-N(U146)</f>
        <v>0</v>
      </c>
      <c r="W146" s="33" t="n">
        <f aca="false">'Aug 2027'!Z146</f>
        <v>0</v>
      </c>
      <c r="X146" s="33" t="n">
        <f aca="false">IF(B146="",0,N(Students!J135))</f>
        <v>0</v>
      </c>
      <c r="Y146" s="23"/>
      <c r="Z146" s="24" t="n">
        <f aca="false">N(W146)+N(X146)-N(Y146)</f>
        <v>0</v>
      </c>
      <c r="AA146" s="33" t="n">
        <f aca="false">N(E146)+N(I146)+N(M146)+N(Q146)+N(U146)+N(Y146)</f>
        <v>0</v>
      </c>
      <c r="AB146" s="24" t="n">
        <f aca="false">F146+J146+N146+R146+V146+Z146</f>
        <v>0</v>
      </c>
      <c r="AC146" s="81" t="str">
        <f aca="false">IF(B146="","",IF(AB146&lt;=0,"Clear",IF(AA146&gt;0,"Partial","Due")))</f>
        <v/>
      </c>
    </row>
    <row r="147" customFormat="false" ht="15" hidden="false" customHeight="false" outlineLevel="0" collapsed="false">
      <c r="A147" s="25" t="n">
        <v>132</v>
      </c>
      <c r="B147" s="82" t="str">
        <f aca="false">IF(Students!B136="","",Students!B136)</f>
        <v/>
      </c>
      <c r="C147" s="37" t="n">
        <f aca="false">'Aug 2027'!F147</f>
        <v>0</v>
      </c>
      <c r="D147" s="37" t="n">
        <f aca="false">IF(B147="",0,N(Students!E136))</f>
        <v>0</v>
      </c>
      <c r="E147" s="23"/>
      <c r="F147" s="26" t="n">
        <f aca="false">N(C147)+N(D147)-N(E147)</f>
        <v>0</v>
      </c>
      <c r="G147" s="37" t="n">
        <f aca="false">'Aug 2027'!J147</f>
        <v>0</v>
      </c>
      <c r="H147" s="37" t="n">
        <f aca="false">IF(B147="",0,N(Students!F136))</f>
        <v>0</v>
      </c>
      <c r="I147" s="23"/>
      <c r="J147" s="26" t="n">
        <f aca="false">N(G147)+N(H147)-N(I147)</f>
        <v>0</v>
      </c>
      <c r="K147" s="37" t="n">
        <f aca="false">'Aug 2027'!N147</f>
        <v>0</v>
      </c>
      <c r="L147" s="37" t="n">
        <f aca="false">IF(B147="",0,N(Students!G136))</f>
        <v>0</v>
      </c>
      <c r="M147" s="23"/>
      <c r="N147" s="26" t="n">
        <f aca="false">N(K147)+N(L147)-N(M147)</f>
        <v>0</v>
      </c>
      <c r="O147" s="37" t="n">
        <f aca="false">'Aug 2027'!R147</f>
        <v>0</v>
      </c>
      <c r="P147" s="37" t="n">
        <f aca="false">IF(B147="",0,N(Students!H136))</f>
        <v>0</v>
      </c>
      <c r="Q147" s="23"/>
      <c r="R147" s="26" t="n">
        <f aca="false">N(O147)+N(P147)-N(Q147)</f>
        <v>0</v>
      </c>
      <c r="S147" s="37" t="n">
        <f aca="false">'Aug 2027'!V147</f>
        <v>0</v>
      </c>
      <c r="T147" s="37" t="n">
        <f aca="false">IF(B147="",0,N(Students!I136))</f>
        <v>0</v>
      </c>
      <c r="U147" s="23"/>
      <c r="V147" s="26" t="n">
        <f aca="false">N(S147)+N(T147)-N(U147)</f>
        <v>0</v>
      </c>
      <c r="W147" s="37" t="n">
        <f aca="false">'Aug 2027'!Z147</f>
        <v>0</v>
      </c>
      <c r="X147" s="37" t="n">
        <f aca="false">IF(B147="",0,N(Students!J136))</f>
        <v>0</v>
      </c>
      <c r="Y147" s="23"/>
      <c r="Z147" s="26" t="n">
        <f aca="false">N(W147)+N(X147)-N(Y147)</f>
        <v>0</v>
      </c>
      <c r="AA147" s="37" t="n">
        <f aca="false">N(E147)+N(I147)+N(M147)+N(Q147)+N(U147)+N(Y147)</f>
        <v>0</v>
      </c>
      <c r="AB147" s="26" t="n">
        <f aca="false">F147+J147+N147+R147+V147+Z147</f>
        <v>0</v>
      </c>
      <c r="AC147" s="83" t="str">
        <f aca="false">IF(B147="","",IF(AB147&lt;=0,"Clear",IF(AA147&gt;0,"Partial","Due")))</f>
        <v/>
      </c>
    </row>
    <row r="148" customFormat="false" ht="15" hidden="false" customHeight="false" outlineLevel="0" collapsed="false">
      <c r="A148" s="21" t="n">
        <v>133</v>
      </c>
      <c r="B148" s="46" t="str">
        <f aca="false">IF(Students!B137="","",Students!B137)</f>
        <v/>
      </c>
      <c r="C148" s="33" t="n">
        <f aca="false">'Aug 2027'!F148</f>
        <v>0</v>
      </c>
      <c r="D148" s="33" t="n">
        <f aca="false">IF(B148="",0,N(Students!E137))</f>
        <v>0</v>
      </c>
      <c r="E148" s="23"/>
      <c r="F148" s="24" t="n">
        <f aca="false">N(C148)+N(D148)-N(E148)</f>
        <v>0</v>
      </c>
      <c r="G148" s="33" t="n">
        <f aca="false">'Aug 2027'!J148</f>
        <v>0</v>
      </c>
      <c r="H148" s="33" t="n">
        <f aca="false">IF(B148="",0,N(Students!F137))</f>
        <v>0</v>
      </c>
      <c r="I148" s="23"/>
      <c r="J148" s="24" t="n">
        <f aca="false">N(G148)+N(H148)-N(I148)</f>
        <v>0</v>
      </c>
      <c r="K148" s="33" t="n">
        <f aca="false">'Aug 2027'!N148</f>
        <v>0</v>
      </c>
      <c r="L148" s="33" t="n">
        <f aca="false">IF(B148="",0,N(Students!G137))</f>
        <v>0</v>
      </c>
      <c r="M148" s="23"/>
      <c r="N148" s="24" t="n">
        <f aca="false">N(K148)+N(L148)-N(M148)</f>
        <v>0</v>
      </c>
      <c r="O148" s="33" t="n">
        <f aca="false">'Aug 2027'!R148</f>
        <v>0</v>
      </c>
      <c r="P148" s="33" t="n">
        <f aca="false">IF(B148="",0,N(Students!H137))</f>
        <v>0</v>
      </c>
      <c r="Q148" s="23"/>
      <c r="R148" s="24" t="n">
        <f aca="false">N(O148)+N(P148)-N(Q148)</f>
        <v>0</v>
      </c>
      <c r="S148" s="33" t="n">
        <f aca="false">'Aug 2027'!V148</f>
        <v>0</v>
      </c>
      <c r="T148" s="33" t="n">
        <f aca="false">IF(B148="",0,N(Students!I137))</f>
        <v>0</v>
      </c>
      <c r="U148" s="23"/>
      <c r="V148" s="24" t="n">
        <f aca="false">N(S148)+N(T148)-N(U148)</f>
        <v>0</v>
      </c>
      <c r="W148" s="33" t="n">
        <f aca="false">'Aug 2027'!Z148</f>
        <v>0</v>
      </c>
      <c r="X148" s="33" t="n">
        <f aca="false">IF(B148="",0,N(Students!J137))</f>
        <v>0</v>
      </c>
      <c r="Y148" s="23"/>
      <c r="Z148" s="24" t="n">
        <f aca="false">N(W148)+N(X148)-N(Y148)</f>
        <v>0</v>
      </c>
      <c r="AA148" s="33" t="n">
        <f aca="false">N(E148)+N(I148)+N(M148)+N(Q148)+N(U148)+N(Y148)</f>
        <v>0</v>
      </c>
      <c r="AB148" s="24" t="n">
        <f aca="false">F148+J148+N148+R148+V148+Z148</f>
        <v>0</v>
      </c>
      <c r="AC148" s="81" t="str">
        <f aca="false">IF(B148="","",IF(AB148&lt;=0,"Clear",IF(AA148&gt;0,"Partial","Due")))</f>
        <v/>
      </c>
    </row>
    <row r="149" customFormat="false" ht="15" hidden="false" customHeight="false" outlineLevel="0" collapsed="false">
      <c r="A149" s="25" t="n">
        <v>134</v>
      </c>
      <c r="B149" s="82" t="str">
        <f aca="false">IF(Students!B138="","",Students!B138)</f>
        <v/>
      </c>
      <c r="C149" s="37" t="n">
        <f aca="false">'Aug 2027'!F149</f>
        <v>0</v>
      </c>
      <c r="D149" s="37" t="n">
        <f aca="false">IF(B149="",0,N(Students!E138))</f>
        <v>0</v>
      </c>
      <c r="E149" s="23"/>
      <c r="F149" s="26" t="n">
        <f aca="false">N(C149)+N(D149)-N(E149)</f>
        <v>0</v>
      </c>
      <c r="G149" s="37" t="n">
        <f aca="false">'Aug 2027'!J149</f>
        <v>0</v>
      </c>
      <c r="H149" s="37" t="n">
        <f aca="false">IF(B149="",0,N(Students!F138))</f>
        <v>0</v>
      </c>
      <c r="I149" s="23"/>
      <c r="J149" s="26" t="n">
        <f aca="false">N(G149)+N(H149)-N(I149)</f>
        <v>0</v>
      </c>
      <c r="K149" s="37" t="n">
        <f aca="false">'Aug 2027'!N149</f>
        <v>0</v>
      </c>
      <c r="L149" s="37" t="n">
        <f aca="false">IF(B149="",0,N(Students!G138))</f>
        <v>0</v>
      </c>
      <c r="M149" s="23"/>
      <c r="N149" s="26" t="n">
        <f aca="false">N(K149)+N(L149)-N(M149)</f>
        <v>0</v>
      </c>
      <c r="O149" s="37" t="n">
        <f aca="false">'Aug 2027'!R149</f>
        <v>0</v>
      </c>
      <c r="P149" s="37" t="n">
        <f aca="false">IF(B149="",0,N(Students!H138))</f>
        <v>0</v>
      </c>
      <c r="Q149" s="23"/>
      <c r="R149" s="26" t="n">
        <f aca="false">N(O149)+N(P149)-N(Q149)</f>
        <v>0</v>
      </c>
      <c r="S149" s="37" t="n">
        <f aca="false">'Aug 2027'!V149</f>
        <v>0</v>
      </c>
      <c r="T149" s="37" t="n">
        <f aca="false">IF(B149="",0,N(Students!I138))</f>
        <v>0</v>
      </c>
      <c r="U149" s="23"/>
      <c r="V149" s="26" t="n">
        <f aca="false">N(S149)+N(T149)-N(U149)</f>
        <v>0</v>
      </c>
      <c r="W149" s="37" t="n">
        <f aca="false">'Aug 2027'!Z149</f>
        <v>0</v>
      </c>
      <c r="X149" s="37" t="n">
        <f aca="false">IF(B149="",0,N(Students!J138))</f>
        <v>0</v>
      </c>
      <c r="Y149" s="23"/>
      <c r="Z149" s="26" t="n">
        <f aca="false">N(W149)+N(X149)-N(Y149)</f>
        <v>0</v>
      </c>
      <c r="AA149" s="37" t="n">
        <f aca="false">N(E149)+N(I149)+N(M149)+N(Q149)+N(U149)+N(Y149)</f>
        <v>0</v>
      </c>
      <c r="AB149" s="26" t="n">
        <f aca="false">F149+J149+N149+R149+V149+Z149</f>
        <v>0</v>
      </c>
      <c r="AC149" s="83" t="str">
        <f aca="false">IF(B149="","",IF(AB149&lt;=0,"Clear",IF(AA149&gt;0,"Partial","Due")))</f>
        <v/>
      </c>
    </row>
    <row r="150" customFormat="false" ht="15" hidden="false" customHeight="false" outlineLevel="0" collapsed="false">
      <c r="A150" s="21" t="n">
        <v>135</v>
      </c>
      <c r="B150" s="46" t="str">
        <f aca="false">IF(Students!B139="","",Students!B139)</f>
        <v/>
      </c>
      <c r="C150" s="33" t="n">
        <f aca="false">'Aug 2027'!F150</f>
        <v>0</v>
      </c>
      <c r="D150" s="33" t="n">
        <f aca="false">IF(B150="",0,N(Students!E139))</f>
        <v>0</v>
      </c>
      <c r="E150" s="23"/>
      <c r="F150" s="24" t="n">
        <f aca="false">N(C150)+N(D150)-N(E150)</f>
        <v>0</v>
      </c>
      <c r="G150" s="33" t="n">
        <f aca="false">'Aug 2027'!J150</f>
        <v>0</v>
      </c>
      <c r="H150" s="33" t="n">
        <f aca="false">IF(B150="",0,N(Students!F139))</f>
        <v>0</v>
      </c>
      <c r="I150" s="23"/>
      <c r="J150" s="24" t="n">
        <f aca="false">N(G150)+N(H150)-N(I150)</f>
        <v>0</v>
      </c>
      <c r="K150" s="33" t="n">
        <f aca="false">'Aug 2027'!N150</f>
        <v>0</v>
      </c>
      <c r="L150" s="33" t="n">
        <f aca="false">IF(B150="",0,N(Students!G139))</f>
        <v>0</v>
      </c>
      <c r="M150" s="23"/>
      <c r="N150" s="24" t="n">
        <f aca="false">N(K150)+N(L150)-N(M150)</f>
        <v>0</v>
      </c>
      <c r="O150" s="33" t="n">
        <f aca="false">'Aug 2027'!R150</f>
        <v>0</v>
      </c>
      <c r="P150" s="33" t="n">
        <f aca="false">IF(B150="",0,N(Students!H139))</f>
        <v>0</v>
      </c>
      <c r="Q150" s="23"/>
      <c r="R150" s="24" t="n">
        <f aca="false">N(O150)+N(P150)-N(Q150)</f>
        <v>0</v>
      </c>
      <c r="S150" s="33" t="n">
        <f aca="false">'Aug 2027'!V150</f>
        <v>0</v>
      </c>
      <c r="T150" s="33" t="n">
        <f aca="false">IF(B150="",0,N(Students!I139))</f>
        <v>0</v>
      </c>
      <c r="U150" s="23"/>
      <c r="V150" s="24" t="n">
        <f aca="false">N(S150)+N(T150)-N(U150)</f>
        <v>0</v>
      </c>
      <c r="W150" s="33" t="n">
        <f aca="false">'Aug 2027'!Z150</f>
        <v>0</v>
      </c>
      <c r="X150" s="33" t="n">
        <f aca="false">IF(B150="",0,N(Students!J139))</f>
        <v>0</v>
      </c>
      <c r="Y150" s="23"/>
      <c r="Z150" s="24" t="n">
        <f aca="false">N(W150)+N(X150)-N(Y150)</f>
        <v>0</v>
      </c>
      <c r="AA150" s="33" t="n">
        <f aca="false">N(E150)+N(I150)+N(M150)+N(Q150)+N(U150)+N(Y150)</f>
        <v>0</v>
      </c>
      <c r="AB150" s="24" t="n">
        <f aca="false">F150+J150+N150+R150+V150+Z150</f>
        <v>0</v>
      </c>
      <c r="AC150" s="81" t="str">
        <f aca="false">IF(B150="","",IF(AB150&lt;=0,"Clear",IF(AA150&gt;0,"Partial","Due")))</f>
        <v/>
      </c>
    </row>
    <row r="151" customFormat="false" ht="15" hidden="false" customHeight="false" outlineLevel="0" collapsed="false">
      <c r="A151" s="25" t="n">
        <v>136</v>
      </c>
      <c r="B151" s="82" t="str">
        <f aca="false">IF(Students!B140="","",Students!B140)</f>
        <v/>
      </c>
      <c r="C151" s="37" t="n">
        <f aca="false">'Aug 2027'!F151</f>
        <v>0</v>
      </c>
      <c r="D151" s="37" t="n">
        <f aca="false">IF(B151="",0,N(Students!E140))</f>
        <v>0</v>
      </c>
      <c r="E151" s="23"/>
      <c r="F151" s="26" t="n">
        <f aca="false">N(C151)+N(D151)-N(E151)</f>
        <v>0</v>
      </c>
      <c r="G151" s="37" t="n">
        <f aca="false">'Aug 2027'!J151</f>
        <v>0</v>
      </c>
      <c r="H151" s="37" t="n">
        <f aca="false">IF(B151="",0,N(Students!F140))</f>
        <v>0</v>
      </c>
      <c r="I151" s="23"/>
      <c r="J151" s="26" t="n">
        <f aca="false">N(G151)+N(H151)-N(I151)</f>
        <v>0</v>
      </c>
      <c r="K151" s="37" t="n">
        <f aca="false">'Aug 2027'!N151</f>
        <v>0</v>
      </c>
      <c r="L151" s="37" t="n">
        <f aca="false">IF(B151="",0,N(Students!G140))</f>
        <v>0</v>
      </c>
      <c r="M151" s="23"/>
      <c r="N151" s="26" t="n">
        <f aca="false">N(K151)+N(L151)-N(M151)</f>
        <v>0</v>
      </c>
      <c r="O151" s="37" t="n">
        <f aca="false">'Aug 2027'!R151</f>
        <v>0</v>
      </c>
      <c r="P151" s="37" t="n">
        <f aca="false">IF(B151="",0,N(Students!H140))</f>
        <v>0</v>
      </c>
      <c r="Q151" s="23"/>
      <c r="R151" s="26" t="n">
        <f aca="false">N(O151)+N(P151)-N(Q151)</f>
        <v>0</v>
      </c>
      <c r="S151" s="37" t="n">
        <f aca="false">'Aug 2027'!V151</f>
        <v>0</v>
      </c>
      <c r="T151" s="37" t="n">
        <f aca="false">IF(B151="",0,N(Students!I140))</f>
        <v>0</v>
      </c>
      <c r="U151" s="23"/>
      <c r="V151" s="26" t="n">
        <f aca="false">N(S151)+N(T151)-N(U151)</f>
        <v>0</v>
      </c>
      <c r="W151" s="37" t="n">
        <f aca="false">'Aug 2027'!Z151</f>
        <v>0</v>
      </c>
      <c r="X151" s="37" t="n">
        <f aca="false">IF(B151="",0,N(Students!J140))</f>
        <v>0</v>
      </c>
      <c r="Y151" s="23"/>
      <c r="Z151" s="26" t="n">
        <f aca="false">N(W151)+N(X151)-N(Y151)</f>
        <v>0</v>
      </c>
      <c r="AA151" s="37" t="n">
        <f aca="false">N(E151)+N(I151)+N(M151)+N(Q151)+N(U151)+N(Y151)</f>
        <v>0</v>
      </c>
      <c r="AB151" s="26" t="n">
        <f aca="false">F151+J151+N151+R151+V151+Z151</f>
        <v>0</v>
      </c>
      <c r="AC151" s="83" t="str">
        <f aca="false">IF(B151="","",IF(AB151&lt;=0,"Clear",IF(AA151&gt;0,"Partial","Due")))</f>
        <v/>
      </c>
    </row>
    <row r="152" customFormat="false" ht="15" hidden="false" customHeight="false" outlineLevel="0" collapsed="false">
      <c r="A152" s="21" t="n">
        <v>137</v>
      </c>
      <c r="B152" s="46" t="str">
        <f aca="false">IF(Students!B141="","",Students!B141)</f>
        <v/>
      </c>
      <c r="C152" s="33" t="n">
        <f aca="false">'Aug 2027'!F152</f>
        <v>0</v>
      </c>
      <c r="D152" s="33" t="n">
        <f aca="false">IF(B152="",0,N(Students!E141))</f>
        <v>0</v>
      </c>
      <c r="E152" s="23"/>
      <c r="F152" s="24" t="n">
        <f aca="false">N(C152)+N(D152)-N(E152)</f>
        <v>0</v>
      </c>
      <c r="G152" s="33" t="n">
        <f aca="false">'Aug 2027'!J152</f>
        <v>0</v>
      </c>
      <c r="H152" s="33" t="n">
        <f aca="false">IF(B152="",0,N(Students!F141))</f>
        <v>0</v>
      </c>
      <c r="I152" s="23"/>
      <c r="J152" s="24" t="n">
        <f aca="false">N(G152)+N(H152)-N(I152)</f>
        <v>0</v>
      </c>
      <c r="K152" s="33" t="n">
        <f aca="false">'Aug 2027'!N152</f>
        <v>0</v>
      </c>
      <c r="L152" s="33" t="n">
        <f aca="false">IF(B152="",0,N(Students!G141))</f>
        <v>0</v>
      </c>
      <c r="M152" s="23"/>
      <c r="N152" s="24" t="n">
        <f aca="false">N(K152)+N(L152)-N(M152)</f>
        <v>0</v>
      </c>
      <c r="O152" s="33" t="n">
        <f aca="false">'Aug 2027'!R152</f>
        <v>0</v>
      </c>
      <c r="P152" s="33" t="n">
        <f aca="false">IF(B152="",0,N(Students!H141))</f>
        <v>0</v>
      </c>
      <c r="Q152" s="23"/>
      <c r="R152" s="24" t="n">
        <f aca="false">N(O152)+N(P152)-N(Q152)</f>
        <v>0</v>
      </c>
      <c r="S152" s="33" t="n">
        <f aca="false">'Aug 2027'!V152</f>
        <v>0</v>
      </c>
      <c r="T152" s="33" t="n">
        <f aca="false">IF(B152="",0,N(Students!I141))</f>
        <v>0</v>
      </c>
      <c r="U152" s="23"/>
      <c r="V152" s="24" t="n">
        <f aca="false">N(S152)+N(T152)-N(U152)</f>
        <v>0</v>
      </c>
      <c r="W152" s="33" t="n">
        <f aca="false">'Aug 2027'!Z152</f>
        <v>0</v>
      </c>
      <c r="X152" s="33" t="n">
        <f aca="false">IF(B152="",0,N(Students!J141))</f>
        <v>0</v>
      </c>
      <c r="Y152" s="23"/>
      <c r="Z152" s="24" t="n">
        <f aca="false">N(W152)+N(X152)-N(Y152)</f>
        <v>0</v>
      </c>
      <c r="AA152" s="33" t="n">
        <f aca="false">N(E152)+N(I152)+N(M152)+N(Q152)+N(U152)+N(Y152)</f>
        <v>0</v>
      </c>
      <c r="AB152" s="24" t="n">
        <f aca="false">F152+J152+N152+R152+V152+Z152</f>
        <v>0</v>
      </c>
      <c r="AC152" s="81" t="str">
        <f aca="false">IF(B152="","",IF(AB152&lt;=0,"Clear",IF(AA152&gt;0,"Partial","Due")))</f>
        <v/>
      </c>
    </row>
    <row r="153" customFormat="false" ht="15" hidden="false" customHeight="false" outlineLevel="0" collapsed="false">
      <c r="A153" s="25" t="n">
        <v>138</v>
      </c>
      <c r="B153" s="82" t="str">
        <f aca="false">IF(Students!B142="","",Students!B142)</f>
        <v/>
      </c>
      <c r="C153" s="37" t="n">
        <f aca="false">'Aug 2027'!F153</f>
        <v>0</v>
      </c>
      <c r="D153" s="37" t="n">
        <f aca="false">IF(B153="",0,N(Students!E142))</f>
        <v>0</v>
      </c>
      <c r="E153" s="23"/>
      <c r="F153" s="26" t="n">
        <f aca="false">N(C153)+N(D153)-N(E153)</f>
        <v>0</v>
      </c>
      <c r="G153" s="37" t="n">
        <f aca="false">'Aug 2027'!J153</f>
        <v>0</v>
      </c>
      <c r="H153" s="37" t="n">
        <f aca="false">IF(B153="",0,N(Students!F142))</f>
        <v>0</v>
      </c>
      <c r="I153" s="23"/>
      <c r="J153" s="26" t="n">
        <f aca="false">N(G153)+N(H153)-N(I153)</f>
        <v>0</v>
      </c>
      <c r="K153" s="37" t="n">
        <f aca="false">'Aug 2027'!N153</f>
        <v>0</v>
      </c>
      <c r="L153" s="37" t="n">
        <f aca="false">IF(B153="",0,N(Students!G142))</f>
        <v>0</v>
      </c>
      <c r="M153" s="23"/>
      <c r="N153" s="26" t="n">
        <f aca="false">N(K153)+N(L153)-N(M153)</f>
        <v>0</v>
      </c>
      <c r="O153" s="37" t="n">
        <f aca="false">'Aug 2027'!R153</f>
        <v>0</v>
      </c>
      <c r="P153" s="37" t="n">
        <f aca="false">IF(B153="",0,N(Students!H142))</f>
        <v>0</v>
      </c>
      <c r="Q153" s="23"/>
      <c r="R153" s="26" t="n">
        <f aca="false">N(O153)+N(P153)-N(Q153)</f>
        <v>0</v>
      </c>
      <c r="S153" s="37" t="n">
        <f aca="false">'Aug 2027'!V153</f>
        <v>0</v>
      </c>
      <c r="T153" s="37" t="n">
        <f aca="false">IF(B153="",0,N(Students!I142))</f>
        <v>0</v>
      </c>
      <c r="U153" s="23"/>
      <c r="V153" s="26" t="n">
        <f aca="false">N(S153)+N(T153)-N(U153)</f>
        <v>0</v>
      </c>
      <c r="W153" s="37" t="n">
        <f aca="false">'Aug 2027'!Z153</f>
        <v>0</v>
      </c>
      <c r="X153" s="37" t="n">
        <f aca="false">IF(B153="",0,N(Students!J142))</f>
        <v>0</v>
      </c>
      <c r="Y153" s="23"/>
      <c r="Z153" s="26" t="n">
        <f aca="false">N(W153)+N(X153)-N(Y153)</f>
        <v>0</v>
      </c>
      <c r="AA153" s="37" t="n">
        <f aca="false">N(E153)+N(I153)+N(M153)+N(Q153)+N(U153)+N(Y153)</f>
        <v>0</v>
      </c>
      <c r="AB153" s="26" t="n">
        <f aca="false">F153+J153+N153+R153+V153+Z153</f>
        <v>0</v>
      </c>
      <c r="AC153" s="83" t="str">
        <f aca="false">IF(B153="","",IF(AB153&lt;=0,"Clear",IF(AA153&gt;0,"Partial","Due")))</f>
        <v/>
      </c>
    </row>
    <row r="154" customFormat="false" ht="15" hidden="false" customHeight="false" outlineLevel="0" collapsed="false">
      <c r="A154" s="21" t="n">
        <v>139</v>
      </c>
      <c r="B154" s="46" t="str">
        <f aca="false">IF(Students!B143="","",Students!B143)</f>
        <v/>
      </c>
      <c r="C154" s="33" t="n">
        <f aca="false">'Aug 2027'!F154</f>
        <v>0</v>
      </c>
      <c r="D154" s="33" t="n">
        <f aca="false">IF(B154="",0,N(Students!E143))</f>
        <v>0</v>
      </c>
      <c r="E154" s="23"/>
      <c r="F154" s="24" t="n">
        <f aca="false">N(C154)+N(D154)-N(E154)</f>
        <v>0</v>
      </c>
      <c r="G154" s="33" t="n">
        <f aca="false">'Aug 2027'!J154</f>
        <v>0</v>
      </c>
      <c r="H154" s="33" t="n">
        <f aca="false">IF(B154="",0,N(Students!F143))</f>
        <v>0</v>
      </c>
      <c r="I154" s="23"/>
      <c r="J154" s="24" t="n">
        <f aca="false">N(G154)+N(H154)-N(I154)</f>
        <v>0</v>
      </c>
      <c r="K154" s="33" t="n">
        <f aca="false">'Aug 2027'!N154</f>
        <v>0</v>
      </c>
      <c r="L154" s="33" t="n">
        <f aca="false">IF(B154="",0,N(Students!G143))</f>
        <v>0</v>
      </c>
      <c r="M154" s="23"/>
      <c r="N154" s="24" t="n">
        <f aca="false">N(K154)+N(L154)-N(M154)</f>
        <v>0</v>
      </c>
      <c r="O154" s="33" t="n">
        <f aca="false">'Aug 2027'!R154</f>
        <v>0</v>
      </c>
      <c r="P154" s="33" t="n">
        <f aca="false">IF(B154="",0,N(Students!H143))</f>
        <v>0</v>
      </c>
      <c r="Q154" s="23"/>
      <c r="R154" s="24" t="n">
        <f aca="false">N(O154)+N(P154)-N(Q154)</f>
        <v>0</v>
      </c>
      <c r="S154" s="33" t="n">
        <f aca="false">'Aug 2027'!V154</f>
        <v>0</v>
      </c>
      <c r="T154" s="33" t="n">
        <f aca="false">IF(B154="",0,N(Students!I143))</f>
        <v>0</v>
      </c>
      <c r="U154" s="23"/>
      <c r="V154" s="24" t="n">
        <f aca="false">N(S154)+N(T154)-N(U154)</f>
        <v>0</v>
      </c>
      <c r="W154" s="33" t="n">
        <f aca="false">'Aug 2027'!Z154</f>
        <v>0</v>
      </c>
      <c r="X154" s="33" t="n">
        <f aca="false">IF(B154="",0,N(Students!J143))</f>
        <v>0</v>
      </c>
      <c r="Y154" s="23"/>
      <c r="Z154" s="24" t="n">
        <f aca="false">N(W154)+N(X154)-N(Y154)</f>
        <v>0</v>
      </c>
      <c r="AA154" s="33" t="n">
        <f aca="false">N(E154)+N(I154)+N(M154)+N(Q154)+N(U154)+N(Y154)</f>
        <v>0</v>
      </c>
      <c r="AB154" s="24" t="n">
        <f aca="false">F154+J154+N154+R154+V154+Z154</f>
        <v>0</v>
      </c>
      <c r="AC154" s="81" t="str">
        <f aca="false">IF(B154="","",IF(AB154&lt;=0,"Clear",IF(AA154&gt;0,"Partial","Due")))</f>
        <v/>
      </c>
    </row>
    <row r="155" customFormat="false" ht="15" hidden="false" customHeight="false" outlineLevel="0" collapsed="false">
      <c r="A155" s="25" t="n">
        <v>140</v>
      </c>
      <c r="B155" s="82" t="str">
        <f aca="false">IF(Students!B144="","",Students!B144)</f>
        <v/>
      </c>
      <c r="C155" s="37" t="n">
        <f aca="false">'Aug 2027'!F155</f>
        <v>0</v>
      </c>
      <c r="D155" s="37" t="n">
        <f aca="false">IF(B155="",0,N(Students!E144))</f>
        <v>0</v>
      </c>
      <c r="E155" s="23"/>
      <c r="F155" s="26" t="n">
        <f aca="false">N(C155)+N(D155)-N(E155)</f>
        <v>0</v>
      </c>
      <c r="G155" s="37" t="n">
        <f aca="false">'Aug 2027'!J155</f>
        <v>0</v>
      </c>
      <c r="H155" s="37" t="n">
        <f aca="false">IF(B155="",0,N(Students!F144))</f>
        <v>0</v>
      </c>
      <c r="I155" s="23"/>
      <c r="J155" s="26" t="n">
        <f aca="false">N(G155)+N(H155)-N(I155)</f>
        <v>0</v>
      </c>
      <c r="K155" s="37" t="n">
        <f aca="false">'Aug 2027'!N155</f>
        <v>0</v>
      </c>
      <c r="L155" s="37" t="n">
        <f aca="false">IF(B155="",0,N(Students!G144))</f>
        <v>0</v>
      </c>
      <c r="M155" s="23"/>
      <c r="N155" s="26" t="n">
        <f aca="false">N(K155)+N(L155)-N(M155)</f>
        <v>0</v>
      </c>
      <c r="O155" s="37" t="n">
        <f aca="false">'Aug 2027'!R155</f>
        <v>0</v>
      </c>
      <c r="P155" s="37" t="n">
        <f aca="false">IF(B155="",0,N(Students!H144))</f>
        <v>0</v>
      </c>
      <c r="Q155" s="23"/>
      <c r="R155" s="26" t="n">
        <f aca="false">N(O155)+N(P155)-N(Q155)</f>
        <v>0</v>
      </c>
      <c r="S155" s="37" t="n">
        <f aca="false">'Aug 2027'!V155</f>
        <v>0</v>
      </c>
      <c r="T155" s="37" t="n">
        <f aca="false">IF(B155="",0,N(Students!I144))</f>
        <v>0</v>
      </c>
      <c r="U155" s="23"/>
      <c r="V155" s="26" t="n">
        <f aca="false">N(S155)+N(T155)-N(U155)</f>
        <v>0</v>
      </c>
      <c r="W155" s="37" t="n">
        <f aca="false">'Aug 2027'!Z155</f>
        <v>0</v>
      </c>
      <c r="X155" s="37" t="n">
        <f aca="false">IF(B155="",0,N(Students!J144))</f>
        <v>0</v>
      </c>
      <c r="Y155" s="23"/>
      <c r="Z155" s="26" t="n">
        <f aca="false">N(W155)+N(X155)-N(Y155)</f>
        <v>0</v>
      </c>
      <c r="AA155" s="37" t="n">
        <f aca="false">N(E155)+N(I155)+N(M155)+N(Q155)+N(U155)+N(Y155)</f>
        <v>0</v>
      </c>
      <c r="AB155" s="26" t="n">
        <f aca="false">F155+J155+N155+R155+V155+Z155</f>
        <v>0</v>
      </c>
      <c r="AC155" s="83" t="str">
        <f aca="false">IF(B155="","",IF(AB155&lt;=0,"Clear",IF(AA155&gt;0,"Partial","Due")))</f>
        <v/>
      </c>
    </row>
    <row r="156" customFormat="false" ht="15" hidden="false" customHeight="false" outlineLevel="0" collapsed="false">
      <c r="A156" s="21" t="n">
        <v>141</v>
      </c>
      <c r="B156" s="46" t="str">
        <f aca="false">IF(Students!B145="","",Students!B145)</f>
        <v/>
      </c>
      <c r="C156" s="33" t="n">
        <f aca="false">'Aug 2027'!F156</f>
        <v>0</v>
      </c>
      <c r="D156" s="33" t="n">
        <f aca="false">IF(B156="",0,N(Students!E145))</f>
        <v>0</v>
      </c>
      <c r="E156" s="23"/>
      <c r="F156" s="24" t="n">
        <f aca="false">N(C156)+N(D156)-N(E156)</f>
        <v>0</v>
      </c>
      <c r="G156" s="33" t="n">
        <f aca="false">'Aug 2027'!J156</f>
        <v>0</v>
      </c>
      <c r="H156" s="33" t="n">
        <f aca="false">IF(B156="",0,N(Students!F145))</f>
        <v>0</v>
      </c>
      <c r="I156" s="23"/>
      <c r="J156" s="24" t="n">
        <f aca="false">N(G156)+N(H156)-N(I156)</f>
        <v>0</v>
      </c>
      <c r="K156" s="33" t="n">
        <f aca="false">'Aug 2027'!N156</f>
        <v>0</v>
      </c>
      <c r="L156" s="33" t="n">
        <f aca="false">IF(B156="",0,N(Students!G145))</f>
        <v>0</v>
      </c>
      <c r="M156" s="23"/>
      <c r="N156" s="24" t="n">
        <f aca="false">N(K156)+N(L156)-N(M156)</f>
        <v>0</v>
      </c>
      <c r="O156" s="33" t="n">
        <f aca="false">'Aug 2027'!R156</f>
        <v>0</v>
      </c>
      <c r="P156" s="33" t="n">
        <f aca="false">IF(B156="",0,N(Students!H145))</f>
        <v>0</v>
      </c>
      <c r="Q156" s="23"/>
      <c r="R156" s="24" t="n">
        <f aca="false">N(O156)+N(P156)-N(Q156)</f>
        <v>0</v>
      </c>
      <c r="S156" s="33" t="n">
        <f aca="false">'Aug 2027'!V156</f>
        <v>0</v>
      </c>
      <c r="T156" s="33" t="n">
        <f aca="false">IF(B156="",0,N(Students!I145))</f>
        <v>0</v>
      </c>
      <c r="U156" s="23"/>
      <c r="V156" s="24" t="n">
        <f aca="false">N(S156)+N(T156)-N(U156)</f>
        <v>0</v>
      </c>
      <c r="W156" s="33" t="n">
        <f aca="false">'Aug 2027'!Z156</f>
        <v>0</v>
      </c>
      <c r="X156" s="33" t="n">
        <f aca="false">IF(B156="",0,N(Students!J145))</f>
        <v>0</v>
      </c>
      <c r="Y156" s="23"/>
      <c r="Z156" s="24" t="n">
        <f aca="false">N(W156)+N(X156)-N(Y156)</f>
        <v>0</v>
      </c>
      <c r="AA156" s="33" t="n">
        <f aca="false">N(E156)+N(I156)+N(M156)+N(Q156)+N(U156)+N(Y156)</f>
        <v>0</v>
      </c>
      <c r="AB156" s="24" t="n">
        <f aca="false">F156+J156+N156+R156+V156+Z156</f>
        <v>0</v>
      </c>
      <c r="AC156" s="81" t="str">
        <f aca="false">IF(B156="","",IF(AB156&lt;=0,"Clear",IF(AA156&gt;0,"Partial","Due")))</f>
        <v/>
      </c>
    </row>
    <row r="157" customFormat="false" ht="15" hidden="false" customHeight="false" outlineLevel="0" collapsed="false">
      <c r="A157" s="25" t="n">
        <v>142</v>
      </c>
      <c r="B157" s="82" t="str">
        <f aca="false">IF(Students!B146="","",Students!B146)</f>
        <v/>
      </c>
      <c r="C157" s="37" t="n">
        <f aca="false">'Aug 2027'!F157</f>
        <v>0</v>
      </c>
      <c r="D157" s="37" t="n">
        <f aca="false">IF(B157="",0,N(Students!E146))</f>
        <v>0</v>
      </c>
      <c r="E157" s="23"/>
      <c r="F157" s="26" t="n">
        <f aca="false">N(C157)+N(D157)-N(E157)</f>
        <v>0</v>
      </c>
      <c r="G157" s="37" t="n">
        <f aca="false">'Aug 2027'!J157</f>
        <v>0</v>
      </c>
      <c r="H157" s="37" t="n">
        <f aca="false">IF(B157="",0,N(Students!F146))</f>
        <v>0</v>
      </c>
      <c r="I157" s="23"/>
      <c r="J157" s="26" t="n">
        <f aca="false">N(G157)+N(H157)-N(I157)</f>
        <v>0</v>
      </c>
      <c r="K157" s="37" t="n">
        <f aca="false">'Aug 2027'!N157</f>
        <v>0</v>
      </c>
      <c r="L157" s="37" t="n">
        <f aca="false">IF(B157="",0,N(Students!G146))</f>
        <v>0</v>
      </c>
      <c r="M157" s="23"/>
      <c r="N157" s="26" t="n">
        <f aca="false">N(K157)+N(L157)-N(M157)</f>
        <v>0</v>
      </c>
      <c r="O157" s="37" t="n">
        <f aca="false">'Aug 2027'!R157</f>
        <v>0</v>
      </c>
      <c r="P157" s="37" t="n">
        <f aca="false">IF(B157="",0,N(Students!H146))</f>
        <v>0</v>
      </c>
      <c r="Q157" s="23"/>
      <c r="R157" s="26" t="n">
        <f aca="false">N(O157)+N(P157)-N(Q157)</f>
        <v>0</v>
      </c>
      <c r="S157" s="37" t="n">
        <f aca="false">'Aug 2027'!V157</f>
        <v>0</v>
      </c>
      <c r="T157" s="37" t="n">
        <f aca="false">IF(B157="",0,N(Students!I146))</f>
        <v>0</v>
      </c>
      <c r="U157" s="23"/>
      <c r="V157" s="26" t="n">
        <f aca="false">N(S157)+N(T157)-N(U157)</f>
        <v>0</v>
      </c>
      <c r="W157" s="37" t="n">
        <f aca="false">'Aug 2027'!Z157</f>
        <v>0</v>
      </c>
      <c r="X157" s="37" t="n">
        <f aca="false">IF(B157="",0,N(Students!J146))</f>
        <v>0</v>
      </c>
      <c r="Y157" s="23"/>
      <c r="Z157" s="26" t="n">
        <f aca="false">N(W157)+N(X157)-N(Y157)</f>
        <v>0</v>
      </c>
      <c r="AA157" s="37" t="n">
        <f aca="false">N(E157)+N(I157)+N(M157)+N(Q157)+N(U157)+N(Y157)</f>
        <v>0</v>
      </c>
      <c r="AB157" s="26" t="n">
        <f aca="false">F157+J157+N157+R157+V157+Z157</f>
        <v>0</v>
      </c>
      <c r="AC157" s="83" t="str">
        <f aca="false">IF(B157="","",IF(AB157&lt;=0,"Clear",IF(AA157&gt;0,"Partial","Due")))</f>
        <v/>
      </c>
    </row>
    <row r="158" customFormat="false" ht="15" hidden="false" customHeight="false" outlineLevel="0" collapsed="false">
      <c r="A158" s="21" t="n">
        <v>143</v>
      </c>
      <c r="B158" s="46" t="str">
        <f aca="false">IF(Students!B147="","",Students!B147)</f>
        <v/>
      </c>
      <c r="C158" s="33" t="n">
        <f aca="false">'Aug 2027'!F158</f>
        <v>0</v>
      </c>
      <c r="D158" s="33" t="n">
        <f aca="false">IF(B158="",0,N(Students!E147))</f>
        <v>0</v>
      </c>
      <c r="E158" s="23"/>
      <c r="F158" s="24" t="n">
        <f aca="false">N(C158)+N(D158)-N(E158)</f>
        <v>0</v>
      </c>
      <c r="G158" s="33" t="n">
        <f aca="false">'Aug 2027'!J158</f>
        <v>0</v>
      </c>
      <c r="H158" s="33" t="n">
        <f aca="false">IF(B158="",0,N(Students!F147))</f>
        <v>0</v>
      </c>
      <c r="I158" s="23"/>
      <c r="J158" s="24" t="n">
        <f aca="false">N(G158)+N(H158)-N(I158)</f>
        <v>0</v>
      </c>
      <c r="K158" s="33" t="n">
        <f aca="false">'Aug 2027'!N158</f>
        <v>0</v>
      </c>
      <c r="L158" s="33" t="n">
        <f aca="false">IF(B158="",0,N(Students!G147))</f>
        <v>0</v>
      </c>
      <c r="M158" s="23"/>
      <c r="N158" s="24" t="n">
        <f aca="false">N(K158)+N(L158)-N(M158)</f>
        <v>0</v>
      </c>
      <c r="O158" s="33" t="n">
        <f aca="false">'Aug 2027'!R158</f>
        <v>0</v>
      </c>
      <c r="P158" s="33" t="n">
        <f aca="false">IF(B158="",0,N(Students!H147))</f>
        <v>0</v>
      </c>
      <c r="Q158" s="23"/>
      <c r="R158" s="24" t="n">
        <f aca="false">N(O158)+N(P158)-N(Q158)</f>
        <v>0</v>
      </c>
      <c r="S158" s="33" t="n">
        <f aca="false">'Aug 2027'!V158</f>
        <v>0</v>
      </c>
      <c r="T158" s="33" t="n">
        <f aca="false">IF(B158="",0,N(Students!I147))</f>
        <v>0</v>
      </c>
      <c r="U158" s="23"/>
      <c r="V158" s="24" t="n">
        <f aca="false">N(S158)+N(T158)-N(U158)</f>
        <v>0</v>
      </c>
      <c r="W158" s="33" t="n">
        <f aca="false">'Aug 2027'!Z158</f>
        <v>0</v>
      </c>
      <c r="X158" s="33" t="n">
        <f aca="false">IF(B158="",0,N(Students!J147))</f>
        <v>0</v>
      </c>
      <c r="Y158" s="23"/>
      <c r="Z158" s="24" t="n">
        <f aca="false">N(W158)+N(X158)-N(Y158)</f>
        <v>0</v>
      </c>
      <c r="AA158" s="33" t="n">
        <f aca="false">N(E158)+N(I158)+N(M158)+N(Q158)+N(U158)+N(Y158)</f>
        <v>0</v>
      </c>
      <c r="AB158" s="24" t="n">
        <f aca="false">F158+J158+N158+R158+V158+Z158</f>
        <v>0</v>
      </c>
      <c r="AC158" s="81" t="str">
        <f aca="false">IF(B158="","",IF(AB158&lt;=0,"Clear",IF(AA158&gt;0,"Partial","Due")))</f>
        <v/>
      </c>
    </row>
    <row r="159" customFormat="false" ht="15" hidden="false" customHeight="false" outlineLevel="0" collapsed="false">
      <c r="A159" s="25" t="n">
        <v>144</v>
      </c>
      <c r="B159" s="82" t="str">
        <f aca="false">IF(Students!B148="","",Students!B148)</f>
        <v/>
      </c>
      <c r="C159" s="37" t="n">
        <f aca="false">'Aug 2027'!F159</f>
        <v>0</v>
      </c>
      <c r="D159" s="37" t="n">
        <f aca="false">IF(B159="",0,N(Students!E148))</f>
        <v>0</v>
      </c>
      <c r="E159" s="23"/>
      <c r="F159" s="26" t="n">
        <f aca="false">N(C159)+N(D159)-N(E159)</f>
        <v>0</v>
      </c>
      <c r="G159" s="37" t="n">
        <f aca="false">'Aug 2027'!J159</f>
        <v>0</v>
      </c>
      <c r="H159" s="37" t="n">
        <f aca="false">IF(B159="",0,N(Students!F148))</f>
        <v>0</v>
      </c>
      <c r="I159" s="23"/>
      <c r="J159" s="26" t="n">
        <f aca="false">N(G159)+N(H159)-N(I159)</f>
        <v>0</v>
      </c>
      <c r="K159" s="37" t="n">
        <f aca="false">'Aug 2027'!N159</f>
        <v>0</v>
      </c>
      <c r="L159" s="37" t="n">
        <f aca="false">IF(B159="",0,N(Students!G148))</f>
        <v>0</v>
      </c>
      <c r="M159" s="23"/>
      <c r="N159" s="26" t="n">
        <f aca="false">N(K159)+N(L159)-N(M159)</f>
        <v>0</v>
      </c>
      <c r="O159" s="37" t="n">
        <f aca="false">'Aug 2027'!R159</f>
        <v>0</v>
      </c>
      <c r="P159" s="37" t="n">
        <f aca="false">IF(B159="",0,N(Students!H148))</f>
        <v>0</v>
      </c>
      <c r="Q159" s="23"/>
      <c r="R159" s="26" t="n">
        <f aca="false">N(O159)+N(P159)-N(Q159)</f>
        <v>0</v>
      </c>
      <c r="S159" s="37" t="n">
        <f aca="false">'Aug 2027'!V159</f>
        <v>0</v>
      </c>
      <c r="T159" s="37" t="n">
        <f aca="false">IF(B159="",0,N(Students!I148))</f>
        <v>0</v>
      </c>
      <c r="U159" s="23"/>
      <c r="V159" s="26" t="n">
        <f aca="false">N(S159)+N(T159)-N(U159)</f>
        <v>0</v>
      </c>
      <c r="W159" s="37" t="n">
        <f aca="false">'Aug 2027'!Z159</f>
        <v>0</v>
      </c>
      <c r="X159" s="37" t="n">
        <f aca="false">IF(B159="",0,N(Students!J148))</f>
        <v>0</v>
      </c>
      <c r="Y159" s="23"/>
      <c r="Z159" s="26" t="n">
        <f aca="false">N(W159)+N(X159)-N(Y159)</f>
        <v>0</v>
      </c>
      <c r="AA159" s="37" t="n">
        <f aca="false">N(E159)+N(I159)+N(M159)+N(Q159)+N(U159)+N(Y159)</f>
        <v>0</v>
      </c>
      <c r="AB159" s="26" t="n">
        <f aca="false">F159+J159+N159+R159+V159+Z159</f>
        <v>0</v>
      </c>
      <c r="AC159" s="83" t="str">
        <f aca="false">IF(B159="","",IF(AB159&lt;=0,"Clear",IF(AA159&gt;0,"Partial","Due")))</f>
        <v/>
      </c>
    </row>
    <row r="160" customFormat="false" ht="15" hidden="false" customHeight="false" outlineLevel="0" collapsed="false">
      <c r="A160" s="21" t="n">
        <v>145</v>
      </c>
      <c r="B160" s="46" t="str">
        <f aca="false">IF(Students!B149="","",Students!B149)</f>
        <v/>
      </c>
      <c r="C160" s="33" t="n">
        <f aca="false">'Aug 2027'!F160</f>
        <v>0</v>
      </c>
      <c r="D160" s="33" t="n">
        <f aca="false">IF(B160="",0,N(Students!E149))</f>
        <v>0</v>
      </c>
      <c r="E160" s="23"/>
      <c r="F160" s="24" t="n">
        <f aca="false">N(C160)+N(D160)-N(E160)</f>
        <v>0</v>
      </c>
      <c r="G160" s="33" t="n">
        <f aca="false">'Aug 2027'!J160</f>
        <v>0</v>
      </c>
      <c r="H160" s="33" t="n">
        <f aca="false">IF(B160="",0,N(Students!F149))</f>
        <v>0</v>
      </c>
      <c r="I160" s="23"/>
      <c r="J160" s="24" t="n">
        <f aca="false">N(G160)+N(H160)-N(I160)</f>
        <v>0</v>
      </c>
      <c r="K160" s="33" t="n">
        <f aca="false">'Aug 2027'!N160</f>
        <v>0</v>
      </c>
      <c r="L160" s="33" t="n">
        <f aca="false">IF(B160="",0,N(Students!G149))</f>
        <v>0</v>
      </c>
      <c r="M160" s="23"/>
      <c r="N160" s="24" t="n">
        <f aca="false">N(K160)+N(L160)-N(M160)</f>
        <v>0</v>
      </c>
      <c r="O160" s="33" t="n">
        <f aca="false">'Aug 2027'!R160</f>
        <v>0</v>
      </c>
      <c r="P160" s="33" t="n">
        <f aca="false">IF(B160="",0,N(Students!H149))</f>
        <v>0</v>
      </c>
      <c r="Q160" s="23"/>
      <c r="R160" s="24" t="n">
        <f aca="false">N(O160)+N(P160)-N(Q160)</f>
        <v>0</v>
      </c>
      <c r="S160" s="33" t="n">
        <f aca="false">'Aug 2027'!V160</f>
        <v>0</v>
      </c>
      <c r="T160" s="33" t="n">
        <f aca="false">IF(B160="",0,N(Students!I149))</f>
        <v>0</v>
      </c>
      <c r="U160" s="23"/>
      <c r="V160" s="24" t="n">
        <f aca="false">N(S160)+N(T160)-N(U160)</f>
        <v>0</v>
      </c>
      <c r="W160" s="33" t="n">
        <f aca="false">'Aug 2027'!Z160</f>
        <v>0</v>
      </c>
      <c r="X160" s="33" t="n">
        <f aca="false">IF(B160="",0,N(Students!J149))</f>
        <v>0</v>
      </c>
      <c r="Y160" s="23"/>
      <c r="Z160" s="24" t="n">
        <f aca="false">N(W160)+N(X160)-N(Y160)</f>
        <v>0</v>
      </c>
      <c r="AA160" s="33" t="n">
        <f aca="false">N(E160)+N(I160)+N(M160)+N(Q160)+N(U160)+N(Y160)</f>
        <v>0</v>
      </c>
      <c r="AB160" s="24" t="n">
        <f aca="false">F160+J160+N160+R160+V160+Z160</f>
        <v>0</v>
      </c>
      <c r="AC160" s="81" t="str">
        <f aca="false">IF(B160="","",IF(AB160&lt;=0,"Clear",IF(AA160&gt;0,"Partial","Due")))</f>
        <v/>
      </c>
    </row>
    <row r="161" customFormat="false" ht="15" hidden="false" customHeight="false" outlineLevel="0" collapsed="false">
      <c r="A161" s="25" t="n">
        <v>146</v>
      </c>
      <c r="B161" s="82" t="str">
        <f aca="false">IF(Students!B150="","",Students!B150)</f>
        <v/>
      </c>
      <c r="C161" s="37" t="n">
        <f aca="false">'Aug 2027'!F161</f>
        <v>0</v>
      </c>
      <c r="D161" s="37" t="n">
        <f aca="false">IF(B161="",0,N(Students!E150))</f>
        <v>0</v>
      </c>
      <c r="E161" s="23"/>
      <c r="F161" s="26" t="n">
        <f aca="false">N(C161)+N(D161)-N(E161)</f>
        <v>0</v>
      </c>
      <c r="G161" s="37" t="n">
        <f aca="false">'Aug 2027'!J161</f>
        <v>0</v>
      </c>
      <c r="H161" s="37" t="n">
        <f aca="false">IF(B161="",0,N(Students!F150))</f>
        <v>0</v>
      </c>
      <c r="I161" s="23"/>
      <c r="J161" s="26" t="n">
        <f aca="false">N(G161)+N(H161)-N(I161)</f>
        <v>0</v>
      </c>
      <c r="K161" s="37" t="n">
        <f aca="false">'Aug 2027'!N161</f>
        <v>0</v>
      </c>
      <c r="L161" s="37" t="n">
        <f aca="false">IF(B161="",0,N(Students!G150))</f>
        <v>0</v>
      </c>
      <c r="M161" s="23"/>
      <c r="N161" s="26" t="n">
        <f aca="false">N(K161)+N(L161)-N(M161)</f>
        <v>0</v>
      </c>
      <c r="O161" s="37" t="n">
        <f aca="false">'Aug 2027'!R161</f>
        <v>0</v>
      </c>
      <c r="P161" s="37" t="n">
        <f aca="false">IF(B161="",0,N(Students!H150))</f>
        <v>0</v>
      </c>
      <c r="Q161" s="23"/>
      <c r="R161" s="26" t="n">
        <f aca="false">N(O161)+N(P161)-N(Q161)</f>
        <v>0</v>
      </c>
      <c r="S161" s="37" t="n">
        <f aca="false">'Aug 2027'!V161</f>
        <v>0</v>
      </c>
      <c r="T161" s="37" t="n">
        <f aca="false">IF(B161="",0,N(Students!I150))</f>
        <v>0</v>
      </c>
      <c r="U161" s="23"/>
      <c r="V161" s="26" t="n">
        <f aca="false">N(S161)+N(T161)-N(U161)</f>
        <v>0</v>
      </c>
      <c r="W161" s="37" t="n">
        <f aca="false">'Aug 2027'!Z161</f>
        <v>0</v>
      </c>
      <c r="X161" s="37" t="n">
        <f aca="false">IF(B161="",0,N(Students!J150))</f>
        <v>0</v>
      </c>
      <c r="Y161" s="23"/>
      <c r="Z161" s="26" t="n">
        <f aca="false">N(W161)+N(X161)-N(Y161)</f>
        <v>0</v>
      </c>
      <c r="AA161" s="37" t="n">
        <f aca="false">N(E161)+N(I161)+N(M161)+N(Q161)+N(U161)+N(Y161)</f>
        <v>0</v>
      </c>
      <c r="AB161" s="26" t="n">
        <f aca="false">F161+J161+N161+R161+V161+Z161</f>
        <v>0</v>
      </c>
      <c r="AC161" s="83" t="str">
        <f aca="false">IF(B161="","",IF(AB161&lt;=0,"Clear",IF(AA161&gt;0,"Partial","Due")))</f>
        <v/>
      </c>
    </row>
    <row r="162" customFormat="false" ht="15" hidden="false" customHeight="false" outlineLevel="0" collapsed="false">
      <c r="A162" s="21" t="n">
        <v>147</v>
      </c>
      <c r="B162" s="46" t="str">
        <f aca="false">IF(Students!B151="","",Students!B151)</f>
        <v/>
      </c>
      <c r="C162" s="33" t="n">
        <f aca="false">'Aug 2027'!F162</f>
        <v>0</v>
      </c>
      <c r="D162" s="33" t="n">
        <f aca="false">IF(B162="",0,N(Students!E151))</f>
        <v>0</v>
      </c>
      <c r="E162" s="23"/>
      <c r="F162" s="24" t="n">
        <f aca="false">N(C162)+N(D162)-N(E162)</f>
        <v>0</v>
      </c>
      <c r="G162" s="33" t="n">
        <f aca="false">'Aug 2027'!J162</f>
        <v>0</v>
      </c>
      <c r="H162" s="33" t="n">
        <f aca="false">IF(B162="",0,N(Students!F151))</f>
        <v>0</v>
      </c>
      <c r="I162" s="23"/>
      <c r="J162" s="24" t="n">
        <f aca="false">N(G162)+N(H162)-N(I162)</f>
        <v>0</v>
      </c>
      <c r="K162" s="33" t="n">
        <f aca="false">'Aug 2027'!N162</f>
        <v>0</v>
      </c>
      <c r="L162" s="33" t="n">
        <f aca="false">IF(B162="",0,N(Students!G151))</f>
        <v>0</v>
      </c>
      <c r="M162" s="23"/>
      <c r="N162" s="24" t="n">
        <f aca="false">N(K162)+N(L162)-N(M162)</f>
        <v>0</v>
      </c>
      <c r="O162" s="33" t="n">
        <f aca="false">'Aug 2027'!R162</f>
        <v>0</v>
      </c>
      <c r="P162" s="33" t="n">
        <f aca="false">IF(B162="",0,N(Students!H151))</f>
        <v>0</v>
      </c>
      <c r="Q162" s="23"/>
      <c r="R162" s="24" t="n">
        <f aca="false">N(O162)+N(P162)-N(Q162)</f>
        <v>0</v>
      </c>
      <c r="S162" s="33" t="n">
        <f aca="false">'Aug 2027'!V162</f>
        <v>0</v>
      </c>
      <c r="T162" s="33" t="n">
        <f aca="false">IF(B162="",0,N(Students!I151))</f>
        <v>0</v>
      </c>
      <c r="U162" s="23"/>
      <c r="V162" s="24" t="n">
        <f aca="false">N(S162)+N(T162)-N(U162)</f>
        <v>0</v>
      </c>
      <c r="W162" s="33" t="n">
        <f aca="false">'Aug 2027'!Z162</f>
        <v>0</v>
      </c>
      <c r="X162" s="33" t="n">
        <f aca="false">IF(B162="",0,N(Students!J151))</f>
        <v>0</v>
      </c>
      <c r="Y162" s="23"/>
      <c r="Z162" s="24" t="n">
        <f aca="false">N(W162)+N(X162)-N(Y162)</f>
        <v>0</v>
      </c>
      <c r="AA162" s="33" t="n">
        <f aca="false">N(E162)+N(I162)+N(M162)+N(Q162)+N(U162)+N(Y162)</f>
        <v>0</v>
      </c>
      <c r="AB162" s="24" t="n">
        <f aca="false">F162+J162+N162+R162+V162+Z162</f>
        <v>0</v>
      </c>
      <c r="AC162" s="81" t="str">
        <f aca="false">IF(B162="","",IF(AB162&lt;=0,"Clear",IF(AA162&gt;0,"Partial","Due")))</f>
        <v/>
      </c>
    </row>
    <row r="163" customFormat="false" ht="15" hidden="false" customHeight="false" outlineLevel="0" collapsed="false">
      <c r="A163" s="25" t="n">
        <v>148</v>
      </c>
      <c r="B163" s="82" t="str">
        <f aca="false">IF(Students!B152="","",Students!B152)</f>
        <v/>
      </c>
      <c r="C163" s="37" t="n">
        <f aca="false">'Aug 2027'!F163</f>
        <v>0</v>
      </c>
      <c r="D163" s="37" t="n">
        <f aca="false">IF(B163="",0,N(Students!E152))</f>
        <v>0</v>
      </c>
      <c r="E163" s="23"/>
      <c r="F163" s="26" t="n">
        <f aca="false">N(C163)+N(D163)-N(E163)</f>
        <v>0</v>
      </c>
      <c r="G163" s="37" t="n">
        <f aca="false">'Aug 2027'!J163</f>
        <v>0</v>
      </c>
      <c r="H163" s="37" t="n">
        <f aca="false">IF(B163="",0,N(Students!F152))</f>
        <v>0</v>
      </c>
      <c r="I163" s="23"/>
      <c r="J163" s="26" t="n">
        <f aca="false">N(G163)+N(H163)-N(I163)</f>
        <v>0</v>
      </c>
      <c r="K163" s="37" t="n">
        <f aca="false">'Aug 2027'!N163</f>
        <v>0</v>
      </c>
      <c r="L163" s="37" t="n">
        <f aca="false">IF(B163="",0,N(Students!G152))</f>
        <v>0</v>
      </c>
      <c r="M163" s="23"/>
      <c r="N163" s="26" t="n">
        <f aca="false">N(K163)+N(L163)-N(M163)</f>
        <v>0</v>
      </c>
      <c r="O163" s="37" t="n">
        <f aca="false">'Aug 2027'!R163</f>
        <v>0</v>
      </c>
      <c r="P163" s="37" t="n">
        <f aca="false">IF(B163="",0,N(Students!H152))</f>
        <v>0</v>
      </c>
      <c r="Q163" s="23"/>
      <c r="R163" s="26" t="n">
        <f aca="false">N(O163)+N(P163)-N(Q163)</f>
        <v>0</v>
      </c>
      <c r="S163" s="37" t="n">
        <f aca="false">'Aug 2027'!V163</f>
        <v>0</v>
      </c>
      <c r="T163" s="37" t="n">
        <f aca="false">IF(B163="",0,N(Students!I152))</f>
        <v>0</v>
      </c>
      <c r="U163" s="23"/>
      <c r="V163" s="26" t="n">
        <f aca="false">N(S163)+N(T163)-N(U163)</f>
        <v>0</v>
      </c>
      <c r="W163" s="37" t="n">
        <f aca="false">'Aug 2027'!Z163</f>
        <v>0</v>
      </c>
      <c r="X163" s="37" t="n">
        <f aca="false">IF(B163="",0,N(Students!J152))</f>
        <v>0</v>
      </c>
      <c r="Y163" s="23"/>
      <c r="Z163" s="26" t="n">
        <f aca="false">N(W163)+N(X163)-N(Y163)</f>
        <v>0</v>
      </c>
      <c r="AA163" s="37" t="n">
        <f aca="false">N(E163)+N(I163)+N(M163)+N(Q163)+N(U163)+N(Y163)</f>
        <v>0</v>
      </c>
      <c r="AB163" s="26" t="n">
        <f aca="false">F163+J163+N163+R163+V163+Z163</f>
        <v>0</v>
      </c>
      <c r="AC163" s="83" t="str">
        <f aca="false">IF(B163="","",IF(AB163&lt;=0,"Clear",IF(AA163&gt;0,"Partial","Due")))</f>
        <v/>
      </c>
    </row>
    <row r="164" customFormat="false" ht="15" hidden="false" customHeight="false" outlineLevel="0" collapsed="false">
      <c r="A164" s="21" t="n">
        <v>149</v>
      </c>
      <c r="B164" s="46" t="str">
        <f aca="false">IF(Students!B153="","",Students!B153)</f>
        <v/>
      </c>
      <c r="C164" s="33" t="n">
        <f aca="false">'Aug 2027'!F164</f>
        <v>0</v>
      </c>
      <c r="D164" s="33" t="n">
        <f aca="false">IF(B164="",0,N(Students!E153))</f>
        <v>0</v>
      </c>
      <c r="E164" s="23"/>
      <c r="F164" s="24" t="n">
        <f aca="false">N(C164)+N(D164)-N(E164)</f>
        <v>0</v>
      </c>
      <c r="G164" s="33" t="n">
        <f aca="false">'Aug 2027'!J164</f>
        <v>0</v>
      </c>
      <c r="H164" s="33" t="n">
        <f aca="false">IF(B164="",0,N(Students!F153))</f>
        <v>0</v>
      </c>
      <c r="I164" s="23"/>
      <c r="J164" s="24" t="n">
        <f aca="false">N(G164)+N(H164)-N(I164)</f>
        <v>0</v>
      </c>
      <c r="K164" s="33" t="n">
        <f aca="false">'Aug 2027'!N164</f>
        <v>0</v>
      </c>
      <c r="L164" s="33" t="n">
        <f aca="false">IF(B164="",0,N(Students!G153))</f>
        <v>0</v>
      </c>
      <c r="M164" s="23"/>
      <c r="N164" s="24" t="n">
        <f aca="false">N(K164)+N(L164)-N(M164)</f>
        <v>0</v>
      </c>
      <c r="O164" s="33" t="n">
        <f aca="false">'Aug 2027'!R164</f>
        <v>0</v>
      </c>
      <c r="P164" s="33" t="n">
        <f aca="false">IF(B164="",0,N(Students!H153))</f>
        <v>0</v>
      </c>
      <c r="Q164" s="23"/>
      <c r="R164" s="24" t="n">
        <f aca="false">N(O164)+N(P164)-N(Q164)</f>
        <v>0</v>
      </c>
      <c r="S164" s="33" t="n">
        <f aca="false">'Aug 2027'!V164</f>
        <v>0</v>
      </c>
      <c r="T164" s="33" t="n">
        <f aca="false">IF(B164="",0,N(Students!I153))</f>
        <v>0</v>
      </c>
      <c r="U164" s="23"/>
      <c r="V164" s="24" t="n">
        <f aca="false">N(S164)+N(T164)-N(U164)</f>
        <v>0</v>
      </c>
      <c r="W164" s="33" t="n">
        <f aca="false">'Aug 2027'!Z164</f>
        <v>0</v>
      </c>
      <c r="X164" s="33" t="n">
        <f aca="false">IF(B164="",0,N(Students!J153))</f>
        <v>0</v>
      </c>
      <c r="Y164" s="23"/>
      <c r="Z164" s="24" t="n">
        <f aca="false">N(W164)+N(X164)-N(Y164)</f>
        <v>0</v>
      </c>
      <c r="AA164" s="33" t="n">
        <f aca="false">N(E164)+N(I164)+N(M164)+N(Q164)+N(U164)+N(Y164)</f>
        <v>0</v>
      </c>
      <c r="AB164" s="24" t="n">
        <f aca="false">F164+J164+N164+R164+V164+Z164</f>
        <v>0</v>
      </c>
      <c r="AC164" s="81" t="str">
        <f aca="false">IF(B164="","",IF(AB164&lt;=0,"Clear",IF(AA164&gt;0,"Partial","Due")))</f>
        <v/>
      </c>
    </row>
    <row r="165" customFormat="false" ht="15" hidden="false" customHeight="false" outlineLevel="0" collapsed="false">
      <c r="A165" s="25" t="n">
        <v>150</v>
      </c>
      <c r="B165" s="82" t="str">
        <f aca="false">IF(Students!B154="","",Students!B154)</f>
        <v/>
      </c>
      <c r="C165" s="37" t="n">
        <f aca="false">'Aug 2027'!F165</f>
        <v>0</v>
      </c>
      <c r="D165" s="37" t="n">
        <f aca="false">IF(B165="",0,N(Students!E154))</f>
        <v>0</v>
      </c>
      <c r="E165" s="23"/>
      <c r="F165" s="26" t="n">
        <f aca="false">N(C165)+N(D165)-N(E165)</f>
        <v>0</v>
      </c>
      <c r="G165" s="37" t="n">
        <f aca="false">'Aug 2027'!J165</f>
        <v>0</v>
      </c>
      <c r="H165" s="37" t="n">
        <f aca="false">IF(B165="",0,N(Students!F154))</f>
        <v>0</v>
      </c>
      <c r="I165" s="23"/>
      <c r="J165" s="26" t="n">
        <f aca="false">N(G165)+N(H165)-N(I165)</f>
        <v>0</v>
      </c>
      <c r="K165" s="37" t="n">
        <f aca="false">'Aug 2027'!N165</f>
        <v>0</v>
      </c>
      <c r="L165" s="37" t="n">
        <f aca="false">IF(B165="",0,N(Students!G154))</f>
        <v>0</v>
      </c>
      <c r="M165" s="23"/>
      <c r="N165" s="26" t="n">
        <f aca="false">N(K165)+N(L165)-N(M165)</f>
        <v>0</v>
      </c>
      <c r="O165" s="37" t="n">
        <f aca="false">'Aug 2027'!R165</f>
        <v>0</v>
      </c>
      <c r="P165" s="37" t="n">
        <f aca="false">IF(B165="",0,N(Students!H154))</f>
        <v>0</v>
      </c>
      <c r="Q165" s="23"/>
      <c r="R165" s="26" t="n">
        <f aca="false">N(O165)+N(P165)-N(Q165)</f>
        <v>0</v>
      </c>
      <c r="S165" s="37" t="n">
        <f aca="false">'Aug 2027'!V165</f>
        <v>0</v>
      </c>
      <c r="T165" s="37" t="n">
        <f aca="false">IF(B165="",0,N(Students!I154))</f>
        <v>0</v>
      </c>
      <c r="U165" s="23"/>
      <c r="V165" s="26" t="n">
        <f aca="false">N(S165)+N(T165)-N(U165)</f>
        <v>0</v>
      </c>
      <c r="W165" s="37" t="n">
        <f aca="false">'Aug 2027'!Z165</f>
        <v>0</v>
      </c>
      <c r="X165" s="37" t="n">
        <f aca="false">IF(B165="",0,N(Students!J154))</f>
        <v>0</v>
      </c>
      <c r="Y165" s="23"/>
      <c r="Z165" s="26" t="n">
        <f aca="false">N(W165)+N(X165)-N(Y165)</f>
        <v>0</v>
      </c>
      <c r="AA165" s="37" t="n">
        <f aca="false">N(E165)+N(I165)+N(M165)+N(Q165)+N(U165)+N(Y165)</f>
        <v>0</v>
      </c>
      <c r="AB165" s="26" t="n">
        <f aca="false">F165+J165+N165+R165+V165+Z165</f>
        <v>0</v>
      </c>
      <c r="AC165" s="83" t="str">
        <f aca="false">IF(B165="","",IF(AB165&lt;=0,"Clear",IF(AA165&gt;0,"Partial","Due")))</f>
        <v/>
      </c>
    </row>
    <row r="166" customFormat="false" ht="15" hidden="false" customHeight="true" outlineLevel="0" collapsed="false">
      <c r="A166" s="4" t="s">
        <v>79</v>
      </c>
      <c r="B166" s="4"/>
      <c r="C166" s="41" t="n">
        <f aca="false">SUM(C16:C165)</f>
        <v>0</v>
      </c>
      <c r="D166" s="41" t="n">
        <f aca="false">SUM(D16:D165)</f>
        <v>0</v>
      </c>
      <c r="E166" s="41" t="n">
        <f aca="false">SUM(E16:E165)</f>
        <v>0</v>
      </c>
      <c r="F166" s="41" t="n">
        <f aca="false">SUM(F16:F165)</f>
        <v>0</v>
      </c>
      <c r="G166" s="41" t="n">
        <f aca="false">SUM(G16:G165)</f>
        <v>20000</v>
      </c>
      <c r="H166" s="41" t="n">
        <f aca="false">SUM(H16:H165)</f>
        <v>2000</v>
      </c>
      <c r="I166" s="41" t="n">
        <f aca="false">SUM(I16:I165)</f>
        <v>0</v>
      </c>
      <c r="J166" s="41" t="n">
        <f aca="false">SUM(J16:J165)</f>
        <v>22000</v>
      </c>
      <c r="K166" s="41" t="n">
        <f aca="false">SUM(K16:K165)</f>
        <v>0</v>
      </c>
      <c r="L166" s="41" t="n">
        <f aca="false">SUM(L16:L165)</f>
        <v>0</v>
      </c>
      <c r="M166" s="41" t="n">
        <f aca="false">SUM(M16:M165)</f>
        <v>0</v>
      </c>
      <c r="N166" s="41" t="n">
        <f aca="false">SUM(N16:N165)</f>
        <v>0</v>
      </c>
      <c r="O166" s="41" t="n">
        <f aca="false">SUM(O16:O165)</f>
        <v>15500</v>
      </c>
      <c r="P166" s="41" t="n">
        <f aca="false">SUM(P16:P165)</f>
        <v>1500</v>
      </c>
      <c r="Q166" s="41" t="n">
        <f aca="false">SUM(Q16:Q165)</f>
        <v>0</v>
      </c>
      <c r="R166" s="41" t="n">
        <f aca="false">SUM(R16:R165)</f>
        <v>17000</v>
      </c>
      <c r="S166" s="41" t="n">
        <f aca="false">SUM(S16:S165)</f>
        <v>0</v>
      </c>
      <c r="T166" s="41" t="n">
        <f aca="false">SUM(T16:T165)</f>
        <v>0</v>
      </c>
      <c r="U166" s="41" t="n">
        <f aca="false">SUM(U16:U165)</f>
        <v>0</v>
      </c>
      <c r="V166" s="41" t="n">
        <f aca="false">SUM(V16:V165)</f>
        <v>0</v>
      </c>
      <c r="W166" s="41" t="n">
        <f aca="false">SUM(W16:W165)</f>
        <v>0</v>
      </c>
      <c r="X166" s="41" t="n">
        <f aca="false">SUM(X16:X165)</f>
        <v>0</v>
      </c>
      <c r="Y166" s="41" t="n">
        <f aca="false">SUM(Y16:Y165)</f>
        <v>0</v>
      </c>
      <c r="Z166" s="41" t="n">
        <f aca="false">SUM(Z16:Z165)</f>
        <v>0</v>
      </c>
      <c r="AA166" s="41" t="n">
        <f aca="false">SUM(AA16:AA165)</f>
        <v>0</v>
      </c>
      <c r="AB166" s="41" t="n">
        <f aca="false">SUM(AB16:AB165)</f>
        <v>39000</v>
      </c>
      <c r="AC166" s="43"/>
    </row>
  </sheetData>
  <mergeCells count="34">
    <mergeCell ref="A1:AC1"/>
    <mergeCell ref="A2:AC2"/>
    <mergeCell ref="B4:I4"/>
    <mergeCell ref="K4:N4"/>
    <mergeCell ref="C5:D5"/>
    <mergeCell ref="K5:M5"/>
    <mergeCell ref="P5:R5"/>
    <mergeCell ref="T5:V5"/>
    <mergeCell ref="X5:Z5"/>
    <mergeCell ref="C6:D6"/>
    <mergeCell ref="K6:M6"/>
    <mergeCell ref="P6:R7"/>
    <mergeCell ref="T6:V7"/>
    <mergeCell ref="X6:Z7"/>
    <mergeCell ref="C7:D7"/>
    <mergeCell ref="K7:M7"/>
    <mergeCell ref="C8:D8"/>
    <mergeCell ref="K8:M8"/>
    <mergeCell ref="C9:D9"/>
    <mergeCell ref="P9:Z9"/>
    <mergeCell ref="C10:D10"/>
    <mergeCell ref="K10:M10"/>
    <mergeCell ref="C11:D11"/>
    <mergeCell ref="K11:N11"/>
    <mergeCell ref="C12:D12"/>
    <mergeCell ref="A14:B14"/>
    <mergeCell ref="C14:F14"/>
    <mergeCell ref="G14:J14"/>
    <mergeCell ref="K14:N14"/>
    <mergeCell ref="O14:R14"/>
    <mergeCell ref="S14:V14"/>
    <mergeCell ref="W14:Z14"/>
    <mergeCell ref="AA14:AC14"/>
    <mergeCell ref="A166:B166"/>
  </mergeCells>
  <conditionalFormatting sqref="AC16:AC165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F16:F165 J16:J165 N16:N165 R16:R165 V16:V165 Z16:Z165 AB16:AB165">
    <cfRule type="cellIs" priority="5" operator="greaterThan" aboveAverage="0" equalAverage="0" bottom="0" percent="0" rank="0" text="" dxfId="0">
      <formula>0</formula>
    </cfRule>
  </conditionalFormatting>
  <conditionalFormatting sqref="N10">
    <cfRule type="cellIs" priority="6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2026-10-08T11:48:47Z</dcterms:created>
  <dc:creator>openpyxl</dc:creator>
  <dc:description/>
  <dc:language>en-US</dc:language>
  <cp:lastModifiedBy/>
  <dcterms:modified xsi:type="dcterms:W3CDTF">2026-10-08T11:48:53Z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