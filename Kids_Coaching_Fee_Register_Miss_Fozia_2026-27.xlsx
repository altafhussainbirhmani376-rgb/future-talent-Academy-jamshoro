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tup" sheetId="1" state="visible" r:id="rId3"/>
    <sheet name="Students" sheetId="2" state="visible" r:id="rId4"/>
    <sheet name="Year Summary" sheetId="3" state="visible" r:id="rId5"/>
    <sheet name="Oct 2026" sheetId="4" state="visible" r:id="rId6"/>
    <sheet name="Nov 2026" sheetId="5" state="visible" r:id="rId7"/>
    <sheet name="Dec 2026" sheetId="6" state="visible" r:id="rId8"/>
    <sheet name="Jan 2027" sheetId="7" state="visible" r:id="rId9"/>
    <sheet name="Feb 2027" sheetId="8" state="visible" r:id="rId10"/>
    <sheet name="Mar 2027" sheetId="9" state="visible" r:id="rId11"/>
    <sheet name="Apr 2027" sheetId="10" state="visible" r:id="rId12"/>
    <sheet name="May 2027" sheetId="11" state="visible" r:id="rId13"/>
    <sheet name="Jun 2027" sheetId="12" state="visible" r:id="rId14"/>
    <sheet name="Jul 2027" sheetId="13" state="visible" r:id="rId15"/>
    <sheet name="Aug 2027" sheetId="14" state="visible" r:id="rId16"/>
    <sheet name="Sep 2027" sheetId="15" state="visible" r:id="rId17"/>
  </sheets>
  <definedNames>
    <definedName function="false" hidden="false" localSheetId="9" name="_xlnm.Print_Titles" vbProcedure="false">'Apr 2027'!$12:$12</definedName>
    <definedName function="false" hidden="false" localSheetId="13" name="_xlnm.Print_Titles" vbProcedure="false">'Aug 2027'!$12:$12</definedName>
    <definedName function="false" hidden="false" localSheetId="5" name="_xlnm.Print_Titles" vbProcedure="false">'Dec 2026'!$12:$12</definedName>
    <definedName function="false" hidden="false" localSheetId="7" name="_xlnm.Print_Titles" vbProcedure="false">'Feb 2027'!$12:$12</definedName>
    <definedName function="false" hidden="false" localSheetId="6" name="_xlnm.Print_Titles" vbProcedure="false">'Jan 2027'!$12:$12</definedName>
    <definedName function="false" hidden="false" localSheetId="12" name="_xlnm.Print_Titles" vbProcedure="false">'Jul 2027'!$12:$12</definedName>
    <definedName function="false" hidden="false" localSheetId="11" name="_xlnm.Print_Titles" vbProcedure="false">'Jun 2027'!$12:$12</definedName>
    <definedName function="false" hidden="false" localSheetId="8" name="_xlnm.Print_Titles" vbProcedure="false">'Mar 2027'!$12:$12</definedName>
    <definedName function="false" hidden="false" localSheetId="10" name="_xlnm.Print_Titles" vbProcedure="false">'May 2027'!$12:$12</definedName>
    <definedName function="false" hidden="false" localSheetId="4" name="_xlnm.Print_Titles" vbProcedure="false">'Nov 2026'!$12:$12</definedName>
    <definedName function="false" hidden="false" localSheetId="3" name="_xlnm.Print_Titles" vbProcedure="false">'Oct 2026'!$12:$12</definedName>
    <definedName function="false" hidden="false" localSheetId="14" name="_xlnm.Print_Titles" vbProcedure="false">'Sep 2027'!$12:$12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Example fee only. Each student's fee is different: type the real amount.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<sst xmlns="http://schemas.openxmlformats.org/spreadsheetml/2006/main" count="236" uniqueCount="55">
  <si>
    <t xml:space="preserve">Kids Coaching — Setup</t>
  </si>
  <si>
    <t xml:space="preserve">Academy Name</t>
  </si>
  <si>
    <t xml:space="preserve">Future Talent Academy Jamshoro</t>
  </si>
  <si>
    <t xml:space="preserve">Subject</t>
  </si>
  <si>
    <t xml:space="preserve">Kids Coaching</t>
  </si>
  <si>
    <t xml:space="preserve">Teacher Name</t>
  </si>
  <si>
    <t xml:space="preserve">Miss Fozia</t>
  </si>
  <si>
    <t xml:space="preserve">Teacher Share</t>
  </si>
  <si>
    <t xml:space="preserve">Academy Share</t>
  </si>
  <si>
    <t xml:space="preserve">How it works</t>
  </si>
  <si>
    <t xml:space="preserve">1. Students sheet: write each student's name and their own monthly fee (fees are different).</t>
  </si>
  <si>
    <t xml:space="preserve">2. Each month sheet fills in names and fees automatically.</t>
  </si>
  <si>
    <t xml:space="preserve">3. Each month, type only the AMOUNT paid (and the date, if you like).</t>
  </si>
  <si>
    <t xml:space="preserve">4. Unpaid fees carry forward to next month's 'Previous Due' automatically.</t>
  </si>
  <si>
    <t xml:space="preserve">5. Year Summary sheet shows every month's totals on one page.</t>
  </si>
  <si>
    <t xml:space="preserve">Write each student's name and their monthly fee. Keep the order the same; add new students at the bottom.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</si>
  <si>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</si>
  <si>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</si>
  <si>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</si>
  <si>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</si>
  <si>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Monthly Fee</t>
  </si>
  <si>
    <t xml:space="preserve">Hamza (example)</t>
  </si>
  <si>
    <t xml:space="preserve">Ghulam Hussain</t>
  </si>
  <si>
    <t xml:space="preserve">0300-0000000</t>
  </si>
  <si>
    <t xml:space="preserve">Month</t>
  </si>
  <si>
    <t xml:space="preserve">Students</t>
  </si>
  <si>
    <t xml:space="preserve">Monthly Fees Charged</t>
  </si>
  <si>
    <t xml:space="preserve">Fee Collected</t>
  </si>
  <si>
    <t xml:space="preserve">Pending at Month End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</si>
  <si>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</si>
  <si>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</si>
  <si>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</si>
  <si>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</si>
  <si>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</si>
  <si>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</si>
  <si>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</si>
  <si>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</si>
  <si>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</si>
  <si>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</si>
  <si>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</si>
  <si>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</si>
  <si>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</si>
  <si>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Teacher</t>
  </si>
  <si>
    <t xml:space="preserve">TEACHER SHARE</t>
  </si>
  <si>
    <t xml:space="preserve">ACADEMY SHARE</t>
  </si>
  <si>
    <t xml:space="preserve">FEE COLLECTED</t>
  </si>
  <si>
    <t xml:space="preserve">PENDING FEES</t>
  </si>
  <si>
    <t xml:space="preserve">Yellow cells: type the amount paid (and date). Previous dues come from last month automatically.</t>
  </si>
  <si>
    <t xml:space="preserve">Previous Due</t>
  </si>
  <si>
    <t xml:space="preserve">Total Payable</t>
  </si>
  <si>
    <t xml:space="preserve">Paid</t>
  </si>
  <si>
    <t xml:space="preserve">Balance</t>
  </si>
  <si>
    <t xml:space="preserve">Status</t>
  </si>
  <si>
    <t xml:space="preserve">Payment Date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</si>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</sst>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General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DCE8F5"/>
        <bgColor rgb="FFF1F6FB"/>
      </patternFill>
    </fill>
    <fill>
      <patternFill patternType="solid">
        <fgColor rgb="FFFFFFFF"/>
        <bgColor rgb="FFF1F6FB"/>
      </patternFill>
    </fill>
    <fill>
      <patternFill patternType="solid">
        <fgColor rgb="FF2A9D8F"/>
        <bgColor rgb="FF008080"/>
      </patternFill>
    </fill>
    <fill>
      <patternFill patternType="solid">
        <fgColor rgb="FF5E548E"/>
        <bgColor rgb="FF666666"/>
      </patternFill>
    </fill>
    <fill>
      <patternFill patternType="solid">
        <fgColor rgb="FFC77700"/>
        <bgColor rgb="FF9C57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666666"/>
      <rgbColor rgb="FF9999FF"/>
      <rgbColor rgb="FF993366"/>
      <rgbColor rgb="FFFFF8E1"/>
      <rgbColor rgb="FFDC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2" t="s">
        <v>7</v>
      </c>
      <c r="B7" s="4" t="n">
        <v>0.5</v>
      </c>
    </row>
    <row r="8" customFormat="false" ht="15" hidden="false" customHeight="false" outlineLevel="0" collapsed="false">
      <c r="A8" s="2" t="s">
        <v>8</v>
      </c>
      <c r="B8" s="5" t="n">
        <f aca="false">1-B7</f>
        <v>0.5</v>
      </c>
    </row>
    <row r="10" customFormat="false" ht="15" hidden="false" customHeight="false" outlineLevel="0" collapsed="false">
      <c r="A10" s="6" t="s">
        <v>9</v>
      </c>
    </row>
    <row r="11" customFormat="false" ht="46.25" hidden="false" customHeight="false" outlineLevel="0" collapsed="false">
      <c r="A11" s="7" t="s">
        <v>10</v>
      </c>
    </row>
    <row r="12" customFormat="false" ht="35.05" hidden="false" customHeight="false" outlineLevel="0" collapsed="false">
      <c r="A12" s="7" t="s">
        <v>11</v>
      </c>
    </row>
    <row r="13" customFormat="false" ht="35.05" hidden="false" customHeight="false" outlineLevel="0" collapsed="false">
      <c r="A13" s="7" t="s">
        <v>12</v>
      </c>
    </row>
    <row r="14" customFormat="false" ht="46.25" hidden="false" customHeight="false" outlineLevel="0" collapsed="false">
      <c r="A14" s="7" t="s">
        <v>13</v>
      </c>
    </row>
    <row r="15" customFormat="false" ht="35.05" hidden="false" customHeight="false" outlineLevel="0" collapsed="false">
      <c r="A15" s="7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8" t="str">
        <f aca="false">"Kids Coaching — Student List ("&amp;Setup!B5&amp;")"</f>
        <v>Kids Coaching — Student List (Miss Fozia)</v>
      </c>
      <c r="B1" s="8"/>
      <c r="C1" s="8"/>
      <c r="D1" s="8"/>
      <c r="E1" s="8"/>
    </row>
    <row r="2" customFormat="false" ht="15" hidden="false" customHeight="true" outlineLevel="0" collapsed="false">
      <c r="A2" s="9" t="s">
        <v>15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</row>
    <row r="5" customFormat="false" ht="15" hidden="false" customHeight="false" outlineLevel="0" collapsed="false">
      <c r="A5" s="11" t="n">
        <v>1</v>
      </c>
      <c r="B5" s="12" t="s">
        <v>21</v>
      </c>
      <c r="C5" s="12" t="s">
        <v>22</v>
      </c>
      <c r="D5" s="13" t="s">
        <v>23</v>
      </c>
      <c r="E5" s="14" t="n">
        <v>1000</v>
      </c>
    </row>
    <row r="6" customFormat="false" ht="15" hidden="false" customHeight="false" outlineLevel="0" collapsed="false">
      <c r="A6" s="11" t="n">
        <v>2</v>
      </c>
      <c r="B6" s="12"/>
      <c r="C6" s="12"/>
      <c r="D6" s="13"/>
      <c r="E6" s="14"/>
    </row>
    <row r="7" customFormat="false" ht="15" hidden="false" customHeight="false" outlineLevel="0" collapsed="false">
      <c r="A7" s="11" t="n">
        <v>3</v>
      </c>
      <c r="B7" s="12"/>
      <c r="C7" s="12"/>
      <c r="D7" s="13"/>
      <c r="E7" s="14"/>
    </row>
    <row r="8" customFormat="false" ht="15" hidden="false" customHeight="false" outlineLevel="0" collapsed="false">
      <c r="A8" s="11" t="n">
        <v>4</v>
      </c>
      <c r="B8" s="12"/>
      <c r="C8" s="12"/>
      <c r="D8" s="13"/>
      <c r="E8" s="14"/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</row>
    <row r="15" customFormat="false" ht="15" hidden="false" customHeight="false" outlineLevel="0" collapsed="false">
      <c r="A15" s="11" t="n">
        <v>11</v>
      </c>
      <c r="B15" s="12"/>
      <c r="C15" s="12"/>
      <c r="D15" s="13"/>
      <c r="E15" s="14"/>
    </row>
    <row r="16" customFormat="false" ht="15" hidden="false" customHeight="false" outlineLevel="0" collapsed="false">
      <c r="A16" s="11" t="n">
        <v>12</v>
      </c>
      <c r="B16" s="12"/>
      <c r="C16" s="12"/>
      <c r="D16" s="13"/>
      <c r="E16" s="14"/>
    </row>
    <row r="17" customFormat="false" ht="15" hidden="false" customHeight="false" outlineLevel="0" collapsed="false">
      <c r="A17" s="11" t="n">
        <v>13</v>
      </c>
      <c r="B17" s="12"/>
      <c r="C17" s="12"/>
      <c r="D17" s="13"/>
      <c r="E17" s="14"/>
    </row>
    <row r="18" customFormat="false" ht="15" hidden="false" customHeight="false" outlineLevel="0" collapsed="false">
      <c r="A18" s="11" t="n">
        <v>14</v>
      </c>
      <c r="B18" s="12"/>
      <c r="C18" s="12"/>
      <c r="D18" s="13"/>
      <c r="E18" s="14"/>
    </row>
    <row r="19" customFormat="false" ht="15" hidden="false" customHeight="false" outlineLevel="0" collapsed="false">
      <c r="A19" s="11" t="n">
        <v>15</v>
      </c>
      <c r="B19" s="12"/>
      <c r="C19" s="12"/>
      <c r="D19" s="13"/>
      <c r="E19" s="14"/>
    </row>
    <row r="20" customFormat="false" ht="15" hidden="false" customHeight="false" outlineLevel="0" collapsed="false">
      <c r="A20" s="11" t="n">
        <v>16</v>
      </c>
      <c r="B20" s="12"/>
      <c r="C20" s="12"/>
      <c r="D20" s="13"/>
      <c r="E20" s="14"/>
    </row>
    <row r="21" customFormat="false" ht="15" hidden="false" customHeight="false" outlineLevel="0" collapsed="false">
      <c r="A21" s="11" t="n">
        <v>17</v>
      </c>
      <c r="B21" s="12"/>
      <c r="C21" s="12"/>
      <c r="D21" s="13"/>
      <c r="E21" s="14"/>
    </row>
    <row r="22" customFormat="false" ht="15" hidden="false" customHeight="false" outlineLevel="0" collapsed="false">
      <c r="A22" s="11" t="n">
        <v>18</v>
      </c>
      <c r="B22" s="12"/>
      <c r="C22" s="12"/>
      <c r="D22" s="13"/>
      <c r="E22" s="14"/>
    </row>
    <row r="23" customFormat="false" ht="15" hidden="false" customHeight="false" outlineLevel="0" collapsed="false">
      <c r="A23" s="11" t="n">
        <v>19</v>
      </c>
      <c r="B23" s="12"/>
      <c r="C23" s="12"/>
      <c r="D23" s="13"/>
      <c r="E23" s="14"/>
    </row>
    <row r="24" customFormat="false" ht="15" hidden="false" customHeight="false" outlineLevel="0" collapsed="false">
      <c r="A24" s="11" t="n">
        <v>20</v>
      </c>
      <c r="B24" s="12"/>
      <c r="C24" s="12"/>
      <c r="D24" s="13"/>
      <c r="E24" s="14"/>
    </row>
    <row r="25" customFormat="false" ht="15" hidden="false" customHeight="false" outlineLevel="0" collapsed="false">
      <c r="A25" s="11" t="n">
        <v>21</v>
      </c>
      <c r="B25" s="12"/>
      <c r="C25" s="12"/>
      <c r="D25" s="13"/>
      <c r="E25" s="14"/>
    </row>
    <row r="26" customFormat="false" ht="15" hidden="false" customHeight="false" outlineLevel="0" collapsed="false">
      <c r="A26" s="11" t="n">
        <v>22</v>
      </c>
      <c r="B26" s="12"/>
      <c r="C26" s="12"/>
      <c r="D26" s="13"/>
      <c r="E26" s="14"/>
    </row>
    <row r="27" customFormat="false" ht="15" hidden="false" customHeight="false" outlineLevel="0" collapsed="false">
      <c r="A27" s="11" t="n">
        <v>23</v>
      </c>
      <c r="B27" s="12"/>
      <c r="C27" s="12"/>
      <c r="D27" s="13"/>
      <c r="E27" s="14"/>
    </row>
    <row r="28" customFormat="false" ht="15" hidden="false" customHeight="false" outlineLevel="0" collapsed="false">
      <c r="A28" s="11" t="n">
        <v>24</v>
      </c>
      <c r="B28" s="12"/>
      <c r="C28" s="12"/>
      <c r="D28" s="13"/>
      <c r="E28" s="14"/>
    </row>
    <row r="29" customFormat="false" ht="15" hidden="false" customHeight="false" outlineLevel="0" collapsed="false">
      <c r="A29" s="11" t="n">
        <v>25</v>
      </c>
      <c r="B29" s="12"/>
      <c r="C29" s="12"/>
      <c r="D29" s="13"/>
      <c r="E29" s="14"/>
    </row>
    <row r="30" customFormat="false" ht="15" hidden="false" customHeight="false" outlineLevel="0" collapsed="false">
      <c r="A30" s="11" t="n">
        <v>26</v>
      </c>
      <c r="B30" s="12"/>
      <c r="C30" s="12"/>
      <c r="D30" s="13"/>
      <c r="E30" s="14"/>
    </row>
    <row r="31" customFormat="false" ht="15" hidden="false" customHeight="false" outlineLevel="0" collapsed="false">
      <c r="A31" s="11" t="n">
        <v>27</v>
      </c>
      <c r="B31" s="12"/>
      <c r="C31" s="12"/>
      <c r="D31" s="13"/>
      <c r="E31" s="14"/>
    </row>
    <row r="32" customFormat="false" ht="15" hidden="false" customHeight="false" outlineLevel="0" collapsed="false">
      <c r="A32" s="11" t="n">
        <v>28</v>
      </c>
      <c r="B32" s="12"/>
      <c r="C32" s="12"/>
      <c r="D32" s="13"/>
      <c r="E32" s="14"/>
    </row>
    <row r="33" customFormat="false" ht="15" hidden="false" customHeight="false" outlineLevel="0" collapsed="false">
      <c r="A33" s="11" t="n">
        <v>29</v>
      </c>
      <c r="B33" s="12"/>
      <c r="C33" s="12"/>
      <c r="D33" s="13"/>
      <c r="E33" s="14"/>
    </row>
    <row r="34" customFormat="false" ht="15" hidden="false" customHeight="false" outlineLevel="0" collapsed="false">
      <c r="A34" s="11" t="n">
        <v>30</v>
      </c>
      <c r="B34" s="12"/>
      <c r="C34" s="12"/>
      <c r="D34" s="13"/>
      <c r="E34" s="14"/>
    </row>
    <row r="35" customFormat="false" ht="15" hidden="false" customHeight="false" outlineLevel="0" collapsed="false">
      <c r="A35" s="11" t="n">
        <v>31</v>
      </c>
      <c r="B35" s="12"/>
      <c r="C35" s="12"/>
      <c r="D35" s="13"/>
      <c r="E35" s="14"/>
    </row>
    <row r="36" customFormat="false" ht="15" hidden="false" customHeight="false" outlineLevel="0" collapsed="false">
      <c r="A36" s="11" t="n">
        <v>32</v>
      </c>
      <c r="B36" s="12"/>
      <c r="C36" s="12"/>
      <c r="D36" s="13"/>
      <c r="E36" s="14"/>
    </row>
    <row r="37" customFormat="false" ht="15" hidden="false" customHeight="false" outlineLevel="0" collapsed="false">
      <c r="A37" s="11" t="n">
        <v>33</v>
      </c>
      <c r="B37" s="12"/>
      <c r="C37" s="12"/>
      <c r="D37" s="13"/>
      <c r="E37" s="14"/>
    </row>
    <row r="38" customFormat="false" ht="15" hidden="false" customHeight="false" outlineLevel="0" collapsed="false">
      <c r="A38" s="11" t="n">
        <v>34</v>
      </c>
      <c r="B38" s="12"/>
      <c r="C38" s="12"/>
      <c r="D38" s="13"/>
      <c r="E38" s="14"/>
    </row>
    <row r="39" customFormat="false" ht="15" hidden="false" customHeight="false" outlineLevel="0" collapsed="false">
      <c r="A39" s="11" t="n">
        <v>35</v>
      </c>
      <c r="B39" s="12"/>
      <c r="C39" s="12"/>
      <c r="D39" s="13"/>
      <c r="E39" s="14"/>
    </row>
    <row r="40" customFormat="false" ht="15" hidden="false" customHeight="false" outlineLevel="0" collapsed="false">
      <c r="A40" s="11" t="n">
        <v>36</v>
      </c>
      <c r="B40" s="12"/>
      <c r="C40" s="12"/>
      <c r="D40" s="13"/>
      <c r="E40" s="14"/>
    </row>
    <row r="41" customFormat="false" ht="15" hidden="false" customHeight="false" outlineLevel="0" collapsed="false">
      <c r="A41" s="11" t="n">
        <v>37</v>
      </c>
      <c r="B41" s="12"/>
      <c r="C41" s="12"/>
      <c r="D41" s="13"/>
      <c r="E41" s="14"/>
    </row>
    <row r="42" customFormat="false" ht="15" hidden="false" customHeight="false" outlineLevel="0" collapsed="false">
      <c r="A42" s="11" t="n">
        <v>38</v>
      </c>
      <c r="B42" s="12"/>
      <c r="C42" s="12"/>
      <c r="D42" s="13"/>
      <c r="E42" s="14"/>
    </row>
    <row r="43" customFormat="false" ht="15" hidden="false" customHeight="false" outlineLevel="0" collapsed="false">
      <c r="A43" s="11" t="n">
        <v>39</v>
      </c>
      <c r="B43" s="12"/>
      <c r="C43" s="12"/>
      <c r="D43" s="13"/>
      <c r="E43" s="14"/>
    </row>
    <row r="44" customFormat="false" ht="15" hidden="false" customHeight="false" outlineLevel="0" collapsed="false">
      <c r="A44" s="11" t="n">
        <v>40</v>
      </c>
      <c r="B44" s="12"/>
      <c r="C44" s="12"/>
      <c r="D44" s="13"/>
      <c r="E44" s="14"/>
    </row>
    <row r="45" customFormat="false" ht="15" hidden="false" customHeight="false" outlineLevel="0" collapsed="false">
      <c r="A45" s="11" t="n">
        <v>41</v>
      </c>
      <c r="B45" s="12"/>
      <c r="C45" s="12"/>
      <c r="D45" s="13"/>
      <c r="E45" s="14"/>
    </row>
    <row r="46" customFormat="false" ht="15" hidden="false" customHeight="false" outlineLevel="0" collapsed="false">
      <c r="A46" s="11" t="n">
        <v>42</v>
      </c>
      <c r="B46" s="12"/>
      <c r="C46" s="12"/>
      <c r="D46" s="13"/>
      <c r="E46" s="14"/>
    </row>
    <row r="47" customFormat="false" ht="15" hidden="false" customHeight="false" outlineLevel="0" collapsed="false">
      <c r="A47" s="11" t="n">
        <v>43</v>
      </c>
      <c r="B47" s="12"/>
      <c r="C47" s="12"/>
      <c r="D47" s="13"/>
      <c r="E47" s="14"/>
    </row>
    <row r="48" customFormat="false" ht="15" hidden="false" customHeight="false" outlineLevel="0" collapsed="false">
      <c r="A48" s="11" t="n">
        <v>44</v>
      </c>
      <c r="B48" s="12"/>
      <c r="C48" s="12"/>
      <c r="D48" s="13"/>
      <c r="E48" s="14"/>
    </row>
    <row r="49" customFormat="false" ht="15" hidden="false" customHeight="false" outlineLevel="0" collapsed="false">
      <c r="A49" s="11" t="n">
        <v>45</v>
      </c>
      <c r="B49" s="12"/>
      <c r="C49" s="12"/>
      <c r="D49" s="13"/>
      <c r="E49" s="14"/>
    </row>
    <row r="50" customFormat="false" ht="15" hidden="false" customHeight="false" outlineLevel="0" collapsed="false">
      <c r="A50" s="11" t="n">
        <v>46</v>
      </c>
      <c r="B50" s="12"/>
      <c r="C50" s="12"/>
      <c r="D50" s="13"/>
      <c r="E50" s="14"/>
    </row>
    <row r="51" customFormat="false" ht="15" hidden="false" customHeight="false" outlineLevel="0" collapsed="false">
      <c r="A51" s="11" t="n">
        <v>47</v>
      </c>
      <c r="B51" s="12"/>
      <c r="C51" s="12"/>
      <c r="D51" s="13"/>
      <c r="E51" s="14"/>
    </row>
    <row r="52" customFormat="false" ht="15" hidden="false" customHeight="false" outlineLevel="0" collapsed="false">
      <c r="A52" s="11" t="n">
        <v>48</v>
      </c>
      <c r="B52" s="12"/>
      <c r="C52" s="12"/>
      <c r="D52" s="13"/>
      <c r="E52" s="14"/>
    </row>
    <row r="53" customFormat="false" ht="15" hidden="false" customHeight="false" outlineLevel="0" collapsed="false">
      <c r="A53" s="11" t="n">
        <v>49</v>
      </c>
      <c r="B53" s="12"/>
      <c r="C53" s="12"/>
      <c r="D53" s="13"/>
      <c r="E53" s="14"/>
    </row>
    <row r="54" customFormat="false" ht="15" hidden="false" customHeight="false" outlineLevel="0" collapsed="false">
      <c r="A54" s="11" t="n">
        <v>50</v>
      </c>
      <c r="B54" s="12"/>
      <c r="C54" s="12"/>
      <c r="D54" s="13"/>
      <c r="E54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5" t="str">
        <f aca="false">UPPER(Setup!B3)</f>
        <v>FUTURE TALENT ACADEMY JAMSHORO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tr">
        <f aca="false">Setup!B4&amp;"  •  Year Summary 2026-27  •  "&amp;Setup!B5</f>
        <v>Kids Coaching  •  Year Summary 2026-27  •  Miss Fozia</v>
      </c>
      <c r="B2" s="16"/>
      <c r="C2" s="16"/>
      <c r="D2" s="16"/>
      <c r="E2" s="16"/>
      <c r="F2" s="16"/>
      <c r="G2" s="16"/>
    </row>
    <row r="4" customFormat="false" ht="23.8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7</v>
      </c>
      <c r="F4" s="10" t="s">
        <v>8</v>
      </c>
      <c r="G4" s="10" t="s">
        <v>28</v>
      </c>
    </row>
    <row r="5" customFormat="false" ht="15" hidden="false" customHeight="false" outlineLevel="0" collapsed="false">
      <c r="A5" s="17" t="s">
        <v>29</v>
      </c>
      <c r="B5" s="18" t="n">
        <f aca="false">COUNTIF('Oct 2026'!B13:B62,"?*")</f>
        <v>1</v>
      </c>
      <c r="C5" s="19" t="n">
        <f aca="false">'Oct 2026'!D63</f>
        <v>1000</v>
      </c>
      <c r="D5" s="19" t="n">
        <f aca="false">'Oct 2026'!F63</f>
        <v>500</v>
      </c>
      <c r="E5" s="19" t="n">
        <f aca="false">'Oct 2026'!F63*Setup!$B$7</f>
        <v>250</v>
      </c>
      <c r="F5" s="19" t="n">
        <f aca="false">'Oct 2026'!F63*Setup!$B$8</f>
        <v>250</v>
      </c>
      <c r="G5" s="19" t="n">
        <f aca="false">'Oct 2026'!G63</f>
        <v>500</v>
      </c>
    </row>
    <row r="6" customFormat="false" ht="15" hidden="false" customHeight="false" outlineLevel="0" collapsed="false">
      <c r="A6" s="20" t="s">
        <v>30</v>
      </c>
      <c r="B6" s="21" t="n">
        <f aca="false">COUNTIF('Nov 2026'!B13:B62,"?*")</f>
        <v>1</v>
      </c>
      <c r="C6" s="22" t="n">
        <f aca="false">'Nov 2026'!D63</f>
        <v>1000</v>
      </c>
      <c r="D6" s="22" t="n">
        <f aca="false">'Nov 2026'!F63</f>
        <v>0</v>
      </c>
      <c r="E6" s="22" t="n">
        <f aca="false">'Nov 2026'!F63*Setup!$B$7</f>
        <v>0</v>
      </c>
      <c r="F6" s="22" t="n">
        <f aca="false">'Nov 2026'!F63*Setup!$B$8</f>
        <v>0</v>
      </c>
      <c r="G6" s="22" t="n">
        <f aca="false">'Nov 2026'!G63</f>
        <v>1500</v>
      </c>
    </row>
    <row r="7" customFormat="false" ht="15" hidden="false" customHeight="false" outlineLevel="0" collapsed="false">
      <c r="A7" s="17" t="s">
        <v>31</v>
      </c>
      <c r="B7" s="18" t="n">
        <f aca="false">COUNTIF('Dec 2026'!B13:B62,"?*")</f>
        <v>1</v>
      </c>
      <c r="C7" s="19" t="n">
        <f aca="false">'Dec 2026'!D63</f>
        <v>1000</v>
      </c>
      <c r="D7" s="19" t="n">
        <f aca="false">'Dec 2026'!F63</f>
        <v>0</v>
      </c>
      <c r="E7" s="19" t="n">
        <f aca="false">'Dec 2026'!F63*Setup!$B$7</f>
        <v>0</v>
      </c>
      <c r="F7" s="19" t="n">
        <f aca="false">'Dec 2026'!F63*Setup!$B$8</f>
        <v>0</v>
      </c>
      <c r="G7" s="19" t="n">
        <f aca="false">'Dec 2026'!G63</f>
        <v>2500</v>
      </c>
    </row>
    <row r="8" customFormat="false" ht="15" hidden="false" customHeight="false" outlineLevel="0" collapsed="false">
      <c r="A8" s="20" t="s">
        <v>32</v>
      </c>
      <c r="B8" s="21" t="n">
        <f aca="false">COUNTIF('Jan 2027'!B13:B62,"?*")</f>
        <v>1</v>
      </c>
      <c r="C8" s="22" t="n">
        <f aca="false">'Jan 2027'!D63</f>
        <v>1000</v>
      </c>
      <c r="D8" s="22" t="n">
        <f aca="false">'Jan 2027'!F63</f>
        <v>0</v>
      </c>
      <c r="E8" s="22" t="n">
        <f aca="false">'Jan 2027'!F63*Setup!$B$7</f>
        <v>0</v>
      </c>
      <c r="F8" s="22" t="n">
        <f aca="false">'Jan 2027'!F63*Setup!$B$8</f>
        <v>0</v>
      </c>
      <c r="G8" s="22" t="n">
        <f aca="false">'Jan 2027'!G63</f>
        <v>3500</v>
      </c>
    </row>
    <row r="9" customFormat="false" ht="15" hidden="false" customHeight="false" outlineLevel="0" collapsed="false">
      <c r="A9" s="17" t="s">
        <v>33</v>
      </c>
      <c r="B9" s="18" t="n">
        <f aca="false">COUNTIF('Feb 2027'!B13:B62,"?*")</f>
        <v>1</v>
      </c>
      <c r="C9" s="19" t="n">
        <f aca="false">'Feb 2027'!D63</f>
        <v>1000</v>
      </c>
      <c r="D9" s="19" t="n">
        <f aca="false">'Feb 2027'!F63</f>
        <v>0</v>
      </c>
      <c r="E9" s="19" t="n">
        <f aca="false">'Feb 2027'!F63*Setup!$B$7</f>
        <v>0</v>
      </c>
      <c r="F9" s="19" t="n">
        <f aca="false">'Feb 2027'!F63*Setup!$B$8</f>
        <v>0</v>
      </c>
      <c r="G9" s="19" t="n">
        <f aca="false">'Feb 2027'!G63</f>
        <v>4500</v>
      </c>
    </row>
    <row r="10" customFormat="false" ht="15" hidden="false" customHeight="false" outlineLevel="0" collapsed="false">
      <c r="A10" s="20" t="s">
        <v>34</v>
      </c>
      <c r="B10" s="21" t="n">
        <f aca="false">COUNTIF('Mar 2027'!B13:B62,"?*")</f>
        <v>1</v>
      </c>
      <c r="C10" s="22" t="n">
        <f aca="false">'Mar 2027'!D63</f>
        <v>1000</v>
      </c>
      <c r="D10" s="22" t="n">
        <f aca="false">'Mar 2027'!F63</f>
        <v>0</v>
      </c>
      <c r="E10" s="22" t="n">
        <f aca="false">'Mar 2027'!F63*Setup!$B$7</f>
        <v>0</v>
      </c>
      <c r="F10" s="22" t="n">
        <f aca="false">'Mar 2027'!F63*Setup!$B$8</f>
        <v>0</v>
      </c>
      <c r="G10" s="22" t="n">
        <f aca="false">'Mar 2027'!G63</f>
        <v>5500</v>
      </c>
    </row>
    <row r="11" customFormat="false" ht="15" hidden="false" customHeight="false" outlineLevel="0" collapsed="false">
      <c r="A11" s="17" t="s">
        <v>35</v>
      </c>
      <c r="B11" s="18" t="n">
        <f aca="false">COUNTIF('Apr 2027'!B13:B62,"?*")</f>
        <v>1</v>
      </c>
      <c r="C11" s="19" t="n">
        <f aca="false">'Apr 2027'!D63</f>
        <v>1000</v>
      </c>
      <c r="D11" s="19" t="n">
        <f aca="false">'Apr 2027'!F63</f>
        <v>0</v>
      </c>
      <c r="E11" s="19" t="n">
        <f aca="false">'Apr 2027'!F63*Setup!$B$7</f>
        <v>0</v>
      </c>
      <c r="F11" s="19" t="n">
        <f aca="false">'Apr 2027'!F63*Setup!$B$8</f>
        <v>0</v>
      </c>
      <c r="G11" s="19" t="n">
        <f aca="false">'Apr 2027'!G63</f>
        <v>6500</v>
      </c>
    </row>
    <row r="12" customFormat="false" ht="15" hidden="false" customHeight="false" outlineLevel="0" collapsed="false">
      <c r="A12" s="20" t="s">
        <v>36</v>
      </c>
      <c r="B12" s="21" t="n">
        <f aca="false">COUNTIF('May 2027'!B13:B62,"?*")</f>
        <v>1</v>
      </c>
      <c r="C12" s="22" t="n">
        <f aca="false">'May 2027'!D63</f>
        <v>1000</v>
      </c>
      <c r="D12" s="22" t="n">
        <f aca="false">'May 2027'!F63</f>
        <v>0</v>
      </c>
      <c r="E12" s="22" t="n">
        <f aca="false">'May 2027'!F63*Setup!$B$7</f>
        <v>0</v>
      </c>
      <c r="F12" s="22" t="n">
        <f aca="false">'May 2027'!F63*Setup!$B$8</f>
        <v>0</v>
      </c>
      <c r="G12" s="22" t="n">
        <f aca="false">'May 2027'!G63</f>
        <v>7500</v>
      </c>
    </row>
    <row r="13" customFormat="false" ht="15" hidden="false" customHeight="false" outlineLevel="0" collapsed="false">
      <c r="A13" s="17" t="s">
        <v>37</v>
      </c>
      <c r="B13" s="18" t="n">
        <f aca="false">COUNTIF('Jun 2027'!B13:B62,"?*")</f>
        <v>1</v>
      </c>
      <c r="C13" s="19" t="n">
        <f aca="false">'Jun 2027'!D63</f>
        <v>1000</v>
      </c>
      <c r="D13" s="19" t="n">
        <f aca="false">'Jun 2027'!F63</f>
        <v>0</v>
      </c>
      <c r="E13" s="19" t="n">
        <f aca="false">'Jun 2027'!F63*Setup!$B$7</f>
        <v>0</v>
      </c>
      <c r="F13" s="19" t="n">
        <f aca="false">'Jun 2027'!F63*Setup!$B$8</f>
        <v>0</v>
      </c>
      <c r="G13" s="19" t="n">
        <f aca="false">'Jun 2027'!G63</f>
        <v>8500</v>
      </c>
    </row>
    <row r="14" customFormat="false" ht="15" hidden="false" customHeight="false" outlineLevel="0" collapsed="false">
      <c r="A14" s="20" t="s">
        <v>38</v>
      </c>
      <c r="B14" s="21" t="n">
        <f aca="false">COUNTIF('Jul 2027'!B13:B62,"?*")</f>
        <v>1</v>
      </c>
      <c r="C14" s="22" t="n">
        <f aca="false">'Jul 2027'!D63</f>
        <v>1000</v>
      </c>
      <c r="D14" s="22" t="n">
        <f aca="false">'Jul 2027'!F63</f>
        <v>0</v>
      </c>
      <c r="E14" s="22" t="n">
        <f aca="false">'Jul 2027'!F63*Setup!$B$7</f>
        <v>0</v>
      </c>
      <c r="F14" s="22" t="n">
        <f aca="false">'Jul 2027'!F63*Setup!$B$8</f>
        <v>0</v>
      </c>
      <c r="G14" s="22" t="n">
        <f aca="false">'Jul 2027'!G63</f>
        <v>9500</v>
      </c>
    </row>
    <row r="15" customFormat="false" ht="15" hidden="false" customHeight="false" outlineLevel="0" collapsed="false">
      <c r="A15" s="17" t="s">
        <v>39</v>
      </c>
      <c r="B15" s="18" t="n">
        <f aca="false">COUNTIF('Aug 2027'!B13:B62,"?*")</f>
        <v>1</v>
      </c>
      <c r="C15" s="19" t="n">
        <f aca="false">'Aug 2027'!D63</f>
        <v>1000</v>
      </c>
      <c r="D15" s="19" t="n">
        <f aca="false">'Aug 2027'!F63</f>
        <v>0</v>
      </c>
      <c r="E15" s="19" t="n">
        <f aca="false">'Aug 2027'!F63*Setup!$B$7</f>
        <v>0</v>
      </c>
      <c r="F15" s="19" t="n">
        <f aca="false">'Aug 2027'!F63*Setup!$B$8</f>
        <v>0</v>
      </c>
      <c r="G15" s="19" t="n">
        <f aca="false">'Aug 2027'!G63</f>
        <v>10500</v>
      </c>
    </row>
    <row r="16" customFormat="false" ht="15" hidden="false" customHeight="false" outlineLevel="0" collapsed="false">
      <c r="A16" s="20" t="s">
        <v>40</v>
      </c>
      <c r="B16" s="21" t="n">
        <f aca="false">COUNTIF('Sep 2027'!B13:B62,"?*")</f>
        <v>1</v>
      </c>
      <c r="C16" s="22" t="n">
        <f aca="false">'Sep 2027'!D63</f>
        <v>1000</v>
      </c>
      <c r="D16" s="22" t="n">
        <f aca="false">'Sep 2027'!F63</f>
        <v>0</v>
      </c>
      <c r="E16" s="22" t="n">
        <f aca="false">'Sep 2027'!F63*Setup!$B$7</f>
        <v>0</v>
      </c>
      <c r="F16" s="22" t="n">
        <f aca="false">'Sep 2027'!F63*Setup!$B$8</f>
        <v>0</v>
      </c>
      <c r="G16" s="22" t="n">
        <f aca="false">'Sep 2027'!G63</f>
        <v>11500</v>
      </c>
    </row>
    <row r="17" customFormat="false" ht="15" hidden="false" customHeight="false" outlineLevel="0" collapsed="false">
      <c r="A17" s="23" t="s">
        <v>41</v>
      </c>
      <c r="B17" s="24"/>
      <c r="C17" s="25" t="n">
        <f aca="false">SUM(C5:C16)</f>
        <v>12000</v>
      </c>
      <c r="D17" s="25" t="n">
        <f aca="false">SUM(D5:D16)</f>
        <v>500</v>
      </c>
      <c r="E17" s="25" t="n">
        <f aca="false">SUM(E5:E16)</f>
        <v>250</v>
      </c>
      <c r="F17" s="25" t="n">
        <f aca="false">SUM(F5:F16)</f>
        <v>250</v>
      </c>
      <c r="G17" s="24"/>
    </row>
  </sheetData>
  <mergeCells count="2">
    <mergeCell ref="A1:G1"/>
    <mergeCell ref="A2:G2"/>
  </mergeCells>
  <conditionalFormatting sqref="G5:G1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October 2026"</f>
        <v>Kids Coaching Fee Register  •  October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250</v>
      </c>
      <c r="B7" s="34"/>
      <c r="C7" s="35" t="n">
        <f aca="false">F63*Setup!B8</f>
        <v>250</v>
      </c>
      <c r="D7" s="35"/>
      <c r="E7" s="36" t="n">
        <f aca="false">F63</f>
        <v>500</v>
      </c>
      <c r="F7" s="36"/>
      <c r="G7" s="37" t="n">
        <f aca="false">G63</f>
        <v>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14"/>
      <c r="D13" s="45" t="n">
        <f aca="false">IF(B13="",0,N(Students!E5))</f>
        <v>1000</v>
      </c>
      <c r="E13" s="45" t="n">
        <f aca="false">N(C13)+N(D13)</f>
        <v>1000</v>
      </c>
      <c r="F13" s="14" t="n">
        <v>500</v>
      </c>
      <c r="G13" s="46" t="n">
        <f aca="false">E13-N(F13)</f>
        <v>500</v>
      </c>
      <c r="H13" s="47" t="str">
        <f aca="false">IF(B13="","",IF(G13&lt;=0,"Clear",IF(N(F13)&gt;0,"Partial","Due")))</f>
        <v>Partial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14"/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14"/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14"/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14"/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14"/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14"/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14"/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14"/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14"/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14"/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14"/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14"/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14"/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14"/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14"/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14"/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14"/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14"/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14"/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14"/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14"/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14"/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14"/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14"/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14"/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14"/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14"/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14"/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14"/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14"/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14"/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14"/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14"/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14"/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14"/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14"/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14"/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14"/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14"/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14"/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14"/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14"/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14"/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14"/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14"/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14"/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14"/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14"/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14"/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0</v>
      </c>
      <c r="D63" s="25" t="n">
        <f aca="false">SUM(D13:D62)</f>
        <v>1000</v>
      </c>
      <c r="E63" s="25" t="n">
        <f aca="false">SUM(E13:E62)</f>
        <v>1000</v>
      </c>
      <c r="F63" s="25" t="n">
        <f aca="false">SUM(F13:F62)</f>
        <v>500</v>
      </c>
      <c r="G63" s="25" t="n">
        <f aca="false">SUM(G13:G62)</f>
        <v>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November 2026"</f>
        <v>Kids Coaching Fee Register  •  November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'Oct 2026'!G13</f>
        <v>500</v>
      </c>
      <c r="D13" s="45" t="n">
        <f aca="false">IF(B13="",0,N(Students!E5))</f>
        <v>1000</v>
      </c>
      <c r="E13" s="45" t="n">
        <f aca="false">N(C13)+N(D13)</f>
        <v>1500</v>
      </c>
      <c r="F13" s="14"/>
      <c r="G13" s="46" t="n">
        <f aca="false">E13-N(F13)</f>
        <v>1500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'Oct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'Oct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'Oct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'Oct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'Oct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'Oct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'Oct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'Oct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'Oct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'Oct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'Oct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'Oct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'Oct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'Oct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'Oct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'Oct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'Oct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'Oct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'Oct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'Oct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'Oct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'Oct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'Oct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'Oct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'Oct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'Oct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'Oct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'Oct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'Oct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'Oct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'Oct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'Oct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'Oct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'Oct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'Oct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'Oct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'Oct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'Oct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'Oct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'Oct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'Oct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'Oct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'Oct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'Oct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'Oct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'Oct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'Oct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'Oct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'Oct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</v>
      </c>
      <c r="D63" s="25" t="n">
        <f aca="false">SUM(D13:D62)</f>
        <v>1000</v>
      </c>
      <c r="E63" s="25" t="n">
        <f aca="false">SUM(E13:E62)</f>
        <v>1500</v>
      </c>
      <c r="F63" s="25" t="n">
        <f aca="false">SUM(F13:F62)</f>
        <v>0</v>
      </c>
      <c r="G63" s="25" t="n">
        <f aca="false">SUM(G13:G62)</f>
        <v>1500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December 2026"</f>
        <v>Kids Coaching Fee Register  •  December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'Nov 2026'!G13</f>
        <v>1500</v>
      </c>
      <c r="D13" s="45" t="n">
        <f aca="false">IF(B13="",0,N(Students!E5))</f>
        <v>1000</v>
      </c>
      <c r="E13" s="45" t="n">
        <f aca="false">N(C13)+N(D13)</f>
        <v>2500</v>
      </c>
      <c r="F13" s="14"/>
      <c r="G13" s="46" t="n">
        <f aca="false">E13-N(F13)</f>
        <v>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'Nov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'Nov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'Nov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'Nov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'Nov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'Nov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'Nov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'Nov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'Nov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'Nov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'Nov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'Nov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'Nov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'Nov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'Nov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'Nov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'Nov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'Nov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'Nov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'Nov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'Nov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'Nov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'Nov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'Nov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'Nov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'Nov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'Nov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'Nov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'Nov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'Nov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'Nov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'Nov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'Nov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'Nov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'Nov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'Nov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'Nov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'Nov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'Nov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'Nov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'Nov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'Nov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'Nov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'Nov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'Nov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'Nov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'Nov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'Nov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'Nov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1500</v>
      </c>
      <c r="D63" s="25" t="n">
        <f aca="false">SUM(D13:D62)</f>
        <v>1000</v>
      </c>
      <c r="E63" s="25" t="n">
        <f aca="false">SUM(E13:E62)</f>
        <v>2500</v>
      </c>
      <c r="F63" s="25" t="n">
        <f aca="false">SUM(F13:F62)</f>
        <v>0</v>
      </c>
      <c r="G63" s="25" t="n">
        <f aca="false">SUM(G13:G62)</f>
        <v>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January 2027"</f>
        <v>Kids Coaching Fee Register  •  January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3500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'Dec 2026'!G13</f>
        <v>2500</v>
      </c>
      <c r="D13" s="45" t="n">
        <f aca="false">IF(B13="",0,N(Students!E5))</f>
        <v>1000</v>
      </c>
      <c r="E13" s="45" t="n">
        <f aca="false">N(C13)+N(D13)</f>
        <v>3500</v>
      </c>
      <c r="F13" s="14"/>
      <c r="G13" s="46" t="n">
        <f aca="false">E13-N(F13)</f>
        <v>3500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'Dec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'Dec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'Dec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'Dec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'Dec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'Dec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'Dec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'Dec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'Dec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'Dec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'Dec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'Dec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'Dec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'Dec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'Dec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'Dec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'Dec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'Dec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'Dec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'Dec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'Dec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'Dec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'Dec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'Dec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'Dec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'Dec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'Dec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'Dec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'Dec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'Dec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'Dec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'Dec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'Dec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'Dec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'Dec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'Dec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'Dec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'Dec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'Dec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'Dec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'Dec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'Dec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'Dec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'Dec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'Dec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'Dec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'Dec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'Dec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'Dec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2500</v>
      </c>
      <c r="D63" s="25" t="n">
        <f aca="false">SUM(D13:D62)</f>
        <v>1000</v>
      </c>
      <c r="E63" s="25" t="n">
        <f aca="false">SUM(E13:E62)</f>
        <v>3500</v>
      </c>
      <c r="F63" s="25" t="n">
        <f aca="false">SUM(F13:F62)</f>
        <v>0</v>
      </c>
      <c r="G63" s="25" t="n">
        <f aca="false">SUM(G13:G62)</f>
        <v>3500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February 2027"</f>
        <v>Kids Coaching Fee Register  •  February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4500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'Jan 2027'!G13</f>
        <v>3500</v>
      </c>
      <c r="D13" s="45" t="n">
        <f aca="false">IF(B13="",0,N(Students!E5))</f>
        <v>1000</v>
      </c>
      <c r="E13" s="45" t="n">
        <f aca="false">N(C13)+N(D13)</f>
        <v>4500</v>
      </c>
      <c r="F13" s="14"/>
      <c r="G13" s="46" t="n">
        <f aca="false">E13-N(F13)</f>
        <v>4500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'Jan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'Jan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'Jan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'Jan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'Jan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'Jan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'Jan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'Jan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'Jan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'Jan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'Jan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'Jan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'Jan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'Jan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'Jan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'Jan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'Jan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'Jan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'Jan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'Jan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'Jan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'Jan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'Jan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'Jan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'Jan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'Jan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'Jan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'Jan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'Jan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'Jan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'Jan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'Jan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'Jan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'Jan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'Jan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'Jan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'Jan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'Jan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'Jan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'Jan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'Jan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'Jan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'Jan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'Jan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'Jan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'Jan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'Jan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'Jan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'Jan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3500</v>
      </c>
      <c r="D63" s="25" t="n">
        <f aca="false">SUM(D13:D62)</f>
        <v>1000</v>
      </c>
      <c r="E63" s="25" t="n">
        <f aca="false">SUM(E13:E62)</f>
        <v>4500</v>
      </c>
      <c r="F63" s="25" t="n">
        <f aca="false">SUM(F13:F62)</f>
        <v>0</v>
      </c>
      <c r="G63" s="25" t="n">
        <f aca="false">SUM(G13:G62)</f>
        <v>4500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March 2027"</f>
        <v>Kids Coaching Fee Register  •  March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5500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'Feb 2027'!G13</f>
        <v>4500</v>
      </c>
      <c r="D13" s="45" t="n">
        <f aca="false">IF(B13="",0,N(Students!E5))</f>
        <v>1000</v>
      </c>
      <c r="E13" s="45" t="n">
        <f aca="false">N(C13)+N(D13)</f>
        <v>5500</v>
      </c>
      <c r="F13" s="14"/>
      <c r="G13" s="46" t="n">
        <f aca="false">E13-N(F13)</f>
        <v>5500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'Feb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'Feb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'Feb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'Feb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'Feb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'Feb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'Feb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'Feb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'Feb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'Feb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'Feb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'Feb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'Feb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'Feb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'Feb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'Feb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'Feb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'Feb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'Feb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'Feb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'Feb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'Feb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'Feb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'Feb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'Feb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'Feb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'Feb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'Feb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'Feb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'Feb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'Feb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'Feb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'Feb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'Feb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'Feb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'Feb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'Feb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'Feb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'Feb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'Feb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'Feb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'Feb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'Feb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'Feb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'Feb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'Feb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'Feb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'Feb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'Feb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4500</v>
      </c>
      <c r="D63" s="25" t="n">
        <f aca="false">SUM(D13:D62)</f>
        <v>1000</v>
      </c>
      <c r="E63" s="25" t="n">
        <f aca="false">SUM(E13:E62)</f>
        <v>5500</v>
      </c>
      <c r="F63" s="25" t="n">
        <f aca="false">SUM(F13:F62)</f>
        <v>0</v>
      </c>
      <c r="G63" s="25" t="n">
        <f aca="false">SUM(G13:G62)</f>
        <v>5500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April 2027"</f>
        <v>Kids Coaching Fee Register  •  April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6500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'Mar 2027'!G13</f>
        <v>5500</v>
      </c>
      <c r="D13" s="45" t="n">
        <f aca="false">IF(B13="",0,N(Students!E5))</f>
        <v>1000</v>
      </c>
      <c r="E13" s="45" t="n">
        <f aca="false">N(C13)+N(D13)</f>
        <v>6500</v>
      </c>
      <c r="F13" s="14"/>
      <c r="G13" s="46" t="n">
        <f aca="false">E13-N(F13)</f>
        <v>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5500</v>
      </c>
      <c r="D63" s="25" t="n">
        <f aca="false">SUM(D13:D62)</f>
        <v>1000</v>
      </c>
      <c r="E63" s="25" t="n">
        <f aca="false">SUM(E13:E62)</f>
        <v>6500</v>
      </c>
      <c r="F63" s="25" t="n">
        <f aca="false">SUM(F13:F62)</f>
        <v>0</v>
      </c>
      <c r="G63" s="25" t="n">
        <f aca="false">SUM(G13:G62)</f>
        <v>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May 2027"</f>
        <v>Kids Coaching Fee Register  •  May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7500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'Apr 2027'!G13</f>
        <v>6500</v>
      </c>
      <c r="D13" s="45" t="n">
        <f aca="false">IF(B13="",0,N(Students!E5))</f>
        <v>1000</v>
      </c>
      <c r="E13" s="45" t="n">
        <f aca="false">N(C13)+N(D13)</f>
        <v>7500</v>
      </c>
      <c r="F13" s="14"/>
      <c r="G13" s="46" t="n">
        <f aca="false">E13-N(F13)</f>
        <v>7500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'Apr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'Apr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'Apr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'Apr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'Apr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'Apr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'Apr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'Apr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'Apr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'Apr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'Apr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'Apr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'Apr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'Apr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'Apr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'Apr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'Apr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'Apr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'Apr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'Apr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'Apr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'Apr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'Apr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'Apr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'Apr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'Apr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'Apr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'Apr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'Apr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'Apr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'Apr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'Apr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'Apr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'Apr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'Apr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'Apr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'Apr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'Apr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'Apr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'Apr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'Apr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'Apr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'Apr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'Apr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'Apr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'Apr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'Apr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'Apr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'Apr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6500</v>
      </c>
      <c r="D63" s="25" t="n">
        <f aca="false">SUM(D13:D62)</f>
        <v>1000</v>
      </c>
      <c r="E63" s="25" t="n">
        <f aca="false">SUM(E13:E62)</f>
        <v>7500</v>
      </c>
      <c r="F63" s="25" t="n">
        <f aca="false">SUM(F13:F62)</f>
        <v>0</v>
      </c>
      <c r="G63" s="25" t="n">
        <f aca="false">SUM(G13:G62)</f>
        <v>7500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June 2027"</f>
        <v>Kids Coaching Fee Register  •  June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8500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'May 2027'!G13</f>
        <v>7500</v>
      </c>
      <c r="D13" s="45" t="n">
        <f aca="false">IF(B13="",0,N(Students!E5))</f>
        <v>1000</v>
      </c>
      <c r="E13" s="45" t="n">
        <f aca="false">N(C13)+N(D13)</f>
        <v>8500</v>
      </c>
      <c r="F13" s="14"/>
      <c r="G13" s="46" t="n">
        <f aca="false">E13-N(F13)</f>
        <v>8500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'May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'May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'May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'May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'May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'May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'May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'May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'May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'May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'May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'May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'May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'May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'May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'May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'May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'May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'May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'May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'May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'May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'May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'May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'May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'May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'May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'May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'May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'May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'May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'May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'May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'May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'May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'May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'May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'May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'May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'May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'May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'May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'May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'May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'May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'May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'May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'May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'May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7500</v>
      </c>
      <c r="D63" s="25" t="n">
        <f aca="false">SUM(D13:D62)</f>
        <v>1000</v>
      </c>
      <c r="E63" s="25" t="n">
        <f aca="false">SUM(E13:E62)</f>
        <v>8500</v>
      </c>
      <c r="F63" s="25" t="n">
        <f aca="false">SUM(F13:F62)</f>
        <v>0</v>
      </c>
      <c r="G63" s="25" t="n">
        <f aca="false">SUM(G13:G62)</f>
        <v>8500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July 2027"</f>
        <v>Kids Coaching Fee Register  •  July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9500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'Jun 2027'!G13</f>
        <v>8500</v>
      </c>
      <c r="D13" s="45" t="n">
        <f aca="false">IF(B13="",0,N(Students!E5))</f>
        <v>1000</v>
      </c>
      <c r="E13" s="45" t="n">
        <f aca="false">N(C13)+N(D13)</f>
        <v>9500</v>
      </c>
      <c r="F13" s="14"/>
      <c r="G13" s="46" t="n">
        <f aca="false">E13-N(F13)</f>
        <v>9500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8500</v>
      </c>
      <c r="D63" s="25" t="n">
        <f aca="false">SUM(D13:D62)</f>
        <v>1000</v>
      </c>
      <c r="E63" s="25" t="n">
        <f aca="false">SUM(E13:E62)</f>
        <v>9500</v>
      </c>
      <c r="F63" s="25" t="n">
        <f aca="false">SUM(F13:F62)</f>
        <v>0</v>
      </c>
      <c r="G63" s="25" t="n">
        <f aca="false">SUM(G13:G62)</f>
        <v>9500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August 2027"</f>
        <v>Kids Coaching Fee Register  •  August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10500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'Jul 2027'!G13</f>
        <v>9500</v>
      </c>
      <c r="D13" s="45" t="n">
        <f aca="false">IF(B13="",0,N(Students!E5))</f>
        <v>1000</v>
      </c>
      <c r="E13" s="45" t="n">
        <f aca="false">N(C13)+N(D13)</f>
        <v>10500</v>
      </c>
      <c r="F13" s="14"/>
      <c r="G13" s="46" t="n">
        <f aca="false">E13-N(F13)</f>
        <v>10500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'Jul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'Jul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'Jul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'Jul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'Jul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'Jul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'Jul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'Jul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'Jul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'Jul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'Jul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'Jul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'Jul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'Jul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'Jul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'Jul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'Jul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'Jul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'Jul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'Jul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'Jul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'Jul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'Jul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'Jul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'Jul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'Jul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'Jul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'Jul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'Jul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'Jul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'Jul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'Jul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'Jul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'Jul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'Jul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'Jul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'Jul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'Jul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'Jul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'Jul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'Jul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'Jul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'Jul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'Jul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'Jul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'Jul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'Jul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'Jul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'Jul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9500</v>
      </c>
      <c r="D63" s="25" t="n">
        <f aca="false">SUM(D13:D62)</f>
        <v>1000</v>
      </c>
      <c r="E63" s="25" t="n">
        <f aca="false">SUM(E13:E62)</f>
        <v>10500</v>
      </c>
      <c r="F63" s="25" t="n">
        <f aca="false">SUM(F13:F62)</f>
        <v>0</v>
      </c>
      <c r="G63" s="25" t="n">
        <f aca="false">SUM(G13:G62)</f>
        <v>10500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September 2027"</f>
        <v>Kids Coaching Fee Register  •  September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Fozia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11500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Fozia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Hamza (example)</v>
      </c>
      <c r="C13" s="45" t="n">
        <f aca="false">'Aug 2027'!G13</f>
        <v>10500</v>
      </c>
      <c r="D13" s="45" t="n">
        <f aca="false">IF(B13="",0,N(Students!E5))</f>
        <v>1000</v>
      </c>
      <c r="E13" s="45" t="n">
        <f aca="false">N(C13)+N(D13)</f>
        <v>11500</v>
      </c>
      <c r="F13" s="14"/>
      <c r="G13" s="46" t="n">
        <f aca="false">E13-N(F13)</f>
        <v>11500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'Aug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'Aug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'Aug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'Aug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'Aug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'Aug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'Aug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'Aug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'Aug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'Aug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'Aug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'Aug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'Aug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'Aug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'Aug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'Aug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'Aug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'Aug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'Aug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'Aug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'Aug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'Aug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'Aug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'Aug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'Aug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'Aug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'Aug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'Aug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'Aug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'Aug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'Aug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'Aug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'Aug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'Aug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'Aug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'Aug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'Aug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'Aug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'Aug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'Aug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'Aug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'Aug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'Aug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'Aug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'Aug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'Aug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'Aug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'Aug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'Aug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10500</v>
      </c>
      <c r="D63" s="25" t="n">
        <f aca="false">SUM(D13:D62)</f>
        <v>1000</v>
      </c>
      <c r="E63" s="25" t="n">
        <f aca="false">SUM(E13:E62)</f>
        <v>11500</v>
      </c>
      <c r="F63" s="25" t="n">
        <f aca="false">SUM(F13:F62)</f>
        <v>0</v>
      </c>
      <c r="G63" s="25" t="n">
        <f aca="false">SUM(G13:G62)</f>
        <v>11500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2026-10-08T11:32:28Z</dcterms:created>
  <dc:creator>openpyxl</dc:creator>
  <dc:description/>
  <dc:language>en-US</dc:language>
  <cp:lastModifiedBy/>
  <dcterms:modified xsi:type="dcterms:W3CDTF">2026-10-08T11:32:29Z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