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tup" sheetId="1" state="visible" r:id="rId3"/>
    <sheet name="Students" sheetId="2" state="visible" r:id="rId4"/>
    <sheet name="Oct 2026" sheetId="3" state="visible" r:id="rId5"/>
    <sheet name="Nov 2026" sheetId="4" state="visible" r:id="rId6"/>
    <sheet name="Dec 2026" sheetId="5" state="visible" r:id="rId7"/>
    <sheet name="Jan 2027" sheetId="6" state="visible" r:id="rId8"/>
    <sheet name="Feb 2027" sheetId="7" state="visible" r:id="rId9"/>
    <sheet name="Mar 2027" sheetId="8" state="visible" r:id="rId10"/>
    <sheet name="Apr 2027" sheetId="9" state="visible" r:id="rId11"/>
    <sheet name="May 2027" sheetId="10" state="visible" r:id="rId12"/>
    <sheet name="Jun 2027" sheetId="11" state="visible" r:id="rId13"/>
    <sheet name="Jul 2027" sheetId="12" state="visible" r:id="rId14"/>
    <sheet name="Aug 2027" sheetId="13" state="visible" r:id="rId15"/>
    <sheet name="Sep 2027" sheetId="14" state="visible" r:id="rId16"/>
  </sheets>
  <definedNames>
    <definedName function="false" hidden="false" localSheetId="8" name="_xlnm.Print_Titles" vbProcedure="false">'Apr 2027'!$13:$13</definedName>
    <definedName function="false" hidden="false" localSheetId="12" name="_xlnm.Print_Titles" vbProcedure="false">'Aug 2027'!$13:$13</definedName>
    <definedName function="false" hidden="false" localSheetId="4" name="_xlnm.Print_Titles" vbProcedure="false">'Dec 2026'!$13:$13</definedName>
    <definedName function="false" hidden="false" localSheetId="6" name="_xlnm.Print_Titles" vbProcedure="false">'Feb 2027'!$13:$13</definedName>
    <definedName function="false" hidden="false" localSheetId="5" name="_xlnm.Print_Titles" vbProcedure="false">'Jan 2027'!$13:$13</definedName>
    <definedName function="false" hidden="false" localSheetId="11" name="_xlnm.Print_Titles" vbProcedure="false">'Jul 2027'!$13:$13</definedName>
    <definedName function="false" hidden="false" localSheetId="10" name="_xlnm.Print_Titles" vbProcedure="false">'Jun 2027'!$13:$13</definedName>
    <definedName function="false" hidden="false" localSheetId="7" name="_xlnm.Print_Titles" vbProcedure="false">'Mar 2027'!$13:$13</definedName>
    <definedName function="false" hidden="false" localSheetId="9" name="_xlnm.Print_Titles" vbProcedure="false">'May 2027'!$13:$13</definedName>
    <definedName function="false" hidden="false" localSheetId="3" name="_xlnm.Print_Titles" vbProcedure="false">'Nov 2026'!$13:$13</definedName>
    <definedName function="false" hidden="false" localSheetId="2" name="_xlnm.Print_Titles" vbProcedure="false">'Oct 2026'!$13:$13</definedName>
    <definedName function="false" hidden="false" localSheetId="13" name="_xlnm.Print_Titles" vbProcedure="false">'Sep 2027'!$13:$13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Enter the English teacher's name.</t>
        </r>
      </text>
    </comment>
    <comment ref="B8" authorId="0">
      <text>
        <r>
          <rPr>
            <sz val="10"/>
            <rFont val="Arial"/>
            <family val="2"/>
          </rPr>
          <t xml:space="preserve">Placeholder — change to your actual English fee.</t>
        </r>
      </text>
    </comment>
    <comment ref="B9" authorId="0">
      <text>
        <r>
          <rPr>
            <sz val="10"/>
            <rFont val="Arial"/>
            <family val="2"/>
          </rPr>
          <t xml:space="preserve">Fixed fee Rs 2,000 (from you). Students paying 1,500/1,000 are set on the Students sheet.</t>
        </r>
      </text>
    </comment>
    <comment ref="B11" authorId="0">
      <text>
        <r>
          <rPr>
            <sz val="10"/>
            <rFont val="Arial"/>
            <family val="2"/>
          </rPr>
          <t xml:space="preserve">50% to teacher, rest to academy (from you).</t>
        </r>
      </text>
    </comment>
    <comment ref="B12" authorId="0">
      <text>
        <r>
          <rPr>
            <sz val="10"/>
            <rFont val="Arial"/>
            <family val="2"/>
          </rPr>
          <t xml:space="preserve">50% to teacher, rest to academy (from you).</t>
        </r>
      </text>
    </comment>
    <comment ref="B13" authorId="0">
      <text>
        <r>
          <rPr>
            <sz val="10"/>
            <rFont val="Arial"/>
            <family val="2"/>
          </rPr>
          <t xml:space="preserve">Assumption: certificate and test paper fees go 100% to the academy. Change if needed.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  <comment ref="G13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  <comment ref="K13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  <comment ref="M14" authorId="0">
      <text>
        <r>
          <rPr>
            <sz val="10"/>
            <rFont val="Arial"/>
            <family val="2"/>
          </rPr>
          <t xml:space="preserve">Example amount only — use your actual test paper fee.</t>
        </r>
      </text>
    </comment>
  </commentList>
</comments>
</file>

<file path=xl/sharedStrings.xml><?xml version="1.0" encoding="utf-8"?>
<sst xmlns="http://schemas.openxmlformats.org/spreadsheetml/2006/main" count="535" uniqueCount="70">
  <si>
    <t xml:space="preserve">Future Talent Academy Jamshoro — Setup</t>
  </si>
  <si>
    <t xml:space="preserve">Fill in the yellow cells once. Every month sheet uses these values.</t>
  </si>
  <si>
    <t xml:space="preserve">Academy Name</t>
  </si>
  <si>
    <t xml:space="preserve">Future Talent Academy Jamshoro</t>
  </si>
  <si>
    <t xml:space="preserve">English Teacher Name</t>
  </si>
  <si>
    <t xml:space="preserve">Computer Teacher Name</t>
  </si>
  <si>
    <t xml:space="preserve">Sir Nazeer Ahmed Jamali</t>
  </si>
  <si>
    <t xml:space="preserve">English Class Fixed Fee</t>
  </si>
  <si>
    <t xml:space="preserve">Computer Class Fixed Fee</t>
  </si>
  <si>
    <t xml:space="preserve">English Teacher Share</t>
  </si>
  <si>
    <t xml:space="preserve">Computer Teacher Share</t>
  </si>
  <si>
    <t xml:space="preserve">Academy Share of Other Fees</t>
  </si>
  <si>
    <t xml:space="preserve">How it works</t>
  </si>
  <si>
    <t xml:space="preserve">1. Students sheet: add each student once (keep the same order; add new students at the bottom).</t>
  </si>
  <si>
    <t xml:space="preserve">2. Each month sheet (Oct 2026, Nov 2026 …) pulls names and fees automatically.</t>
  </si>
  <si>
    <t xml:space="preserve">3. Each month, type only the AMOUNT the student paid, and any certificate / test paper fee charged.</t>
  </si>
  <si>
    <t xml:space="preserve">4. Unpaid balance carries forward to the next month's 'Previous Due' column, separately for each fee type.</t>
  </si>
  <si>
    <t xml:space="preserve">5. Teacher and academy shares are worked out from the money actually collected that month.</t>
  </si>
  <si>
    <t xml:space="preserve">Student List — Enrolment &amp; Monthly Fees</t>
  </si>
  <si>
    <t xml:space="preserve">Choose Yes/No for each class. The fee fills in from Setup; for a student who pays less, choose 1500 or 1000 (or type an amount).</t>
  </si>
  <si>
    <t xml:space="preserve">Serial No</t>
  </si>
  <si>
    <t xml:space="preserve">Student Name</t>
  </si>
  <si>
    <t xml:space="preserve">Father Name</t>
  </si>
  <si>
    <t xml:space="preserve">English Class</t>
  </si>
  <si>
    <t xml:space="preserve">English Fee</t>
  </si>
  <si>
    <t xml:space="preserve">Computer Class</t>
  </si>
  <si>
    <t xml:space="preserve">Computer Fee</t>
  </si>
  <si>
    <t xml:space="preserve">Ali Ahmed (example)</t>
  </si>
  <si>
    <t xml:space="preserve">Ahmed Khan</t>
  </si>
  <si>
    <t xml:space="preserve">Yes</t>
  </si>
  <si>
    <t xml:space="preserve">Future Talent Academy Jamshoro — Fee Register: October 2026</t>
  </si>
  <si>
    <t xml:space="preserve">Yellow cells: type the amount paid and any certificate / test paper fee. Previous dues come from the last month automatically.</t>
  </si>
  <si>
    <t xml:space="preserve">ENGLISH TEACHER</t>
  </si>
  <si>
    <t xml:space="preserve">COMPUTER TEACHER</t>
  </si>
  <si>
    <t xml:space="preserve">ACADEMY</t>
  </si>
  <si>
    <t xml:space="preserve">Name</t>
  </si>
  <si>
    <t xml:space="preserve">From English</t>
  </si>
  <si>
    <t xml:space="preserve">Share %</t>
  </si>
  <si>
    <t xml:space="preserve">From Computer</t>
  </si>
  <si>
    <t xml:space="preserve">Amount to Receive</t>
  </si>
  <si>
    <t xml:space="preserve">From Other Fees</t>
  </si>
  <si>
    <t xml:space="preserve">Total to Academy</t>
  </si>
  <si>
    <t xml:space="preserve">MONTH SUMMARY</t>
  </si>
  <si>
    <t xml:space="preserve">Previous Dues</t>
  </si>
  <si>
    <t xml:space="preserve">This Month Charges</t>
  </si>
  <si>
    <t xml:space="preserve">Collected</t>
  </si>
  <si>
    <t xml:space="preserve">Outstanding Now</t>
  </si>
  <si>
    <t xml:space="preserve">ENGLISH CLASS</t>
  </si>
  <si>
    <t xml:space="preserve">COMPUTER CLASS</t>
  </si>
  <si>
    <t xml:space="preserve">OTHER FEES (Certificate / Test Paper)</t>
  </si>
  <si>
    <t xml:space="preserve">TOTAL</t>
  </si>
  <si>
    <t xml:space="preserve">Previous Due</t>
  </si>
  <si>
    <t xml:space="preserve">This Month Fee</t>
  </si>
  <si>
    <t xml:space="preserve">Paid</t>
  </si>
  <si>
    <t xml:space="preserve">Balance</t>
  </si>
  <si>
    <t xml:space="preserve">Certificate Fee</t>
  </si>
  <si>
    <t xml:space="preserve">Test Paper Fee</t>
  </si>
  <si>
    <t xml:space="preserve">Total Due Now</t>
  </si>
  <si>
    <t xml:space="preserve">Status</t>
  </si>
  <si>
    <t xml:space="preserve">Future Talent Academy Jamshoro — Fee Register: November 2026</t>
  </si>
  <si>
    <t xml:space="preserve">Future Talent Academy Jamshoro — Fee Register: December 2026</t>
  </si>
  <si>
    <t xml:space="preserve">Future Talent Academy Jamshoro — Fee Register: January 2027</t>
  </si>
  <si>
    <t xml:space="preserve">Future Talent Academy Jamshoro — Fee Register: February 2027</t>
  </si>
  <si>
    <t xml:space="preserve">Future Talent Academy Jamshoro — Fee Register: March 2027</t>
  </si>
  <si>
    <t xml:space="preserve">Future Talent Academy Jamshoro — Fee Register: April 2027</t>
  </si>
  <si>
    <t xml:space="preserve">Future Talent Academy Jamshoro — Fee Register: May 2027</t>
  </si>
  <si>
    <t xml:space="preserve">Future Talent Academy Jamshoro — Fee Register: June 2027</t>
  </si>
  <si>
    <t xml:space="preserve">Future Talent Academy Jamshoro — Fee Register: July 2027</t>
  </si>
  <si>
    <t xml:space="preserve">Future Talent Academy Jamshoro — Fee Register: August 2027</t>
  </si>
  <si>
    <t xml:space="preserve">Future Talent Academy Jamshoro — Fee Register: September 2027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</si>
</sst>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s &quot;#,##0;&quot;-Rs &quot;#,##0;\-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2E7D32"/>
        <bgColor rgb="FF008080"/>
      </patternFill>
    </fill>
    <fill>
      <patternFill patternType="solid">
        <fgColor rgb="FF6A1B9A"/>
        <bgColor rgb="FF800080"/>
      </patternFill>
    </fill>
    <fill>
      <patternFill patternType="solid">
        <fgColor rgb="FF595959"/>
        <bgColor rgb="FF666666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9C57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10"/>
  </cols>
  <sheetData>
    <row r="1" customFormat="false" ht="18.5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/>
    </row>
    <row r="6" customFormat="false" ht="15" hidden="false" customHeight="false" outlineLevel="0" collapsed="false">
      <c r="A6" s="3" t="s">
        <v>5</v>
      </c>
      <c r="B6" s="4" t="s">
        <v>6</v>
      </c>
    </row>
    <row r="8" customFormat="false" ht="15" hidden="false" customHeight="false" outlineLevel="0" collapsed="false">
      <c r="A8" s="3" t="s">
        <v>7</v>
      </c>
      <c r="B8" s="5" t="n">
        <v>2000</v>
      </c>
    </row>
    <row r="9" customFormat="false" ht="15" hidden="false" customHeight="false" outlineLevel="0" collapsed="false">
      <c r="A9" s="3" t="s">
        <v>8</v>
      </c>
      <c r="B9" s="5" t="n">
        <v>2000</v>
      </c>
    </row>
    <row r="11" customFormat="false" ht="15" hidden="false" customHeight="false" outlineLevel="0" collapsed="false">
      <c r="A11" s="3" t="s">
        <v>9</v>
      </c>
      <c r="B11" s="6" t="n">
        <v>0.5</v>
      </c>
    </row>
    <row r="12" customFormat="false" ht="15" hidden="false" customHeight="false" outlineLevel="0" collapsed="false">
      <c r="A12" s="3" t="s">
        <v>10</v>
      </c>
      <c r="B12" s="6" t="n">
        <v>0.5</v>
      </c>
    </row>
    <row r="13" customFormat="false" ht="15" hidden="false" customHeight="false" outlineLevel="0" collapsed="false">
      <c r="A13" s="3" t="s">
        <v>11</v>
      </c>
      <c r="B13" s="6" t="n">
        <v>1</v>
      </c>
    </row>
    <row r="15" customFormat="false" ht="15" hidden="false" customHeight="false" outlineLevel="0" collapsed="false">
      <c r="A15" s="7" t="s">
        <v>12</v>
      </c>
    </row>
    <row r="16" customFormat="false" ht="15" hidden="false" customHeight="false" outlineLevel="0" collapsed="false">
      <c r="A16" s="8" t="s">
        <v>13</v>
      </c>
    </row>
    <row r="17" customFormat="false" ht="15" hidden="false" customHeight="false" outlineLevel="0" collapsed="false">
      <c r="A17" s="8" t="s">
        <v>14</v>
      </c>
    </row>
    <row r="18" customFormat="false" ht="15" hidden="false" customHeight="false" outlineLevel="0" collapsed="false">
      <c r="A18" s="8" t="s">
        <v>15</v>
      </c>
    </row>
    <row r="19" customFormat="false" ht="15" hidden="false" customHeight="false" outlineLevel="0" collapsed="false">
      <c r="A19" s="8" t="s">
        <v>16</v>
      </c>
    </row>
    <row r="20" customFormat="false" ht="15" hidden="false" customHeight="false" outlineLevel="0" collapsed="false">
      <c r="A20" s="8" t="s">
        <v>17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7" min="5" style="0" width="14"/>
  </cols>
  <sheetData>
    <row r="1" customFormat="false" ht="18.55" hidden="false" customHeight="false" outlineLevel="0" collapsed="false">
      <c r="A1" s="1" t="s">
        <v>18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19</v>
      </c>
    </row>
    <row r="4" customFormat="false" ht="26.85" hidden="false" customHeight="false" outlineLevel="0" collapsed="false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</row>
    <row r="5" customFormat="false" ht="15" hidden="false" customHeight="false" outlineLevel="0" collapsed="false">
      <c r="A5" s="10" t="n">
        <v>1</v>
      </c>
      <c r="B5" s="11" t="s">
        <v>27</v>
      </c>
      <c r="C5" s="11" t="s">
        <v>28</v>
      </c>
      <c r="D5" s="12" t="s">
        <v>29</v>
      </c>
      <c r="E5" s="13" t="n">
        <f aca="false">IF(D5="Yes",Setup!$B$8,"")</f>
        <v>2000</v>
      </c>
      <c r="F5" s="12" t="s">
        <v>29</v>
      </c>
      <c r="G5" s="13" t="n">
        <v>1500</v>
      </c>
    </row>
    <row r="6" customFormat="false" ht="15" hidden="false" customHeight="false" outlineLevel="0" collapsed="false">
      <c r="A6" s="10" t="n">
        <v>2</v>
      </c>
      <c r="B6" s="11"/>
      <c r="C6" s="11"/>
      <c r="D6" s="12"/>
      <c r="E6" s="13" t="str">
        <f aca="false">IF(D6="Yes",Setup!$B$8,"")</f>
        <v/>
      </c>
      <c r="F6" s="12"/>
      <c r="G6" s="13" t="str">
        <f aca="false">IF(F6="Yes",Setup!$B$9,"")</f>
        <v/>
      </c>
    </row>
    <row r="7" customFormat="false" ht="15" hidden="false" customHeight="false" outlineLevel="0" collapsed="false">
      <c r="A7" s="10" t="n">
        <v>3</v>
      </c>
      <c r="B7" s="11"/>
      <c r="C7" s="11"/>
      <c r="D7" s="12"/>
      <c r="E7" s="13" t="str">
        <f aca="false">IF(D7="Yes",Setup!$B$8,"")</f>
        <v/>
      </c>
      <c r="F7" s="12"/>
      <c r="G7" s="13" t="str">
        <f aca="false">IF(F7="Yes",Setup!$B$9,"")</f>
        <v/>
      </c>
    </row>
    <row r="8" customFormat="false" ht="15" hidden="false" customHeight="false" outlineLevel="0" collapsed="false">
      <c r="A8" s="10" t="n">
        <v>4</v>
      </c>
      <c r="B8" s="11"/>
      <c r="C8" s="11"/>
      <c r="D8" s="12"/>
      <c r="E8" s="13" t="str">
        <f aca="false">IF(D8="Yes",Setup!$B$8,"")</f>
        <v/>
      </c>
      <c r="F8" s="12"/>
      <c r="G8" s="13" t="str">
        <f aca="false">IF(F8="Yes",Setup!$B$9,"")</f>
        <v/>
      </c>
    </row>
    <row r="9" customFormat="false" ht="15" hidden="false" customHeight="false" outlineLevel="0" collapsed="false">
      <c r="A9" s="10" t="n">
        <v>5</v>
      </c>
      <c r="B9" s="11"/>
      <c r="C9" s="11"/>
      <c r="D9" s="12"/>
      <c r="E9" s="13" t="str">
        <f aca="false">IF(D9="Yes",Setup!$B$8,"")</f>
        <v/>
      </c>
      <c r="F9" s="12"/>
      <c r="G9" s="13" t="str">
        <f aca="false">IF(F9="Yes",Setup!$B$9,"")</f>
        <v/>
      </c>
    </row>
    <row r="10" customFormat="false" ht="15" hidden="false" customHeight="false" outlineLevel="0" collapsed="false">
      <c r="A10" s="10" t="n">
        <v>6</v>
      </c>
      <c r="B10" s="11"/>
      <c r="C10" s="11"/>
      <c r="D10" s="12"/>
      <c r="E10" s="13" t="str">
        <f aca="false">IF(D10="Yes",Setup!$B$8,"")</f>
        <v/>
      </c>
      <c r="F10" s="12"/>
      <c r="G10" s="13" t="str">
        <f aca="false">IF(F10="Yes",Setup!$B$9,"")</f>
        <v/>
      </c>
    </row>
    <row r="11" customFormat="false" ht="15" hidden="false" customHeight="false" outlineLevel="0" collapsed="false">
      <c r="A11" s="10" t="n">
        <v>7</v>
      </c>
      <c r="B11" s="11"/>
      <c r="C11" s="11"/>
      <c r="D11" s="12"/>
      <c r="E11" s="13" t="str">
        <f aca="false">IF(D11="Yes",Setup!$B$8,"")</f>
        <v/>
      </c>
      <c r="F11" s="12"/>
      <c r="G11" s="13" t="str">
        <f aca="false">IF(F11="Yes",Setup!$B$9,"")</f>
        <v/>
      </c>
    </row>
    <row r="12" customFormat="false" ht="15" hidden="false" customHeight="false" outlineLevel="0" collapsed="false">
      <c r="A12" s="10" t="n">
        <v>8</v>
      </c>
      <c r="B12" s="11"/>
      <c r="C12" s="11"/>
      <c r="D12" s="12"/>
      <c r="E12" s="13" t="str">
        <f aca="false">IF(D12="Yes",Setup!$B$8,"")</f>
        <v/>
      </c>
      <c r="F12" s="12"/>
      <c r="G12" s="13" t="str">
        <f aca="false">IF(F12="Yes",Setup!$B$9,"")</f>
        <v/>
      </c>
    </row>
    <row r="13" customFormat="false" ht="15" hidden="false" customHeight="false" outlineLevel="0" collapsed="false">
      <c r="A13" s="10" t="n">
        <v>9</v>
      </c>
      <c r="B13" s="11"/>
      <c r="C13" s="11"/>
      <c r="D13" s="12"/>
      <c r="E13" s="13" t="str">
        <f aca="false">IF(D13="Yes",Setup!$B$8,"")</f>
        <v/>
      </c>
      <c r="F13" s="12"/>
      <c r="G13" s="13" t="str">
        <f aca="false">IF(F13="Yes",Setup!$B$9,"")</f>
        <v/>
      </c>
    </row>
    <row r="14" customFormat="false" ht="15" hidden="false" customHeight="false" outlineLevel="0" collapsed="false">
      <c r="A14" s="10" t="n">
        <v>10</v>
      </c>
      <c r="B14" s="11"/>
      <c r="C14" s="11"/>
      <c r="D14" s="12"/>
      <c r="E14" s="13" t="str">
        <f aca="false">IF(D14="Yes",Setup!$B$8,"")</f>
        <v/>
      </c>
      <c r="F14" s="12"/>
      <c r="G14" s="13" t="str">
        <f aca="false">IF(F14="Yes",Setup!$B$9,"")</f>
        <v/>
      </c>
    </row>
    <row r="15" customFormat="false" ht="15" hidden="false" customHeight="false" outlineLevel="0" collapsed="false">
      <c r="A15" s="10" t="n">
        <v>11</v>
      </c>
      <c r="B15" s="11"/>
      <c r="C15" s="11"/>
      <c r="D15" s="12"/>
      <c r="E15" s="13" t="str">
        <f aca="false">IF(D15="Yes",Setup!$B$8,"")</f>
        <v/>
      </c>
      <c r="F15" s="12"/>
      <c r="G15" s="13" t="str">
        <f aca="false">IF(F15="Yes",Setup!$B$9,"")</f>
        <v/>
      </c>
    </row>
    <row r="16" customFormat="false" ht="15" hidden="false" customHeight="false" outlineLevel="0" collapsed="false">
      <c r="A16" s="10" t="n">
        <v>12</v>
      </c>
      <c r="B16" s="11"/>
      <c r="C16" s="11"/>
      <c r="D16" s="12"/>
      <c r="E16" s="13" t="str">
        <f aca="false">IF(D16="Yes",Setup!$B$8,"")</f>
        <v/>
      </c>
      <c r="F16" s="12"/>
      <c r="G16" s="13" t="str">
        <f aca="false">IF(F16="Yes",Setup!$B$9,"")</f>
        <v/>
      </c>
    </row>
    <row r="17" customFormat="false" ht="15" hidden="false" customHeight="false" outlineLevel="0" collapsed="false">
      <c r="A17" s="10" t="n">
        <v>13</v>
      </c>
      <c r="B17" s="11"/>
      <c r="C17" s="11"/>
      <c r="D17" s="12"/>
      <c r="E17" s="13" t="str">
        <f aca="false">IF(D17="Yes",Setup!$B$8,"")</f>
        <v/>
      </c>
      <c r="F17" s="12"/>
      <c r="G17" s="13" t="str">
        <f aca="false">IF(F17="Yes",Setup!$B$9,"")</f>
        <v/>
      </c>
    </row>
    <row r="18" customFormat="false" ht="15" hidden="false" customHeight="false" outlineLevel="0" collapsed="false">
      <c r="A18" s="10" t="n">
        <v>14</v>
      </c>
      <c r="B18" s="11"/>
      <c r="C18" s="11"/>
      <c r="D18" s="12"/>
      <c r="E18" s="13" t="str">
        <f aca="false">IF(D18="Yes",Setup!$B$8,"")</f>
        <v/>
      </c>
      <c r="F18" s="12"/>
      <c r="G18" s="13" t="str">
        <f aca="false">IF(F18="Yes",Setup!$B$9,"")</f>
        <v/>
      </c>
    </row>
    <row r="19" customFormat="false" ht="15" hidden="false" customHeight="false" outlineLevel="0" collapsed="false">
      <c r="A19" s="10" t="n">
        <v>15</v>
      </c>
      <c r="B19" s="11"/>
      <c r="C19" s="11"/>
      <c r="D19" s="12"/>
      <c r="E19" s="13" t="str">
        <f aca="false">IF(D19="Yes",Setup!$B$8,"")</f>
        <v/>
      </c>
      <c r="F19" s="12"/>
      <c r="G19" s="13" t="str">
        <f aca="false">IF(F19="Yes",Setup!$B$9,"")</f>
        <v/>
      </c>
    </row>
    <row r="20" customFormat="false" ht="15" hidden="false" customHeight="false" outlineLevel="0" collapsed="false">
      <c r="A20" s="10" t="n">
        <v>16</v>
      </c>
      <c r="B20" s="11"/>
      <c r="C20" s="11"/>
      <c r="D20" s="12"/>
      <c r="E20" s="13" t="str">
        <f aca="false">IF(D20="Yes",Setup!$B$8,"")</f>
        <v/>
      </c>
      <c r="F20" s="12"/>
      <c r="G20" s="13" t="str">
        <f aca="false">IF(F20="Yes",Setup!$B$9,"")</f>
        <v/>
      </c>
    </row>
    <row r="21" customFormat="false" ht="15" hidden="false" customHeight="false" outlineLevel="0" collapsed="false">
      <c r="A21" s="10" t="n">
        <v>17</v>
      </c>
      <c r="B21" s="11"/>
      <c r="C21" s="11"/>
      <c r="D21" s="12"/>
      <c r="E21" s="13" t="str">
        <f aca="false">IF(D21="Yes",Setup!$B$8,"")</f>
        <v/>
      </c>
      <c r="F21" s="12"/>
      <c r="G21" s="13" t="str">
        <f aca="false">IF(F21="Yes",Setup!$B$9,"")</f>
        <v/>
      </c>
    </row>
    <row r="22" customFormat="false" ht="15" hidden="false" customHeight="false" outlineLevel="0" collapsed="false">
      <c r="A22" s="10" t="n">
        <v>18</v>
      </c>
      <c r="B22" s="11"/>
      <c r="C22" s="11"/>
      <c r="D22" s="12"/>
      <c r="E22" s="13" t="str">
        <f aca="false">IF(D22="Yes",Setup!$B$8,"")</f>
        <v/>
      </c>
      <c r="F22" s="12"/>
      <c r="G22" s="13" t="str">
        <f aca="false">IF(F22="Yes",Setup!$B$9,"")</f>
        <v/>
      </c>
    </row>
    <row r="23" customFormat="false" ht="15" hidden="false" customHeight="false" outlineLevel="0" collapsed="false">
      <c r="A23" s="10" t="n">
        <v>19</v>
      </c>
      <c r="B23" s="11"/>
      <c r="C23" s="11"/>
      <c r="D23" s="12"/>
      <c r="E23" s="13" t="str">
        <f aca="false">IF(D23="Yes",Setup!$B$8,"")</f>
        <v/>
      </c>
      <c r="F23" s="12"/>
      <c r="G23" s="13" t="str">
        <f aca="false">IF(F23="Yes",Setup!$B$9,"")</f>
        <v/>
      </c>
    </row>
    <row r="24" customFormat="false" ht="15" hidden="false" customHeight="false" outlineLevel="0" collapsed="false">
      <c r="A24" s="10" t="n">
        <v>20</v>
      </c>
      <c r="B24" s="11"/>
      <c r="C24" s="11"/>
      <c r="D24" s="12"/>
      <c r="E24" s="13" t="str">
        <f aca="false">IF(D24="Yes",Setup!$B$8,"")</f>
        <v/>
      </c>
      <c r="F24" s="12"/>
      <c r="G24" s="13" t="str">
        <f aca="false">IF(F24="Yes",Setup!$B$9,"")</f>
        <v/>
      </c>
    </row>
    <row r="25" customFormat="false" ht="15" hidden="false" customHeight="false" outlineLevel="0" collapsed="false">
      <c r="A25" s="10" t="n">
        <v>21</v>
      </c>
      <c r="B25" s="11"/>
      <c r="C25" s="11"/>
      <c r="D25" s="12"/>
      <c r="E25" s="13" t="str">
        <f aca="false">IF(D25="Yes",Setup!$B$8,"")</f>
        <v/>
      </c>
      <c r="F25" s="12"/>
      <c r="G25" s="13" t="str">
        <f aca="false">IF(F25="Yes",Setup!$B$9,"")</f>
        <v/>
      </c>
    </row>
    <row r="26" customFormat="false" ht="15" hidden="false" customHeight="false" outlineLevel="0" collapsed="false">
      <c r="A26" s="10" t="n">
        <v>22</v>
      </c>
      <c r="B26" s="11"/>
      <c r="C26" s="11"/>
      <c r="D26" s="12"/>
      <c r="E26" s="13" t="str">
        <f aca="false">IF(D26="Yes",Setup!$B$8,"")</f>
        <v/>
      </c>
      <c r="F26" s="12"/>
      <c r="G26" s="13" t="str">
        <f aca="false">IF(F26="Yes",Setup!$B$9,"")</f>
        <v/>
      </c>
    </row>
    <row r="27" customFormat="false" ht="15" hidden="false" customHeight="false" outlineLevel="0" collapsed="false">
      <c r="A27" s="10" t="n">
        <v>23</v>
      </c>
      <c r="B27" s="11"/>
      <c r="C27" s="11"/>
      <c r="D27" s="12"/>
      <c r="E27" s="13" t="str">
        <f aca="false">IF(D27="Yes",Setup!$B$8,"")</f>
        <v/>
      </c>
      <c r="F27" s="12"/>
      <c r="G27" s="13" t="str">
        <f aca="false">IF(F27="Yes",Setup!$B$9,"")</f>
        <v/>
      </c>
    </row>
    <row r="28" customFormat="false" ht="15" hidden="false" customHeight="false" outlineLevel="0" collapsed="false">
      <c r="A28" s="10" t="n">
        <v>24</v>
      </c>
      <c r="B28" s="11"/>
      <c r="C28" s="11"/>
      <c r="D28" s="12"/>
      <c r="E28" s="13" t="str">
        <f aca="false">IF(D28="Yes",Setup!$B$8,"")</f>
        <v/>
      </c>
      <c r="F28" s="12"/>
      <c r="G28" s="13" t="str">
        <f aca="false">IF(F28="Yes",Setup!$B$9,"")</f>
        <v/>
      </c>
    </row>
    <row r="29" customFormat="false" ht="15" hidden="false" customHeight="false" outlineLevel="0" collapsed="false">
      <c r="A29" s="10" t="n">
        <v>25</v>
      </c>
      <c r="B29" s="11"/>
      <c r="C29" s="11"/>
      <c r="D29" s="12"/>
      <c r="E29" s="13" t="str">
        <f aca="false">IF(D29="Yes",Setup!$B$8,"")</f>
        <v/>
      </c>
      <c r="F29" s="12"/>
      <c r="G29" s="13" t="str">
        <f aca="false">IF(F29="Yes",Setup!$B$9,"")</f>
        <v/>
      </c>
    </row>
    <row r="30" customFormat="false" ht="15" hidden="false" customHeight="false" outlineLevel="0" collapsed="false">
      <c r="A30" s="10" t="n">
        <v>26</v>
      </c>
      <c r="B30" s="11"/>
      <c r="C30" s="11"/>
      <c r="D30" s="12"/>
      <c r="E30" s="13" t="str">
        <f aca="false">IF(D30="Yes",Setup!$B$8,"")</f>
        <v/>
      </c>
      <c r="F30" s="12"/>
      <c r="G30" s="13" t="str">
        <f aca="false">IF(F30="Yes",Setup!$B$9,"")</f>
        <v/>
      </c>
    </row>
    <row r="31" customFormat="false" ht="15" hidden="false" customHeight="false" outlineLevel="0" collapsed="false">
      <c r="A31" s="10" t="n">
        <v>27</v>
      </c>
      <c r="B31" s="11"/>
      <c r="C31" s="11"/>
      <c r="D31" s="12"/>
      <c r="E31" s="13" t="str">
        <f aca="false">IF(D31="Yes",Setup!$B$8,"")</f>
        <v/>
      </c>
      <c r="F31" s="12"/>
      <c r="G31" s="13" t="str">
        <f aca="false">IF(F31="Yes",Setup!$B$9,"")</f>
        <v/>
      </c>
    </row>
    <row r="32" customFormat="false" ht="15" hidden="false" customHeight="false" outlineLevel="0" collapsed="false">
      <c r="A32" s="10" t="n">
        <v>28</v>
      </c>
      <c r="B32" s="11"/>
      <c r="C32" s="11"/>
      <c r="D32" s="12"/>
      <c r="E32" s="13" t="str">
        <f aca="false">IF(D32="Yes",Setup!$B$8,"")</f>
        <v/>
      </c>
      <c r="F32" s="12"/>
      <c r="G32" s="13" t="str">
        <f aca="false">IF(F32="Yes",Setup!$B$9,"")</f>
        <v/>
      </c>
    </row>
    <row r="33" customFormat="false" ht="15" hidden="false" customHeight="false" outlineLevel="0" collapsed="false">
      <c r="A33" s="10" t="n">
        <v>29</v>
      </c>
      <c r="B33" s="11"/>
      <c r="C33" s="11"/>
      <c r="D33" s="12"/>
      <c r="E33" s="13" t="str">
        <f aca="false">IF(D33="Yes",Setup!$B$8,"")</f>
        <v/>
      </c>
      <c r="F33" s="12"/>
      <c r="G33" s="13" t="str">
        <f aca="false">IF(F33="Yes",Setup!$B$9,"")</f>
        <v/>
      </c>
    </row>
    <row r="34" customFormat="false" ht="15" hidden="false" customHeight="false" outlineLevel="0" collapsed="false">
      <c r="A34" s="10" t="n">
        <v>30</v>
      </c>
      <c r="B34" s="11"/>
      <c r="C34" s="11"/>
      <c r="D34" s="12"/>
      <c r="E34" s="13" t="str">
        <f aca="false">IF(D34="Yes",Setup!$B$8,"")</f>
        <v/>
      </c>
      <c r="F34" s="12"/>
      <c r="G34" s="13" t="str">
        <f aca="false">IF(F34="Yes",Setup!$B$9,"")</f>
        <v/>
      </c>
    </row>
    <row r="35" customFormat="false" ht="15" hidden="false" customHeight="false" outlineLevel="0" collapsed="false">
      <c r="A35" s="10" t="n">
        <v>31</v>
      </c>
      <c r="B35" s="11"/>
      <c r="C35" s="11"/>
      <c r="D35" s="12"/>
      <c r="E35" s="13" t="str">
        <f aca="false">IF(D35="Yes",Setup!$B$8,"")</f>
        <v/>
      </c>
      <c r="F35" s="12"/>
      <c r="G35" s="13" t="str">
        <f aca="false">IF(F35="Yes",Setup!$B$9,"")</f>
        <v/>
      </c>
    </row>
    <row r="36" customFormat="false" ht="15" hidden="false" customHeight="false" outlineLevel="0" collapsed="false">
      <c r="A36" s="10" t="n">
        <v>32</v>
      </c>
      <c r="B36" s="11"/>
      <c r="C36" s="11"/>
      <c r="D36" s="12"/>
      <c r="E36" s="13" t="str">
        <f aca="false">IF(D36="Yes",Setup!$B$8,"")</f>
        <v/>
      </c>
      <c r="F36" s="12"/>
      <c r="G36" s="13" t="str">
        <f aca="false">IF(F36="Yes",Setup!$B$9,"")</f>
        <v/>
      </c>
    </row>
    <row r="37" customFormat="false" ht="15" hidden="false" customHeight="false" outlineLevel="0" collapsed="false">
      <c r="A37" s="10" t="n">
        <v>33</v>
      </c>
      <c r="B37" s="11"/>
      <c r="C37" s="11"/>
      <c r="D37" s="12"/>
      <c r="E37" s="13" t="str">
        <f aca="false">IF(D37="Yes",Setup!$B$8,"")</f>
        <v/>
      </c>
      <c r="F37" s="12"/>
      <c r="G37" s="13" t="str">
        <f aca="false">IF(F37="Yes",Setup!$B$9,"")</f>
        <v/>
      </c>
    </row>
    <row r="38" customFormat="false" ht="15" hidden="false" customHeight="false" outlineLevel="0" collapsed="false">
      <c r="A38" s="10" t="n">
        <v>34</v>
      </c>
      <c r="B38" s="11"/>
      <c r="C38" s="11"/>
      <c r="D38" s="12"/>
      <c r="E38" s="13" t="str">
        <f aca="false">IF(D38="Yes",Setup!$B$8,"")</f>
        <v/>
      </c>
      <c r="F38" s="12"/>
      <c r="G38" s="13" t="str">
        <f aca="false">IF(F38="Yes",Setup!$B$9,"")</f>
        <v/>
      </c>
    </row>
    <row r="39" customFormat="false" ht="15" hidden="false" customHeight="false" outlineLevel="0" collapsed="false">
      <c r="A39" s="10" t="n">
        <v>35</v>
      </c>
      <c r="B39" s="11"/>
      <c r="C39" s="11"/>
      <c r="D39" s="12"/>
      <c r="E39" s="13" t="str">
        <f aca="false">IF(D39="Yes",Setup!$B$8,"")</f>
        <v/>
      </c>
      <c r="F39" s="12"/>
      <c r="G39" s="13" t="str">
        <f aca="false">IF(F39="Yes",Setup!$B$9,"")</f>
        <v/>
      </c>
    </row>
    <row r="40" customFormat="false" ht="15" hidden="false" customHeight="false" outlineLevel="0" collapsed="false">
      <c r="A40" s="10" t="n">
        <v>36</v>
      </c>
      <c r="B40" s="11"/>
      <c r="C40" s="11"/>
      <c r="D40" s="12"/>
      <c r="E40" s="13" t="str">
        <f aca="false">IF(D40="Yes",Setup!$B$8,"")</f>
        <v/>
      </c>
      <c r="F40" s="12"/>
      <c r="G40" s="13" t="str">
        <f aca="false">IF(F40="Yes",Setup!$B$9,"")</f>
        <v/>
      </c>
    </row>
    <row r="41" customFormat="false" ht="15" hidden="false" customHeight="false" outlineLevel="0" collapsed="false">
      <c r="A41" s="10" t="n">
        <v>37</v>
      </c>
      <c r="B41" s="11"/>
      <c r="C41" s="11"/>
      <c r="D41" s="12"/>
      <c r="E41" s="13" t="str">
        <f aca="false">IF(D41="Yes",Setup!$B$8,"")</f>
        <v/>
      </c>
      <c r="F41" s="12"/>
      <c r="G41" s="13" t="str">
        <f aca="false">IF(F41="Yes",Setup!$B$9,"")</f>
        <v/>
      </c>
    </row>
    <row r="42" customFormat="false" ht="15" hidden="false" customHeight="false" outlineLevel="0" collapsed="false">
      <c r="A42" s="10" t="n">
        <v>38</v>
      </c>
      <c r="B42" s="11"/>
      <c r="C42" s="11"/>
      <c r="D42" s="12"/>
      <c r="E42" s="13" t="str">
        <f aca="false">IF(D42="Yes",Setup!$B$8,"")</f>
        <v/>
      </c>
      <c r="F42" s="12"/>
      <c r="G42" s="13" t="str">
        <f aca="false">IF(F42="Yes",Setup!$B$9,"")</f>
        <v/>
      </c>
    </row>
    <row r="43" customFormat="false" ht="15" hidden="false" customHeight="false" outlineLevel="0" collapsed="false">
      <c r="A43" s="10" t="n">
        <v>39</v>
      </c>
      <c r="B43" s="11"/>
      <c r="C43" s="11"/>
      <c r="D43" s="12"/>
      <c r="E43" s="13" t="str">
        <f aca="false">IF(D43="Yes",Setup!$B$8,"")</f>
        <v/>
      </c>
      <c r="F43" s="12"/>
      <c r="G43" s="13" t="str">
        <f aca="false">IF(F43="Yes",Setup!$B$9,"")</f>
        <v/>
      </c>
    </row>
    <row r="44" customFormat="false" ht="15" hidden="false" customHeight="false" outlineLevel="0" collapsed="false">
      <c r="A44" s="10" t="n">
        <v>40</v>
      </c>
      <c r="B44" s="11"/>
      <c r="C44" s="11"/>
      <c r="D44" s="12"/>
      <c r="E44" s="13" t="str">
        <f aca="false">IF(D44="Yes",Setup!$B$8,"")</f>
        <v/>
      </c>
      <c r="F44" s="12"/>
      <c r="G44" s="13" t="str">
        <f aca="false">IF(F44="Yes",Setup!$B$9,"")</f>
        <v/>
      </c>
    </row>
    <row r="45" customFormat="false" ht="15" hidden="false" customHeight="false" outlineLevel="0" collapsed="false">
      <c r="A45" s="10" t="n">
        <v>41</v>
      </c>
      <c r="B45" s="11"/>
      <c r="C45" s="11"/>
      <c r="D45" s="12"/>
      <c r="E45" s="13" t="str">
        <f aca="false">IF(D45="Yes",Setup!$B$8,"")</f>
        <v/>
      </c>
      <c r="F45" s="12"/>
      <c r="G45" s="13" t="str">
        <f aca="false">IF(F45="Yes",Setup!$B$9,"")</f>
        <v/>
      </c>
    </row>
    <row r="46" customFormat="false" ht="15" hidden="false" customHeight="false" outlineLevel="0" collapsed="false">
      <c r="A46" s="10" t="n">
        <v>42</v>
      </c>
      <c r="B46" s="11"/>
      <c r="C46" s="11"/>
      <c r="D46" s="12"/>
      <c r="E46" s="13" t="str">
        <f aca="false">IF(D46="Yes",Setup!$B$8,"")</f>
        <v/>
      </c>
      <c r="F46" s="12"/>
      <c r="G46" s="13" t="str">
        <f aca="false">IF(F46="Yes",Setup!$B$9,"")</f>
        <v/>
      </c>
    </row>
    <row r="47" customFormat="false" ht="15" hidden="false" customHeight="false" outlineLevel="0" collapsed="false">
      <c r="A47" s="10" t="n">
        <v>43</v>
      </c>
      <c r="B47" s="11"/>
      <c r="C47" s="11"/>
      <c r="D47" s="12"/>
      <c r="E47" s="13" t="str">
        <f aca="false">IF(D47="Yes",Setup!$B$8,"")</f>
        <v/>
      </c>
      <c r="F47" s="12"/>
      <c r="G47" s="13" t="str">
        <f aca="false">IF(F47="Yes",Setup!$B$9,"")</f>
        <v/>
      </c>
    </row>
    <row r="48" customFormat="false" ht="15" hidden="false" customHeight="false" outlineLevel="0" collapsed="false">
      <c r="A48" s="10" t="n">
        <v>44</v>
      </c>
      <c r="B48" s="11"/>
      <c r="C48" s="11"/>
      <c r="D48" s="12"/>
      <c r="E48" s="13" t="str">
        <f aca="false">IF(D48="Yes",Setup!$B$8,"")</f>
        <v/>
      </c>
      <c r="F48" s="12"/>
      <c r="G48" s="13" t="str">
        <f aca="false">IF(F48="Yes",Setup!$B$9,"")</f>
        <v/>
      </c>
    </row>
    <row r="49" customFormat="false" ht="15" hidden="false" customHeight="false" outlineLevel="0" collapsed="false">
      <c r="A49" s="10" t="n">
        <v>45</v>
      </c>
      <c r="B49" s="11"/>
      <c r="C49" s="11"/>
      <c r="D49" s="12"/>
      <c r="E49" s="13" t="str">
        <f aca="false">IF(D49="Yes",Setup!$B$8,"")</f>
        <v/>
      </c>
      <c r="F49" s="12"/>
      <c r="G49" s="13" t="str">
        <f aca="false">IF(F49="Yes",Setup!$B$9,"")</f>
        <v/>
      </c>
    </row>
    <row r="50" customFormat="false" ht="15" hidden="false" customHeight="false" outlineLevel="0" collapsed="false">
      <c r="A50" s="10" t="n">
        <v>46</v>
      </c>
      <c r="B50" s="11"/>
      <c r="C50" s="11"/>
      <c r="D50" s="12"/>
      <c r="E50" s="13" t="str">
        <f aca="false">IF(D50="Yes",Setup!$B$8,"")</f>
        <v/>
      </c>
      <c r="F50" s="12"/>
      <c r="G50" s="13" t="str">
        <f aca="false">IF(F50="Yes",Setup!$B$9,"")</f>
        <v/>
      </c>
    </row>
    <row r="51" customFormat="false" ht="15" hidden="false" customHeight="false" outlineLevel="0" collapsed="false">
      <c r="A51" s="10" t="n">
        <v>47</v>
      </c>
      <c r="B51" s="11"/>
      <c r="C51" s="11"/>
      <c r="D51" s="12"/>
      <c r="E51" s="13" t="str">
        <f aca="false">IF(D51="Yes",Setup!$B$8,"")</f>
        <v/>
      </c>
      <c r="F51" s="12"/>
      <c r="G51" s="13" t="str">
        <f aca="false">IF(F51="Yes",Setup!$B$9,"")</f>
        <v/>
      </c>
    </row>
    <row r="52" customFormat="false" ht="15" hidden="false" customHeight="false" outlineLevel="0" collapsed="false">
      <c r="A52" s="10" t="n">
        <v>48</v>
      </c>
      <c r="B52" s="11"/>
      <c r="C52" s="11"/>
      <c r="D52" s="12"/>
      <c r="E52" s="13" t="str">
        <f aca="false">IF(D52="Yes",Setup!$B$8,"")</f>
        <v/>
      </c>
      <c r="F52" s="12"/>
      <c r="G52" s="13" t="str">
        <f aca="false">IF(F52="Yes",Setup!$B$9,"")</f>
        <v/>
      </c>
    </row>
    <row r="53" customFormat="false" ht="15" hidden="false" customHeight="false" outlineLevel="0" collapsed="false">
      <c r="A53" s="10" t="n">
        <v>49</v>
      </c>
      <c r="B53" s="11"/>
      <c r="C53" s="11"/>
      <c r="D53" s="12"/>
      <c r="E53" s="13" t="str">
        <f aca="false">IF(D53="Yes",Setup!$B$8,"")</f>
        <v/>
      </c>
      <c r="F53" s="12"/>
      <c r="G53" s="13" t="str">
        <f aca="false">IF(F53="Yes",Setup!$B$9,"")</f>
        <v/>
      </c>
    </row>
    <row r="54" customFormat="false" ht="15" hidden="false" customHeight="false" outlineLevel="0" collapsed="false">
      <c r="A54" s="10" t="n">
        <v>50</v>
      </c>
      <c r="B54" s="11"/>
      <c r="C54" s="11"/>
      <c r="D54" s="12"/>
      <c r="E54" s="13" t="str">
        <f aca="false">IF(D54="Yes",Setup!$B$8,"")</f>
        <v/>
      </c>
      <c r="F54" s="12"/>
      <c r="G54" s="13" t="str">
        <f aca="false">IF(F54="Yes",Setup!$B$9,"")</f>
        <v/>
      </c>
    </row>
    <row r="55" customFormat="false" ht="15" hidden="false" customHeight="false" outlineLevel="0" collapsed="false">
      <c r="A55" s="10" t="n">
        <v>51</v>
      </c>
      <c r="B55" s="11"/>
      <c r="C55" s="11"/>
      <c r="D55" s="12"/>
      <c r="E55" s="13" t="str">
        <f aca="false">IF(D55="Yes",Setup!$B$8,"")</f>
        <v/>
      </c>
      <c r="F55" s="12"/>
      <c r="G55" s="13" t="str">
        <f aca="false">IF(F55="Yes",Setup!$B$9,"")</f>
        <v/>
      </c>
    </row>
    <row r="56" customFormat="false" ht="15" hidden="false" customHeight="false" outlineLevel="0" collapsed="false">
      <c r="A56" s="10" t="n">
        <v>52</v>
      </c>
      <c r="B56" s="11"/>
      <c r="C56" s="11"/>
      <c r="D56" s="12"/>
      <c r="E56" s="13" t="str">
        <f aca="false">IF(D56="Yes",Setup!$B$8,"")</f>
        <v/>
      </c>
      <c r="F56" s="12"/>
      <c r="G56" s="13" t="str">
        <f aca="false">IF(F56="Yes",Setup!$B$9,"")</f>
        <v/>
      </c>
    </row>
    <row r="57" customFormat="false" ht="15" hidden="false" customHeight="false" outlineLevel="0" collapsed="false">
      <c r="A57" s="10" t="n">
        <v>53</v>
      </c>
      <c r="B57" s="11"/>
      <c r="C57" s="11"/>
      <c r="D57" s="12"/>
      <c r="E57" s="13" t="str">
        <f aca="false">IF(D57="Yes",Setup!$B$8,"")</f>
        <v/>
      </c>
      <c r="F57" s="12"/>
      <c r="G57" s="13" t="str">
        <f aca="false">IF(F57="Yes",Setup!$B$9,"")</f>
        <v/>
      </c>
    </row>
    <row r="58" customFormat="false" ht="15" hidden="false" customHeight="false" outlineLevel="0" collapsed="false">
      <c r="A58" s="10" t="n">
        <v>54</v>
      </c>
      <c r="B58" s="11"/>
      <c r="C58" s="11"/>
      <c r="D58" s="12"/>
      <c r="E58" s="13" t="str">
        <f aca="false">IF(D58="Yes",Setup!$B$8,"")</f>
        <v/>
      </c>
      <c r="F58" s="12"/>
      <c r="G58" s="13" t="str">
        <f aca="false">IF(F58="Yes",Setup!$B$9,"")</f>
        <v/>
      </c>
    </row>
    <row r="59" customFormat="false" ht="15" hidden="false" customHeight="false" outlineLevel="0" collapsed="false">
      <c r="A59" s="10" t="n">
        <v>55</v>
      </c>
      <c r="B59" s="11"/>
      <c r="C59" s="11"/>
      <c r="D59" s="12"/>
      <c r="E59" s="13" t="str">
        <f aca="false">IF(D59="Yes",Setup!$B$8,"")</f>
        <v/>
      </c>
      <c r="F59" s="12"/>
      <c r="G59" s="13" t="str">
        <f aca="false">IF(F59="Yes",Setup!$B$9,"")</f>
        <v/>
      </c>
    </row>
    <row r="60" customFormat="false" ht="15" hidden="false" customHeight="false" outlineLevel="0" collapsed="false">
      <c r="A60" s="10" t="n">
        <v>56</v>
      </c>
      <c r="B60" s="11"/>
      <c r="C60" s="11"/>
      <c r="D60" s="12"/>
      <c r="E60" s="13" t="str">
        <f aca="false">IF(D60="Yes",Setup!$B$8,"")</f>
        <v/>
      </c>
      <c r="F60" s="12"/>
      <c r="G60" s="13" t="str">
        <f aca="false">IF(F60="Yes",Setup!$B$9,"")</f>
        <v/>
      </c>
    </row>
    <row r="61" customFormat="false" ht="15" hidden="false" customHeight="false" outlineLevel="0" collapsed="false">
      <c r="A61" s="10" t="n">
        <v>57</v>
      </c>
      <c r="B61" s="11"/>
      <c r="C61" s="11"/>
      <c r="D61" s="12"/>
      <c r="E61" s="13" t="str">
        <f aca="false">IF(D61="Yes",Setup!$B$8,"")</f>
        <v/>
      </c>
      <c r="F61" s="12"/>
      <c r="G61" s="13" t="str">
        <f aca="false">IF(F61="Yes",Setup!$B$9,"")</f>
        <v/>
      </c>
    </row>
    <row r="62" customFormat="false" ht="15" hidden="false" customHeight="false" outlineLevel="0" collapsed="false">
      <c r="A62" s="10" t="n">
        <v>58</v>
      </c>
      <c r="B62" s="11"/>
      <c r="C62" s="11"/>
      <c r="D62" s="12"/>
      <c r="E62" s="13" t="str">
        <f aca="false">IF(D62="Yes",Setup!$B$8,"")</f>
        <v/>
      </c>
      <c r="F62" s="12"/>
      <c r="G62" s="13" t="str">
        <f aca="false">IF(F62="Yes",Setup!$B$9,"")</f>
        <v/>
      </c>
    </row>
    <row r="63" customFormat="false" ht="15" hidden="false" customHeight="false" outlineLevel="0" collapsed="false">
      <c r="A63" s="10" t="n">
        <v>59</v>
      </c>
      <c r="B63" s="11"/>
      <c r="C63" s="11"/>
      <c r="D63" s="12"/>
      <c r="E63" s="13" t="str">
        <f aca="false">IF(D63="Yes",Setup!$B$8,"")</f>
        <v/>
      </c>
      <c r="F63" s="12"/>
      <c r="G63" s="13" t="str">
        <f aca="false">IF(F63="Yes",Setup!$B$9,"")</f>
        <v/>
      </c>
    </row>
    <row r="64" customFormat="false" ht="15" hidden="false" customHeight="false" outlineLevel="0" collapsed="false">
      <c r="A64" s="10" t="n">
        <v>60</v>
      </c>
      <c r="B64" s="11"/>
      <c r="C64" s="11"/>
      <c r="D64" s="12"/>
      <c r="E64" s="13" t="str">
        <f aca="false">IF(D64="Yes",Setup!$B$8,"")</f>
        <v/>
      </c>
      <c r="F64" s="12"/>
      <c r="G64" s="13" t="str">
        <f aca="false">IF(F64="Yes",Setup!$B$9,"")</f>
        <v/>
      </c>
    </row>
    <row r="65" customFormat="false" ht="15" hidden="false" customHeight="false" outlineLevel="0" collapsed="false">
      <c r="A65" s="10" t="n">
        <v>61</v>
      </c>
      <c r="B65" s="11"/>
      <c r="C65" s="11"/>
      <c r="D65" s="12"/>
      <c r="E65" s="13" t="str">
        <f aca="false">IF(D65="Yes",Setup!$B$8,"")</f>
        <v/>
      </c>
      <c r="F65" s="12"/>
      <c r="G65" s="13" t="str">
        <f aca="false">IF(F65="Yes",Setup!$B$9,"")</f>
        <v/>
      </c>
    </row>
    <row r="66" customFormat="false" ht="15" hidden="false" customHeight="false" outlineLevel="0" collapsed="false">
      <c r="A66" s="10" t="n">
        <v>62</v>
      </c>
      <c r="B66" s="11"/>
      <c r="C66" s="11"/>
      <c r="D66" s="12"/>
      <c r="E66" s="13" t="str">
        <f aca="false">IF(D66="Yes",Setup!$B$8,"")</f>
        <v/>
      </c>
      <c r="F66" s="12"/>
      <c r="G66" s="13" t="str">
        <f aca="false">IF(F66="Yes",Setup!$B$9,"")</f>
        <v/>
      </c>
    </row>
    <row r="67" customFormat="false" ht="15" hidden="false" customHeight="false" outlineLevel="0" collapsed="false">
      <c r="A67" s="10" t="n">
        <v>63</v>
      </c>
      <c r="B67" s="11"/>
      <c r="C67" s="11"/>
      <c r="D67" s="12"/>
      <c r="E67" s="13" t="str">
        <f aca="false">IF(D67="Yes",Setup!$B$8,"")</f>
        <v/>
      </c>
      <c r="F67" s="12"/>
      <c r="G67" s="13" t="str">
        <f aca="false">IF(F67="Yes",Setup!$B$9,"")</f>
        <v/>
      </c>
    </row>
    <row r="68" customFormat="false" ht="15" hidden="false" customHeight="false" outlineLevel="0" collapsed="false">
      <c r="A68" s="10" t="n">
        <v>64</v>
      </c>
      <c r="B68" s="11"/>
      <c r="C68" s="11"/>
      <c r="D68" s="12"/>
      <c r="E68" s="13" t="str">
        <f aca="false">IF(D68="Yes",Setup!$B$8,"")</f>
        <v/>
      </c>
      <c r="F68" s="12"/>
      <c r="G68" s="13" t="str">
        <f aca="false">IF(F68="Yes",Setup!$B$9,"")</f>
        <v/>
      </c>
    </row>
    <row r="69" customFormat="false" ht="15" hidden="false" customHeight="false" outlineLevel="0" collapsed="false">
      <c r="A69" s="10" t="n">
        <v>65</v>
      </c>
      <c r="B69" s="11"/>
      <c r="C69" s="11"/>
      <c r="D69" s="12"/>
      <c r="E69" s="13" t="str">
        <f aca="false">IF(D69="Yes",Setup!$B$8,"")</f>
        <v/>
      </c>
      <c r="F69" s="12"/>
      <c r="G69" s="13" t="str">
        <f aca="false">IF(F69="Yes",Setup!$B$9,"")</f>
        <v/>
      </c>
    </row>
    <row r="70" customFormat="false" ht="15" hidden="false" customHeight="false" outlineLevel="0" collapsed="false">
      <c r="A70" s="10" t="n">
        <v>66</v>
      </c>
      <c r="B70" s="11"/>
      <c r="C70" s="11"/>
      <c r="D70" s="12"/>
      <c r="E70" s="13" t="str">
        <f aca="false">IF(D70="Yes",Setup!$B$8,"")</f>
        <v/>
      </c>
      <c r="F70" s="12"/>
      <c r="G70" s="13" t="str">
        <f aca="false">IF(F70="Yes",Setup!$B$9,"")</f>
        <v/>
      </c>
    </row>
    <row r="71" customFormat="false" ht="15" hidden="false" customHeight="false" outlineLevel="0" collapsed="false">
      <c r="A71" s="10" t="n">
        <v>67</v>
      </c>
      <c r="B71" s="11"/>
      <c r="C71" s="11"/>
      <c r="D71" s="12"/>
      <c r="E71" s="13" t="str">
        <f aca="false">IF(D71="Yes",Setup!$B$8,"")</f>
        <v/>
      </c>
      <c r="F71" s="12"/>
      <c r="G71" s="13" t="str">
        <f aca="false">IF(F71="Yes",Setup!$B$9,"")</f>
        <v/>
      </c>
    </row>
    <row r="72" customFormat="false" ht="15" hidden="false" customHeight="false" outlineLevel="0" collapsed="false">
      <c r="A72" s="10" t="n">
        <v>68</v>
      </c>
      <c r="B72" s="11"/>
      <c r="C72" s="11"/>
      <c r="D72" s="12"/>
      <c r="E72" s="13" t="str">
        <f aca="false">IF(D72="Yes",Setup!$B$8,"")</f>
        <v/>
      </c>
      <c r="F72" s="12"/>
      <c r="G72" s="13" t="str">
        <f aca="false">IF(F72="Yes",Setup!$B$9,"")</f>
        <v/>
      </c>
    </row>
    <row r="73" customFormat="false" ht="15" hidden="false" customHeight="false" outlineLevel="0" collapsed="false">
      <c r="A73" s="10" t="n">
        <v>69</v>
      </c>
      <c r="B73" s="11"/>
      <c r="C73" s="11"/>
      <c r="D73" s="12"/>
      <c r="E73" s="13" t="str">
        <f aca="false">IF(D73="Yes",Setup!$B$8,"")</f>
        <v/>
      </c>
      <c r="F73" s="12"/>
      <c r="G73" s="13" t="str">
        <f aca="false">IF(F73="Yes",Setup!$B$9,"")</f>
        <v/>
      </c>
    </row>
    <row r="74" customFormat="false" ht="15" hidden="false" customHeight="false" outlineLevel="0" collapsed="false">
      <c r="A74" s="10" t="n">
        <v>70</v>
      </c>
      <c r="B74" s="11"/>
      <c r="C74" s="11"/>
      <c r="D74" s="12"/>
      <c r="E74" s="13" t="str">
        <f aca="false">IF(D74="Yes",Setup!$B$8,"")</f>
        <v/>
      </c>
      <c r="F74" s="12"/>
      <c r="G74" s="13" t="str">
        <f aca="false">IF(F74="Yes",Setup!$B$9,"")</f>
        <v/>
      </c>
    </row>
    <row r="75" customFormat="false" ht="15" hidden="false" customHeight="false" outlineLevel="0" collapsed="false">
      <c r="A75" s="10" t="n">
        <v>71</v>
      </c>
      <c r="B75" s="11"/>
      <c r="C75" s="11"/>
      <c r="D75" s="12"/>
      <c r="E75" s="13" t="str">
        <f aca="false">IF(D75="Yes",Setup!$B$8,"")</f>
        <v/>
      </c>
      <c r="F75" s="12"/>
      <c r="G75" s="13" t="str">
        <f aca="false">IF(F75="Yes",Setup!$B$9,"")</f>
        <v/>
      </c>
    </row>
    <row r="76" customFormat="false" ht="15" hidden="false" customHeight="false" outlineLevel="0" collapsed="false">
      <c r="A76" s="10" t="n">
        <v>72</v>
      </c>
      <c r="B76" s="11"/>
      <c r="C76" s="11"/>
      <c r="D76" s="12"/>
      <c r="E76" s="13" t="str">
        <f aca="false">IF(D76="Yes",Setup!$B$8,"")</f>
        <v/>
      </c>
      <c r="F76" s="12"/>
      <c r="G76" s="13" t="str">
        <f aca="false">IF(F76="Yes",Setup!$B$9,"")</f>
        <v/>
      </c>
    </row>
    <row r="77" customFormat="false" ht="15" hidden="false" customHeight="false" outlineLevel="0" collapsed="false">
      <c r="A77" s="10" t="n">
        <v>73</v>
      </c>
      <c r="B77" s="11"/>
      <c r="C77" s="11"/>
      <c r="D77" s="12"/>
      <c r="E77" s="13" t="str">
        <f aca="false">IF(D77="Yes",Setup!$B$8,"")</f>
        <v/>
      </c>
      <c r="F77" s="12"/>
      <c r="G77" s="13" t="str">
        <f aca="false">IF(F77="Yes",Setup!$B$9,"")</f>
        <v/>
      </c>
    </row>
    <row r="78" customFormat="false" ht="15" hidden="false" customHeight="false" outlineLevel="0" collapsed="false">
      <c r="A78" s="10" t="n">
        <v>74</v>
      </c>
      <c r="B78" s="11"/>
      <c r="C78" s="11"/>
      <c r="D78" s="12"/>
      <c r="E78" s="13" t="str">
        <f aca="false">IF(D78="Yes",Setup!$B$8,"")</f>
        <v/>
      </c>
      <c r="F78" s="12"/>
      <c r="G78" s="13" t="str">
        <f aca="false">IF(F78="Yes",Setup!$B$9,"")</f>
        <v/>
      </c>
    </row>
    <row r="79" customFormat="false" ht="15" hidden="false" customHeight="false" outlineLevel="0" collapsed="false">
      <c r="A79" s="10" t="n">
        <v>75</v>
      </c>
      <c r="B79" s="11"/>
      <c r="C79" s="11"/>
      <c r="D79" s="12"/>
      <c r="E79" s="13" t="str">
        <f aca="false">IF(D79="Yes",Setup!$B$8,"")</f>
        <v/>
      </c>
      <c r="F79" s="12"/>
      <c r="G79" s="13" t="str">
        <f aca="false">IF(F79="Yes",Setup!$B$9,"")</f>
        <v/>
      </c>
    </row>
    <row r="80" customFormat="false" ht="15" hidden="false" customHeight="false" outlineLevel="0" collapsed="false">
      <c r="A80" s="10" t="n">
        <v>76</v>
      </c>
      <c r="B80" s="11"/>
      <c r="C80" s="11"/>
      <c r="D80" s="12"/>
      <c r="E80" s="13" t="str">
        <f aca="false">IF(D80="Yes",Setup!$B$8,"")</f>
        <v/>
      </c>
      <c r="F80" s="12"/>
      <c r="G80" s="13" t="str">
        <f aca="false">IF(F80="Yes",Setup!$B$9,"")</f>
        <v/>
      </c>
    </row>
    <row r="81" customFormat="false" ht="15" hidden="false" customHeight="false" outlineLevel="0" collapsed="false">
      <c r="A81" s="10" t="n">
        <v>77</v>
      </c>
      <c r="B81" s="11"/>
      <c r="C81" s="11"/>
      <c r="D81" s="12"/>
      <c r="E81" s="13" t="str">
        <f aca="false">IF(D81="Yes",Setup!$B$8,"")</f>
        <v/>
      </c>
      <c r="F81" s="12"/>
      <c r="G81" s="13" t="str">
        <f aca="false">IF(F81="Yes",Setup!$B$9,"")</f>
        <v/>
      </c>
    </row>
    <row r="82" customFormat="false" ht="15" hidden="false" customHeight="false" outlineLevel="0" collapsed="false">
      <c r="A82" s="10" t="n">
        <v>78</v>
      </c>
      <c r="B82" s="11"/>
      <c r="C82" s="11"/>
      <c r="D82" s="12"/>
      <c r="E82" s="13" t="str">
        <f aca="false">IF(D82="Yes",Setup!$B$8,"")</f>
        <v/>
      </c>
      <c r="F82" s="12"/>
      <c r="G82" s="13" t="str">
        <f aca="false">IF(F82="Yes",Setup!$B$9,"")</f>
        <v/>
      </c>
    </row>
    <row r="83" customFormat="false" ht="15" hidden="false" customHeight="false" outlineLevel="0" collapsed="false">
      <c r="A83" s="10" t="n">
        <v>79</v>
      </c>
      <c r="B83" s="11"/>
      <c r="C83" s="11"/>
      <c r="D83" s="12"/>
      <c r="E83" s="13" t="str">
        <f aca="false">IF(D83="Yes",Setup!$B$8,"")</f>
        <v/>
      </c>
      <c r="F83" s="12"/>
      <c r="G83" s="13" t="str">
        <f aca="false">IF(F83="Yes",Setup!$B$9,"")</f>
        <v/>
      </c>
    </row>
    <row r="84" customFormat="false" ht="15" hidden="false" customHeight="false" outlineLevel="0" collapsed="false">
      <c r="A84" s="10" t="n">
        <v>80</v>
      </c>
      <c r="B84" s="11"/>
      <c r="C84" s="11"/>
      <c r="D84" s="12"/>
      <c r="E84" s="13" t="str">
        <f aca="false">IF(D84="Yes",Setup!$B$8,"")</f>
        <v/>
      </c>
      <c r="F84" s="12"/>
      <c r="G84" s="13" t="str">
        <f aca="false">IF(F84="Yes",Setup!$B$9,"")</f>
        <v/>
      </c>
    </row>
    <row r="85" customFormat="false" ht="15" hidden="false" customHeight="false" outlineLevel="0" collapsed="false">
      <c r="A85" s="10" t="n">
        <v>81</v>
      </c>
      <c r="B85" s="11"/>
      <c r="C85" s="11"/>
      <c r="D85" s="12"/>
      <c r="E85" s="13" t="str">
        <f aca="false">IF(D85="Yes",Setup!$B$8,"")</f>
        <v/>
      </c>
      <c r="F85" s="12"/>
      <c r="G85" s="13" t="str">
        <f aca="false">IF(F85="Yes",Setup!$B$9,"")</f>
        <v/>
      </c>
    </row>
    <row r="86" customFormat="false" ht="15" hidden="false" customHeight="false" outlineLevel="0" collapsed="false">
      <c r="A86" s="10" t="n">
        <v>82</v>
      </c>
      <c r="B86" s="11"/>
      <c r="C86" s="11"/>
      <c r="D86" s="12"/>
      <c r="E86" s="13" t="str">
        <f aca="false">IF(D86="Yes",Setup!$B$8,"")</f>
        <v/>
      </c>
      <c r="F86" s="12"/>
      <c r="G86" s="13" t="str">
        <f aca="false">IF(F86="Yes",Setup!$B$9,"")</f>
        <v/>
      </c>
    </row>
    <row r="87" customFormat="false" ht="15" hidden="false" customHeight="false" outlineLevel="0" collapsed="false">
      <c r="A87" s="10" t="n">
        <v>83</v>
      </c>
      <c r="B87" s="11"/>
      <c r="C87" s="11"/>
      <c r="D87" s="12"/>
      <c r="E87" s="13" t="str">
        <f aca="false">IF(D87="Yes",Setup!$B$8,"")</f>
        <v/>
      </c>
      <c r="F87" s="12"/>
      <c r="G87" s="13" t="str">
        <f aca="false">IF(F87="Yes",Setup!$B$9,"")</f>
        <v/>
      </c>
    </row>
    <row r="88" customFormat="false" ht="15" hidden="false" customHeight="false" outlineLevel="0" collapsed="false">
      <c r="A88" s="10" t="n">
        <v>84</v>
      </c>
      <c r="B88" s="11"/>
      <c r="C88" s="11"/>
      <c r="D88" s="12"/>
      <c r="E88" s="13" t="str">
        <f aca="false">IF(D88="Yes",Setup!$B$8,"")</f>
        <v/>
      </c>
      <c r="F88" s="12"/>
      <c r="G88" s="13" t="str">
        <f aca="false">IF(F88="Yes",Setup!$B$9,"")</f>
        <v/>
      </c>
    </row>
    <row r="89" customFormat="false" ht="15" hidden="false" customHeight="false" outlineLevel="0" collapsed="false">
      <c r="A89" s="10" t="n">
        <v>85</v>
      </c>
      <c r="B89" s="11"/>
      <c r="C89" s="11"/>
      <c r="D89" s="12"/>
      <c r="E89" s="13" t="str">
        <f aca="false">IF(D89="Yes",Setup!$B$8,"")</f>
        <v/>
      </c>
      <c r="F89" s="12"/>
      <c r="G89" s="13" t="str">
        <f aca="false">IF(F89="Yes",Setup!$B$9,"")</f>
        <v/>
      </c>
    </row>
    <row r="90" customFormat="false" ht="15" hidden="false" customHeight="false" outlineLevel="0" collapsed="false">
      <c r="A90" s="10" t="n">
        <v>86</v>
      </c>
      <c r="B90" s="11"/>
      <c r="C90" s="11"/>
      <c r="D90" s="12"/>
      <c r="E90" s="13" t="str">
        <f aca="false">IF(D90="Yes",Setup!$B$8,"")</f>
        <v/>
      </c>
      <c r="F90" s="12"/>
      <c r="G90" s="13" t="str">
        <f aca="false">IF(F90="Yes",Setup!$B$9,"")</f>
        <v/>
      </c>
    </row>
    <row r="91" customFormat="false" ht="15" hidden="false" customHeight="false" outlineLevel="0" collapsed="false">
      <c r="A91" s="10" t="n">
        <v>87</v>
      </c>
      <c r="B91" s="11"/>
      <c r="C91" s="11"/>
      <c r="D91" s="12"/>
      <c r="E91" s="13" t="str">
        <f aca="false">IF(D91="Yes",Setup!$B$8,"")</f>
        <v/>
      </c>
      <c r="F91" s="12"/>
      <c r="G91" s="13" t="str">
        <f aca="false">IF(F91="Yes",Setup!$B$9,"")</f>
        <v/>
      </c>
    </row>
    <row r="92" customFormat="false" ht="15" hidden="false" customHeight="false" outlineLevel="0" collapsed="false">
      <c r="A92" s="10" t="n">
        <v>88</v>
      </c>
      <c r="B92" s="11"/>
      <c r="C92" s="11"/>
      <c r="D92" s="12"/>
      <c r="E92" s="13" t="str">
        <f aca="false">IF(D92="Yes",Setup!$B$8,"")</f>
        <v/>
      </c>
      <c r="F92" s="12"/>
      <c r="G92" s="13" t="str">
        <f aca="false">IF(F92="Yes",Setup!$B$9,"")</f>
        <v/>
      </c>
    </row>
    <row r="93" customFormat="false" ht="15" hidden="false" customHeight="false" outlineLevel="0" collapsed="false">
      <c r="A93" s="10" t="n">
        <v>89</v>
      </c>
      <c r="B93" s="11"/>
      <c r="C93" s="11"/>
      <c r="D93" s="12"/>
      <c r="E93" s="13" t="str">
        <f aca="false">IF(D93="Yes",Setup!$B$8,"")</f>
        <v/>
      </c>
      <c r="F93" s="12"/>
      <c r="G93" s="13" t="str">
        <f aca="false">IF(F93="Yes",Setup!$B$9,"")</f>
        <v/>
      </c>
    </row>
    <row r="94" customFormat="false" ht="15" hidden="false" customHeight="false" outlineLevel="0" collapsed="false">
      <c r="A94" s="10" t="n">
        <v>90</v>
      </c>
      <c r="B94" s="11"/>
      <c r="C94" s="11"/>
      <c r="D94" s="12"/>
      <c r="E94" s="13" t="str">
        <f aca="false">IF(D94="Yes",Setup!$B$8,"")</f>
        <v/>
      </c>
      <c r="F94" s="12"/>
      <c r="G94" s="13" t="str">
        <f aca="false">IF(F94="Yes",Setup!$B$9,"")</f>
        <v/>
      </c>
    </row>
    <row r="95" customFormat="false" ht="15" hidden="false" customHeight="false" outlineLevel="0" collapsed="false">
      <c r="A95" s="10" t="n">
        <v>91</v>
      </c>
      <c r="B95" s="11"/>
      <c r="C95" s="11"/>
      <c r="D95" s="12"/>
      <c r="E95" s="13" t="str">
        <f aca="false">IF(D95="Yes",Setup!$B$8,"")</f>
        <v/>
      </c>
      <c r="F95" s="12"/>
      <c r="G95" s="13" t="str">
        <f aca="false">IF(F95="Yes",Setup!$B$9,"")</f>
        <v/>
      </c>
    </row>
    <row r="96" customFormat="false" ht="15" hidden="false" customHeight="false" outlineLevel="0" collapsed="false">
      <c r="A96" s="10" t="n">
        <v>92</v>
      </c>
      <c r="B96" s="11"/>
      <c r="C96" s="11"/>
      <c r="D96" s="12"/>
      <c r="E96" s="13" t="str">
        <f aca="false">IF(D96="Yes",Setup!$B$8,"")</f>
        <v/>
      </c>
      <c r="F96" s="12"/>
      <c r="G96" s="13" t="str">
        <f aca="false">IF(F96="Yes",Setup!$B$9,"")</f>
        <v/>
      </c>
    </row>
    <row r="97" customFormat="false" ht="15" hidden="false" customHeight="false" outlineLevel="0" collapsed="false">
      <c r="A97" s="10" t="n">
        <v>93</v>
      </c>
      <c r="B97" s="11"/>
      <c r="C97" s="11"/>
      <c r="D97" s="12"/>
      <c r="E97" s="13" t="str">
        <f aca="false">IF(D97="Yes",Setup!$B$8,"")</f>
        <v/>
      </c>
      <c r="F97" s="12"/>
      <c r="G97" s="13" t="str">
        <f aca="false">IF(F97="Yes",Setup!$B$9,"")</f>
        <v/>
      </c>
    </row>
    <row r="98" customFormat="false" ht="15" hidden="false" customHeight="false" outlineLevel="0" collapsed="false">
      <c r="A98" s="10" t="n">
        <v>94</v>
      </c>
      <c r="B98" s="11"/>
      <c r="C98" s="11"/>
      <c r="D98" s="12"/>
      <c r="E98" s="13" t="str">
        <f aca="false">IF(D98="Yes",Setup!$B$8,"")</f>
        <v/>
      </c>
      <c r="F98" s="12"/>
      <c r="G98" s="13" t="str">
        <f aca="false">IF(F98="Yes",Setup!$B$9,"")</f>
        <v/>
      </c>
    </row>
    <row r="99" customFormat="false" ht="15" hidden="false" customHeight="false" outlineLevel="0" collapsed="false">
      <c r="A99" s="10" t="n">
        <v>95</v>
      </c>
      <c r="B99" s="11"/>
      <c r="C99" s="11"/>
      <c r="D99" s="12"/>
      <c r="E99" s="13" t="str">
        <f aca="false">IF(D99="Yes",Setup!$B$8,"")</f>
        <v/>
      </c>
      <c r="F99" s="12"/>
      <c r="G99" s="13" t="str">
        <f aca="false">IF(F99="Yes",Setup!$B$9,"")</f>
        <v/>
      </c>
    </row>
    <row r="100" customFormat="false" ht="15" hidden="false" customHeight="false" outlineLevel="0" collapsed="false">
      <c r="A100" s="10" t="n">
        <v>96</v>
      </c>
      <c r="B100" s="11"/>
      <c r="C100" s="11"/>
      <c r="D100" s="12"/>
      <c r="E100" s="13" t="str">
        <f aca="false">IF(D100="Yes",Setup!$B$8,"")</f>
        <v/>
      </c>
      <c r="F100" s="12"/>
      <c r="G100" s="13" t="str">
        <f aca="false">IF(F100="Yes",Setup!$B$9,"")</f>
        <v/>
      </c>
    </row>
    <row r="101" customFormat="false" ht="15" hidden="false" customHeight="false" outlineLevel="0" collapsed="false">
      <c r="A101" s="10" t="n">
        <v>97</v>
      </c>
      <c r="B101" s="11"/>
      <c r="C101" s="11"/>
      <c r="D101" s="12"/>
      <c r="E101" s="13" t="str">
        <f aca="false">IF(D101="Yes",Setup!$B$8,"")</f>
        <v/>
      </c>
      <c r="F101" s="12"/>
      <c r="G101" s="13" t="str">
        <f aca="false">IF(F101="Yes",Setup!$B$9,"")</f>
        <v/>
      </c>
    </row>
    <row r="102" customFormat="false" ht="15" hidden="false" customHeight="false" outlineLevel="0" collapsed="false">
      <c r="A102" s="10" t="n">
        <v>98</v>
      </c>
      <c r="B102" s="11"/>
      <c r="C102" s="11"/>
      <c r="D102" s="12"/>
      <c r="E102" s="13" t="str">
        <f aca="false">IF(D102="Yes",Setup!$B$8,"")</f>
        <v/>
      </c>
      <c r="F102" s="12"/>
      <c r="G102" s="13" t="str">
        <f aca="false">IF(F102="Yes",Setup!$B$9,"")</f>
        <v/>
      </c>
    </row>
    <row r="103" customFormat="false" ht="15" hidden="false" customHeight="false" outlineLevel="0" collapsed="false">
      <c r="A103" s="10" t="n">
        <v>99</v>
      </c>
      <c r="B103" s="11"/>
      <c r="C103" s="11"/>
      <c r="D103" s="12"/>
      <c r="E103" s="13" t="str">
        <f aca="false">IF(D103="Yes",Setup!$B$8,"")</f>
        <v/>
      </c>
      <c r="F103" s="12"/>
      <c r="G103" s="13" t="str">
        <f aca="false">IF(F103="Yes",Setup!$B$9,"")</f>
        <v/>
      </c>
    </row>
    <row r="104" customFormat="false" ht="15" hidden="false" customHeight="false" outlineLevel="0" collapsed="false">
      <c r="A104" s="10" t="n">
        <v>100</v>
      </c>
      <c r="B104" s="11"/>
      <c r="C104" s="11"/>
      <c r="D104" s="12"/>
      <c r="E104" s="13" t="str">
        <f aca="false">IF(D104="Yes",Setup!$B$8,"")</f>
        <v/>
      </c>
      <c r="F104" s="12"/>
      <c r="G104" s="13" t="str">
        <f aca="false">IF(F104="Yes",Setup!$B$9,"")</f>
        <v/>
      </c>
    </row>
  </sheetData>
  <mergeCells count="1">
    <mergeCell ref="A1:G1"/>
  </mergeCells>
  <dataValidations count="2">
    <dataValidation allowBlank="true" errorStyle="stop" operator="between" showDropDown="false" showErrorMessage="false" showInputMessage="false" sqref="D5:D104 F5:F104" type="list">
      <formula1>"Yes,No"</formula1>
      <formula2>0</formula2>
    </dataValidation>
    <dataValidation allowBlank="true" errorStyle="stop" operator="between" showDropDown="false" showErrorMessage="false" showInputMessage="false" sqref="E5:E104 G5:G104" type="list">
      <formula1>"2000,1500,1000"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1000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1000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1000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0</v>
      </c>
      <c r="D11" s="21"/>
      <c r="E11" s="3" t="s">
        <v>44</v>
      </c>
      <c r="F11" s="3"/>
      <c r="G11" s="21" t="n">
        <f aca="false">D114+H114+L114+M114</f>
        <v>3700</v>
      </c>
      <c r="H11" s="21"/>
      <c r="I11" s="3" t="s">
        <v>45</v>
      </c>
      <c r="J11" s="3"/>
      <c r="K11" s="21" t="n">
        <f aca="false">E114+I114+N114</f>
        <v>2000</v>
      </c>
      <c r="L11" s="21"/>
      <c r="M11" s="3" t="s">
        <v>46</v>
      </c>
      <c r="N11" s="3"/>
      <c r="O11" s="21" t="n">
        <f aca="false">P114</f>
        <v>1700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13"/>
      <c r="D14" s="29" t="n">
        <f aca="false">IF(Students!D5="Yes",N(Students!E5),0)</f>
        <v>2000</v>
      </c>
      <c r="E14" s="13" t="n">
        <v>2000</v>
      </c>
      <c r="F14" s="30" t="n">
        <f aca="false">N(C14)+N(D14)-N(E14)</f>
        <v>0</v>
      </c>
      <c r="G14" s="13"/>
      <c r="H14" s="29" t="n">
        <f aca="false">IF(Students!F5="Yes",N(Students!G5),0)</f>
        <v>1500</v>
      </c>
      <c r="I14" s="13"/>
      <c r="J14" s="30" t="n">
        <f aca="false">N(G14)+N(H14)-N(I14)</f>
        <v>1500</v>
      </c>
      <c r="K14" s="13"/>
      <c r="L14" s="13"/>
      <c r="M14" s="13" t="n">
        <v>200</v>
      </c>
      <c r="N14" s="13"/>
      <c r="O14" s="30" t="n">
        <f aca="false">N(K14)+N(L14)+N(M14)-N(N14)</f>
        <v>200</v>
      </c>
      <c r="P14" s="30" t="n">
        <f aca="false">F14+J14+O14</f>
        <v>1700</v>
      </c>
      <c r="Q14" s="10" t="str">
        <f aca="false">IF(B14="","",IF(P14&lt;=0,"Clear",IF(E14+I14+N14&gt;0,"Partial","Due")))</f>
        <v>Partial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13"/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13"/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13"/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13"/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13"/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13"/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13"/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13"/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13"/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13"/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13"/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13"/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13"/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13"/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13"/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13"/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13"/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13"/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13"/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13"/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13"/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13"/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13"/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13"/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13"/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13"/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13"/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13"/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13"/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13"/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13"/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13"/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13"/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13"/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13"/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13"/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13"/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13"/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13"/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13"/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13"/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13"/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13"/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13"/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13"/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13"/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13"/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13"/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13"/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13"/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13"/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13"/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13"/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13"/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13"/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13"/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13"/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13"/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13"/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13"/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13"/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13"/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13"/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13"/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13"/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13"/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13"/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13"/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13"/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13"/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13"/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13"/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13"/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13"/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13"/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13"/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13"/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13"/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13"/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13"/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13"/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13"/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13"/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13"/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13"/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13"/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13"/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13"/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13"/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13"/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13"/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13"/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13"/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13"/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13"/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13"/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13"/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13"/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13"/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13"/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13"/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13"/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13"/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13"/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13"/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13"/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13"/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13"/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13"/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13"/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13"/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13"/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13"/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13"/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13"/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13"/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13"/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13"/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13"/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13"/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13"/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13"/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13"/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13"/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13"/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13"/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13"/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13"/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13"/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13"/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13"/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13"/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13"/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13"/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13"/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13"/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13"/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13"/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13"/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13"/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13"/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13"/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13"/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13"/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13"/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13"/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13"/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13"/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13"/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13"/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13"/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13"/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13"/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13"/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13"/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13"/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13"/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13"/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13"/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13"/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13"/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13"/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13"/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13"/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13"/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13"/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13"/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13"/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13"/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13"/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13"/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13"/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13"/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13"/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13"/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13"/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13"/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13"/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13"/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13"/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13"/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13"/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13"/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13"/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13"/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13"/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13"/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13"/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13"/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13"/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13"/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13"/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13"/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13"/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13"/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13"/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13"/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13"/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13"/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13"/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13"/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13"/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13"/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13"/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13"/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13"/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13"/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13"/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13"/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13"/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13"/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13"/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13"/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13"/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13"/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13"/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13"/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13"/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13"/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13"/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13"/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13"/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13"/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13"/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13"/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13"/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13"/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13"/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13"/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13"/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13"/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13"/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13"/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13"/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13"/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13"/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13"/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13"/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13"/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13"/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13"/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13"/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13"/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13"/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13"/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13"/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13"/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13"/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13"/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13"/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13"/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13"/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13"/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13"/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13"/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13"/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13"/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13"/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13"/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13"/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13"/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13"/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13"/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13"/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13"/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13"/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13"/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13"/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13"/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13"/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13"/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13"/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13"/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13"/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13"/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13"/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13"/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13"/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13"/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13"/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13"/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13"/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13"/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13"/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13"/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13"/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13"/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13"/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13"/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13"/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13"/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13"/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13"/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13"/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13"/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13"/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13"/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0</v>
      </c>
      <c r="D114" s="32" t="n">
        <f aca="false">SUM(D14:D113)</f>
        <v>2000</v>
      </c>
      <c r="E114" s="32" t="n">
        <f aca="false">SUM(E14:E113)</f>
        <v>2000</v>
      </c>
      <c r="F114" s="32" t="n">
        <f aca="false">SUM(F14:F113)</f>
        <v>0</v>
      </c>
      <c r="G114" s="32" t="n">
        <f aca="false">SUM(G14:G113)</f>
        <v>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1500</v>
      </c>
      <c r="K114" s="32" t="n">
        <f aca="false">SUM(K14:K113)</f>
        <v>0</v>
      </c>
      <c r="L114" s="32" t="n">
        <f aca="false">SUM(L14:L113)</f>
        <v>0</v>
      </c>
      <c r="M114" s="32" t="n">
        <f aca="false">SUM(M14:M113)</f>
        <v>200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1700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1700</v>
      </c>
      <c r="D11" s="21"/>
      <c r="E11" s="3" t="s">
        <v>44</v>
      </c>
      <c r="F11" s="3"/>
      <c r="G11" s="21" t="n">
        <f aca="false">D114+H114+L114+M114</f>
        <v>3500</v>
      </c>
      <c r="H11" s="21"/>
      <c r="I11" s="3" t="s">
        <v>45</v>
      </c>
      <c r="J11" s="3"/>
      <c r="K11" s="21" t="n">
        <f aca="false">E114+I114+N114</f>
        <v>0</v>
      </c>
      <c r="L11" s="21"/>
      <c r="M11" s="3" t="s">
        <v>46</v>
      </c>
      <c r="N11" s="3"/>
      <c r="O11" s="21" t="n">
        <f aca="false">P114</f>
        <v>5200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29" t="n">
        <f aca="false">'Oct 2026'!F14</f>
        <v>0</v>
      </c>
      <c r="D14" s="29" t="n">
        <f aca="false">IF(Students!D5="Yes",N(Students!E5),0)</f>
        <v>2000</v>
      </c>
      <c r="E14" s="13"/>
      <c r="F14" s="30" t="n">
        <f aca="false">N(C14)+N(D14)-N(E14)</f>
        <v>2000</v>
      </c>
      <c r="G14" s="29" t="n">
        <f aca="false">'Oct 2026'!J14</f>
        <v>1500</v>
      </c>
      <c r="H14" s="29" t="n">
        <f aca="false">IF(Students!F5="Yes",N(Students!G5),0)</f>
        <v>1500</v>
      </c>
      <c r="I14" s="13"/>
      <c r="J14" s="30" t="n">
        <f aca="false">N(G14)+N(H14)-N(I14)</f>
        <v>3000</v>
      </c>
      <c r="K14" s="29" t="n">
        <f aca="false">'Oct 2026'!O14</f>
        <v>200</v>
      </c>
      <c r="L14" s="13"/>
      <c r="M14" s="13"/>
      <c r="N14" s="13"/>
      <c r="O14" s="30" t="n">
        <f aca="false">N(K14)+N(L14)+N(M14)-N(N14)</f>
        <v>200</v>
      </c>
      <c r="P14" s="30" t="n">
        <f aca="false">F14+J14+O14</f>
        <v>5200</v>
      </c>
      <c r="Q14" s="10" t="str">
        <f aca="false">IF(B14="","",IF(P14&lt;=0,"Clear",IF(E14+I14+N14&gt;0,"Partial","Due")))</f>
        <v>Due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29" t="n">
        <f aca="false">'Oct 2026'!F15</f>
        <v>0</v>
      </c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29" t="n">
        <f aca="false">'Oct 2026'!J15</f>
        <v>0</v>
      </c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29" t="n">
        <f aca="false">'Oct 2026'!O15</f>
        <v>0</v>
      </c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29" t="n">
        <f aca="false">'Oct 2026'!F16</f>
        <v>0</v>
      </c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29" t="n">
        <f aca="false">'Oct 2026'!J16</f>
        <v>0</v>
      </c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29" t="n">
        <f aca="false">'Oct 2026'!O16</f>
        <v>0</v>
      </c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29" t="n">
        <f aca="false">'Oct 2026'!F17</f>
        <v>0</v>
      </c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29" t="n">
        <f aca="false">'Oct 2026'!J17</f>
        <v>0</v>
      </c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29" t="n">
        <f aca="false">'Oct 2026'!O17</f>
        <v>0</v>
      </c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29" t="n">
        <f aca="false">'Oct 2026'!F18</f>
        <v>0</v>
      </c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29" t="n">
        <f aca="false">'Oct 2026'!J18</f>
        <v>0</v>
      </c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29" t="n">
        <f aca="false">'Oct 2026'!O18</f>
        <v>0</v>
      </c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29" t="n">
        <f aca="false">'Oct 2026'!F19</f>
        <v>0</v>
      </c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29" t="n">
        <f aca="false">'Oct 2026'!J19</f>
        <v>0</v>
      </c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29" t="n">
        <f aca="false">'Oct 2026'!O19</f>
        <v>0</v>
      </c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29" t="n">
        <f aca="false">'Oct 2026'!F20</f>
        <v>0</v>
      </c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29" t="n">
        <f aca="false">'Oct 2026'!J20</f>
        <v>0</v>
      </c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29" t="n">
        <f aca="false">'Oct 2026'!O20</f>
        <v>0</v>
      </c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29" t="n">
        <f aca="false">'Oct 2026'!F21</f>
        <v>0</v>
      </c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29" t="n">
        <f aca="false">'Oct 2026'!J21</f>
        <v>0</v>
      </c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29" t="n">
        <f aca="false">'Oct 2026'!O21</f>
        <v>0</v>
      </c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29" t="n">
        <f aca="false">'Oct 2026'!F22</f>
        <v>0</v>
      </c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29" t="n">
        <f aca="false">'Oct 2026'!J22</f>
        <v>0</v>
      </c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29" t="n">
        <f aca="false">'Oct 2026'!O22</f>
        <v>0</v>
      </c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29" t="n">
        <f aca="false">'Oct 2026'!F23</f>
        <v>0</v>
      </c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29" t="n">
        <f aca="false">'Oct 2026'!J23</f>
        <v>0</v>
      </c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29" t="n">
        <f aca="false">'Oct 2026'!O23</f>
        <v>0</v>
      </c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29" t="n">
        <f aca="false">'Oct 2026'!F24</f>
        <v>0</v>
      </c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29" t="n">
        <f aca="false">'Oct 2026'!J24</f>
        <v>0</v>
      </c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29" t="n">
        <f aca="false">'Oct 2026'!O24</f>
        <v>0</v>
      </c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29" t="n">
        <f aca="false">'Oct 2026'!F25</f>
        <v>0</v>
      </c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29" t="n">
        <f aca="false">'Oct 2026'!J25</f>
        <v>0</v>
      </c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29" t="n">
        <f aca="false">'Oct 2026'!O25</f>
        <v>0</v>
      </c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29" t="n">
        <f aca="false">'Oct 2026'!F26</f>
        <v>0</v>
      </c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29" t="n">
        <f aca="false">'Oct 2026'!J26</f>
        <v>0</v>
      </c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29" t="n">
        <f aca="false">'Oct 2026'!O26</f>
        <v>0</v>
      </c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29" t="n">
        <f aca="false">'Oct 2026'!F27</f>
        <v>0</v>
      </c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29" t="n">
        <f aca="false">'Oct 2026'!J27</f>
        <v>0</v>
      </c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29" t="n">
        <f aca="false">'Oct 2026'!O27</f>
        <v>0</v>
      </c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29" t="n">
        <f aca="false">'Oct 2026'!F28</f>
        <v>0</v>
      </c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29" t="n">
        <f aca="false">'Oct 2026'!J28</f>
        <v>0</v>
      </c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29" t="n">
        <f aca="false">'Oct 2026'!O28</f>
        <v>0</v>
      </c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29" t="n">
        <f aca="false">'Oct 2026'!F29</f>
        <v>0</v>
      </c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29" t="n">
        <f aca="false">'Oct 2026'!J29</f>
        <v>0</v>
      </c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29" t="n">
        <f aca="false">'Oct 2026'!O29</f>
        <v>0</v>
      </c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29" t="n">
        <f aca="false">'Oct 2026'!F30</f>
        <v>0</v>
      </c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29" t="n">
        <f aca="false">'Oct 2026'!J30</f>
        <v>0</v>
      </c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29" t="n">
        <f aca="false">'Oct 2026'!O30</f>
        <v>0</v>
      </c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29" t="n">
        <f aca="false">'Oct 2026'!F31</f>
        <v>0</v>
      </c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29" t="n">
        <f aca="false">'Oct 2026'!J31</f>
        <v>0</v>
      </c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29" t="n">
        <f aca="false">'Oct 2026'!O31</f>
        <v>0</v>
      </c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29" t="n">
        <f aca="false">'Oct 2026'!F32</f>
        <v>0</v>
      </c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29" t="n">
        <f aca="false">'Oct 2026'!J32</f>
        <v>0</v>
      </c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29" t="n">
        <f aca="false">'Oct 2026'!O32</f>
        <v>0</v>
      </c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29" t="n">
        <f aca="false">'Oct 2026'!F33</f>
        <v>0</v>
      </c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29" t="n">
        <f aca="false">'Oct 2026'!J33</f>
        <v>0</v>
      </c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29" t="n">
        <f aca="false">'Oct 2026'!O33</f>
        <v>0</v>
      </c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29" t="n">
        <f aca="false">'Oct 2026'!F34</f>
        <v>0</v>
      </c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29" t="n">
        <f aca="false">'Oct 2026'!J34</f>
        <v>0</v>
      </c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29" t="n">
        <f aca="false">'Oct 2026'!O34</f>
        <v>0</v>
      </c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29" t="n">
        <f aca="false">'Oct 2026'!F35</f>
        <v>0</v>
      </c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29" t="n">
        <f aca="false">'Oct 2026'!J35</f>
        <v>0</v>
      </c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29" t="n">
        <f aca="false">'Oct 2026'!O35</f>
        <v>0</v>
      </c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29" t="n">
        <f aca="false">'Oct 2026'!F36</f>
        <v>0</v>
      </c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29" t="n">
        <f aca="false">'Oct 2026'!J36</f>
        <v>0</v>
      </c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29" t="n">
        <f aca="false">'Oct 2026'!O36</f>
        <v>0</v>
      </c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29" t="n">
        <f aca="false">'Oct 2026'!F37</f>
        <v>0</v>
      </c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29" t="n">
        <f aca="false">'Oct 2026'!J37</f>
        <v>0</v>
      </c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29" t="n">
        <f aca="false">'Oct 2026'!O37</f>
        <v>0</v>
      </c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29" t="n">
        <f aca="false">'Oct 2026'!F38</f>
        <v>0</v>
      </c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29" t="n">
        <f aca="false">'Oct 2026'!J38</f>
        <v>0</v>
      </c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29" t="n">
        <f aca="false">'Oct 2026'!O38</f>
        <v>0</v>
      </c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29" t="n">
        <f aca="false">'Oct 2026'!F39</f>
        <v>0</v>
      </c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29" t="n">
        <f aca="false">'Oct 2026'!J39</f>
        <v>0</v>
      </c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29" t="n">
        <f aca="false">'Oct 2026'!O39</f>
        <v>0</v>
      </c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29" t="n">
        <f aca="false">'Oct 2026'!F40</f>
        <v>0</v>
      </c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29" t="n">
        <f aca="false">'Oct 2026'!J40</f>
        <v>0</v>
      </c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29" t="n">
        <f aca="false">'Oct 2026'!O40</f>
        <v>0</v>
      </c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29" t="n">
        <f aca="false">'Oct 2026'!F41</f>
        <v>0</v>
      </c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29" t="n">
        <f aca="false">'Oct 2026'!J41</f>
        <v>0</v>
      </c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29" t="n">
        <f aca="false">'Oct 2026'!O41</f>
        <v>0</v>
      </c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29" t="n">
        <f aca="false">'Oct 2026'!F42</f>
        <v>0</v>
      </c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29" t="n">
        <f aca="false">'Oct 2026'!J42</f>
        <v>0</v>
      </c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29" t="n">
        <f aca="false">'Oct 2026'!O42</f>
        <v>0</v>
      </c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29" t="n">
        <f aca="false">'Oct 2026'!F43</f>
        <v>0</v>
      </c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29" t="n">
        <f aca="false">'Oct 2026'!J43</f>
        <v>0</v>
      </c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29" t="n">
        <f aca="false">'Oct 2026'!O43</f>
        <v>0</v>
      </c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29" t="n">
        <f aca="false">'Oct 2026'!F44</f>
        <v>0</v>
      </c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29" t="n">
        <f aca="false">'Oct 2026'!J44</f>
        <v>0</v>
      </c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29" t="n">
        <f aca="false">'Oct 2026'!O44</f>
        <v>0</v>
      </c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29" t="n">
        <f aca="false">'Oct 2026'!F45</f>
        <v>0</v>
      </c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29" t="n">
        <f aca="false">'Oct 2026'!J45</f>
        <v>0</v>
      </c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29" t="n">
        <f aca="false">'Oct 2026'!O45</f>
        <v>0</v>
      </c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29" t="n">
        <f aca="false">'Oct 2026'!F46</f>
        <v>0</v>
      </c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29" t="n">
        <f aca="false">'Oct 2026'!J46</f>
        <v>0</v>
      </c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29" t="n">
        <f aca="false">'Oct 2026'!O46</f>
        <v>0</v>
      </c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29" t="n">
        <f aca="false">'Oct 2026'!F47</f>
        <v>0</v>
      </c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29" t="n">
        <f aca="false">'Oct 2026'!J47</f>
        <v>0</v>
      </c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29" t="n">
        <f aca="false">'Oct 2026'!O47</f>
        <v>0</v>
      </c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29" t="n">
        <f aca="false">'Oct 2026'!F48</f>
        <v>0</v>
      </c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29" t="n">
        <f aca="false">'Oct 2026'!J48</f>
        <v>0</v>
      </c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29" t="n">
        <f aca="false">'Oct 2026'!O48</f>
        <v>0</v>
      </c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29" t="n">
        <f aca="false">'Oct 2026'!F49</f>
        <v>0</v>
      </c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29" t="n">
        <f aca="false">'Oct 2026'!J49</f>
        <v>0</v>
      </c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29" t="n">
        <f aca="false">'Oct 2026'!O49</f>
        <v>0</v>
      </c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29" t="n">
        <f aca="false">'Oct 2026'!F50</f>
        <v>0</v>
      </c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29" t="n">
        <f aca="false">'Oct 2026'!J50</f>
        <v>0</v>
      </c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29" t="n">
        <f aca="false">'Oct 2026'!O50</f>
        <v>0</v>
      </c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29" t="n">
        <f aca="false">'Oct 2026'!F51</f>
        <v>0</v>
      </c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29" t="n">
        <f aca="false">'Oct 2026'!J51</f>
        <v>0</v>
      </c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29" t="n">
        <f aca="false">'Oct 2026'!O51</f>
        <v>0</v>
      </c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29" t="n">
        <f aca="false">'Oct 2026'!F52</f>
        <v>0</v>
      </c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29" t="n">
        <f aca="false">'Oct 2026'!J52</f>
        <v>0</v>
      </c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29" t="n">
        <f aca="false">'Oct 2026'!O52</f>
        <v>0</v>
      </c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29" t="n">
        <f aca="false">'Oct 2026'!F53</f>
        <v>0</v>
      </c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29" t="n">
        <f aca="false">'Oct 2026'!J53</f>
        <v>0</v>
      </c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29" t="n">
        <f aca="false">'Oct 2026'!O53</f>
        <v>0</v>
      </c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29" t="n">
        <f aca="false">'Oct 2026'!F54</f>
        <v>0</v>
      </c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29" t="n">
        <f aca="false">'Oct 2026'!J54</f>
        <v>0</v>
      </c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29" t="n">
        <f aca="false">'Oct 2026'!O54</f>
        <v>0</v>
      </c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29" t="n">
        <f aca="false">'Oct 2026'!F55</f>
        <v>0</v>
      </c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29" t="n">
        <f aca="false">'Oct 2026'!J55</f>
        <v>0</v>
      </c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29" t="n">
        <f aca="false">'Oct 2026'!O55</f>
        <v>0</v>
      </c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29" t="n">
        <f aca="false">'Oct 2026'!F56</f>
        <v>0</v>
      </c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29" t="n">
        <f aca="false">'Oct 2026'!J56</f>
        <v>0</v>
      </c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29" t="n">
        <f aca="false">'Oct 2026'!O56</f>
        <v>0</v>
      </c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29" t="n">
        <f aca="false">'Oct 2026'!F57</f>
        <v>0</v>
      </c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29" t="n">
        <f aca="false">'Oct 2026'!J57</f>
        <v>0</v>
      </c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29" t="n">
        <f aca="false">'Oct 2026'!O57</f>
        <v>0</v>
      </c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29" t="n">
        <f aca="false">'Oct 2026'!F58</f>
        <v>0</v>
      </c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29" t="n">
        <f aca="false">'Oct 2026'!J58</f>
        <v>0</v>
      </c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29" t="n">
        <f aca="false">'Oct 2026'!O58</f>
        <v>0</v>
      </c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29" t="n">
        <f aca="false">'Oct 2026'!F59</f>
        <v>0</v>
      </c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29" t="n">
        <f aca="false">'Oct 2026'!J59</f>
        <v>0</v>
      </c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29" t="n">
        <f aca="false">'Oct 2026'!O59</f>
        <v>0</v>
      </c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29" t="n">
        <f aca="false">'Oct 2026'!F60</f>
        <v>0</v>
      </c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29" t="n">
        <f aca="false">'Oct 2026'!J60</f>
        <v>0</v>
      </c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29" t="n">
        <f aca="false">'Oct 2026'!O60</f>
        <v>0</v>
      </c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29" t="n">
        <f aca="false">'Oct 2026'!F61</f>
        <v>0</v>
      </c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29" t="n">
        <f aca="false">'Oct 2026'!J61</f>
        <v>0</v>
      </c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29" t="n">
        <f aca="false">'Oct 2026'!O61</f>
        <v>0</v>
      </c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29" t="n">
        <f aca="false">'Oct 2026'!F62</f>
        <v>0</v>
      </c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29" t="n">
        <f aca="false">'Oct 2026'!J62</f>
        <v>0</v>
      </c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29" t="n">
        <f aca="false">'Oct 2026'!O62</f>
        <v>0</v>
      </c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29" t="n">
        <f aca="false">'Oct 2026'!F63</f>
        <v>0</v>
      </c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29" t="n">
        <f aca="false">'Oct 2026'!J63</f>
        <v>0</v>
      </c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29" t="n">
        <f aca="false">'Oct 2026'!O63</f>
        <v>0</v>
      </c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29" t="n">
        <f aca="false">'Oct 2026'!F64</f>
        <v>0</v>
      </c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29" t="n">
        <f aca="false">'Oct 2026'!J64</f>
        <v>0</v>
      </c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29" t="n">
        <f aca="false">'Oct 2026'!O64</f>
        <v>0</v>
      </c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29" t="n">
        <f aca="false">'Oct 2026'!F65</f>
        <v>0</v>
      </c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29" t="n">
        <f aca="false">'Oct 2026'!J65</f>
        <v>0</v>
      </c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29" t="n">
        <f aca="false">'Oct 2026'!O65</f>
        <v>0</v>
      </c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29" t="n">
        <f aca="false">'Oct 2026'!F66</f>
        <v>0</v>
      </c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29" t="n">
        <f aca="false">'Oct 2026'!J66</f>
        <v>0</v>
      </c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29" t="n">
        <f aca="false">'Oct 2026'!O66</f>
        <v>0</v>
      </c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29" t="n">
        <f aca="false">'Oct 2026'!F67</f>
        <v>0</v>
      </c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29" t="n">
        <f aca="false">'Oct 2026'!J67</f>
        <v>0</v>
      </c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29" t="n">
        <f aca="false">'Oct 2026'!O67</f>
        <v>0</v>
      </c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29" t="n">
        <f aca="false">'Oct 2026'!F68</f>
        <v>0</v>
      </c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29" t="n">
        <f aca="false">'Oct 2026'!J68</f>
        <v>0</v>
      </c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29" t="n">
        <f aca="false">'Oct 2026'!O68</f>
        <v>0</v>
      </c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29" t="n">
        <f aca="false">'Oct 2026'!F69</f>
        <v>0</v>
      </c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29" t="n">
        <f aca="false">'Oct 2026'!J69</f>
        <v>0</v>
      </c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29" t="n">
        <f aca="false">'Oct 2026'!O69</f>
        <v>0</v>
      </c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29" t="n">
        <f aca="false">'Oct 2026'!F70</f>
        <v>0</v>
      </c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29" t="n">
        <f aca="false">'Oct 2026'!J70</f>
        <v>0</v>
      </c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29" t="n">
        <f aca="false">'Oct 2026'!O70</f>
        <v>0</v>
      </c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29" t="n">
        <f aca="false">'Oct 2026'!F71</f>
        <v>0</v>
      </c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29" t="n">
        <f aca="false">'Oct 2026'!J71</f>
        <v>0</v>
      </c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29" t="n">
        <f aca="false">'Oct 2026'!O71</f>
        <v>0</v>
      </c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29" t="n">
        <f aca="false">'Oct 2026'!F72</f>
        <v>0</v>
      </c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29" t="n">
        <f aca="false">'Oct 2026'!J72</f>
        <v>0</v>
      </c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29" t="n">
        <f aca="false">'Oct 2026'!O72</f>
        <v>0</v>
      </c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29" t="n">
        <f aca="false">'Oct 2026'!F73</f>
        <v>0</v>
      </c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29" t="n">
        <f aca="false">'Oct 2026'!J73</f>
        <v>0</v>
      </c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29" t="n">
        <f aca="false">'Oct 2026'!O73</f>
        <v>0</v>
      </c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29" t="n">
        <f aca="false">'Oct 2026'!F74</f>
        <v>0</v>
      </c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29" t="n">
        <f aca="false">'Oct 2026'!J74</f>
        <v>0</v>
      </c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29" t="n">
        <f aca="false">'Oct 2026'!O74</f>
        <v>0</v>
      </c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29" t="n">
        <f aca="false">'Oct 2026'!F75</f>
        <v>0</v>
      </c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29" t="n">
        <f aca="false">'Oct 2026'!J75</f>
        <v>0</v>
      </c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29" t="n">
        <f aca="false">'Oct 2026'!O75</f>
        <v>0</v>
      </c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29" t="n">
        <f aca="false">'Oct 2026'!F76</f>
        <v>0</v>
      </c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29" t="n">
        <f aca="false">'Oct 2026'!J76</f>
        <v>0</v>
      </c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29" t="n">
        <f aca="false">'Oct 2026'!O76</f>
        <v>0</v>
      </c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29" t="n">
        <f aca="false">'Oct 2026'!F77</f>
        <v>0</v>
      </c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29" t="n">
        <f aca="false">'Oct 2026'!J77</f>
        <v>0</v>
      </c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29" t="n">
        <f aca="false">'Oct 2026'!O77</f>
        <v>0</v>
      </c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29" t="n">
        <f aca="false">'Oct 2026'!F78</f>
        <v>0</v>
      </c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29" t="n">
        <f aca="false">'Oct 2026'!J78</f>
        <v>0</v>
      </c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29" t="n">
        <f aca="false">'Oct 2026'!O78</f>
        <v>0</v>
      </c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29" t="n">
        <f aca="false">'Oct 2026'!F79</f>
        <v>0</v>
      </c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29" t="n">
        <f aca="false">'Oct 2026'!J79</f>
        <v>0</v>
      </c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29" t="n">
        <f aca="false">'Oct 2026'!O79</f>
        <v>0</v>
      </c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29" t="n">
        <f aca="false">'Oct 2026'!F80</f>
        <v>0</v>
      </c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29" t="n">
        <f aca="false">'Oct 2026'!J80</f>
        <v>0</v>
      </c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29" t="n">
        <f aca="false">'Oct 2026'!O80</f>
        <v>0</v>
      </c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29" t="n">
        <f aca="false">'Oct 2026'!F81</f>
        <v>0</v>
      </c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29" t="n">
        <f aca="false">'Oct 2026'!J81</f>
        <v>0</v>
      </c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29" t="n">
        <f aca="false">'Oct 2026'!O81</f>
        <v>0</v>
      </c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29" t="n">
        <f aca="false">'Oct 2026'!F82</f>
        <v>0</v>
      </c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29" t="n">
        <f aca="false">'Oct 2026'!J82</f>
        <v>0</v>
      </c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29" t="n">
        <f aca="false">'Oct 2026'!O82</f>
        <v>0</v>
      </c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29" t="n">
        <f aca="false">'Oct 2026'!F83</f>
        <v>0</v>
      </c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29" t="n">
        <f aca="false">'Oct 2026'!J83</f>
        <v>0</v>
      </c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29" t="n">
        <f aca="false">'Oct 2026'!O83</f>
        <v>0</v>
      </c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29" t="n">
        <f aca="false">'Oct 2026'!F84</f>
        <v>0</v>
      </c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29" t="n">
        <f aca="false">'Oct 2026'!J84</f>
        <v>0</v>
      </c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29" t="n">
        <f aca="false">'Oct 2026'!O84</f>
        <v>0</v>
      </c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29" t="n">
        <f aca="false">'Oct 2026'!F85</f>
        <v>0</v>
      </c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29" t="n">
        <f aca="false">'Oct 2026'!J85</f>
        <v>0</v>
      </c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29" t="n">
        <f aca="false">'Oct 2026'!O85</f>
        <v>0</v>
      </c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29" t="n">
        <f aca="false">'Oct 2026'!F86</f>
        <v>0</v>
      </c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29" t="n">
        <f aca="false">'Oct 2026'!J86</f>
        <v>0</v>
      </c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29" t="n">
        <f aca="false">'Oct 2026'!O86</f>
        <v>0</v>
      </c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29" t="n">
        <f aca="false">'Oct 2026'!F87</f>
        <v>0</v>
      </c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29" t="n">
        <f aca="false">'Oct 2026'!J87</f>
        <v>0</v>
      </c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29" t="n">
        <f aca="false">'Oct 2026'!O87</f>
        <v>0</v>
      </c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29" t="n">
        <f aca="false">'Oct 2026'!F88</f>
        <v>0</v>
      </c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29" t="n">
        <f aca="false">'Oct 2026'!J88</f>
        <v>0</v>
      </c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29" t="n">
        <f aca="false">'Oct 2026'!O88</f>
        <v>0</v>
      </c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29" t="n">
        <f aca="false">'Oct 2026'!F89</f>
        <v>0</v>
      </c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29" t="n">
        <f aca="false">'Oct 2026'!J89</f>
        <v>0</v>
      </c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29" t="n">
        <f aca="false">'Oct 2026'!O89</f>
        <v>0</v>
      </c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29" t="n">
        <f aca="false">'Oct 2026'!F90</f>
        <v>0</v>
      </c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29" t="n">
        <f aca="false">'Oct 2026'!J90</f>
        <v>0</v>
      </c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29" t="n">
        <f aca="false">'Oct 2026'!O90</f>
        <v>0</v>
      </c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29" t="n">
        <f aca="false">'Oct 2026'!F91</f>
        <v>0</v>
      </c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29" t="n">
        <f aca="false">'Oct 2026'!J91</f>
        <v>0</v>
      </c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29" t="n">
        <f aca="false">'Oct 2026'!O91</f>
        <v>0</v>
      </c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29" t="n">
        <f aca="false">'Oct 2026'!F92</f>
        <v>0</v>
      </c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29" t="n">
        <f aca="false">'Oct 2026'!J92</f>
        <v>0</v>
      </c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29" t="n">
        <f aca="false">'Oct 2026'!O92</f>
        <v>0</v>
      </c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29" t="n">
        <f aca="false">'Oct 2026'!F93</f>
        <v>0</v>
      </c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29" t="n">
        <f aca="false">'Oct 2026'!J93</f>
        <v>0</v>
      </c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29" t="n">
        <f aca="false">'Oct 2026'!O93</f>
        <v>0</v>
      </c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29" t="n">
        <f aca="false">'Oct 2026'!F94</f>
        <v>0</v>
      </c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29" t="n">
        <f aca="false">'Oct 2026'!J94</f>
        <v>0</v>
      </c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29" t="n">
        <f aca="false">'Oct 2026'!O94</f>
        <v>0</v>
      </c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29" t="n">
        <f aca="false">'Oct 2026'!F95</f>
        <v>0</v>
      </c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29" t="n">
        <f aca="false">'Oct 2026'!J95</f>
        <v>0</v>
      </c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29" t="n">
        <f aca="false">'Oct 2026'!O95</f>
        <v>0</v>
      </c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29" t="n">
        <f aca="false">'Oct 2026'!F96</f>
        <v>0</v>
      </c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29" t="n">
        <f aca="false">'Oct 2026'!J96</f>
        <v>0</v>
      </c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29" t="n">
        <f aca="false">'Oct 2026'!O96</f>
        <v>0</v>
      </c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29" t="n">
        <f aca="false">'Oct 2026'!F97</f>
        <v>0</v>
      </c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29" t="n">
        <f aca="false">'Oct 2026'!J97</f>
        <v>0</v>
      </c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29" t="n">
        <f aca="false">'Oct 2026'!O97</f>
        <v>0</v>
      </c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29" t="n">
        <f aca="false">'Oct 2026'!F98</f>
        <v>0</v>
      </c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29" t="n">
        <f aca="false">'Oct 2026'!J98</f>
        <v>0</v>
      </c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29" t="n">
        <f aca="false">'Oct 2026'!O98</f>
        <v>0</v>
      </c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29" t="n">
        <f aca="false">'Oct 2026'!F99</f>
        <v>0</v>
      </c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29" t="n">
        <f aca="false">'Oct 2026'!J99</f>
        <v>0</v>
      </c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29" t="n">
        <f aca="false">'Oct 2026'!O99</f>
        <v>0</v>
      </c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29" t="n">
        <f aca="false">'Oct 2026'!F100</f>
        <v>0</v>
      </c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29" t="n">
        <f aca="false">'Oct 2026'!J100</f>
        <v>0</v>
      </c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29" t="n">
        <f aca="false">'Oct 2026'!O100</f>
        <v>0</v>
      </c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29" t="n">
        <f aca="false">'Oct 2026'!F101</f>
        <v>0</v>
      </c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29" t="n">
        <f aca="false">'Oct 2026'!J101</f>
        <v>0</v>
      </c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29" t="n">
        <f aca="false">'Oct 2026'!O101</f>
        <v>0</v>
      </c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29" t="n">
        <f aca="false">'Oct 2026'!F102</f>
        <v>0</v>
      </c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29" t="n">
        <f aca="false">'Oct 2026'!J102</f>
        <v>0</v>
      </c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29" t="n">
        <f aca="false">'Oct 2026'!O102</f>
        <v>0</v>
      </c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29" t="n">
        <f aca="false">'Oct 2026'!F103</f>
        <v>0</v>
      </c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29" t="n">
        <f aca="false">'Oct 2026'!J103</f>
        <v>0</v>
      </c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29" t="n">
        <f aca="false">'Oct 2026'!O103</f>
        <v>0</v>
      </c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29" t="n">
        <f aca="false">'Oct 2026'!F104</f>
        <v>0</v>
      </c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29" t="n">
        <f aca="false">'Oct 2026'!J104</f>
        <v>0</v>
      </c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29" t="n">
        <f aca="false">'Oct 2026'!O104</f>
        <v>0</v>
      </c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29" t="n">
        <f aca="false">'Oct 2026'!F105</f>
        <v>0</v>
      </c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29" t="n">
        <f aca="false">'Oct 2026'!J105</f>
        <v>0</v>
      </c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29" t="n">
        <f aca="false">'Oct 2026'!O105</f>
        <v>0</v>
      </c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29" t="n">
        <f aca="false">'Oct 2026'!F106</f>
        <v>0</v>
      </c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29" t="n">
        <f aca="false">'Oct 2026'!J106</f>
        <v>0</v>
      </c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29" t="n">
        <f aca="false">'Oct 2026'!O106</f>
        <v>0</v>
      </c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29" t="n">
        <f aca="false">'Oct 2026'!F107</f>
        <v>0</v>
      </c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29" t="n">
        <f aca="false">'Oct 2026'!J107</f>
        <v>0</v>
      </c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29" t="n">
        <f aca="false">'Oct 2026'!O107</f>
        <v>0</v>
      </c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29" t="n">
        <f aca="false">'Oct 2026'!F108</f>
        <v>0</v>
      </c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29" t="n">
        <f aca="false">'Oct 2026'!J108</f>
        <v>0</v>
      </c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29" t="n">
        <f aca="false">'Oct 2026'!O108</f>
        <v>0</v>
      </c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29" t="n">
        <f aca="false">'Oct 2026'!F109</f>
        <v>0</v>
      </c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29" t="n">
        <f aca="false">'Oct 2026'!J109</f>
        <v>0</v>
      </c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29" t="n">
        <f aca="false">'Oct 2026'!O109</f>
        <v>0</v>
      </c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29" t="n">
        <f aca="false">'Oct 2026'!F110</f>
        <v>0</v>
      </c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29" t="n">
        <f aca="false">'Oct 2026'!J110</f>
        <v>0</v>
      </c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29" t="n">
        <f aca="false">'Oct 2026'!O110</f>
        <v>0</v>
      </c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29" t="n">
        <f aca="false">'Oct 2026'!F111</f>
        <v>0</v>
      </c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29" t="n">
        <f aca="false">'Oct 2026'!J111</f>
        <v>0</v>
      </c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29" t="n">
        <f aca="false">'Oct 2026'!O111</f>
        <v>0</v>
      </c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29" t="n">
        <f aca="false">'Oct 2026'!F112</f>
        <v>0</v>
      </c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29" t="n">
        <f aca="false">'Oct 2026'!J112</f>
        <v>0</v>
      </c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29" t="n">
        <f aca="false">'Oct 2026'!O112</f>
        <v>0</v>
      </c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29" t="n">
        <f aca="false">'Oct 2026'!F113</f>
        <v>0</v>
      </c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29" t="n">
        <f aca="false">'Oct 2026'!J113</f>
        <v>0</v>
      </c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29" t="n">
        <f aca="false">'Oct 2026'!O113</f>
        <v>0</v>
      </c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0</v>
      </c>
      <c r="D114" s="32" t="n">
        <f aca="false">SUM(D14:D113)</f>
        <v>2000</v>
      </c>
      <c r="E114" s="32" t="n">
        <f aca="false">SUM(E14:E113)</f>
        <v>0</v>
      </c>
      <c r="F114" s="32" t="n">
        <f aca="false">SUM(F14:F113)</f>
        <v>2000</v>
      </c>
      <c r="G114" s="32" t="n">
        <f aca="false">SUM(G14:G113)</f>
        <v>1500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3000</v>
      </c>
      <c r="K114" s="32" t="n">
        <f aca="false">SUM(K14:K113)</f>
        <v>200</v>
      </c>
      <c r="L114" s="32" t="n">
        <f aca="false">SUM(L14:L113)</f>
        <v>0</v>
      </c>
      <c r="M114" s="32" t="n">
        <f aca="false">SUM(M14:M113)</f>
        <v>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5200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60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5200</v>
      </c>
      <c r="D11" s="21"/>
      <c r="E11" s="3" t="s">
        <v>44</v>
      </c>
      <c r="F11" s="3"/>
      <c r="G11" s="21" t="n">
        <f aca="false">D114+H114+L114+M114</f>
        <v>3500</v>
      </c>
      <c r="H11" s="21"/>
      <c r="I11" s="3" t="s">
        <v>45</v>
      </c>
      <c r="J11" s="3"/>
      <c r="K11" s="21" t="n">
        <f aca="false">E114+I114+N114</f>
        <v>0</v>
      </c>
      <c r="L11" s="21"/>
      <c r="M11" s="3" t="s">
        <v>46</v>
      </c>
      <c r="N11" s="3"/>
      <c r="O11" s="21" t="n">
        <f aca="false">P114</f>
        <v>8700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29" t="n">
        <f aca="false">'Nov 2026'!F14</f>
        <v>2000</v>
      </c>
      <c r="D14" s="29" t="n">
        <f aca="false">IF(Students!D5="Yes",N(Students!E5),0)</f>
        <v>2000</v>
      </c>
      <c r="E14" s="13"/>
      <c r="F14" s="30" t="n">
        <f aca="false">N(C14)+N(D14)-N(E14)</f>
        <v>4000</v>
      </c>
      <c r="G14" s="29" t="n">
        <f aca="false">'Nov 2026'!J14</f>
        <v>3000</v>
      </c>
      <c r="H14" s="29" t="n">
        <f aca="false">IF(Students!F5="Yes",N(Students!G5),0)</f>
        <v>1500</v>
      </c>
      <c r="I14" s="13"/>
      <c r="J14" s="30" t="n">
        <f aca="false">N(G14)+N(H14)-N(I14)</f>
        <v>4500</v>
      </c>
      <c r="K14" s="29" t="n">
        <f aca="false">'Nov 2026'!O14</f>
        <v>200</v>
      </c>
      <c r="L14" s="13"/>
      <c r="M14" s="13"/>
      <c r="N14" s="13"/>
      <c r="O14" s="30" t="n">
        <f aca="false">N(K14)+N(L14)+N(M14)-N(N14)</f>
        <v>200</v>
      </c>
      <c r="P14" s="30" t="n">
        <f aca="false">F14+J14+O14</f>
        <v>8700</v>
      </c>
      <c r="Q14" s="10" t="str">
        <f aca="false">IF(B14="","",IF(P14&lt;=0,"Clear",IF(E14+I14+N14&gt;0,"Partial","Due")))</f>
        <v>Due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29" t="n">
        <f aca="false">'Nov 2026'!F15</f>
        <v>0</v>
      </c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29" t="n">
        <f aca="false">'Nov 2026'!J15</f>
        <v>0</v>
      </c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29" t="n">
        <f aca="false">'Nov 2026'!O15</f>
        <v>0</v>
      </c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29" t="n">
        <f aca="false">'Nov 2026'!F16</f>
        <v>0</v>
      </c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29" t="n">
        <f aca="false">'Nov 2026'!J16</f>
        <v>0</v>
      </c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29" t="n">
        <f aca="false">'Nov 2026'!O16</f>
        <v>0</v>
      </c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29" t="n">
        <f aca="false">'Nov 2026'!F17</f>
        <v>0</v>
      </c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29" t="n">
        <f aca="false">'Nov 2026'!J17</f>
        <v>0</v>
      </c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29" t="n">
        <f aca="false">'Nov 2026'!O17</f>
        <v>0</v>
      </c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29" t="n">
        <f aca="false">'Nov 2026'!F18</f>
        <v>0</v>
      </c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29" t="n">
        <f aca="false">'Nov 2026'!J18</f>
        <v>0</v>
      </c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29" t="n">
        <f aca="false">'Nov 2026'!O18</f>
        <v>0</v>
      </c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29" t="n">
        <f aca="false">'Nov 2026'!F19</f>
        <v>0</v>
      </c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29" t="n">
        <f aca="false">'Nov 2026'!J19</f>
        <v>0</v>
      </c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29" t="n">
        <f aca="false">'Nov 2026'!O19</f>
        <v>0</v>
      </c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29" t="n">
        <f aca="false">'Nov 2026'!F20</f>
        <v>0</v>
      </c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29" t="n">
        <f aca="false">'Nov 2026'!J20</f>
        <v>0</v>
      </c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29" t="n">
        <f aca="false">'Nov 2026'!O20</f>
        <v>0</v>
      </c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29" t="n">
        <f aca="false">'Nov 2026'!F21</f>
        <v>0</v>
      </c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29" t="n">
        <f aca="false">'Nov 2026'!J21</f>
        <v>0</v>
      </c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29" t="n">
        <f aca="false">'Nov 2026'!O21</f>
        <v>0</v>
      </c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29" t="n">
        <f aca="false">'Nov 2026'!F22</f>
        <v>0</v>
      </c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29" t="n">
        <f aca="false">'Nov 2026'!J22</f>
        <v>0</v>
      </c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29" t="n">
        <f aca="false">'Nov 2026'!O22</f>
        <v>0</v>
      </c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29" t="n">
        <f aca="false">'Nov 2026'!F23</f>
        <v>0</v>
      </c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29" t="n">
        <f aca="false">'Nov 2026'!J23</f>
        <v>0</v>
      </c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29" t="n">
        <f aca="false">'Nov 2026'!O23</f>
        <v>0</v>
      </c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29" t="n">
        <f aca="false">'Nov 2026'!F24</f>
        <v>0</v>
      </c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29" t="n">
        <f aca="false">'Nov 2026'!J24</f>
        <v>0</v>
      </c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29" t="n">
        <f aca="false">'Nov 2026'!O24</f>
        <v>0</v>
      </c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29" t="n">
        <f aca="false">'Nov 2026'!F25</f>
        <v>0</v>
      </c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29" t="n">
        <f aca="false">'Nov 2026'!J25</f>
        <v>0</v>
      </c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29" t="n">
        <f aca="false">'Nov 2026'!O25</f>
        <v>0</v>
      </c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29" t="n">
        <f aca="false">'Nov 2026'!F26</f>
        <v>0</v>
      </c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29" t="n">
        <f aca="false">'Nov 2026'!J26</f>
        <v>0</v>
      </c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29" t="n">
        <f aca="false">'Nov 2026'!O26</f>
        <v>0</v>
      </c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29" t="n">
        <f aca="false">'Nov 2026'!F27</f>
        <v>0</v>
      </c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29" t="n">
        <f aca="false">'Nov 2026'!J27</f>
        <v>0</v>
      </c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29" t="n">
        <f aca="false">'Nov 2026'!O27</f>
        <v>0</v>
      </c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29" t="n">
        <f aca="false">'Nov 2026'!F28</f>
        <v>0</v>
      </c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29" t="n">
        <f aca="false">'Nov 2026'!J28</f>
        <v>0</v>
      </c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29" t="n">
        <f aca="false">'Nov 2026'!O28</f>
        <v>0</v>
      </c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29" t="n">
        <f aca="false">'Nov 2026'!F29</f>
        <v>0</v>
      </c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29" t="n">
        <f aca="false">'Nov 2026'!J29</f>
        <v>0</v>
      </c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29" t="n">
        <f aca="false">'Nov 2026'!O29</f>
        <v>0</v>
      </c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29" t="n">
        <f aca="false">'Nov 2026'!F30</f>
        <v>0</v>
      </c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29" t="n">
        <f aca="false">'Nov 2026'!J30</f>
        <v>0</v>
      </c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29" t="n">
        <f aca="false">'Nov 2026'!O30</f>
        <v>0</v>
      </c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29" t="n">
        <f aca="false">'Nov 2026'!F31</f>
        <v>0</v>
      </c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29" t="n">
        <f aca="false">'Nov 2026'!J31</f>
        <v>0</v>
      </c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29" t="n">
        <f aca="false">'Nov 2026'!O31</f>
        <v>0</v>
      </c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29" t="n">
        <f aca="false">'Nov 2026'!F32</f>
        <v>0</v>
      </c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29" t="n">
        <f aca="false">'Nov 2026'!J32</f>
        <v>0</v>
      </c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29" t="n">
        <f aca="false">'Nov 2026'!O32</f>
        <v>0</v>
      </c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29" t="n">
        <f aca="false">'Nov 2026'!F33</f>
        <v>0</v>
      </c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29" t="n">
        <f aca="false">'Nov 2026'!J33</f>
        <v>0</v>
      </c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29" t="n">
        <f aca="false">'Nov 2026'!O33</f>
        <v>0</v>
      </c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29" t="n">
        <f aca="false">'Nov 2026'!F34</f>
        <v>0</v>
      </c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29" t="n">
        <f aca="false">'Nov 2026'!J34</f>
        <v>0</v>
      </c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29" t="n">
        <f aca="false">'Nov 2026'!O34</f>
        <v>0</v>
      </c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29" t="n">
        <f aca="false">'Nov 2026'!F35</f>
        <v>0</v>
      </c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29" t="n">
        <f aca="false">'Nov 2026'!J35</f>
        <v>0</v>
      </c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29" t="n">
        <f aca="false">'Nov 2026'!O35</f>
        <v>0</v>
      </c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29" t="n">
        <f aca="false">'Nov 2026'!F36</f>
        <v>0</v>
      </c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29" t="n">
        <f aca="false">'Nov 2026'!J36</f>
        <v>0</v>
      </c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29" t="n">
        <f aca="false">'Nov 2026'!O36</f>
        <v>0</v>
      </c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29" t="n">
        <f aca="false">'Nov 2026'!F37</f>
        <v>0</v>
      </c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29" t="n">
        <f aca="false">'Nov 2026'!J37</f>
        <v>0</v>
      </c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29" t="n">
        <f aca="false">'Nov 2026'!O37</f>
        <v>0</v>
      </c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29" t="n">
        <f aca="false">'Nov 2026'!F38</f>
        <v>0</v>
      </c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29" t="n">
        <f aca="false">'Nov 2026'!J38</f>
        <v>0</v>
      </c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29" t="n">
        <f aca="false">'Nov 2026'!O38</f>
        <v>0</v>
      </c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29" t="n">
        <f aca="false">'Nov 2026'!F39</f>
        <v>0</v>
      </c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29" t="n">
        <f aca="false">'Nov 2026'!J39</f>
        <v>0</v>
      </c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29" t="n">
        <f aca="false">'Nov 2026'!O39</f>
        <v>0</v>
      </c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29" t="n">
        <f aca="false">'Nov 2026'!F40</f>
        <v>0</v>
      </c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29" t="n">
        <f aca="false">'Nov 2026'!J40</f>
        <v>0</v>
      </c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29" t="n">
        <f aca="false">'Nov 2026'!O40</f>
        <v>0</v>
      </c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29" t="n">
        <f aca="false">'Nov 2026'!F41</f>
        <v>0</v>
      </c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29" t="n">
        <f aca="false">'Nov 2026'!J41</f>
        <v>0</v>
      </c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29" t="n">
        <f aca="false">'Nov 2026'!O41</f>
        <v>0</v>
      </c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29" t="n">
        <f aca="false">'Nov 2026'!F42</f>
        <v>0</v>
      </c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29" t="n">
        <f aca="false">'Nov 2026'!J42</f>
        <v>0</v>
      </c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29" t="n">
        <f aca="false">'Nov 2026'!O42</f>
        <v>0</v>
      </c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29" t="n">
        <f aca="false">'Nov 2026'!F43</f>
        <v>0</v>
      </c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29" t="n">
        <f aca="false">'Nov 2026'!J43</f>
        <v>0</v>
      </c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29" t="n">
        <f aca="false">'Nov 2026'!O43</f>
        <v>0</v>
      </c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29" t="n">
        <f aca="false">'Nov 2026'!F44</f>
        <v>0</v>
      </c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29" t="n">
        <f aca="false">'Nov 2026'!J44</f>
        <v>0</v>
      </c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29" t="n">
        <f aca="false">'Nov 2026'!O44</f>
        <v>0</v>
      </c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29" t="n">
        <f aca="false">'Nov 2026'!F45</f>
        <v>0</v>
      </c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29" t="n">
        <f aca="false">'Nov 2026'!J45</f>
        <v>0</v>
      </c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29" t="n">
        <f aca="false">'Nov 2026'!O45</f>
        <v>0</v>
      </c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29" t="n">
        <f aca="false">'Nov 2026'!F46</f>
        <v>0</v>
      </c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29" t="n">
        <f aca="false">'Nov 2026'!J46</f>
        <v>0</v>
      </c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29" t="n">
        <f aca="false">'Nov 2026'!O46</f>
        <v>0</v>
      </c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29" t="n">
        <f aca="false">'Nov 2026'!F47</f>
        <v>0</v>
      </c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29" t="n">
        <f aca="false">'Nov 2026'!J47</f>
        <v>0</v>
      </c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29" t="n">
        <f aca="false">'Nov 2026'!O47</f>
        <v>0</v>
      </c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29" t="n">
        <f aca="false">'Nov 2026'!F48</f>
        <v>0</v>
      </c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29" t="n">
        <f aca="false">'Nov 2026'!J48</f>
        <v>0</v>
      </c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29" t="n">
        <f aca="false">'Nov 2026'!O48</f>
        <v>0</v>
      </c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29" t="n">
        <f aca="false">'Nov 2026'!F49</f>
        <v>0</v>
      </c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29" t="n">
        <f aca="false">'Nov 2026'!J49</f>
        <v>0</v>
      </c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29" t="n">
        <f aca="false">'Nov 2026'!O49</f>
        <v>0</v>
      </c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29" t="n">
        <f aca="false">'Nov 2026'!F50</f>
        <v>0</v>
      </c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29" t="n">
        <f aca="false">'Nov 2026'!J50</f>
        <v>0</v>
      </c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29" t="n">
        <f aca="false">'Nov 2026'!O50</f>
        <v>0</v>
      </c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29" t="n">
        <f aca="false">'Nov 2026'!F51</f>
        <v>0</v>
      </c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29" t="n">
        <f aca="false">'Nov 2026'!J51</f>
        <v>0</v>
      </c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29" t="n">
        <f aca="false">'Nov 2026'!O51</f>
        <v>0</v>
      </c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29" t="n">
        <f aca="false">'Nov 2026'!F52</f>
        <v>0</v>
      </c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29" t="n">
        <f aca="false">'Nov 2026'!J52</f>
        <v>0</v>
      </c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29" t="n">
        <f aca="false">'Nov 2026'!O52</f>
        <v>0</v>
      </c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29" t="n">
        <f aca="false">'Nov 2026'!F53</f>
        <v>0</v>
      </c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29" t="n">
        <f aca="false">'Nov 2026'!J53</f>
        <v>0</v>
      </c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29" t="n">
        <f aca="false">'Nov 2026'!O53</f>
        <v>0</v>
      </c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29" t="n">
        <f aca="false">'Nov 2026'!F54</f>
        <v>0</v>
      </c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29" t="n">
        <f aca="false">'Nov 2026'!J54</f>
        <v>0</v>
      </c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29" t="n">
        <f aca="false">'Nov 2026'!O54</f>
        <v>0</v>
      </c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29" t="n">
        <f aca="false">'Nov 2026'!F55</f>
        <v>0</v>
      </c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29" t="n">
        <f aca="false">'Nov 2026'!J55</f>
        <v>0</v>
      </c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29" t="n">
        <f aca="false">'Nov 2026'!O55</f>
        <v>0</v>
      </c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29" t="n">
        <f aca="false">'Nov 2026'!F56</f>
        <v>0</v>
      </c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29" t="n">
        <f aca="false">'Nov 2026'!J56</f>
        <v>0</v>
      </c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29" t="n">
        <f aca="false">'Nov 2026'!O56</f>
        <v>0</v>
      </c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29" t="n">
        <f aca="false">'Nov 2026'!F57</f>
        <v>0</v>
      </c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29" t="n">
        <f aca="false">'Nov 2026'!J57</f>
        <v>0</v>
      </c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29" t="n">
        <f aca="false">'Nov 2026'!O57</f>
        <v>0</v>
      </c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29" t="n">
        <f aca="false">'Nov 2026'!F58</f>
        <v>0</v>
      </c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29" t="n">
        <f aca="false">'Nov 2026'!J58</f>
        <v>0</v>
      </c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29" t="n">
        <f aca="false">'Nov 2026'!O58</f>
        <v>0</v>
      </c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29" t="n">
        <f aca="false">'Nov 2026'!F59</f>
        <v>0</v>
      </c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29" t="n">
        <f aca="false">'Nov 2026'!J59</f>
        <v>0</v>
      </c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29" t="n">
        <f aca="false">'Nov 2026'!O59</f>
        <v>0</v>
      </c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29" t="n">
        <f aca="false">'Nov 2026'!F60</f>
        <v>0</v>
      </c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29" t="n">
        <f aca="false">'Nov 2026'!J60</f>
        <v>0</v>
      </c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29" t="n">
        <f aca="false">'Nov 2026'!O60</f>
        <v>0</v>
      </c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29" t="n">
        <f aca="false">'Nov 2026'!F61</f>
        <v>0</v>
      </c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29" t="n">
        <f aca="false">'Nov 2026'!J61</f>
        <v>0</v>
      </c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29" t="n">
        <f aca="false">'Nov 2026'!O61</f>
        <v>0</v>
      </c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29" t="n">
        <f aca="false">'Nov 2026'!F62</f>
        <v>0</v>
      </c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29" t="n">
        <f aca="false">'Nov 2026'!J62</f>
        <v>0</v>
      </c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29" t="n">
        <f aca="false">'Nov 2026'!O62</f>
        <v>0</v>
      </c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29" t="n">
        <f aca="false">'Nov 2026'!F63</f>
        <v>0</v>
      </c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29" t="n">
        <f aca="false">'Nov 2026'!J63</f>
        <v>0</v>
      </c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29" t="n">
        <f aca="false">'Nov 2026'!O63</f>
        <v>0</v>
      </c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29" t="n">
        <f aca="false">'Nov 2026'!F64</f>
        <v>0</v>
      </c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29" t="n">
        <f aca="false">'Nov 2026'!J64</f>
        <v>0</v>
      </c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29" t="n">
        <f aca="false">'Nov 2026'!O64</f>
        <v>0</v>
      </c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29" t="n">
        <f aca="false">'Nov 2026'!F65</f>
        <v>0</v>
      </c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29" t="n">
        <f aca="false">'Nov 2026'!J65</f>
        <v>0</v>
      </c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29" t="n">
        <f aca="false">'Nov 2026'!O65</f>
        <v>0</v>
      </c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29" t="n">
        <f aca="false">'Nov 2026'!F66</f>
        <v>0</v>
      </c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29" t="n">
        <f aca="false">'Nov 2026'!J66</f>
        <v>0</v>
      </c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29" t="n">
        <f aca="false">'Nov 2026'!O66</f>
        <v>0</v>
      </c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29" t="n">
        <f aca="false">'Nov 2026'!F67</f>
        <v>0</v>
      </c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29" t="n">
        <f aca="false">'Nov 2026'!J67</f>
        <v>0</v>
      </c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29" t="n">
        <f aca="false">'Nov 2026'!O67</f>
        <v>0</v>
      </c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29" t="n">
        <f aca="false">'Nov 2026'!F68</f>
        <v>0</v>
      </c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29" t="n">
        <f aca="false">'Nov 2026'!J68</f>
        <v>0</v>
      </c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29" t="n">
        <f aca="false">'Nov 2026'!O68</f>
        <v>0</v>
      </c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29" t="n">
        <f aca="false">'Nov 2026'!F69</f>
        <v>0</v>
      </c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29" t="n">
        <f aca="false">'Nov 2026'!J69</f>
        <v>0</v>
      </c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29" t="n">
        <f aca="false">'Nov 2026'!O69</f>
        <v>0</v>
      </c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29" t="n">
        <f aca="false">'Nov 2026'!F70</f>
        <v>0</v>
      </c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29" t="n">
        <f aca="false">'Nov 2026'!J70</f>
        <v>0</v>
      </c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29" t="n">
        <f aca="false">'Nov 2026'!O70</f>
        <v>0</v>
      </c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29" t="n">
        <f aca="false">'Nov 2026'!F71</f>
        <v>0</v>
      </c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29" t="n">
        <f aca="false">'Nov 2026'!J71</f>
        <v>0</v>
      </c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29" t="n">
        <f aca="false">'Nov 2026'!O71</f>
        <v>0</v>
      </c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29" t="n">
        <f aca="false">'Nov 2026'!F72</f>
        <v>0</v>
      </c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29" t="n">
        <f aca="false">'Nov 2026'!J72</f>
        <v>0</v>
      </c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29" t="n">
        <f aca="false">'Nov 2026'!O72</f>
        <v>0</v>
      </c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29" t="n">
        <f aca="false">'Nov 2026'!F73</f>
        <v>0</v>
      </c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29" t="n">
        <f aca="false">'Nov 2026'!J73</f>
        <v>0</v>
      </c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29" t="n">
        <f aca="false">'Nov 2026'!O73</f>
        <v>0</v>
      </c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29" t="n">
        <f aca="false">'Nov 2026'!F74</f>
        <v>0</v>
      </c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29" t="n">
        <f aca="false">'Nov 2026'!J74</f>
        <v>0</v>
      </c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29" t="n">
        <f aca="false">'Nov 2026'!O74</f>
        <v>0</v>
      </c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29" t="n">
        <f aca="false">'Nov 2026'!F75</f>
        <v>0</v>
      </c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29" t="n">
        <f aca="false">'Nov 2026'!J75</f>
        <v>0</v>
      </c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29" t="n">
        <f aca="false">'Nov 2026'!O75</f>
        <v>0</v>
      </c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29" t="n">
        <f aca="false">'Nov 2026'!F76</f>
        <v>0</v>
      </c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29" t="n">
        <f aca="false">'Nov 2026'!J76</f>
        <v>0</v>
      </c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29" t="n">
        <f aca="false">'Nov 2026'!O76</f>
        <v>0</v>
      </c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29" t="n">
        <f aca="false">'Nov 2026'!F77</f>
        <v>0</v>
      </c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29" t="n">
        <f aca="false">'Nov 2026'!J77</f>
        <v>0</v>
      </c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29" t="n">
        <f aca="false">'Nov 2026'!O77</f>
        <v>0</v>
      </c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29" t="n">
        <f aca="false">'Nov 2026'!F78</f>
        <v>0</v>
      </c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29" t="n">
        <f aca="false">'Nov 2026'!J78</f>
        <v>0</v>
      </c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29" t="n">
        <f aca="false">'Nov 2026'!O78</f>
        <v>0</v>
      </c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29" t="n">
        <f aca="false">'Nov 2026'!F79</f>
        <v>0</v>
      </c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29" t="n">
        <f aca="false">'Nov 2026'!J79</f>
        <v>0</v>
      </c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29" t="n">
        <f aca="false">'Nov 2026'!O79</f>
        <v>0</v>
      </c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29" t="n">
        <f aca="false">'Nov 2026'!F80</f>
        <v>0</v>
      </c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29" t="n">
        <f aca="false">'Nov 2026'!J80</f>
        <v>0</v>
      </c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29" t="n">
        <f aca="false">'Nov 2026'!O80</f>
        <v>0</v>
      </c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29" t="n">
        <f aca="false">'Nov 2026'!F81</f>
        <v>0</v>
      </c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29" t="n">
        <f aca="false">'Nov 2026'!J81</f>
        <v>0</v>
      </c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29" t="n">
        <f aca="false">'Nov 2026'!O81</f>
        <v>0</v>
      </c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29" t="n">
        <f aca="false">'Nov 2026'!F82</f>
        <v>0</v>
      </c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29" t="n">
        <f aca="false">'Nov 2026'!J82</f>
        <v>0</v>
      </c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29" t="n">
        <f aca="false">'Nov 2026'!O82</f>
        <v>0</v>
      </c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29" t="n">
        <f aca="false">'Nov 2026'!F83</f>
        <v>0</v>
      </c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29" t="n">
        <f aca="false">'Nov 2026'!J83</f>
        <v>0</v>
      </c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29" t="n">
        <f aca="false">'Nov 2026'!O83</f>
        <v>0</v>
      </c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29" t="n">
        <f aca="false">'Nov 2026'!F84</f>
        <v>0</v>
      </c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29" t="n">
        <f aca="false">'Nov 2026'!J84</f>
        <v>0</v>
      </c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29" t="n">
        <f aca="false">'Nov 2026'!O84</f>
        <v>0</v>
      </c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29" t="n">
        <f aca="false">'Nov 2026'!F85</f>
        <v>0</v>
      </c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29" t="n">
        <f aca="false">'Nov 2026'!J85</f>
        <v>0</v>
      </c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29" t="n">
        <f aca="false">'Nov 2026'!O85</f>
        <v>0</v>
      </c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29" t="n">
        <f aca="false">'Nov 2026'!F86</f>
        <v>0</v>
      </c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29" t="n">
        <f aca="false">'Nov 2026'!J86</f>
        <v>0</v>
      </c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29" t="n">
        <f aca="false">'Nov 2026'!O86</f>
        <v>0</v>
      </c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29" t="n">
        <f aca="false">'Nov 2026'!F87</f>
        <v>0</v>
      </c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29" t="n">
        <f aca="false">'Nov 2026'!J87</f>
        <v>0</v>
      </c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29" t="n">
        <f aca="false">'Nov 2026'!O87</f>
        <v>0</v>
      </c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29" t="n">
        <f aca="false">'Nov 2026'!F88</f>
        <v>0</v>
      </c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29" t="n">
        <f aca="false">'Nov 2026'!J88</f>
        <v>0</v>
      </c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29" t="n">
        <f aca="false">'Nov 2026'!O88</f>
        <v>0</v>
      </c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29" t="n">
        <f aca="false">'Nov 2026'!F89</f>
        <v>0</v>
      </c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29" t="n">
        <f aca="false">'Nov 2026'!J89</f>
        <v>0</v>
      </c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29" t="n">
        <f aca="false">'Nov 2026'!O89</f>
        <v>0</v>
      </c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29" t="n">
        <f aca="false">'Nov 2026'!F90</f>
        <v>0</v>
      </c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29" t="n">
        <f aca="false">'Nov 2026'!J90</f>
        <v>0</v>
      </c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29" t="n">
        <f aca="false">'Nov 2026'!O90</f>
        <v>0</v>
      </c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29" t="n">
        <f aca="false">'Nov 2026'!F91</f>
        <v>0</v>
      </c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29" t="n">
        <f aca="false">'Nov 2026'!J91</f>
        <v>0</v>
      </c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29" t="n">
        <f aca="false">'Nov 2026'!O91</f>
        <v>0</v>
      </c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29" t="n">
        <f aca="false">'Nov 2026'!F92</f>
        <v>0</v>
      </c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29" t="n">
        <f aca="false">'Nov 2026'!J92</f>
        <v>0</v>
      </c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29" t="n">
        <f aca="false">'Nov 2026'!O92</f>
        <v>0</v>
      </c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29" t="n">
        <f aca="false">'Nov 2026'!F93</f>
        <v>0</v>
      </c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29" t="n">
        <f aca="false">'Nov 2026'!J93</f>
        <v>0</v>
      </c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29" t="n">
        <f aca="false">'Nov 2026'!O93</f>
        <v>0</v>
      </c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29" t="n">
        <f aca="false">'Nov 2026'!F94</f>
        <v>0</v>
      </c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29" t="n">
        <f aca="false">'Nov 2026'!J94</f>
        <v>0</v>
      </c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29" t="n">
        <f aca="false">'Nov 2026'!O94</f>
        <v>0</v>
      </c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29" t="n">
        <f aca="false">'Nov 2026'!F95</f>
        <v>0</v>
      </c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29" t="n">
        <f aca="false">'Nov 2026'!J95</f>
        <v>0</v>
      </c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29" t="n">
        <f aca="false">'Nov 2026'!O95</f>
        <v>0</v>
      </c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29" t="n">
        <f aca="false">'Nov 2026'!F96</f>
        <v>0</v>
      </c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29" t="n">
        <f aca="false">'Nov 2026'!J96</f>
        <v>0</v>
      </c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29" t="n">
        <f aca="false">'Nov 2026'!O96</f>
        <v>0</v>
      </c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29" t="n">
        <f aca="false">'Nov 2026'!F97</f>
        <v>0</v>
      </c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29" t="n">
        <f aca="false">'Nov 2026'!J97</f>
        <v>0</v>
      </c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29" t="n">
        <f aca="false">'Nov 2026'!O97</f>
        <v>0</v>
      </c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29" t="n">
        <f aca="false">'Nov 2026'!F98</f>
        <v>0</v>
      </c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29" t="n">
        <f aca="false">'Nov 2026'!J98</f>
        <v>0</v>
      </c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29" t="n">
        <f aca="false">'Nov 2026'!O98</f>
        <v>0</v>
      </c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29" t="n">
        <f aca="false">'Nov 2026'!F99</f>
        <v>0</v>
      </c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29" t="n">
        <f aca="false">'Nov 2026'!J99</f>
        <v>0</v>
      </c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29" t="n">
        <f aca="false">'Nov 2026'!O99</f>
        <v>0</v>
      </c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29" t="n">
        <f aca="false">'Nov 2026'!F100</f>
        <v>0</v>
      </c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29" t="n">
        <f aca="false">'Nov 2026'!J100</f>
        <v>0</v>
      </c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29" t="n">
        <f aca="false">'Nov 2026'!O100</f>
        <v>0</v>
      </c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29" t="n">
        <f aca="false">'Nov 2026'!F101</f>
        <v>0</v>
      </c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29" t="n">
        <f aca="false">'Nov 2026'!J101</f>
        <v>0</v>
      </c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29" t="n">
        <f aca="false">'Nov 2026'!O101</f>
        <v>0</v>
      </c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29" t="n">
        <f aca="false">'Nov 2026'!F102</f>
        <v>0</v>
      </c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29" t="n">
        <f aca="false">'Nov 2026'!J102</f>
        <v>0</v>
      </c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29" t="n">
        <f aca="false">'Nov 2026'!O102</f>
        <v>0</v>
      </c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29" t="n">
        <f aca="false">'Nov 2026'!F103</f>
        <v>0</v>
      </c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29" t="n">
        <f aca="false">'Nov 2026'!J103</f>
        <v>0</v>
      </c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29" t="n">
        <f aca="false">'Nov 2026'!O103</f>
        <v>0</v>
      </c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29" t="n">
        <f aca="false">'Nov 2026'!F104</f>
        <v>0</v>
      </c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29" t="n">
        <f aca="false">'Nov 2026'!J104</f>
        <v>0</v>
      </c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29" t="n">
        <f aca="false">'Nov 2026'!O104</f>
        <v>0</v>
      </c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29" t="n">
        <f aca="false">'Nov 2026'!F105</f>
        <v>0</v>
      </c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29" t="n">
        <f aca="false">'Nov 2026'!J105</f>
        <v>0</v>
      </c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29" t="n">
        <f aca="false">'Nov 2026'!O105</f>
        <v>0</v>
      </c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29" t="n">
        <f aca="false">'Nov 2026'!F106</f>
        <v>0</v>
      </c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29" t="n">
        <f aca="false">'Nov 2026'!J106</f>
        <v>0</v>
      </c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29" t="n">
        <f aca="false">'Nov 2026'!O106</f>
        <v>0</v>
      </c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29" t="n">
        <f aca="false">'Nov 2026'!F107</f>
        <v>0</v>
      </c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29" t="n">
        <f aca="false">'Nov 2026'!J107</f>
        <v>0</v>
      </c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29" t="n">
        <f aca="false">'Nov 2026'!O107</f>
        <v>0</v>
      </c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29" t="n">
        <f aca="false">'Nov 2026'!F108</f>
        <v>0</v>
      </c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29" t="n">
        <f aca="false">'Nov 2026'!J108</f>
        <v>0</v>
      </c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29" t="n">
        <f aca="false">'Nov 2026'!O108</f>
        <v>0</v>
      </c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29" t="n">
        <f aca="false">'Nov 2026'!F109</f>
        <v>0</v>
      </c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29" t="n">
        <f aca="false">'Nov 2026'!J109</f>
        <v>0</v>
      </c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29" t="n">
        <f aca="false">'Nov 2026'!O109</f>
        <v>0</v>
      </c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29" t="n">
        <f aca="false">'Nov 2026'!F110</f>
        <v>0</v>
      </c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29" t="n">
        <f aca="false">'Nov 2026'!J110</f>
        <v>0</v>
      </c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29" t="n">
        <f aca="false">'Nov 2026'!O110</f>
        <v>0</v>
      </c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29" t="n">
        <f aca="false">'Nov 2026'!F111</f>
        <v>0</v>
      </c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29" t="n">
        <f aca="false">'Nov 2026'!J111</f>
        <v>0</v>
      </c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29" t="n">
        <f aca="false">'Nov 2026'!O111</f>
        <v>0</v>
      </c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29" t="n">
        <f aca="false">'Nov 2026'!F112</f>
        <v>0</v>
      </c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29" t="n">
        <f aca="false">'Nov 2026'!J112</f>
        <v>0</v>
      </c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29" t="n">
        <f aca="false">'Nov 2026'!O112</f>
        <v>0</v>
      </c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29" t="n">
        <f aca="false">'Nov 2026'!F113</f>
        <v>0</v>
      </c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29" t="n">
        <f aca="false">'Nov 2026'!J113</f>
        <v>0</v>
      </c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29" t="n">
        <f aca="false">'Nov 2026'!O113</f>
        <v>0</v>
      </c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2000</v>
      </c>
      <c r="D114" s="32" t="n">
        <f aca="false">SUM(D14:D113)</f>
        <v>2000</v>
      </c>
      <c r="E114" s="32" t="n">
        <f aca="false">SUM(E14:E113)</f>
        <v>0</v>
      </c>
      <c r="F114" s="32" t="n">
        <f aca="false">SUM(F14:F113)</f>
        <v>4000</v>
      </c>
      <c r="G114" s="32" t="n">
        <f aca="false">SUM(G14:G113)</f>
        <v>3000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4500</v>
      </c>
      <c r="K114" s="32" t="n">
        <f aca="false">SUM(K14:K113)</f>
        <v>200</v>
      </c>
      <c r="L114" s="32" t="n">
        <f aca="false">SUM(L14:L113)</f>
        <v>0</v>
      </c>
      <c r="M114" s="32" t="n">
        <f aca="false">SUM(M14:M113)</f>
        <v>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8700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8700</v>
      </c>
      <c r="D11" s="21"/>
      <c r="E11" s="3" t="s">
        <v>44</v>
      </c>
      <c r="F11" s="3"/>
      <c r="G11" s="21" t="n">
        <f aca="false">D114+H114+L114+M114</f>
        <v>3500</v>
      </c>
      <c r="H11" s="21"/>
      <c r="I11" s="3" t="s">
        <v>45</v>
      </c>
      <c r="J11" s="3"/>
      <c r="K11" s="21" t="n">
        <f aca="false">E114+I114+N114</f>
        <v>0</v>
      </c>
      <c r="L11" s="21"/>
      <c r="M11" s="3" t="s">
        <v>46</v>
      </c>
      <c r="N11" s="3"/>
      <c r="O11" s="21" t="n">
        <f aca="false">P114</f>
        <v>12200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29" t="n">
        <f aca="false">'Dec 2026'!F14</f>
        <v>4000</v>
      </c>
      <c r="D14" s="29" t="n">
        <f aca="false">IF(Students!D5="Yes",N(Students!E5),0)</f>
        <v>2000</v>
      </c>
      <c r="E14" s="13"/>
      <c r="F14" s="30" t="n">
        <f aca="false">N(C14)+N(D14)-N(E14)</f>
        <v>6000</v>
      </c>
      <c r="G14" s="29" t="n">
        <f aca="false">'Dec 2026'!J14</f>
        <v>4500</v>
      </c>
      <c r="H14" s="29" t="n">
        <f aca="false">IF(Students!F5="Yes",N(Students!G5),0)</f>
        <v>1500</v>
      </c>
      <c r="I14" s="13"/>
      <c r="J14" s="30" t="n">
        <f aca="false">N(G14)+N(H14)-N(I14)</f>
        <v>6000</v>
      </c>
      <c r="K14" s="29" t="n">
        <f aca="false">'Dec 2026'!O14</f>
        <v>200</v>
      </c>
      <c r="L14" s="13"/>
      <c r="M14" s="13"/>
      <c r="N14" s="13"/>
      <c r="O14" s="30" t="n">
        <f aca="false">N(K14)+N(L14)+N(M14)-N(N14)</f>
        <v>200</v>
      </c>
      <c r="P14" s="30" t="n">
        <f aca="false">F14+J14+O14</f>
        <v>12200</v>
      </c>
      <c r="Q14" s="10" t="str">
        <f aca="false">IF(B14="","",IF(P14&lt;=0,"Clear",IF(E14+I14+N14&gt;0,"Partial","Due")))</f>
        <v>Due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29" t="n">
        <f aca="false">'Dec 2026'!F15</f>
        <v>0</v>
      </c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29" t="n">
        <f aca="false">'Dec 2026'!J15</f>
        <v>0</v>
      </c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29" t="n">
        <f aca="false">'Dec 2026'!O15</f>
        <v>0</v>
      </c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29" t="n">
        <f aca="false">'Dec 2026'!F16</f>
        <v>0</v>
      </c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29" t="n">
        <f aca="false">'Dec 2026'!J16</f>
        <v>0</v>
      </c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29" t="n">
        <f aca="false">'Dec 2026'!O16</f>
        <v>0</v>
      </c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29" t="n">
        <f aca="false">'Dec 2026'!F17</f>
        <v>0</v>
      </c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29" t="n">
        <f aca="false">'Dec 2026'!J17</f>
        <v>0</v>
      </c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29" t="n">
        <f aca="false">'Dec 2026'!O17</f>
        <v>0</v>
      </c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29" t="n">
        <f aca="false">'Dec 2026'!F18</f>
        <v>0</v>
      </c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29" t="n">
        <f aca="false">'Dec 2026'!J18</f>
        <v>0</v>
      </c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29" t="n">
        <f aca="false">'Dec 2026'!O18</f>
        <v>0</v>
      </c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29" t="n">
        <f aca="false">'Dec 2026'!F19</f>
        <v>0</v>
      </c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29" t="n">
        <f aca="false">'Dec 2026'!J19</f>
        <v>0</v>
      </c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29" t="n">
        <f aca="false">'Dec 2026'!O19</f>
        <v>0</v>
      </c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29" t="n">
        <f aca="false">'Dec 2026'!F20</f>
        <v>0</v>
      </c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29" t="n">
        <f aca="false">'Dec 2026'!J20</f>
        <v>0</v>
      </c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29" t="n">
        <f aca="false">'Dec 2026'!O20</f>
        <v>0</v>
      </c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29" t="n">
        <f aca="false">'Dec 2026'!F21</f>
        <v>0</v>
      </c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29" t="n">
        <f aca="false">'Dec 2026'!J21</f>
        <v>0</v>
      </c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29" t="n">
        <f aca="false">'Dec 2026'!O21</f>
        <v>0</v>
      </c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29" t="n">
        <f aca="false">'Dec 2026'!F22</f>
        <v>0</v>
      </c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29" t="n">
        <f aca="false">'Dec 2026'!J22</f>
        <v>0</v>
      </c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29" t="n">
        <f aca="false">'Dec 2026'!O22</f>
        <v>0</v>
      </c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29" t="n">
        <f aca="false">'Dec 2026'!F23</f>
        <v>0</v>
      </c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29" t="n">
        <f aca="false">'Dec 2026'!J23</f>
        <v>0</v>
      </c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29" t="n">
        <f aca="false">'Dec 2026'!O23</f>
        <v>0</v>
      </c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29" t="n">
        <f aca="false">'Dec 2026'!F24</f>
        <v>0</v>
      </c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29" t="n">
        <f aca="false">'Dec 2026'!J24</f>
        <v>0</v>
      </c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29" t="n">
        <f aca="false">'Dec 2026'!O24</f>
        <v>0</v>
      </c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29" t="n">
        <f aca="false">'Dec 2026'!F25</f>
        <v>0</v>
      </c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29" t="n">
        <f aca="false">'Dec 2026'!J25</f>
        <v>0</v>
      </c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29" t="n">
        <f aca="false">'Dec 2026'!O25</f>
        <v>0</v>
      </c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29" t="n">
        <f aca="false">'Dec 2026'!F26</f>
        <v>0</v>
      </c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29" t="n">
        <f aca="false">'Dec 2026'!J26</f>
        <v>0</v>
      </c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29" t="n">
        <f aca="false">'Dec 2026'!O26</f>
        <v>0</v>
      </c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29" t="n">
        <f aca="false">'Dec 2026'!F27</f>
        <v>0</v>
      </c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29" t="n">
        <f aca="false">'Dec 2026'!J27</f>
        <v>0</v>
      </c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29" t="n">
        <f aca="false">'Dec 2026'!O27</f>
        <v>0</v>
      </c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29" t="n">
        <f aca="false">'Dec 2026'!F28</f>
        <v>0</v>
      </c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29" t="n">
        <f aca="false">'Dec 2026'!J28</f>
        <v>0</v>
      </c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29" t="n">
        <f aca="false">'Dec 2026'!O28</f>
        <v>0</v>
      </c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29" t="n">
        <f aca="false">'Dec 2026'!F29</f>
        <v>0</v>
      </c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29" t="n">
        <f aca="false">'Dec 2026'!J29</f>
        <v>0</v>
      </c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29" t="n">
        <f aca="false">'Dec 2026'!O29</f>
        <v>0</v>
      </c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29" t="n">
        <f aca="false">'Dec 2026'!F30</f>
        <v>0</v>
      </c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29" t="n">
        <f aca="false">'Dec 2026'!J30</f>
        <v>0</v>
      </c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29" t="n">
        <f aca="false">'Dec 2026'!O30</f>
        <v>0</v>
      </c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29" t="n">
        <f aca="false">'Dec 2026'!F31</f>
        <v>0</v>
      </c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29" t="n">
        <f aca="false">'Dec 2026'!J31</f>
        <v>0</v>
      </c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29" t="n">
        <f aca="false">'Dec 2026'!O31</f>
        <v>0</v>
      </c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29" t="n">
        <f aca="false">'Dec 2026'!F32</f>
        <v>0</v>
      </c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29" t="n">
        <f aca="false">'Dec 2026'!J32</f>
        <v>0</v>
      </c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29" t="n">
        <f aca="false">'Dec 2026'!O32</f>
        <v>0</v>
      </c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29" t="n">
        <f aca="false">'Dec 2026'!F33</f>
        <v>0</v>
      </c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29" t="n">
        <f aca="false">'Dec 2026'!J33</f>
        <v>0</v>
      </c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29" t="n">
        <f aca="false">'Dec 2026'!O33</f>
        <v>0</v>
      </c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29" t="n">
        <f aca="false">'Dec 2026'!F34</f>
        <v>0</v>
      </c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29" t="n">
        <f aca="false">'Dec 2026'!J34</f>
        <v>0</v>
      </c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29" t="n">
        <f aca="false">'Dec 2026'!O34</f>
        <v>0</v>
      </c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29" t="n">
        <f aca="false">'Dec 2026'!F35</f>
        <v>0</v>
      </c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29" t="n">
        <f aca="false">'Dec 2026'!J35</f>
        <v>0</v>
      </c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29" t="n">
        <f aca="false">'Dec 2026'!O35</f>
        <v>0</v>
      </c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29" t="n">
        <f aca="false">'Dec 2026'!F36</f>
        <v>0</v>
      </c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29" t="n">
        <f aca="false">'Dec 2026'!J36</f>
        <v>0</v>
      </c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29" t="n">
        <f aca="false">'Dec 2026'!O36</f>
        <v>0</v>
      </c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29" t="n">
        <f aca="false">'Dec 2026'!F37</f>
        <v>0</v>
      </c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29" t="n">
        <f aca="false">'Dec 2026'!J37</f>
        <v>0</v>
      </c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29" t="n">
        <f aca="false">'Dec 2026'!O37</f>
        <v>0</v>
      </c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29" t="n">
        <f aca="false">'Dec 2026'!F38</f>
        <v>0</v>
      </c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29" t="n">
        <f aca="false">'Dec 2026'!J38</f>
        <v>0</v>
      </c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29" t="n">
        <f aca="false">'Dec 2026'!O38</f>
        <v>0</v>
      </c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29" t="n">
        <f aca="false">'Dec 2026'!F39</f>
        <v>0</v>
      </c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29" t="n">
        <f aca="false">'Dec 2026'!J39</f>
        <v>0</v>
      </c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29" t="n">
        <f aca="false">'Dec 2026'!O39</f>
        <v>0</v>
      </c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29" t="n">
        <f aca="false">'Dec 2026'!F40</f>
        <v>0</v>
      </c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29" t="n">
        <f aca="false">'Dec 2026'!J40</f>
        <v>0</v>
      </c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29" t="n">
        <f aca="false">'Dec 2026'!O40</f>
        <v>0</v>
      </c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29" t="n">
        <f aca="false">'Dec 2026'!F41</f>
        <v>0</v>
      </c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29" t="n">
        <f aca="false">'Dec 2026'!J41</f>
        <v>0</v>
      </c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29" t="n">
        <f aca="false">'Dec 2026'!O41</f>
        <v>0</v>
      </c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29" t="n">
        <f aca="false">'Dec 2026'!F42</f>
        <v>0</v>
      </c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29" t="n">
        <f aca="false">'Dec 2026'!J42</f>
        <v>0</v>
      </c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29" t="n">
        <f aca="false">'Dec 2026'!O42</f>
        <v>0</v>
      </c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29" t="n">
        <f aca="false">'Dec 2026'!F43</f>
        <v>0</v>
      </c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29" t="n">
        <f aca="false">'Dec 2026'!J43</f>
        <v>0</v>
      </c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29" t="n">
        <f aca="false">'Dec 2026'!O43</f>
        <v>0</v>
      </c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29" t="n">
        <f aca="false">'Dec 2026'!F44</f>
        <v>0</v>
      </c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29" t="n">
        <f aca="false">'Dec 2026'!J44</f>
        <v>0</v>
      </c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29" t="n">
        <f aca="false">'Dec 2026'!O44</f>
        <v>0</v>
      </c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29" t="n">
        <f aca="false">'Dec 2026'!F45</f>
        <v>0</v>
      </c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29" t="n">
        <f aca="false">'Dec 2026'!J45</f>
        <v>0</v>
      </c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29" t="n">
        <f aca="false">'Dec 2026'!O45</f>
        <v>0</v>
      </c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29" t="n">
        <f aca="false">'Dec 2026'!F46</f>
        <v>0</v>
      </c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29" t="n">
        <f aca="false">'Dec 2026'!J46</f>
        <v>0</v>
      </c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29" t="n">
        <f aca="false">'Dec 2026'!O46</f>
        <v>0</v>
      </c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29" t="n">
        <f aca="false">'Dec 2026'!F47</f>
        <v>0</v>
      </c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29" t="n">
        <f aca="false">'Dec 2026'!J47</f>
        <v>0</v>
      </c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29" t="n">
        <f aca="false">'Dec 2026'!O47</f>
        <v>0</v>
      </c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29" t="n">
        <f aca="false">'Dec 2026'!F48</f>
        <v>0</v>
      </c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29" t="n">
        <f aca="false">'Dec 2026'!J48</f>
        <v>0</v>
      </c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29" t="n">
        <f aca="false">'Dec 2026'!O48</f>
        <v>0</v>
      </c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29" t="n">
        <f aca="false">'Dec 2026'!F49</f>
        <v>0</v>
      </c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29" t="n">
        <f aca="false">'Dec 2026'!J49</f>
        <v>0</v>
      </c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29" t="n">
        <f aca="false">'Dec 2026'!O49</f>
        <v>0</v>
      </c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29" t="n">
        <f aca="false">'Dec 2026'!F50</f>
        <v>0</v>
      </c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29" t="n">
        <f aca="false">'Dec 2026'!J50</f>
        <v>0</v>
      </c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29" t="n">
        <f aca="false">'Dec 2026'!O50</f>
        <v>0</v>
      </c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29" t="n">
        <f aca="false">'Dec 2026'!F51</f>
        <v>0</v>
      </c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29" t="n">
        <f aca="false">'Dec 2026'!J51</f>
        <v>0</v>
      </c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29" t="n">
        <f aca="false">'Dec 2026'!O51</f>
        <v>0</v>
      </c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29" t="n">
        <f aca="false">'Dec 2026'!F52</f>
        <v>0</v>
      </c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29" t="n">
        <f aca="false">'Dec 2026'!J52</f>
        <v>0</v>
      </c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29" t="n">
        <f aca="false">'Dec 2026'!O52</f>
        <v>0</v>
      </c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29" t="n">
        <f aca="false">'Dec 2026'!F53</f>
        <v>0</v>
      </c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29" t="n">
        <f aca="false">'Dec 2026'!J53</f>
        <v>0</v>
      </c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29" t="n">
        <f aca="false">'Dec 2026'!O53</f>
        <v>0</v>
      </c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29" t="n">
        <f aca="false">'Dec 2026'!F54</f>
        <v>0</v>
      </c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29" t="n">
        <f aca="false">'Dec 2026'!J54</f>
        <v>0</v>
      </c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29" t="n">
        <f aca="false">'Dec 2026'!O54</f>
        <v>0</v>
      </c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29" t="n">
        <f aca="false">'Dec 2026'!F55</f>
        <v>0</v>
      </c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29" t="n">
        <f aca="false">'Dec 2026'!J55</f>
        <v>0</v>
      </c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29" t="n">
        <f aca="false">'Dec 2026'!O55</f>
        <v>0</v>
      </c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29" t="n">
        <f aca="false">'Dec 2026'!F56</f>
        <v>0</v>
      </c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29" t="n">
        <f aca="false">'Dec 2026'!J56</f>
        <v>0</v>
      </c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29" t="n">
        <f aca="false">'Dec 2026'!O56</f>
        <v>0</v>
      </c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29" t="n">
        <f aca="false">'Dec 2026'!F57</f>
        <v>0</v>
      </c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29" t="n">
        <f aca="false">'Dec 2026'!J57</f>
        <v>0</v>
      </c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29" t="n">
        <f aca="false">'Dec 2026'!O57</f>
        <v>0</v>
      </c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29" t="n">
        <f aca="false">'Dec 2026'!F58</f>
        <v>0</v>
      </c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29" t="n">
        <f aca="false">'Dec 2026'!J58</f>
        <v>0</v>
      </c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29" t="n">
        <f aca="false">'Dec 2026'!O58</f>
        <v>0</v>
      </c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29" t="n">
        <f aca="false">'Dec 2026'!F59</f>
        <v>0</v>
      </c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29" t="n">
        <f aca="false">'Dec 2026'!J59</f>
        <v>0</v>
      </c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29" t="n">
        <f aca="false">'Dec 2026'!O59</f>
        <v>0</v>
      </c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29" t="n">
        <f aca="false">'Dec 2026'!F60</f>
        <v>0</v>
      </c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29" t="n">
        <f aca="false">'Dec 2026'!J60</f>
        <v>0</v>
      </c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29" t="n">
        <f aca="false">'Dec 2026'!O60</f>
        <v>0</v>
      </c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29" t="n">
        <f aca="false">'Dec 2026'!F61</f>
        <v>0</v>
      </c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29" t="n">
        <f aca="false">'Dec 2026'!J61</f>
        <v>0</v>
      </c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29" t="n">
        <f aca="false">'Dec 2026'!O61</f>
        <v>0</v>
      </c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29" t="n">
        <f aca="false">'Dec 2026'!F62</f>
        <v>0</v>
      </c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29" t="n">
        <f aca="false">'Dec 2026'!J62</f>
        <v>0</v>
      </c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29" t="n">
        <f aca="false">'Dec 2026'!O62</f>
        <v>0</v>
      </c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29" t="n">
        <f aca="false">'Dec 2026'!F63</f>
        <v>0</v>
      </c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29" t="n">
        <f aca="false">'Dec 2026'!J63</f>
        <v>0</v>
      </c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29" t="n">
        <f aca="false">'Dec 2026'!O63</f>
        <v>0</v>
      </c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29" t="n">
        <f aca="false">'Dec 2026'!F64</f>
        <v>0</v>
      </c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29" t="n">
        <f aca="false">'Dec 2026'!J64</f>
        <v>0</v>
      </c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29" t="n">
        <f aca="false">'Dec 2026'!O64</f>
        <v>0</v>
      </c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29" t="n">
        <f aca="false">'Dec 2026'!F65</f>
        <v>0</v>
      </c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29" t="n">
        <f aca="false">'Dec 2026'!J65</f>
        <v>0</v>
      </c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29" t="n">
        <f aca="false">'Dec 2026'!O65</f>
        <v>0</v>
      </c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29" t="n">
        <f aca="false">'Dec 2026'!F66</f>
        <v>0</v>
      </c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29" t="n">
        <f aca="false">'Dec 2026'!J66</f>
        <v>0</v>
      </c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29" t="n">
        <f aca="false">'Dec 2026'!O66</f>
        <v>0</v>
      </c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29" t="n">
        <f aca="false">'Dec 2026'!F67</f>
        <v>0</v>
      </c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29" t="n">
        <f aca="false">'Dec 2026'!J67</f>
        <v>0</v>
      </c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29" t="n">
        <f aca="false">'Dec 2026'!O67</f>
        <v>0</v>
      </c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29" t="n">
        <f aca="false">'Dec 2026'!F68</f>
        <v>0</v>
      </c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29" t="n">
        <f aca="false">'Dec 2026'!J68</f>
        <v>0</v>
      </c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29" t="n">
        <f aca="false">'Dec 2026'!O68</f>
        <v>0</v>
      </c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29" t="n">
        <f aca="false">'Dec 2026'!F69</f>
        <v>0</v>
      </c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29" t="n">
        <f aca="false">'Dec 2026'!J69</f>
        <v>0</v>
      </c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29" t="n">
        <f aca="false">'Dec 2026'!O69</f>
        <v>0</v>
      </c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29" t="n">
        <f aca="false">'Dec 2026'!F70</f>
        <v>0</v>
      </c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29" t="n">
        <f aca="false">'Dec 2026'!J70</f>
        <v>0</v>
      </c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29" t="n">
        <f aca="false">'Dec 2026'!O70</f>
        <v>0</v>
      </c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29" t="n">
        <f aca="false">'Dec 2026'!F71</f>
        <v>0</v>
      </c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29" t="n">
        <f aca="false">'Dec 2026'!J71</f>
        <v>0</v>
      </c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29" t="n">
        <f aca="false">'Dec 2026'!O71</f>
        <v>0</v>
      </c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29" t="n">
        <f aca="false">'Dec 2026'!F72</f>
        <v>0</v>
      </c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29" t="n">
        <f aca="false">'Dec 2026'!J72</f>
        <v>0</v>
      </c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29" t="n">
        <f aca="false">'Dec 2026'!O72</f>
        <v>0</v>
      </c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29" t="n">
        <f aca="false">'Dec 2026'!F73</f>
        <v>0</v>
      </c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29" t="n">
        <f aca="false">'Dec 2026'!J73</f>
        <v>0</v>
      </c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29" t="n">
        <f aca="false">'Dec 2026'!O73</f>
        <v>0</v>
      </c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29" t="n">
        <f aca="false">'Dec 2026'!F74</f>
        <v>0</v>
      </c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29" t="n">
        <f aca="false">'Dec 2026'!J74</f>
        <v>0</v>
      </c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29" t="n">
        <f aca="false">'Dec 2026'!O74</f>
        <v>0</v>
      </c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29" t="n">
        <f aca="false">'Dec 2026'!F75</f>
        <v>0</v>
      </c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29" t="n">
        <f aca="false">'Dec 2026'!J75</f>
        <v>0</v>
      </c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29" t="n">
        <f aca="false">'Dec 2026'!O75</f>
        <v>0</v>
      </c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29" t="n">
        <f aca="false">'Dec 2026'!F76</f>
        <v>0</v>
      </c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29" t="n">
        <f aca="false">'Dec 2026'!J76</f>
        <v>0</v>
      </c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29" t="n">
        <f aca="false">'Dec 2026'!O76</f>
        <v>0</v>
      </c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29" t="n">
        <f aca="false">'Dec 2026'!F77</f>
        <v>0</v>
      </c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29" t="n">
        <f aca="false">'Dec 2026'!J77</f>
        <v>0</v>
      </c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29" t="n">
        <f aca="false">'Dec 2026'!O77</f>
        <v>0</v>
      </c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29" t="n">
        <f aca="false">'Dec 2026'!F78</f>
        <v>0</v>
      </c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29" t="n">
        <f aca="false">'Dec 2026'!J78</f>
        <v>0</v>
      </c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29" t="n">
        <f aca="false">'Dec 2026'!O78</f>
        <v>0</v>
      </c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29" t="n">
        <f aca="false">'Dec 2026'!F79</f>
        <v>0</v>
      </c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29" t="n">
        <f aca="false">'Dec 2026'!J79</f>
        <v>0</v>
      </c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29" t="n">
        <f aca="false">'Dec 2026'!O79</f>
        <v>0</v>
      </c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29" t="n">
        <f aca="false">'Dec 2026'!F80</f>
        <v>0</v>
      </c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29" t="n">
        <f aca="false">'Dec 2026'!J80</f>
        <v>0</v>
      </c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29" t="n">
        <f aca="false">'Dec 2026'!O80</f>
        <v>0</v>
      </c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29" t="n">
        <f aca="false">'Dec 2026'!F81</f>
        <v>0</v>
      </c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29" t="n">
        <f aca="false">'Dec 2026'!J81</f>
        <v>0</v>
      </c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29" t="n">
        <f aca="false">'Dec 2026'!O81</f>
        <v>0</v>
      </c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29" t="n">
        <f aca="false">'Dec 2026'!F82</f>
        <v>0</v>
      </c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29" t="n">
        <f aca="false">'Dec 2026'!J82</f>
        <v>0</v>
      </c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29" t="n">
        <f aca="false">'Dec 2026'!O82</f>
        <v>0</v>
      </c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29" t="n">
        <f aca="false">'Dec 2026'!F83</f>
        <v>0</v>
      </c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29" t="n">
        <f aca="false">'Dec 2026'!J83</f>
        <v>0</v>
      </c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29" t="n">
        <f aca="false">'Dec 2026'!O83</f>
        <v>0</v>
      </c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29" t="n">
        <f aca="false">'Dec 2026'!F84</f>
        <v>0</v>
      </c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29" t="n">
        <f aca="false">'Dec 2026'!J84</f>
        <v>0</v>
      </c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29" t="n">
        <f aca="false">'Dec 2026'!O84</f>
        <v>0</v>
      </c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29" t="n">
        <f aca="false">'Dec 2026'!F85</f>
        <v>0</v>
      </c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29" t="n">
        <f aca="false">'Dec 2026'!J85</f>
        <v>0</v>
      </c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29" t="n">
        <f aca="false">'Dec 2026'!O85</f>
        <v>0</v>
      </c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29" t="n">
        <f aca="false">'Dec 2026'!F86</f>
        <v>0</v>
      </c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29" t="n">
        <f aca="false">'Dec 2026'!J86</f>
        <v>0</v>
      </c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29" t="n">
        <f aca="false">'Dec 2026'!O86</f>
        <v>0</v>
      </c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29" t="n">
        <f aca="false">'Dec 2026'!F87</f>
        <v>0</v>
      </c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29" t="n">
        <f aca="false">'Dec 2026'!J87</f>
        <v>0</v>
      </c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29" t="n">
        <f aca="false">'Dec 2026'!O87</f>
        <v>0</v>
      </c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29" t="n">
        <f aca="false">'Dec 2026'!F88</f>
        <v>0</v>
      </c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29" t="n">
        <f aca="false">'Dec 2026'!J88</f>
        <v>0</v>
      </c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29" t="n">
        <f aca="false">'Dec 2026'!O88</f>
        <v>0</v>
      </c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29" t="n">
        <f aca="false">'Dec 2026'!F89</f>
        <v>0</v>
      </c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29" t="n">
        <f aca="false">'Dec 2026'!J89</f>
        <v>0</v>
      </c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29" t="n">
        <f aca="false">'Dec 2026'!O89</f>
        <v>0</v>
      </c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29" t="n">
        <f aca="false">'Dec 2026'!F90</f>
        <v>0</v>
      </c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29" t="n">
        <f aca="false">'Dec 2026'!J90</f>
        <v>0</v>
      </c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29" t="n">
        <f aca="false">'Dec 2026'!O90</f>
        <v>0</v>
      </c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29" t="n">
        <f aca="false">'Dec 2026'!F91</f>
        <v>0</v>
      </c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29" t="n">
        <f aca="false">'Dec 2026'!J91</f>
        <v>0</v>
      </c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29" t="n">
        <f aca="false">'Dec 2026'!O91</f>
        <v>0</v>
      </c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29" t="n">
        <f aca="false">'Dec 2026'!F92</f>
        <v>0</v>
      </c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29" t="n">
        <f aca="false">'Dec 2026'!J92</f>
        <v>0</v>
      </c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29" t="n">
        <f aca="false">'Dec 2026'!O92</f>
        <v>0</v>
      </c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29" t="n">
        <f aca="false">'Dec 2026'!F93</f>
        <v>0</v>
      </c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29" t="n">
        <f aca="false">'Dec 2026'!J93</f>
        <v>0</v>
      </c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29" t="n">
        <f aca="false">'Dec 2026'!O93</f>
        <v>0</v>
      </c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29" t="n">
        <f aca="false">'Dec 2026'!F94</f>
        <v>0</v>
      </c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29" t="n">
        <f aca="false">'Dec 2026'!J94</f>
        <v>0</v>
      </c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29" t="n">
        <f aca="false">'Dec 2026'!O94</f>
        <v>0</v>
      </c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29" t="n">
        <f aca="false">'Dec 2026'!F95</f>
        <v>0</v>
      </c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29" t="n">
        <f aca="false">'Dec 2026'!J95</f>
        <v>0</v>
      </c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29" t="n">
        <f aca="false">'Dec 2026'!O95</f>
        <v>0</v>
      </c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29" t="n">
        <f aca="false">'Dec 2026'!F96</f>
        <v>0</v>
      </c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29" t="n">
        <f aca="false">'Dec 2026'!J96</f>
        <v>0</v>
      </c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29" t="n">
        <f aca="false">'Dec 2026'!O96</f>
        <v>0</v>
      </c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29" t="n">
        <f aca="false">'Dec 2026'!F97</f>
        <v>0</v>
      </c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29" t="n">
        <f aca="false">'Dec 2026'!J97</f>
        <v>0</v>
      </c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29" t="n">
        <f aca="false">'Dec 2026'!O97</f>
        <v>0</v>
      </c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29" t="n">
        <f aca="false">'Dec 2026'!F98</f>
        <v>0</v>
      </c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29" t="n">
        <f aca="false">'Dec 2026'!J98</f>
        <v>0</v>
      </c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29" t="n">
        <f aca="false">'Dec 2026'!O98</f>
        <v>0</v>
      </c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29" t="n">
        <f aca="false">'Dec 2026'!F99</f>
        <v>0</v>
      </c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29" t="n">
        <f aca="false">'Dec 2026'!J99</f>
        <v>0</v>
      </c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29" t="n">
        <f aca="false">'Dec 2026'!O99</f>
        <v>0</v>
      </c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29" t="n">
        <f aca="false">'Dec 2026'!F100</f>
        <v>0</v>
      </c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29" t="n">
        <f aca="false">'Dec 2026'!J100</f>
        <v>0</v>
      </c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29" t="n">
        <f aca="false">'Dec 2026'!O100</f>
        <v>0</v>
      </c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29" t="n">
        <f aca="false">'Dec 2026'!F101</f>
        <v>0</v>
      </c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29" t="n">
        <f aca="false">'Dec 2026'!J101</f>
        <v>0</v>
      </c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29" t="n">
        <f aca="false">'Dec 2026'!O101</f>
        <v>0</v>
      </c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29" t="n">
        <f aca="false">'Dec 2026'!F102</f>
        <v>0</v>
      </c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29" t="n">
        <f aca="false">'Dec 2026'!J102</f>
        <v>0</v>
      </c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29" t="n">
        <f aca="false">'Dec 2026'!O102</f>
        <v>0</v>
      </c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29" t="n">
        <f aca="false">'Dec 2026'!F103</f>
        <v>0</v>
      </c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29" t="n">
        <f aca="false">'Dec 2026'!J103</f>
        <v>0</v>
      </c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29" t="n">
        <f aca="false">'Dec 2026'!O103</f>
        <v>0</v>
      </c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29" t="n">
        <f aca="false">'Dec 2026'!F104</f>
        <v>0</v>
      </c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29" t="n">
        <f aca="false">'Dec 2026'!J104</f>
        <v>0</v>
      </c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29" t="n">
        <f aca="false">'Dec 2026'!O104</f>
        <v>0</v>
      </c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29" t="n">
        <f aca="false">'Dec 2026'!F105</f>
        <v>0</v>
      </c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29" t="n">
        <f aca="false">'Dec 2026'!J105</f>
        <v>0</v>
      </c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29" t="n">
        <f aca="false">'Dec 2026'!O105</f>
        <v>0</v>
      </c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29" t="n">
        <f aca="false">'Dec 2026'!F106</f>
        <v>0</v>
      </c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29" t="n">
        <f aca="false">'Dec 2026'!J106</f>
        <v>0</v>
      </c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29" t="n">
        <f aca="false">'Dec 2026'!O106</f>
        <v>0</v>
      </c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29" t="n">
        <f aca="false">'Dec 2026'!F107</f>
        <v>0</v>
      </c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29" t="n">
        <f aca="false">'Dec 2026'!J107</f>
        <v>0</v>
      </c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29" t="n">
        <f aca="false">'Dec 2026'!O107</f>
        <v>0</v>
      </c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29" t="n">
        <f aca="false">'Dec 2026'!F108</f>
        <v>0</v>
      </c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29" t="n">
        <f aca="false">'Dec 2026'!J108</f>
        <v>0</v>
      </c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29" t="n">
        <f aca="false">'Dec 2026'!O108</f>
        <v>0</v>
      </c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29" t="n">
        <f aca="false">'Dec 2026'!F109</f>
        <v>0</v>
      </c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29" t="n">
        <f aca="false">'Dec 2026'!J109</f>
        <v>0</v>
      </c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29" t="n">
        <f aca="false">'Dec 2026'!O109</f>
        <v>0</v>
      </c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29" t="n">
        <f aca="false">'Dec 2026'!F110</f>
        <v>0</v>
      </c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29" t="n">
        <f aca="false">'Dec 2026'!J110</f>
        <v>0</v>
      </c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29" t="n">
        <f aca="false">'Dec 2026'!O110</f>
        <v>0</v>
      </c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29" t="n">
        <f aca="false">'Dec 2026'!F111</f>
        <v>0</v>
      </c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29" t="n">
        <f aca="false">'Dec 2026'!J111</f>
        <v>0</v>
      </c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29" t="n">
        <f aca="false">'Dec 2026'!O111</f>
        <v>0</v>
      </c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29" t="n">
        <f aca="false">'Dec 2026'!F112</f>
        <v>0</v>
      </c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29" t="n">
        <f aca="false">'Dec 2026'!J112</f>
        <v>0</v>
      </c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29" t="n">
        <f aca="false">'Dec 2026'!O112</f>
        <v>0</v>
      </c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29" t="n">
        <f aca="false">'Dec 2026'!F113</f>
        <v>0</v>
      </c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29" t="n">
        <f aca="false">'Dec 2026'!J113</f>
        <v>0</v>
      </c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29" t="n">
        <f aca="false">'Dec 2026'!O113</f>
        <v>0</v>
      </c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4000</v>
      </c>
      <c r="D114" s="32" t="n">
        <f aca="false">SUM(D14:D113)</f>
        <v>2000</v>
      </c>
      <c r="E114" s="32" t="n">
        <f aca="false">SUM(E14:E113)</f>
        <v>0</v>
      </c>
      <c r="F114" s="32" t="n">
        <f aca="false">SUM(F14:F113)</f>
        <v>6000</v>
      </c>
      <c r="G114" s="32" t="n">
        <f aca="false">SUM(G14:G113)</f>
        <v>4500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6000</v>
      </c>
      <c r="K114" s="32" t="n">
        <f aca="false">SUM(K14:K113)</f>
        <v>200</v>
      </c>
      <c r="L114" s="32" t="n">
        <f aca="false">SUM(L14:L113)</f>
        <v>0</v>
      </c>
      <c r="M114" s="32" t="n">
        <f aca="false">SUM(M14:M113)</f>
        <v>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12200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12200</v>
      </c>
      <c r="D11" s="21"/>
      <c r="E11" s="3" t="s">
        <v>44</v>
      </c>
      <c r="F11" s="3"/>
      <c r="G11" s="21" t="n">
        <f aca="false">D114+H114+L114+M114</f>
        <v>3500</v>
      </c>
      <c r="H11" s="21"/>
      <c r="I11" s="3" t="s">
        <v>45</v>
      </c>
      <c r="J11" s="3"/>
      <c r="K11" s="21" t="n">
        <f aca="false">E114+I114+N114</f>
        <v>0</v>
      </c>
      <c r="L11" s="21"/>
      <c r="M11" s="3" t="s">
        <v>46</v>
      </c>
      <c r="N11" s="3"/>
      <c r="O11" s="21" t="n">
        <f aca="false">P114</f>
        <v>15700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29" t="n">
        <f aca="false">'Jan 2027'!F14</f>
        <v>6000</v>
      </c>
      <c r="D14" s="29" t="n">
        <f aca="false">IF(Students!D5="Yes",N(Students!E5),0)</f>
        <v>2000</v>
      </c>
      <c r="E14" s="13"/>
      <c r="F14" s="30" t="n">
        <f aca="false">N(C14)+N(D14)-N(E14)</f>
        <v>8000</v>
      </c>
      <c r="G14" s="29" t="n">
        <f aca="false">'Jan 2027'!J14</f>
        <v>6000</v>
      </c>
      <c r="H14" s="29" t="n">
        <f aca="false">IF(Students!F5="Yes",N(Students!G5),0)</f>
        <v>1500</v>
      </c>
      <c r="I14" s="13"/>
      <c r="J14" s="30" t="n">
        <f aca="false">N(G14)+N(H14)-N(I14)</f>
        <v>7500</v>
      </c>
      <c r="K14" s="29" t="n">
        <f aca="false">'Jan 2027'!O14</f>
        <v>200</v>
      </c>
      <c r="L14" s="13"/>
      <c r="M14" s="13"/>
      <c r="N14" s="13"/>
      <c r="O14" s="30" t="n">
        <f aca="false">N(K14)+N(L14)+N(M14)-N(N14)</f>
        <v>200</v>
      </c>
      <c r="P14" s="30" t="n">
        <f aca="false">F14+J14+O14</f>
        <v>15700</v>
      </c>
      <c r="Q14" s="10" t="str">
        <f aca="false">IF(B14="","",IF(P14&lt;=0,"Clear",IF(E14+I14+N14&gt;0,"Partial","Due")))</f>
        <v>Due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29" t="n">
        <f aca="false">'Jan 2027'!F15</f>
        <v>0</v>
      </c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29" t="n">
        <f aca="false">'Jan 2027'!J15</f>
        <v>0</v>
      </c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29" t="n">
        <f aca="false">'Jan 2027'!O15</f>
        <v>0</v>
      </c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29" t="n">
        <f aca="false">'Jan 2027'!F16</f>
        <v>0</v>
      </c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29" t="n">
        <f aca="false">'Jan 2027'!J16</f>
        <v>0</v>
      </c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29" t="n">
        <f aca="false">'Jan 2027'!O16</f>
        <v>0</v>
      </c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29" t="n">
        <f aca="false">'Jan 2027'!F17</f>
        <v>0</v>
      </c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29" t="n">
        <f aca="false">'Jan 2027'!J17</f>
        <v>0</v>
      </c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29" t="n">
        <f aca="false">'Jan 2027'!O17</f>
        <v>0</v>
      </c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29" t="n">
        <f aca="false">'Jan 2027'!F18</f>
        <v>0</v>
      </c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29" t="n">
        <f aca="false">'Jan 2027'!J18</f>
        <v>0</v>
      </c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29" t="n">
        <f aca="false">'Jan 2027'!O18</f>
        <v>0</v>
      </c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29" t="n">
        <f aca="false">'Jan 2027'!F19</f>
        <v>0</v>
      </c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29" t="n">
        <f aca="false">'Jan 2027'!J19</f>
        <v>0</v>
      </c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29" t="n">
        <f aca="false">'Jan 2027'!O19</f>
        <v>0</v>
      </c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29" t="n">
        <f aca="false">'Jan 2027'!F20</f>
        <v>0</v>
      </c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29" t="n">
        <f aca="false">'Jan 2027'!J20</f>
        <v>0</v>
      </c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29" t="n">
        <f aca="false">'Jan 2027'!O20</f>
        <v>0</v>
      </c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29" t="n">
        <f aca="false">'Jan 2027'!F21</f>
        <v>0</v>
      </c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29" t="n">
        <f aca="false">'Jan 2027'!J21</f>
        <v>0</v>
      </c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29" t="n">
        <f aca="false">'Jan 2027'!O21</f>
        <v>0</v>
      </c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29" t="n">
        <f aca="false">'Jan 2027'!F22</f>
        <v>0</v>
      </c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29" t="n">
        <f aca="false">'Jan 2027'!J22</f>
        <v>0</v>
      </c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29" t="n">
        <f aca="false">'Jan 2027'!O22</f>
        <v>0</v>
      </c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29" t="n">
        <f aca="false">'Jan 2027'!F23</f>
        <v>0</v>
      </c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29" t="n">
        <f aca="false">'Jan 2027'!J23</f>
        <v>0</v>
      </c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29" t="n">
        <f aca="false">'Jan 2027'!O23</f>
        <v>0</v>
      </c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29" t="n">
        <f aca="false">'Jan 2027'!F24</f>
        <v>0</v>
      </c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29" t="n">
        <f aca="false">'Jan 2027'!J24</f>
        <v>0</v>
      </c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29" t="n">
        <f aca="false">'Jan 2027'!O24</f>
        <v>0</v>
      </c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29" t="n">
        <f aca="false">'Jan 2027'!F25</f>
        <v>0</v>
      </c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29" t="n">
        <f aca="false">'Jan 2027'!J25</f>
        <v>0</v>
      </c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29" t="n">
        <f aca="false">'Jan 2027'!O25</f>
        <v>0</v>
      </c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29" t="n">
        <f aca="false">'Jan 2027'!F26</f>
        <v>0</v>
      </c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29" t="n">
        <f aca="false">'Jan 2027'!J26</f>
        <v>0</v>
      </c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29" t="n">
        <f aca="false">'Jan 2027'!O26</f>
        <v>0</v>
      </c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29" t="n">
        <f aca="false">'Jan 2027'!F27</f>
        <v>0</v>
      </c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29" t="n">
        <f aca="false">'Jan 2027'!J27</f>
        <v>0</v>
      </c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29" t="n">
        <f aca="false">'Jan 2027'!O27</f>
        <v>0</v>
      </c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29" t="n">
        <f aca="false">'Jan 2027'!F28</f>
        <v>0</v>
      </c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29" t="n">
        <f aca="false">'Jan 2027'!J28</f>
        <v>0</v>
      </c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29" t="n">
        <f aca="false">'Jan 2027'!O28</f>
        <v>0</v>
      </c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29" t="n">
        <f aca="false">'Jan 2027'!F29</f>
        <v>0</v>
      </c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29" t="n">
        <f aca="false">'Jan 2027'!J29</f>
        <v>0</v>
      </c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29" t="n">
        <f aca="false">'Jan 2027'!O29</f>
        <v>0</v>
      </c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29" t="n">
        <f aca="false">'Jan 2027'!F30</f>
        <v>0</v>
      </c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29" t="n">
        <f aca="false">'Jan 2027'!J30</f>
        <v>0</v>
      </c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29" t="n">
        <f aca="false">'Jan 2027'!O30</f>
        <v>0</v>
      </c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29" t="n">
        <f aca="false">'Jan 2027'!F31</f>
        <v>0</v>
      </c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29" t="n">
        <f aca="false">'Jan 2027'!J31</f>
        <v>0</v>
      </c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29" t="n">
        <f aca="false">'Jan 2027'!O31</f>
        <v>0</v>
      </c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29" t="n">
        <f aca="false">'Jan 2027'!F32</f>
        <v>0</v>
      </c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29" t="n">
        <f aca="false">'Jan 2027'!J32</f>
        <v>0</v>
      </c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29" t="n">
        <f aca="false">'Jan 2027'!O32</f>
        <v>0</v>
      </c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29" t="n">
        <f aca="false">'Jan 2027'!F33</f>
        <v>0</v>
      </c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29" t="n">
        <f aca="false">'Jan 2027'!J33</f>
        <v>0</v>
      </c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29" t="n">
        <f aca="false">'Jan 2027'!O33</f>
        <v>0</v>
      </c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29" t="n">
        <f aca="false">'Jan 2027'!F34</f>
        <v>0</v>
      </c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29" t="n">
        <f aca="false">'Jan 2027'!J34</f>
        <v>0</v>
      </c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29" t="n">
        <f aca="false">'Jan 2027'!O34</f>
        <v>0</v>
      </c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29" t="n">
        <f aca="false">'Jan 2027'!F35</f>
        <v>0</v>
      </c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29" t="n">
        <f aca="false">'Jan 2027'!J35</f>
        <v>0</v>
      </c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29" t="n">
        <f aca="false">'Jan 2027'!O35</f>
        <v>0</v>
      </c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29" t="n">
        <f aca="false">'Jan 2027'!F36</f>
        <v>0</v>
      </c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29" t="n">
        <f aca="false">'Jan 2027'!J36</f>
        <v>0</v>
      </c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29" t="n">
        <f aca="false">'Jan 2027'!O36</f>
        <v>0</v>
      </c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29" t="n">
        <f aca="false">'Jan 2027'!F37</f>
        <v>0</v>
      </c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29" t="n">
        <f aca="false">'Jan 2027'!J37</f>
        <v>0</v>
      </c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29" t="n">
        <f aca="false">'Jan 2027'!O37</f>
        <v>0</v>
      </c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29" t="n">
        <f aca="false">'Jan 2027'!F38</f>
        <v>0</v>
      </c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29" t="n">
        <f aca="false">'Jan 2027'!J38</f>
        <v>0</v>
      </c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29" t="n">
        <f aca="false">'Jan 2027'!O38</f>
        <v>0</v>
      </c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29" t="n">
        <f aca="false">'Jan 2027'!F39</f>
        <v>0</v>
      </c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29" t="n">
        <f aca="false">'Jan 2027'!J39</f>
        <v>0</v>
      </c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29" t="n">
        <f aca="false">'Jan 2027'!O39</f>
        <v>0</v>
      </c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29" t="n">
        <f aca="false">'Jan 2027'!F40</f>
        <v>0</v>
      </c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29" t="n">
        <f aca="false">'Jan 2027'!J40</f>
        <v>0</v>
      </c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29" t="n">
        <f aca="false">'Jan 2027'!O40</f>
        <v>0</v>
      </c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29" t="n">
        <f aca="false">'Jan 2027'!F41</f>
        <v>0</v>
      </c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29" t="n">
        <f aca="false">'Jan 2027'!J41</f>
        <v>0</v>
      </c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29" t="n">
        <f aca="false">'Jan 2027'!O41</f>
        <v>0</v>
      </c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29" t="n">
        <f aca="false">'Jan 2027'!F42</f>
        <v>0</v>
      </c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29" t="n">
        <f aca="false">'Jan 2027'!J42</f>
        <v>0</v>
      </c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29" t="n">
        <f aca="false">'Jan 2027'!O42</f>
        <v>0</v>
      </c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29" t="n">
        <f aca="false">'Jan 2027'!F43</f>
        <v>0</v>
      </c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29" t="n">
        <f aca="false">'Jan 2027'!J43</f>
        <v>0</v>
      </c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29" t="n">
        <f aca="false">'Jan 2027'!O43</f>
        <v>0</v>
      </c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29" t="n">
        <f aca="false">'Jan 2027'!F44</f>
        <v>0</v>
      </c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29" t="n">
        <f aca="false">'Jan 2027'!J44</f>
        <v>0</v>
      </c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29" t="n">
        <f aca="false">'Jan 2027'!O44</f>
        <v>0</v>
      </c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29" t="n">
        <f aca="false">'Jan 2027'!F45</f>
        <v>0</v>
      </c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29" t="n">
        <f aca="false">'Jan 2027'!J45</f>
        <v>0</v>
      </c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29" t="n">
        <f aca="false">'Jan 2027'!O45</f>
        <v>0</v>
      </c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29" t="n">
        <f aca="false">'Jan 2027'!F46</f>
        <v>0</v>
      </c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29" t="n">
        <f aca="false">'Jan 2027'!J46</f>
        <v>0</v>
      </c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29" t="n">
        <f aca="false">'Jan 2027'!O46</f>
        <v>0</v>
      </c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29" t="n">
        <f aca="false">'Jan 2027'!F47</f>
        <v>0</v>
      </c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29" t="n">
        <f aca="false">'Jan 2027'!J47</f>
        <v>0</v>
      </c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29" t="n">
        <f aca="false">'Jan 2027'!O47</f>
        <v>0</v>
      </c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29" t="n">
        <f aca="false">'Jan 2027'!F48</f>
        <v>0</v>
      </c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29" t="n">
        <f aca="false">'Jan 2027'!J48</f>
        <v>0</v>
      </c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29" t="n">
        <f aca="false">'Jan 2027'!O48</f>
        <v>0</v>
      </c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29" t="n">
        <f aca="false">'Jan 2027'!F49</f>
        <v>0</v>
      </c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29" t="n">
        <f aca="false">'Jan 2027'!J49</f>
        <v>0</v>
      </c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29" t="n">
        <f aca="false">'Jan 2027'!O49</f>
        <v>0</v>
      </c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29" t="n">
        <f aca="false">'Jan 2027'!F50</f>
        <v>0</v>
      </c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29" t="n">
        <f aca="false">'Jan 2027'!J50</f>
        <v>0</v>
      </c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29" t="n">
        <f aca="false">'Jan 2027'!O50</f>
        <v>0</v>
      </c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29" t="n">
        <f aca="false">'Jan 2027'!F51</f>
        <v>0</v>
      </c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29" t="n">
        <f aca="false">'Jan 2027'!J51</f>
        <v>0</v>
      </c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29" t="n">
        <f aca="false">'Jan 2027'!O51</f>
        <v>0</v>
      </c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29" t="n">
        <f aca="false">'Jan 2027'!F52</f>
        <v>0</v>
      </c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29" t="n">
        <f aca="false">'Jan 2027'!J52</f>
        <v>0</v>
      </c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29" t="n">
        <f aca="false">'Jan 2027'!O52</f>
        <v>0</v>
      </c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29" t="n">
        <f aca="false">'Jan 2027'!F53</f>
        <v>0</v>
      </c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29" t="n">
        <f aca="false">'Jan 2027'!J53</f>
        <v>0</v>
      </c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29" t="n">
        <f aca="false">'Jan 2027'!O53</f>
        <v>0</v>
      </c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29" t="n">
        <f aca="false">'Jan 2027'!F54</f>
        <v>0</v>
      </c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29" t="n">
        <f aca="false">'Jan 2027'!J54</f>
        <v>0</v>
      </c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29" t="n">
        <f aca="false">'Jan 2027'!O54</f>
        <v>0</v>
      </c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29" t="n">
        <f aca="false">'Jan 2027'!F55</f>
        <v>0</v>
      </c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29" t="n">
        <f aca="false">'Jan 2027'!J55</f>
        <v>0</v>
      </c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29" t="n">
        <f aca="false">'Jan 2027'!O55</f>
        <v>0</v>
      </c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29" t="n">
        <f aca="false">'Jan 2027'!F56</f>
        <v>0</v>
      </c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29" t="n">
        <f aca="false">'Jan 2027'!J56</f>
        <v>0</v>
      </c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29" t="n">
        <f aca="false">'Jan 2027'!O56</f>
        <v>0</v>
      </c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29" t="n">
        <f aca="false">'Jan 2027'!F57</f>
        <v>0</v>
      </c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29" t="n">
        <f aca="false">'Jan 2027'!J57</f>
        <v>0</v>
      </c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29" t="n">
        <f aca="false">'Jan 2027'!O57</f>
        <v>0</v>
      </c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29" t="n">
        <f aca="false">'Jan 2027'!F58</f>
        <v>0</v>
      </c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29" t="n">
        <f aca="false">'Jan 2027'!J58</f>
        <v>0</v>
      </c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29" t="n">
        <f aca="false">'Jan 2027'!O58</f>
        <v>0</v>
      </c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29" t="n">
        <f aca="false">'Jan 2027'!F59</f>
        <v>0</v>
      </c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29" t="n">
        <f aca="false">'Jan 2027'!J59</f>
        <v>0</v>
      </c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29" t="n">
        <f aca="false">'Jan 2027'!O59</f>
        <v>0</v>
      </c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29" t="n">
        <f aca="false">'Jan 2027'!F60</f>
        <v>0</v>
      </c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29" t="n">
        <f aca="false">'Jan 2027'!J60</f>
        <v>0</v>
      </c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29" t="n">
        <f aca="false">'Jan 2027'!O60</f>
        <v>0</v>
      </c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29" t="n">
        <f aca="false">'Jan 2027'!F61</f>
        <v>0</v>
      </c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29" t="n">
        <f aca="false">'Jan 2027'!J61</f>
        <v>0</v>
      </c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29" t="n">
        <f aca="false">'Jan 2027'!O61</f>
        <v>0</v>
      </c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29" t="n">
        <f aca="false">'Jan 2027'!F62</f>
        <v>0</v>
      </c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29" t="n">
        <f aca="false">'Jan 2027'!J62</f>
        <v>0</v>
      </c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29" t="n">
        <f aca="false">'Jan 2027'!O62</f>
        <v>0</v>
      </c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29" t="n">
        <f aca="false">'Jan 2027'!F63</f>
        <v>0</v>
      </c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29" t="n">
        <f aca="false">'Jan 2027'!J63</f>
        <v>0</v>
      </c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29" t="n">
        <f aca="false">'Jan 2027'!O63</f>
        <v>0</v>
      </c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29" t="n">
        <f aca="false">'Jan 2027'!F64</f>
        <v>0</v>
      </c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29" t="n">
        <f aca="false">'Jan 2027'!J64</f>
        <v>0</v>
      </c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29" t="n">
        <f aca="false">'Jan 2027'!O64</f>
        <v>0</v>
      </c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29" t="n">
        <f aca="false">'Jan 2027'!F65</f>
        <v>0</v>
      </c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29" t="n">
        <f aca="false">'Jan 2027'!J65</f>
        <v>0</v>
      </c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29" t="n">
        <f aca="false">'Jan 2027'!O65</f>
        <v>0</v>
      </c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29" t="n">
        <f aca="false">'Jan 2027'!F66</f>
        <v>0</v>
      </c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29" t="n">
        <f aca="false">'Jan 2027'!J66</f>
        <v>0</v>
      </c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29" t="n">
        <f aca="false">'Jan 2027'!O66</f>
        <v>0</v>
      </c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29" t="n">
        <f aca="false">'Jan 2027'!F67</f>
        <v>0</v>
      </c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29" t="n">
        <f aca="false">'Jan 2027'!J67</f>
        <v>0</v>
      </c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29" t="n">
        <f aca="false">'Jan 2027'!O67</f>
        <v>0</v>
      </c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29" t="n">
        <f aca="false">'Jan 2027'!F68</f>
        <v>0</v>
      </c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29" t="n">
        <f aca="false">'Jan 2027'!J68</f>
        <v>0</v>
      </c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29" t="n">
        <f aca="false">'Jan 2027'!O68</f>
        <v>0</v>
      </c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29" t="n">
        <f aca="false">'Jan 2027'!F69</f>
        <v>0</v>
      </c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29" t="n">
        <f aca="false">'Jan 2027'!J69</f>
        <v>0</v>
      </c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29" t="n">
        <f aca="false">'Jan 2027'!O69</f>
        <v>0</v>
      </c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29" t="n">
        <f aca="false">'Jan 2027'!F70</f>
        <v>0</v>
      </c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29" t="n">
        <f aca="false">'Jan 2027'!J70</f>
        <v>0</v>
      </c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29" t="n">
        <f aca="false">'Jan 2027'!O70</f>
        <v>0</v>
      </c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29" t="n">
        <f aca="false">'Jan 2027'!F71</f>
        <v>0</v>
      </c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29" t="n">
        <f aca="false">'Jan 2027'!J71</f>
        <v>0</v>
      </c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29" t="n">
        <f aca="false">'Jan 2027'!O71</f>
        <v>0</v>
      </c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29" t="n">
        <f aca="false">'Jan 2027'!F72</f>
        <v>0</v>
      </c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29" t="n">
        <f aca="false">'Jan 2027'!J72</f>
        <v>0</v>
      </c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29" t="n">
        <f aca="false">'Jan 2027'!O72</f>
        <v>0</v>
      </c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29" t="n">
        <f aca="false">'Jan 2027'!F73</f>
        <v>0</v>
      </c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29" t="n">
        <f aca="false">'Jan 2027'!J73</f>
        <v>0</v>
      </c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29" t="n">
        <f aca="false">'Jan 2027'!O73</f>
        <v>0</v>
      </c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29" t="n">
        <f aca="false">'Jan 2027'!F74</f>
        <v>0</v>
      </c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29" t="n">
        <f aca="false">'Jan 2027'!J74</f>
        <v>0</v>
      </c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29" t="n">
        <f aca="false">'Jan 2027'!O74</f>
        <v>0</v>
      </c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29" t="n">
        <f aca="false">'Jan 2027'!F75</f>
        <v>0</v>
      </c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29" t="n">
        <f aca="false">'Jan 2027'!J75</f>
        <v>0</v>
      </c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29" t="n">
        <f aca="false">'Jan 2027'!O75</f>
        <v>0</v>
      </c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29" t="n">
        <f aca="false">'Jan 2027'!F76</f>
        <v>0</v>
      </c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29" t="n">
        <f aca="false">'Jan 2027'!J76</f>
        <v>0</v>
      </c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29" t="n">
        <f aca="false">'Jan 2027'!O76</f>
        <v>0</v>
      </c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29" t="n">
        <f aca="false">'Jan 2027'!F77</f>
        <v>0</v>
      </c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29" t="n">
        <f aca="false">'Jan 2027'!J77</f>
        <v>0</v>
      </c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29" t="n">
        <f aca="false">'Jan 2027'!O77</f>
        <v>0</v>
      </c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29" t="n">
        <f aca="false">'Jan 2027'!F78</f>
        <v>0</v>
      </c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29" t="n">
        <f aca="false">'Jan 2027'!J78</f>
        <v>0</v>
      </c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29" t="n">
        <f aca="false">'Jan 2027'!O78</f>
        <v>0</v>
      </c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29" t="n">
        <f aca="false">'Jan 2027'!F79</f>
        <v>0</v>
      </c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29" t="n">
        <f aca="false">'Jan 2027'!J79</f>
        <v>0</v>
      </c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29" t="n">
        <f aca="false">'Jan 2027'!O79</f>
        <v>0</v>
      </c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29" t="n">
        <f aca="false">'Jan 2027'!F80</f>
        <v>0</v>
      </c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29" t="n">
        <f aca="false">'Jan 2027'!J80</f>
        <v>0</v>
      </c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29" t="n">
        <f aca="false">'Jan 2027'!O80</f>
        <v>0</v>
      </c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29" t="n">
        <f aca="false">'Jan 2027'!F81</f>
        <v>0</v>
      </c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29" t="n">
        <f aca="false">'Jan 2027'!J81</f>
        <v>0</v>
      </c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29" t="n">
        <f aca="false">'Jan 2027'!O81</f>
        <v>0</v>
      </c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29" t="n">
        <f aca="false">'Jan 2027'!F82</f>
        <v>0</v>
      </c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29" t="n">
        <f aca="false">'Jan 2027'!J82</f>
        <v>0</v>
      </c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29" t="n">
        <f aca="false">'Jan 2027'!O82</f>
        <v>0</v>
      </c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29" t="n">
        <f aca="false">'Jan 2027'!F83</f>
        <v>0</v>
      </c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29" t="n">
        <f aca="false">'Jan 2027'!J83</f>
        <v>0</v>
      </c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29" t="n">
        <f aca="false">'Jan 2027'!O83</f>
        <v>0</v>
      </c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29" t="n">
        <f aca="false">'Jan 2027'!F84</f>
        <v>0</v>
      </c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29" t="n">
        <f aca="false">'Jan 2027'!J84</f>
        <v>0</v>
      </c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29" t="n">
        <f aca="false">'Jan 2027'!O84</f>
        <v>0</v>
      </c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29" t="n">
        <f aca="false">'Jan 2027'!F85</f>
        <v>0</v>
      </c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29" t="n">
        <f aca="false">'Jan 2027'!J85</f>
        <v>0</v>
      </c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29" t="n">
        <f aca="false">'Jan 2027'!O85</f>
        <v>0</v>
      </c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29" t="n">
        <f aca="false">'Jan 2027'!F86</f>
        <v>0</v>
      </c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29" t="n">
        <f aca="false">'Jan 2027'!J86</f>
        <v>0</v>
      </c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29" t="n">
        <f aca="false">'Jan 2027'!O86</f>
        <v>0</v>
      </c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29" t="n">
        <f aca="false">'Jan 2027'!F87</f>
        <v>0</v>
      </c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29" t="n">
        <f aca="false">'Jan 2027'!J87</f>
        <v>0</v>
      </c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29" t="n">
        <f aca="false">'Jan 2027'!O87</f>
        <v>0</v>
      </c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29" t="n">
        <f aca="false">'Jan 2027'!F88</f>
        <v>0</v>
      </c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29" t="n">
        <f aca="false">'Jan 2027'!J88</f>
        <v>0</v>
      </c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29" t="n">
        <f aca="false">'Jan 2027'!O88</f>
        <v>0</v>
      </c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29" t="n">
        <f aca="false">'Jan 2027'!F89</f>
        <v>0</v>
      </c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29" t="n">
        <f aca="false">'Jan 2027'!J89</f>
        <v>0</v>
      </c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29" t="n">
        <f aca="false">'Jan 2027'!O89</f>
        <v>0</v>
      </c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29" t="n">
        <f aca="false">'Jan 2027'!F90</f>
        <v>0</v>
      </c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29" t="n">
        <f aca="false">'Jan 2027'!J90</f>
        <v>0</v>
      </c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29" t="n">
        <f aca="false">'Jan 2027'!O90</f>
        <v>0</v>
      </c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29" t="n">
        <f aca="false">'Jan 2027'!F91</f>
        <v>0</v>
      </c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29" t="n">
        <f aca="false">'Jan 2027'!J91</f>
        <v>0</v>
      </c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29" t="n">
        <f aca="false">'Jan 2027'!O91</f>
        <v>0</v>
      </c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29" t="n">
        <f aca="false">'Jan 2027'!F92</f>
        <v>0</v>
      </c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29" t="n">
        <f aca="false">'Jan 2027'!J92</f>
        <v>0</v>
      </c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29" t="n">
        <f aca="false">'Jan 2027'!O92</f>
        <v>0</v>
      </c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29" t="n">
        <f aca="false">'Jan 2027'!F93</f>
        <v>0</v>
      </c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29" t="n">
        <f aca="false">'Jan 2027'!J93</f>
        <v>0</v>
      </c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29" t="n">
        <f aca="false">'Jan 2027'!O93</f>
        <v>0</v>
      </c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29" t="n">
        <f aca="false">'Jan 2027'!F94</f>
        <v>0</v>
      </c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29" t="n">
        <f aca="false">'Jan 2027'!J94</f>
        <v>0</v>
      </c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29" t="n">
        <f aca="false">'Jan 2027'!O94</f>
        <v>0</v>
      </c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29" t="n">
        <f aca="false">'Jan 2027'!F95</f>
        <v>0</v>
      </c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29" t="n">
        <f aca="false">'Jan 2027'!J95</f>
        <v>0</v>
      </c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29" t="n">
        <f aca="false">'Jan 2027'!O95</f>
        <v>0</v>
      </c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29" t="n">
        <f aca="false">'Jan 2027'!F96</f>
        <v>0</v>
      </c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29" t="n">
        <f aca="false">'Jan 2027'!J96</f>
        <v>0</v>
      </c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29" t="n">
        <f aca="false">'Jan 2027'!O96</f>
        <v>0</v>
      </c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29" t="n">
        <f aca="false">'Jan 2027'!F97</f>
        <v>0</v>
      </c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29" t="n">
        <f aca="false">'Jan 2027'!J97</f>
        <v>0</v>
      </c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29" t="n">
        <f aca="false">'Jan 2027'!O97</f>
        <v>0</v>
      </c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29" t="n">
        <f aca="false">'Jan 2027'!F98</f>
        <v>0</v>
      </c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29" t="n">
        <f aca="false">'Jan 2027'!J98</f>
        <v>0</v>
      </c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29" t="n">
        <f aca="false">'Jan 2027'!O98</f>
        <v>0</v>
      </c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29" t="n">
        <f aca="false">'Jan 2027'!F99</f>
        <v>0</v>
      </c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29" t="n">
        <f aca="false">'Jan 2027'!J99</f>
        <v>0</v>
      </c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29" t="n">
        <f aca="false">'Jan 2027'!O99</f>
        <v>0</v>
      </c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29" t="n">
        <f aca="false">'Jan 2027'!F100</f>
        <v>0</v>
      </c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29" t="n">
        <f aca="false">'Jan 2027'!J100</f>
        <v>0</v>
      </c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29" t="n">
        <f aca="false">'Jan 2027'!O100</f>
        <v>0</v>
      </c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29" t="n">
        <f aca="false">'Jan 2027'!F101</f>
        <v>0</v>
      </c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29" t="n">
        <f aca="false">'Jan 2027'!J101</f>
        <v>0</v>
      </c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29" t="n">
        <f aca="false">'Jan 2027'!O101</f>
        <v>0</v>
      </c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29" t="n">
        <f aca="false">'Jan 2027'!F102</f>
        <v>0</v>
      </c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29" t="n">
        <f aca="false">'Jan 2027'!J102</f>
        <v>0</v>
      </c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29" t="n">
        <f aca="false">'Jan 2027'!O102</f>
        <v>0</v>
      </c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29" t="n">
        <f aca="false">'Jan 2027'!F103</f>
        <v>0</v>
      </c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29" t="n">
        <f aca="false">'Jan 2027'!J103</f>
        <v>0</v>
      </c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29" t="n">
        <f aca="false">'Jan 2027'!O103</f>
        <v>0</v>
      </c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29" t="n">
        <f aca="false">'Jan 2027'!F104</f>
        <v>0</v>
      </c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29" t="n">
        <f aca="false">'Jan 2027'!J104</f>
        <v>0</v>
      </c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29" t="n">
        <f aca="false">'Jan 2027'!O104</f>
        <v>0</v>
      </c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29" t="n">
        <f aca="false">'Jan 2027'!F105</f>
        <v>0</v>
      </c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29" t="n">
        <f aca="false">'Jan 2027'!J105</f>
        <v>0</v>
      </c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29" t="n">
        <f aca="false">'Jan 2027'!O105</f>
        <v>0</v>
      </c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29" t="n">
        <f aca="false">'Jan 2027'!F106</f>
        <v>0</v>
      </c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29" t="n">
        <f aca="false">'Jan 2027'!J106</f>
        <v>0</v>
      </c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29" t="n">
        <f aca="false">'Jan 2027'!O106</f>
        <v>0</v>
      </c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29" t="n">
        <f aca="false">'Jan 2027'!F107</f>
        <v>0</v>
      </c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29" t="n">
        <f aca="false">'Jan 2027'!J107</f>
        <v>0</v>
      </c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29" t="n">
        <f aca="false">'Jan 2027'!O107</f>
        <v>0</v>
      </c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29" t="n">
        <f aca="false">'Jan 2027'!F108</f>
        <v>0</v>
      </c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29" t="n">
        <f aca="false">'Jan 2027'!J108</f>
        <v>0</v>
      </c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29" t="n">
        <f aca="false">'Jan 2027'!O108</f>
        <v>0</v>
      </c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29" t="n">
        <f aca="false">'Jan 2027'!F109</f>
        <v>0</v>
      </c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29" t="n">
        <f aca="false">'Jan 2027'!J109</f>
        <v>0</v>
      </c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29" t="n">
        <f aca="false">'Jan 2027'!O109</f>
        <v>0</v>
      </c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29" t="n">
        <f aca="false">'Jan 2027'!F110</f>
        <v>0</v>
      </c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29" t="n">
        <f aca="false">'Jan 2027'!J110</f>
        <v>0</v>
      </c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29" t="n">
        <f aca="false">'Jan 2027'!O110</f>
        <v>0</v>
      </c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29" t="n">
        <f aca="false">'Jan 2027'!F111</f>
        <v>0</v>
      </c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29" t="n">
        <f aca="false">'Jan 2027'!J111</f>
        <v>0</v>
      </c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29" t="n">
        <f aca="false">'Jan 2027'!O111</f>
        <v>0</v>
      </c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29" t="n">
        <f aca="false">'Jan 2027'!F112</f>
        <v>0</v>
      </c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29" t="n">
        <f aca="false">'Jan 2027'!J112</f>
        <v>0</v>
      </c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29" t="n">
        <f aca="false">'Jan 2027'!O112</f>
        <v>0</v>
      </c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29" t="n">
        <f aca="false">'Jan 2027'!F113</f>
        <v>0</v>
      </c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29" t="n">
        <f aca="false">'Jan 2027'!J113</f>
        <v>0</v>
      </c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29" t="n">
        <f aca="false">'Jan 2027'!O113</f>
        <v>0</v>
      </c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6000</v>
      </c>
      <c r="D114" s="32" t="n">
        <f aca="false">SUM(D14:D113)</f>
        <v>2000</v>
      </c>
      <c r="E114" s="32" t="n">
        <f aca="false">SUM(E14:E113)</f>
        <v>0</v>
      </c>
      <c r="F114" s="32" t="n">
        <f aca="false">SUM(F14:F113)</f>
        <v>8000</v>
      </c>
      <c r="G114" s="32" t="n">
        <f aca="false">SUM(G14:G113)</f>
        <v>6000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7500</v>
      </c>
      <c r="K114" s="32" t="n">
        <f aca="false">SUM(K14:K113)</f>
        <v>200</v>
      </c>
      <c r="L114" s="32" t="n">
        <f aca="false">SUM(L14:L113)</f>
        <v>0</v>
      </c>
      <c r="M114" s="32" t="n">
        <f aca="false">SUM(M14:M113)</f>
        <v>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15700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15700</v>
      </c>
      <c r="D11" s="21"/>
      <c r="E11" s="3" t="s">
        <v>44</v>
      </c>
      <c r="F11" s="3"/>
      <c r="G11" s="21" t="n">
        <f aca="false">D114+H114+L114+M114</f>
        <v>3500</v>
      </c>
      <c r="H11" s="21"/>
      <c r="I11" s="3" t="s">
        <v>45</v>
      </c>
      <c r="J11" s="3"/>
      <c r="K11" s="21" t="n">
        <f aca="false">E114+I114+N114</f>
        <v>0</v>
      </c>
      <c r="L11" s="21"/>
      <c r="M11" s="3" t="s">
        <v>46</v>
      </c>
      <c r="N11" s="3"/>
      <c r="O11" s="21" t="n">
        <f aca="false">P114</f>
        <v>19200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29" t="n">
        <f aca="false">'Feb 2027'!F14</f>
        <v>8000</v>
      </c>
      <c r="D14" s="29" t="n">
        <f aca="false">IF(Students!D5="Yes",N(Students!E5),0)</f>
        <v>2000</v>
      </c>
      <c r="E14" s="13"/>
      <c r="F14" s="30" t="n">
        <f aca="false">N(C14)+N(D14)-N(E14)</f>
        <v>10000</v>
      </c>
      <c r="G14" s="29" t="n">
        <f aca="false">'Feb 2027'!J14</f>
        <v>7500</v>
      </c>
      <c r="H14" s="29" t="n">
        <f aca="false">IF(Students!F5="Yes",N(Students!G5),0)</f>
        <v>1500</v>
      </c>
      <c r="I14" s="13"/>
      <c r="J14" s="30" t="n">
        <f aca="false">N(G14)+N(H14)-N(I14)</f>
        <v>9000</v>
      </c>
      <c r="K14" s="29" t="n">
        <f aca="false">'Feb 2027'!O14</f>
        <v>200</v>
      </c>
      <c r="L14" s="13"/>
      <c r="M14" s="13"/>
      <c r="N14" s="13"/>
      <c r="O14" s="30" t="n">
        <f aca="false">N(K14)+N(L14)+N(M14)-N(N14)</f>
        <v>200</v>
      </c>
      <c r="P14" s="30" t="n">
        <f aca="false">F14+J14+O14</f>
        <v>19200</v>
      </c>
      <c r="Q14" s="10" t="str">
        <f aca="false">IF(B14="","",IF(P14&lt;=0,"Clear",IF(E14+I14+N14&gt;0,"Partial","Due")))</f>
        <v>Due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29" t="n">
        <f aca="false">'Feb 2027'!F15</f>
        <v>0</v>
      </c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29" t="n">
        <f aca="false">'Feb 2027'!J15</f>
        <v>0</v>
      </c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29" t="n">
        <f aca="false">'Feb 2027'!O15</f>
        <v>0</v>
      </c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29" t="n">
        <f aca="false">'Feb 2027'!F16</f>
        <v>0</v>
      </c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29" t="n">
        <f aca="false">'Feb 2027'!J16</f>
        <v>0</v>
      </c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29" t="n">
        <f aca="false">'Feb 2027'!O16</f>
        <v>0</v>
      </c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29" t="n">
        <f aca="false">'Feb 2027'!F17</f>
        <v>0</v>
      </c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29" t="n">
        <f aca="false">'Feb 2027'!J17</f>
        <v>0</v>
      </c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29" t="n">
        <f aca="false">'Feb 2027'!O17</f>
        <v>0</v>
      </c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29" t="n">
        <f aca="false">'Feb 2027'!F18</f>
        <v>0</v>
      </c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29" t="n">
        <f aca="false">'Feb 2027'!J18</f>
        <v>0</v>
      </c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29" t="n">
        <f aca="false">'Feb 2027'!O18</f>
        <v>0</v>
      </c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29" t="n">
        <f aca="false">'Feb 2027'!F19</f>
        <v>0</v>
      </c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29" t="n">
        <f aca="false">'Feb 2027'!J19</f>
        <v>0</v>
      </c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29" t="n">
        <f aca="false">'Feb 2027'!O19</f>
        <v>0</v>
      </c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29" t="n">
        <f aca="false">'Feb 2027'!F20</f>
        <v>0</v>
      </c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29" t="n">
        <f aca="false">'Feb 2027'!J20</f>
        <v>0</v>
      </c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29" t="n">
        <f aca="false">'Feb 2027'!O20</f>
        <v>0</v>
      </c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29" t="n">
        <f aca="false">'Feb 2027'!F21</f>
        <v>0</v>
      </c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29" t="n">
        <f aca="false">'Feb 2027'!J21</f>
        <v>0</v>
      </c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29" t="n">
        <f aca="false">'Feb 2027'!O21</f>
        <v>0</v>
      </c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29" t="n">
        <f aca="false">'Feb 2027'!F22</f>
        <v>0</v>
      </c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29" t="n">
        <f aca="false">'Feb 2027'!J22</f>
        <v>0</v>
      </c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29" t="n">
        <f aca="false">'Feb 2027'!O22</f>
        <v>0</v>
      </c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29" t="n">
        <f aca="false">'Feb 2027'!F23</f>
        <v>0</v>
      </c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29" t="n">
        <f aca="false">'Feb 2027'!J23</f>
        <v>0</v>
      </c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29" t="n">
        <f aca="false">'Feb 2027'!O23</f>
        <v>0</v>
      </c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29" t="n">
        <f aca="false">'Feb 2027'!F24</f>
        <v>0</v>
      </c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29" t="n">
        <f aca="false">'Feb 2027'!J24</f>
        <v>0</v>
      </c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29" t="n">
        <f aca="false">'Feb 2027'!O24</f>
        <v>0</v>
      </c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29" t="n">
        <f aca="false">'Feb 2027'!F25</f>
        <v>0</v>
      </c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29" t="n">
        <f aca="false">'Feb 2027'!J25</f>
        <v>0</v>
      </c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29" t="n">
        <f aca="false">'Feb 2027'!O25</f>
        <v>0</v>
      </c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29" t="n">
        <f aca="false">'Feb 2027'!F26</f>
        <v>0</v>
      </c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29" t="n">
        <f aca="false">'Feb 2027'!J26</f>
        <v>0</v>
      </c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29" t="n">
        <f aca="false">'Feb 2027'!O26</f>
        <v>0</v>
      </c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29" t="n">
        <f aca="false">'Feb 2027'!F27</f>
        <v>0</v>
      </c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29" t="n">
        <f aca="false">'Feb 2027'!J27</f>
        <v>0</v>
      </c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29" t="n">
        <f aca="false">'Feb 2027'!O27</f>
        <v>0</v>
      </c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29" t="n">
        <f aca="false">'Feb 2027'!F28</f>
        <v>0</v>
      </c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29" t="n">
        <f aca="false">'Feb 2027'!J28</f>
        <v>0</v>
      </c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29" t="n">
        <f aca="false">'Feb 2027'!O28</f>
        <v>0</v>
      </c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29" t="n">
        <f aca="false">'Feb 2027'!F29</f>
        <v>0</v>
      </c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29" t="n">
        <f aca="false">'Feb 2027'!J29</f>
        <v>0</v>
      </c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29" t="n">
        <f aca="false">'Feb 2027'!O29</f>
        <v>0</v>
      </c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29" t="n">
        <f aca="false">'Feb 2027'!F30</f>
        <v>0</v>
      </c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29" t="n">
        <f aca="false">'Feb 2027'!J30</f>
        <v>0</v>
      </c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29" t="n">
        <f aca="false">'Feb 2027'!O30</f>
        <v>0</v>
      </c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29" t="n">
        <f aca="false">'Feb 2027'!F31</f>
        <v>0</v>
      </c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29" t="n">
        <f aca="false">'Feb 2027'!J31</f>
        <v>0</v>
      </c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29" t="n">
        <f aca="false">'Feb 2027'!O31</f>
        <v>0</v>
      </c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29" t="n">
        <f aca="false">'Feb 2027'!F32</f>
        <v>0</v>
      </c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29" t="n">
        <f aca="false">'Feb 2027'!J32</f>
        <v>0</v>
      </c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29" t="n">
        <f aca="false">'Feb 2027'!O32</f>
        <v>0</v>
      </c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29" t="n">
        <f aca="false">'Feb 2027'!F33</f>
        <v>0</v>
      </c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29" t="n">
        <f aca="false">'Feb 2027'!J33</f>
        <v>0</v>
      </c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29" t="n">
        <f aca="false">'Feb 2027'!O33</f>
        <v>0</v>
      </c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29" t="n">
        <f aca="false">'Feb 2027'!F34</f>
        <v>0</v>
      </c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29" t="n">
        <f aca="false">'Feb 2027'!J34</f>
        <v>0</v>
      </c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29" t="n">
        <f aca="false">'Feb 2027'!O34</f>
        <v>0</v>
      </c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29" t="n">
        <f aca="false">'Feb 2027'!F35</f>
        <v>0</v>
      </c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29" t="n">
        <f aca="false">'Feb 2027'!J35</f>
        <v>0</v>
      </c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29" t="n">
        <f aca="false">'Feb 2027'!O35</f>
        <v>0</v>
      </c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29" t="n">
        <f aca="false">'Feb 2027'!F36</f>
        <v>0</v>
      </c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29" t="n">
        <f aca="false">'Feb 2027'!J36</f>
        <v>0</v>
      </c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29" t="n">
        <f aca="false">'Feb 2027'!O36</f>
        <v>0</v>
      </c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29" t="n">
        <f aca="false">'Feb 2027'!F37</f>
        <v>0</v>
      </c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29" t="n">
        <f aca="false">'Feb 2027'!J37</f>
        <v>0</v>
      </c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29" t="n">
        <f aca="false">'Feb 2027'!O37</f>
        <v>0</v>
      </c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29" t="n">
        <f aca="false">'Feb 2027'!F38</f>
        <v>0</v>
      </c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29" t="n">
        <f aca="false">'Feb 2027'!J38</f>
        <v>0</v>
      </c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29" t="n">
        <f aca="false">'Feb 2027'!O38</f>
        <v>0</v>
      </c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29" t="n">
        <f aca="false">'Feb 2027'!F39</f>
        <v>0</v>
      </c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29" t="n">
        <f aca="false">'Feb 2027'!J39</f>
        <v>0</v>
      </c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29" t="n">
        <f aca="false">'Feb 2027'!O39</f>
        <v>0</v>
      </c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29" t="n">
        <f aca="false">'Feb 2027'!F40</f>
        <v>0</v>
      </c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29" t="n">
        <f aca="false">'Feb 2027'!J40</f>
        <v>0</v>
      </c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29" t="n">
        <f aca="false">'Feb 2027'!O40</f>
        <v>0</v>
      </c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29" t="n">
        <f aca="false">'Feb 2027'!F41</f>
        <v>0</v>
      </c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29" t="n">
        <f aca="false">'Feb 2027'!J41</f>
        <v>0</v>
      </c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29" t="n">
        <f aca="false">'Feb 2027'!O41</f>
        <v>0</v>
      </c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29" t="n">
        <f aca="false">'Feb 2027'!F42</f>
        <v>0</v>
      </c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29" t="n">
        <f aca="false">'Feb 2027'!J42</f>
        <v>0</v>
      </c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29" t="n">
        <f aca="false">'Feb 2027'!O42</f>
        <v>0</v>
      </c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29" t="n">
        <f aca="false">'Feb 2027'!F43</f>
        <v>0</v>
      </c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29" t="n">
        <f aca="false">'Feb 2027'!J43</f>
        <v>0</v>
      </c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29" t="n">
        <f aca="false">'Feb 2027'!O43</f>
        <v>0</v>
      </c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29" t="n">
        <f aca="false">'Feb 2027'!F44</f>
        <v>0</v>
      </c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29" t="n">
        <f aca="false">'Feb 2027'!J44</f>
        <v>0</v>
      </c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29" t="n">
        <f aca="false">'Feb 2027'!O44</f>
        <v>0</v>
      </c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29" t="n">
        <f aca="false">'Feb 2027'!F45</f>
        <v>0</v>
      </c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29" t="n">
        <f aca="false">'Feb 2027'!J45</f>
        <v>0</v>
      </c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29" t="n">
        <f aca="false">'Feb 2027'!O45</f>
        <v>0</v>
      </c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29" t="n">
        <f aca="false">'Feb 2027'!F46</f>
        <v>0</v>
      </c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29" t="n">
        <f aca="false">'Feb 2027'!J46</f>
        <v>0</v>
      </c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29" t="n">
        <f aca="false">'Feb 2027'!O46</f>
        <v>0</v>
      </c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29" t="n">
        <f aca="false">'Feb 2027'!F47</f>
        <v>0</v>
      </c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29" t="n">
        <f aca="false">'Feb 2027'!J47</f>
        <v>0</v>
      </c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29" t="n">
        <f aca="false">'Feb 2027'!O47</f>
        <v>0</v>
      </c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29" t="n">
        <f aca="false">'Feb 2027'!F48</f>
        <v>0</v>
      </c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29" t="n">
        <f aca="false">'Feb 2027'!J48</f>
        <v>0</v>
      </c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29" t="n">
        <f aca="false">'Feb 2027'!O48</f>
        <v>0</v>
      </c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29" t="n">
        <f aca="false">'Feb 2027'!F49</f>
        <v>0</v>
      </c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29" t="n">
        <f aca="false">'Feb 2027'!J49</f>
        <v>0</v>
      </c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29" t="n">
        <f aca="false">'Feb 2027'!O49</f>
        <v>0</v>
      </c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29" t="n">
        <f aca="false">'Feb 2027'!F50</f>
        <v>0</v>
      </c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29" t="n">
        <f aca="false">'Feb 2027'!J50</f>
        <v>0</v>
      </c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29" t="n">
        <f aca="false">'Feb 2027'!O50</f>
        <v>0</v>
      </c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29" t="n">
        <f aca="false">'Feb 2027'!F51</f>
        <v>0</v>
      </c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29" t="n">
        <f aca="false">'Feb 2027'!J51</f>
        <v>0</v>
      </c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29" t="n">
        <f aca="false">'Feb 2027'!O51</f>
        <v>0</v>
      </c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29" t="n">
        <f aca="false">'Feb 2027'!F52</f>
        <v>0</v>
      </c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29" t="n">
        <f aca="false">'Feb 2027'!J52</f>
        <v>0</v>
      </c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29" t="n">
        <f aca="false">'Feb 2027'!O52</f>
        <v>0</v>
      </c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29" t="n">
        <f aca="false">'Feb 2027'!F53</f>
        <v>0</v>
      </c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29" t="n">
        <f aca="false">'Feb 2027'!J53</f>
        <v>0</v>
      </c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29" t="n">
        <f aca="false">'Feb 2027'!O53</f>
        <v>0</v>
      </c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29" t="n">
        <f aca="false">'Feb 2027'!F54</f>
        <v>0</v>
      </c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29" t="n">
        <f aca="false">'Feb 2027'!J54</f>
        <v>0</v>
      </c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29" t="n">
        <f aca="false">'Feb 2027'!O54</f>
        <v>0</v>
      </c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29" t="n">
        <f aca="false">'Feb 2027'!F55</f>
        <v>0</v>
      </c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29" t="n">
        <f aca="false">'Feb 2027'!J55</f>
        <v>0</v>
      </c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29" t="n">
        <f aca="false">'Feb 2027'!O55</f>
        <v>0</v>
      </c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29" t="n">
        <f aca="false">'Feb 2027'!F56</f>
        <v>0</v>
      </c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29" t="n">
        <f aca="false">'Feb 2027'!J56</f>
        <v>0</v>
      </c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29" t="n">
        <f aca="false">'Feb 2027'!O56</f>
        <v>0</v>
      </c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29" t="n">
        <f aca="false">'Feb 2027'!F57</f>
        <v>0</v>
      </c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29" t="n">
        <f aca="false">'Feb 2027'!J57</f>
        <v>0</v>
      </c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29" t="n">
        <f aca="false">'Feb 2027'!O57</f>
        <v>0</v>
      </c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29" t="n">
        <f aca="false">'Feb 2027'!F58</f>
        <v>0</v>
      </c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29" t="n">
        <f aca="false">'Feb 2027'!J58</f>
        <v>0</v>
      </c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29" t="n">
        <f aca="false">'Feb 2027'!O58</f>
        <v>0</v>
      </c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29" t="n">
        <f aca="false">'Feb 2027'!F59</f>
        <v>0</v>
      </c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29" t="n">
        <f aca="false">'Feb 2027'!J59</f>
        <v>0</v>
      </c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29" t="n">
        <f aca="false">'Feb 2027'!O59</f>
        <v>0</v>
      </c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29" t="n">
        <f aca="false">'Feb 2027'!F60</f>
        <v>0</v>
      </c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29" t="n">
        <f aca="false">'Feb 2027'!J60</f>
        <v>0</v>
      </c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29" t="n">
        <f aca="false">'Feb 2027'!O60</f>
        <v>0</v>
      </c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29" t="n">
        <f aca="false">'Feb 2027'!F61</f>
        <v>0</v>
      </c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29" t="n">
        <f aca="false">'Feb 2027'!J61</f>
        <v>0</v>
      </c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29" t="n">
        <f aca="false">'Feb 2027'!O61</f>
        <v>0</v>
      </c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29" t="n">
        <f aca="false">'Feb 2027'!F62</f>
        <v>0</v>
      </c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29" t="n">
        <f aca="false">'Feb 2027'!J62</f>
        <v>0</v>
      </c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29" t="n">
        <f aca="false">'Feb 2027'!O62</f>
        <v>0</v>
      </c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29" t="n">
        <f aca="false">'Feb 2027'!F63</f>
        <v>0</v>
      </c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29" t="n">
        <f aca="false">'Feb 2027'!J63</f>
        <v>0</v>
      </c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29" t="n">
        <f aca="false">'Feb 2027'!O63</f>
        <v>0</v>
      </c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29" t="n">
        <f aca="false">'Feb 2027'!F64</f>
        <v>0</v>
      </c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29" t="n">
        <f aca="false">'Feb 2027'!J64</f>
        <v>0</v>
      </c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29" t="n">
        <f aca="false">'Feb 2027'!O64</f>
        <v>0</v>
      </c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29" t="n">
        <f aca="false">'Feb 2027'!F65</f>
        <v>0</v>
      </c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29" t="n">
        <f aca="false">'Feb 2027'!J65</f>
        <v>0</v>
      </c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29" t="n">
        <f aca="false">'Feb 2027'!O65</f>
        <v>0</v>
      </c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29" t="n">
        <f aca="false">'Feb 2027'!F66</f>
        <v>0</v>
      </c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29" t="n">
        <f aca="false">'Feb 2027'!J66</f>
        <v>0</v>
      </c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29" t="n">
        <f aca="false">'Feb 2027'!O66</f>
        <v>0</v>
      </c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29" t="n">
        <f aca="false">'Feb 2027'!F67</f>
        <v>0</v>
      </c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29" t="n">
        <f aca="false">'Feb 2027'!J67</f>
        <v>0</v>
      </c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29" t="n">
        <f aca="false">'Feb 2027'!O67</f>
        <v>0</v>
      </c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29" t="n">
        <f aca="false">'Feb 2027'!F68</f>
        <v>0</v>
      </c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29" t="n">
        <f aca="false">'Feb 2027'!J68</f>
        <v>0</v>
      </c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29" t="n">
        <f aca="false">'Feb 2027'!O68</f>
        <v>0</v>
      </c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29" t="n">
        <f aca="false">'Feb 2027'!F69</f>
        <v>0</v>
      </c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29" t="n">
        <f aca="false">'Feb 2027'!J69</f>
        <v>0</v>
      </c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29" t="n">
        <f aca="false">'Feb 2027'!O69</f>
        <v>0</v>
      </c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29" t="n">
        <f aca="false">'Feb 2027'!F70</f>
        <v>0</v>
      </c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29" t="n">
        <f aca="false">'Feb 2027'!J70</f>
        <v>0</v>
      </c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29" t="n">
        <f aca="false">'Feb 2027'!O70</f>
        <v>0</v>
      </c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29" t="n">
        <f aca="false">'Feb 2027'!F71</f>
        <v>0</v>
      </c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29" t="n">
        <f aca="false">'Feb 2027'!J71</f>
        <v>0</v>
      </c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29" t="n">
        <f aca="false">'Feb 2027'!O71</f>
        <v>0</v>
      </c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29" t="n">
        <f aca="false">'Feb 2027'!F72</f>
        <v>0</v>
      </c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29" t="n">
        <f aca="false">'Feb 2027'!J72</f>
        <v>0</v>
      </c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29" t="n">
        <f aca="false">'Feb 2027'!O72</f>
        <v>0</v>
      </c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29" t="n">
        <f aca="false">'Feb 2027'!F73</f>
        <v>0</v>
      </c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29" t="n">
        <f aca="false">'Feb 2027'!J73</f>
        <v>0</v>
      </c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29" t="n">
        <f aca="false">'Feb 2027'!O73</f>
        <v>0</v>
      </c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29" t="n">
        <f aca="false">'Feb 2027'!F74</f>
        <v>0</v>
      </c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29" t="n">
        <f aca="false">'Feb 2027'!J74</f>
        <v>0</v>
      </c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29" t="n">
        <f aca="false">'Feb 2027'!O74</f>
        <v>0</v>
      </c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29" t="n">
        <f aca="false">'Feb 2027'!F75</f>
        <v>0</v>
      </c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29" t="n">
        <f aca="false">'Feb 2027'!J75</f>
        <v>0</v>
      </c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29" t="n">
        <f aca="false">'Feb 2027'!O75</f>
        <v>0</v>
      </c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29" t="n">
        <f aca="false">'Feb 2027'!F76</f>
        <v>0</v>
      </c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29" t="n">
        <f aca="false">'Feb 2027'!J76</f>
        <v>0</v>
      </c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29" t="n">
        <f aca="false">'Feb 2027'!O76</f>
        <v>0</v>
      </c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29" t="n">
        <f aca="false">'Feb 2027'!F77</f>
        <v>0</v>
      </c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29" t="n">
        <f aca="false">'Feb 2027'!J77</f>
        <v>0</v>
      </c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29" t="n">
        <f aca="false">'Feb 2027'!O77</f>
        <v>0</v>
      </c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29" t="n">
        <f aca="false">'Feb 2027'!F78</f>
        <v>0</v>
      </c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29" t="n">
        <f aca="false">'Feb 2027'!J78</f>
        <v>0</v>
      </c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29" t="n">
        <f aca="false">'Feb 2027'!O78</f>
        <v>0</v>
      </c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29" t="n">
        <f aca="false">'Feb 2027'!F79</f>
        <v>0</v>
      </c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29" t="n">
        <f aca="false">'Feb 2027'!J79</f>
        <v>0</v>
      </c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29" t="n">
        <f aca="false">'Feb 2027'!O79</f>
        <v>0</v>
      </c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29" t="n">
        <f aca="false">'Feb 2027'!F80</f>
        <v>0</v>
      </c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29" t="n">
        <f aca="false">'Feb 2027'!J80</f>
        <v>0</v>
      </c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29" t="n">
        <f aca="false">'Feb 2027'!O80</f>
        <v>0</v>
      </c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29" t="n">
        <f aca="false">'Feb 2027'!F81</f>
        <v>0</v>
      </c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29" t="n">
        <f aca="false">'Feb 2027'!J81</f>
        <v>0</v>
      </c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29" t="n">
        <f aca="false">'Feb 2027'!O81</f>
        <v>0</v>
      </c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29" t="n">
        <f aca="false">'Feb 2027'!F82</f>
        <v>0</v>
      </c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29" t="n">
        <f aca="false">'Feb 2027'!J82</f>
        <v>0</v>
      </c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29" t="n">
        <f aca="false">'Feb 2027'!O82</f>
        <v>0</v>
      </c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29" t="n">
        <f aca="false">'Feb 2027'!F83</f>
        <v>0</v>
      </c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29" t="n">
        <f aca="false">'Feb 2027'!J83</f>
        <v>0</v>
      </c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29" t="n">
        <f aca="false">'Feb 2027'!O83</f>
        <v>0</v>
      </c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29" t="n">
        <f aca="false">'Feb 2027'!F84</f>
        <v>0</v>
      </c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29" t="n">
        <f aca="false">'Feb 2027'!J84</f>
        <v>0</v>
      </c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29" t="n">
        <f aca="false">'Feb 2027'!O84</f>
        <v>0</v>
      </c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29" t="n">
        <f aca="false">'Feb 2027'!F85</f>
        <v>0</v>
      </c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29" t="n">
        <f aca="false">'Feb 2027'!J85</f>
        <v>0</v>
      </c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29" t="n">
        <f aca="false">'Feb 2027'!O85</f>
        <v>0</v>
      </c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29" t="n">
        <f aca="false">'Feb 2027'!F86</f>
        <v>0</v>
      </c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29" t="n">
        <f aca="false">'Feb 2027'!J86</f>
        <v>0</v>
      </c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29" t="n">
        <f aca="false">'Feb 2027'!O86</f>
        <v>0</v>
      </c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29" t="n">
        <f aca="false">'Feb 2027'!F87</f>
        <v>0</v>
      </c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29" t="n">
        <f aca="false">'Feb 2027'!J87</f>
        <v>0</v>
      </c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29" t="n">
        <f aca="false">'Feb 2027'!O87</f>
        <v>0</v>
      </c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29" t="n">
        <f aca="false">'Feb 2027'!F88</f>
        <v>0</v>
      </c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29" t="n">
        <f aca="false">'Feb 2027'!J88</f>
        <v>0</v>
      </c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29" t="n">
        <f aca="false">'Feb 2027'!O88</f>
        <v>0</v>
      </c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29" t="n">
        <f aca="false">'Feb 2027'!F89</f>
        <v>0</v>
      </c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29" t="n">
        <f aca="false">'Feb 2027'!J89</f>
        <v>0</v>
      </c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29" t="n">
        <f aca="false">'Feb 2027'!O89</f>
        <v>0</v>
      </c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29" t="n">
        <f aca="false">'Feb 2027'!F90</f>
        <v>0</v>
      </c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29" t="n">
        <f aca="false">'Feb 2027'!J90</f>
        <v>0</v>
      </c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29" t="n">
        <f aca="false">'Feb 2027'!O90</f>
        <v>0</v>
      </c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29" t="n">
        <f aca="false">'Feb 2027'!F91</f>
        <v>0</v>
      </c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29" t="n">
        <f aca="false">'Feb 2027'!J91</f>
        <v>0</v>
      </c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29" t="n">
        <f aca="false">'Feb 2027'!O91</f>
        <v>0</v>
      </c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29" t="n">
        <f aca="false">'Feb 2027'!F92</f>
        <v>0</v>
      </c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29" t="n">
        <f aca="false">'Feb 2027'!J92</f>
        <v>0</v>
      </c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29" t="n">
        <f aca="false">'Feb 2027'!O92</f>
        <v>0</v>
      </c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29" t="n">
        <f aca="false">'Feb 2027'!F93</f>
        <v>0</v>
      </c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29" t="n">
        <f aca="false">'Feb 2027'!J93</f>
        <v>0</v>
      </c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29" t="n">
        <f aca="false">'Feb 2027'!O93</f>
        <v>0</v>
      </c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29" t="n">
        <f aca="false">'Feb 2027'!F94</f>
        <v>0</v>
      </c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29" t="n">
        <f aca="false">'Feb 2027'!J94</f>
        <v>0</v>
      </c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29" t="n">
        <f aca="false">'Feb 2027'!O94</f>
        <v>0</v>
      </c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29" t="n">
        <f aca="false">'Feb 2027'!F95</f>
        <v>0</v>
      </c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29" t="n">
        <f aca="false">'Feb 2027'!J95</f>
        <v>0</v>
      </c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29" t="n">
        <f aca="false">'Feb 2027'!O95</f>
        <v>0</v>
      </c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29" t="n">
        <f aca="false">'Feb 2027'!F96</f>
        <v>0</v>
      </c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29" t="n">
        <f aca="false">'Feb 2027'!J96</f>
        <v>0</v>
      </c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29" t="n">
        <f aca="false">'Feb 2027'!O96</f>
        <v>0</v>
      </c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29" t="n">
        <f aca="false">'Feb 2027'!F97</f>
        <v>0</v>
      </c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29" t="n">
        <f aca="false">'Feb 2027'!J97</f>
        <v>0</v>
      </c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29" t="n">
        <f aca="false">'Feb 2027'!O97</f>
        <v>0</v>
      </c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29" t="n">
        <f aca="false">'Feb 2027'!F98</f>
        <v>0</v>
      </c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29" t="n">
        <f aca="false">'Feb 2027'!J98</f>
        <v>0</v>
      </c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29" t="n">
        <f aca="false">'Feb 2027'!O98</f>
        <v>0</v>
      </c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29" t="n">
        <f aca="false">'Feb 2027'!F99</f>
        <v>0</v>
      </c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29" t="n">
        <f aca="false">'Feb 2027'!J99</f>
        <v>0</v>
      </c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29" t="n">
        <f aca="false">'Feb 2027'!O99</f>
        <v>0</v>
      </c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29" t="n">
        <f aca="false">'Feb 2027'!F100</f>
        <v>0</v>
      </c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29" t="n">
        <f aca="false">'Feb 2027'!J100</f>
        <v>0</v>
      </c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29" t="n">
        <f aca="false">'Feb 2027'!O100</f>
        <v>0</v>
      </c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29" t="n">
        <f aca="false">'Feb 2027'!F101</f>
        <v>0</v>
      </c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29" t="n">
        <f aca="false">'Feb 2027'!J101</f>
        <v>0</v>
      </c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29" t="n">
        <f aca="false">'Feb 2027'!O101</f>
        <v>0</v>
      </c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29" t="n">
        <f aca="false">'Feb 2027'!F102</f>
        <v>0</v>
      </c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29" t="n">
        <f aca="false">'Feb 2027'!J102</f>
        <v>0</v>
      </c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29" t="n">
        <f aca="false">'Feb 2027'!O102</f>
        <v>0</v>
      </c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29" t="n">
        <f aca="false">'Feb 2027'!F103</f>
        <v>0</v>
      </c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29" t="n">
        <f aca="false">'Feb 2027'!J103</f>
        <v>0</v>
      </c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29" t="n">
        <f aca="false">'Feb 2027'!O103</f>
        <v>0</v>
      </c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29" t="n">
        <f aca="false">'Feb 2027'!F104</f>
        <v>0</v>
      </c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29" t="n">
        <f aca="false">'Feb 2027'!J104</f>
        <v>0</v>
      </c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29" t="n">
        <f aca="false">'Feb 2027'!O104</f>
        <v>0</v>
      </c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29" t="n">
        <f aca="false">'Feb 2027'!F105</f>
        <v>0</v>
      </c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29" t="n">
        <f aca="false">'Feb 2027'!J105</f>
        <v>0</v>
      </c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29" t="n">
        <f aca="false">'Feb 2027'!O105</f>
        <v>0</v>
      </c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29" t="n">
        <f aca="false">'Feb 2027'!F106</f>
        <v>0</v>
      </c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29" t="n">
        <f aca="false">'Feb 2027'!J106</f>
        <v>0</v>
      </c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29" t="n">
        <f aca="false">'Feb 2027'!O106</f>
        <v>0</v>
      </c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29" t="n">
        <f aca="false">'Feb 2027'!F107</f>
        <v>0</v>
      </c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29" t="n">
        <f aca="false">'Feb 2027'!J107</f>
        <v>0</v>
      </c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29" t="n">
        <f aca="false">'Feb 2027'!O107</f>
        <v>0</v>
      </c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29" t="n">
        <f aca="false">'Feb 2027'!F108</f>
        <v>0</v>
      </c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29" t="n">
        <f aca="false">'Feb 2027'!J108</f>
        <v>0</v>
      </c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29" t="n">
        <f aca="false">'Feb 2027'!O108</f>
        <v>0</v>
      </c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29" t="n">
        <f aca="false">'Feb 2027'!F109</f>
        <v>0</v>
      </c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29" t="n">
        <f aca="false">'Feb 2027'!J109</f>
        <v>0</v>
      </c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29" t="n">
        <f aca="false">'Feb 2027'!O109</f>
        <v>0</v>
      </c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29" t="n">
        <f aca="false">'Feb 2027'!F110</f>
        <v>0</v>
      </c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29" t="n">
        <f aca="false">'Feb 2027'!J110</f>
        <v>0</v>
      </c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29" t="n">
        <f aca="false">'Feb 2027'!O110</f>
        <v>0</v>
      </c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29" t="n">
        <f aca="false">'Feb 2027'!F111</f>
        <v>0</v>
      </c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29" t="n">
        <f aca="false">'Feb 2027'!J111</f>
        <v>0</v>
      </c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29" t="n">
        <f aca="false">'Feb 2027'!O111</f>
        <v>0</v>
      </c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29" t="n">
        <f aca="false">'Feb 2027'!F112</f>
        <v>0</v>
      </c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29" t="n">
        <f aca="false">'Feb 2027'!J112</f>
        <v>0</v>
      </c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29" t="n">
        <f aca="false">'Feb 2027'!O112</f>
        <v>0</v>
      </c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29" t="n">
        <f aca="false">'Feb 2027'!F113</f>
        <v>0</v>
      </c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29" t="n">
        <f aca="false">'Feb 2027'!J113</f>
        <v>0</v>
      </c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29" t="n">
        <f aca="false">'Feb 2027'!O113</f>
        <v>0</v>
      </c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8000</v>
      </c>
      <c r="D114" s="32" t="n">
        <f aca="false">SUM(D14:D113)</f>
        <v>2000</v>
      </c>
      <c r="E114" s="32" t="n">
        <f aca="false">SUM(E14:E113)</f>
        <v>0</v>
      </c>
      <c r="F114" s="32" t="n">
        <f aca="false">SUM(F14:F113)</f>
        <v>10000</v>
      </c>
      <c r="G114" s="32" t="n">
        <f aca="false">SUM(G14:G113)</f>
        <v>7500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9000</v>
      </c>
      <c r="K114" s="32" t="n">
        <f aca="false">SUM(K14:K113)</f>
        <v>200</v>
      </c>
      <c r="L114" s="32" t="n">
        <f aca="false">SUM(L14:L113)</f>
        <v>0</v>
      </c>
      <c r="M114" s="32" t="n">
        <f aca="false">SUM(M14:M113)</f>
        <v>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19200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64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19200</v>
      </c>
      <c r="D11" s="21"/>
      <c r="E11" s="3" t="s">
        <v>44</v>
      </c>
      <c r="F11" s="3"/>
      <c r="G11" s="21" t="n">
        <f aca="false">D114+H114+L114+M114</f>
        <v>3500</v>
      </c>
      <c r="H11" s="21"/>
      <c r="I11" s="3" t="s">
        <v>45</v>
      </c>
      <c r="J11" s="3"/>
      <c r="K11" s="21" t="n">
        <f aca="false">E114+I114+N114</f>
        <v>0</v>
      </c>
      <c r="L11" s="21"/>
      <c r="M11" s="3" t="s">
        <v>46</v>
      </c>
      <c r="N11" s="3"/>
      <c r="O11" s="21" t="n">
        <f aca="false">P114</f>
        <v>22700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29" t="n">
        <f aca="false">'Mar 2027'!F14</f>
        <v>10000</v>
      </c>
      <c r="D14" s="29" t="n">
        <f aca="false">IF(Students!D5="Yes",N(Students!E5),0)</f>
        <v>2000</v>
      </c>
      <c r="E14" s="13"/>
      <c r="F14" s="30" t="n">
        <f aca="false">N(C14)+N(D14)-N(E14)</f>
        <v>12000</v>
      </c>
      <c r="G14" s="29" t="n">
        <f aca="false">'Mar 2027'!J14</f>
        <v>9000</v>
      </c>
      <c r="H14" s="29" t="n">
        <f aca="false">IF(Students!F5="Yes",N(Students!G5),0)</f>
        <v>1500</v>
      </c>
      <c r="I14" s="13"/>
      <c r="J14" s="30" t="n">
        <f aca="false">N(G14)+N(H14)-N(I14)</f>
        <v>10500</v>
      </c>
      <c r="K14" s="29" t="n">
        <f aca="false">'Mar 2027'!O14</f>
        <v>200</v>
      </c>
      <c r="L14" s="13"/>
      <c r="M14" s="13"/>
      <c r="N14" s="13"/>
      <c r="O14" s="30" t="n">
        <f aca="false">N(K14)+N(L14)+N(M14)-N(N14)</f>
        <v>200</v>
      </c>
      <c r="P14" s="30" t="n">
        <f aca="false">F14+J14+O14</f>
        <v>22700</v>
      </c>
      <c r="Q14" s="10" t="str">
        <f aca="false">IF(B14="","",IF(P14&lt;=0,"Clear",IF(E14+I14+N14&gt;0,"Partial","Due")))</f>
        <v>Due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29" t="n">
        <f aca="false">'Mar 2027'!F15</f>
        <v>0</v>
      </c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29" t="n">
        <f aca="false">'Mar 2027'!J15</f>
        <v>0</v>
      </c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29" t="n">
        <f aca="false">'Mar 2027'!O15</f>
        <v>0</v>
      </c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29" t="n">
        <f aca="false">'Mar 2027'!F16</f>
        <v>0</v>
      </c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29" t="n">
        <f aca="false">'Mar 2027'!J16</f>
        <v>0</v>
      </c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29" t="n">
        <f aca="false">'Mar 2027'!O16</f>
        <v>0</v>
      </c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29" t="n">
        <f aca="false">'Mar 2027'!F17</f>
        <v>0</v>
      </c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29" t="n">
        <f aca="false">'Mar 2027'!J17</f>
        <v>0</v>
      </c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29" t="n">
        <f aca="false">'Mar 2027'!O17</f>
        <v>0</v>
      </c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29" t="n">
        <f aca="false">'Mar 2027'!F18</f>
        <v>0</v>
      </c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29" t="n">
        <f aca="false">'Mar 2027'!J18</f>
        <v>0</v>
      </c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29" t="n">
        <f aca="false">'Mar 2027'!O18</f>
        <v>0</v>
      </c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29" t="n">
        <f aca="false">'Mar 2027'!F19</f>
        <v>0</v>
      </c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29" t="n">
        <f aca="false">'Mar 2027'!J19</f>
        <v>0</v>
      </c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29" t="n">
        <f aca="false">'Mar 2027'!O19</f>
        <v>0</v>
      </c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29" t="n">
        <f aca="false">'Mar 2027'!F20</f>
        <v>0</v>
      </c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29" t="n">
        <f aca="false">'Mar 2027'!J20</f>
        <v>0</v>
      </c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29" t="n">
        <f aca="false">'Mar 2027'!O20</f>
        <v>0</v>
      </c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29" t="n">
        <f aca="false">'Mar 2027'!F21</f>
        <v>0</v>
      </c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29" t="n">
        <f aca="false">'Mar 2027'!J21</f>
        <v>0</v>
      </c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29" t="n">
        <f aca="false">'Mar 2027'!O21</f>
        <v>0</v>
      </c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29" t="n">
        <f aca="false">'Mar 2027'!F22</f>
        <v>0</v>
      </c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29" t="n">
        <f aca="false">'Mar 2027'!J22</f>
        <v>0</v>
      </c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29" t="n">
        <f aca="false">'Mar 2027'!O22</f>
        <v>0</v>
      </c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29" t="n">
        <f aca="false">'Mar 2027'!F23</f>
        <v>0</v>
      </c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29" t="n">
        <f aca="false">'Mar 2027'!J23</f>
        <v>0</v>
      </c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29" t="n">
        <f aca="false">'Mar 2027'!O23</f>
        <v>0</v>
      </c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29" t="n">
        <f aca="false">'Mar 2027'!F24</f>
        <v>0</v>
      </c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29" t="n">
        <f aca="false">'Mar 2027'!J24</f>
        <v>0</v>
      </c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29" t="n">
        <f aca="false">'Mar 2027'!O24</f>
        <v>0</v>
      </c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29" t="n">
        <f aca="false">'Mar 2027'!F25</f>
        <v>0</v>
      </c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29" t="n">
        <f aca="false">'Mar 2027'!J25</f>
        <v>0</v>
      </c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29" t="n">
        <f aca="false">'Mar 2027'!O25</f>
        <v>0</v>
      </c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29" t="n">
        <f aca="false">'Mar 2027'!F26</f>
        <v>0</v>
      </c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29" t="n">
        <f aca="false">'Mar 2027'!J26</f>
        <v>0</v>
      </c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29" t="n">
        <f aca="false">'Mar 2027'!O26</f>
        <v>0</v>
      </c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29" t="n">
        <f aca="false">'Mar 2027'!F27</f>
        <v>0</v>
      </c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29" t="n">
        <f aca="false">'Mar 2027'!J27</f>
        <v>0</v>
      </c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29" t="n">
        <f aca="false">'Mar 2027'!O27</f>
        <v>0</v>
      </c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29" t="n">
        <f aca="false">'Mar 2027'!F28</f>
        <v>0</v>
      </c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29" t="n">
        <f aca="false">'Mar 2027'!J28</f>
        <v>0</v>
      </c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29" t="n">
        <f aca="false">'Mar 2027'!O28</f>
        <v>0</v>
      </c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29" t="n">
        <f aca="false">'Mar 2027'!F29</f>
        <v>0</v>
      </c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29" t="n">
        <f aca="false">'Mar 2027'!J29</f>
        <v>0</v>
      </c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29" t="n">
        <f aca="false">'Mar 2027'!O29</f>
        <v>0</v>
      </c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29" t="n">
        <f aca="false">'Mar 2027'!F30</f>
        <v>0</v>
      </c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29" t="n">
        <f aca="false">'Mar 2027'!J30</f>
        <v>0</v>
      </c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29" t="n">
        <f aca="false">'Mar 2027'!O30</f>
        <v>0</v>
      </c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29" t="n">
        <f aca="false">'Mar 2027'!F31</f>
        <v>0</v>
      </c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29" t="n">
        <f aca="false">'Mar 2027'!J31</f>
        <v>0</v>
      </c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29" t="n">
        <f aca="false">'Mar 2027'!O31</f>
        <v>0</v>
      </c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29" t="n">
        <f aca="false">'Mar 2027'!F32</f>
        <v>0</v>
      </c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29" t="n">
        <f aca="false">'Mar 2027'!J32</f>
        <v>0</v>
      </c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29" t="n">
        <f aca="false">'Mar 2027'!O32</f>
        <v>0</v>
      </c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29" t="n">
        <f aca="false">'Mar 2027'!F33</f>
        <v>0</v>
      </c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29" t="n">
        <f aca="false">'Mar 2027'!J33</f>
        <v>0</v>
      </c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29" t="n">
        <f aca="false">'Mar 2027'!O33</f>
        <v>0</v>
      </c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29" t="n">
        <f aca="false">'Mar 2027'!F34</f>
        <v>0</v>
      </c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29" t="n">
        <f aca="false">'Mar 2027'!J34</f>
        <v>0</v>
      </c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29" t="n">
        <f aca="false">'Mar 2027'!O34</f>
        <v>0</v>
      </c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29" t="n">
        <f aca="false">'Mar 2027'!F35</f>
        <v>0</v>
      </c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29" t="n">
        <f aca="false">'Mar 2027'!J35</f>
        <v>0</v>
      </c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29" t="n">
        <f aca="false">'Mar 2027'!O35</f>
        <v>0</v>
      </c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29" t="n">
        <f aca="false">'Mar 2027'!F36</f>
        <v>0</v>
      </c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29" t="n">
        <f aca="false">'Mar 2027'!J36</f>
        <v>0</v>
      </c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29" t="n">
        <f aca="false">'Mar 2027'!O36</f>
        <v>0</v>
      </c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29" t="n">
        <f aca="false">'Mar 2027'!F37</f>
        <v>0</v>
      </c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29" t="n">
        <f aca="false">'Mar 2027'!J37</f>
        <v>0</v>
      </c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29" t="n">
        <f aca="false">'Mar 2027'!O37</f>
        <v>0</v>
      </c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29" t="n">
        <f aca="false">'Mar 2027'!F38</f>
        <v>0</v>
      </c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29" t="n">
        <f aca="false">'Mar 2027'!J38</f>
        <v>0</v>
      </c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29" t="n">
        <f aca="false">'Mar 2027'!O38</f>
        <v>0</v>
      </c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29" t="n">
        <f aca="false">'Mar 2027'!F39</f>
        <v>0</v>
      </c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29" t="n">
        <f aca="false">'Mar 2027'!J39</f>
        <v>0</v>
      </c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29" t="n">
        <f aca="false">'Mar 2027'!O39</f>
        <v>0</v>
      </c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29" t="n">
        <f aca="false">'Mar 2027'!F40</f>
        <v>0</v>
      </c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29" t="n">
        <f aca="false">'Mar 2027'!J40</f>
        <v>0</v>
      </c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29" t="n">
        <f aca="false">'Mar 2027'!O40</f>
        <v>0</v>
      </c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29" t="n">
        <f aca="false">'Mar 2027'!F41</f>
        <v>0</v>
      </c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29" t="n">
        <f aca="false">'Mar 2027'!J41</f>
        <v>0</v>
      </c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29" t="n">
        <f aca="false">'Mar 2027'!O41</f>
        <v>0</v>
      </c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29" t="n">
        <f aca="false">'Mar 2027'!F42</f>
        <v>0</v>
      </c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29" t="n">
        <f aca="false">'Mar 2027'!J42</f>
        <v>0</v>
      </c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29" t="n">
        <f aca="false">'Mar 2027'!O42</f>
        <v>0</v>
      </c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29" t="n">
        <f aca="false">'Mar 2027'!F43</f>
        <v>0</v>
      </c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29" t="n">
        <f aca="false">'Mar 2027'!J43</f>
        <v>0</v>
      </c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29" t="n">
        <f aca="false">'Mar 2027'!O43</f>
        <v>0</v>
      </c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29" t="n">
        <f aca="false">'Mar 2027'!F44</f>
        <v>0</v>
      </c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29" t="n">
        <f aca="false">'Mar 2027'!J44</f>
        <v>0</v>
      </c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29" t="n">
        <f aca="false">'Mar 2027'!O44</f>
        <v>0</v>
      </c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29" t="n">
        <f aca="false">'Mar 2027'!F45</f>
        <v>0</v>
      </c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29" t="n">
        <f aca="false">'Mar 2027'!J45</f>
        <v>0</v>
      </c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29" t="n">
        <f aca="false">'Mar 2027'!O45</f>
        <v>0</v>
      </c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29" t="n">
        <f aca="false">'Mar 2027'!F46</f>
        <v>0</v>
      </c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29" t="n">
        <f aca="false">'Mar 2027'!J46</f>
        <v>0</v>
      </c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29" t="n">
        <f aca="false">'Mar 2027'!O46</f>
        <v>0</v>
      </c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29" t="n">
        <f aca="false">'Mar 2027'!F47</f>
        <v>0</v>
      </c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29" t="n">
        <f aca="false">'Mar 2027'!J47</f>
        <v>0</v>
      </c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29" t="n">
        <f aca="false">'Mar 2027'!O47</f>
        <v>0</v>
      </c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29" t="n">
        <f aca="false">'Mar 2027'!F48</f>
        <v>0</v>
      </c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29" t="n">
        <f aca="false">'Mar 2027'!J48</f>
        <v>0</v>
      </c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29" t="n">
        <f aca="false">'Mar 2027'!O48</f>
        <v>0</v>
      </c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29" t="n">
        <f aca="false">'Mar 2027'!F49</f>
        <v>0</v>
      </c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29" t="n">
        <f aca="false">'Mar 2027'!J49</f>
        <v>0</v>
      </c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29" t="n">
        <f aca="false">'Mar 2027'!O49</f>
        <v>0</v>
      </c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29" t="n">
        <f aca="false">'Mar 2027'!F50</f>
        <v>0</v>
      </c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29" t="n">
        <f aca="false">'Mar 2027'!J50</f>
        <v>0</v>
      </c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29" t="n">
        <f aca="false">'Mar 2027'!O50</f>
        <v>0</v>
      </c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29" t="n">
        <f aca="false">'Mar 2027'!F51</f>
        <v>0</v>
      </c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29" t="n">
        <f aca="false">'Mar 2027'!J51</f>
        <v>0</v>
      </c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29" t="n">
        <f aca="false">'Mar 2027'!O51</f>
        <v>0</v>
      </c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29" t="n">
        <f aca="false">'Mar 2027'!F52</f>
        <v>0</v>
      </c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29" t="n">
        <f aca="false">'Mar 2027'!J52</f>
        <v>0</v>
      </c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29" t="n">
        <f aca="false">'Mar 2027'!O52</f>
        <v>0</v>
      </c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29" t="n">
        <f aca="false">'Mar 2027'!F53</f>
        <v>0</v>
      </c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29" t="n">
        <f aca="false">'Mar 2027'!J53</f>
        <v>0</v>
      </c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29" t="n">
        <f aca="false">'Mar 2027'!O53</f>
        <v>0</v>
      </c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29" t="n">
        <f aca="false">'Mar 2027'!F54</f>
        <v>0</v>
      </c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29" t="n">
        <f aca="false">'Mar 2027'!J54</f>
        <v>0</v>
      </c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29" t="n">
        <f aca="false">'Mar 2027'!O54</f>
        <v>0</v>
      </c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29" t="n">
        <f aca="false">'Mar 2027'!F55</f>
        <v>0</v>
      </c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29" t="n">
        <f aca="false">'Mar 2027'!J55</f>
        <v>0</v>
      </c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29" t="n">
        <f aca="false">'Mar 2027'!O55</f>
        <v>0</v>
      </c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29" t="n">
        <f aca="false">'Mar 2027'!F56</f>
        <v>0</v>
      </c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29" t="n">
        <f aca="false">'Mar 2027'!J56</f>
        <v>0</v>
      </c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29" t="n">
        <f aca="false">'Mar 2027'!O56</f>
        <v>0</v>
      </c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29" t="n">
        <f aca="false">'Mar 2027'!F57</f>
        <v>0</v>
      </c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29" t="n">
        <f aca="false">'Mar 2027'!J57</f>
        <v>0</v>
      </c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29" t="n">
        <f aca="false">'Mar 2027'!O57</f>
        <v>0</v>
      </c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29" t="n">
        <f aca="false">'Mar 2027'!F58</f>
        <v>0</v>
      </c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29" t="n">
        <f aca="false">'Mar 2027'!J58</f>
        <v>0</v>
      </c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29" t="n">
        <f aca="false">'Mar 2027'!O58</f>
        <v>0</v>
      </c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29" t="n">
        <f aca="false">'Mar 2027'!F59</f>
        <v>0</v>
      </c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29" t="n">
        <f aca="false">'Mar 2027'!J59</f>
        <v>0</v>
      </c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29" t="n">
        <f aca="false">'Mar 2027'!O59</f>
        <v>0</v>
      </c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29" t="n">
        <f aca="false">'Mar 2027'!F60</f>
        <v>0</v>
      </c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29" t="n">
        <f aca="false">'Mar 2027'!J60</f>
        <v>0</v>
      </c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29" t="n">
        <f aca="false">'Mar 2027'!O60</f>
        <v>0</v>
      </c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29" t="n">
        <f aca="false">'Mar 2027'!F61</f>
        <v>0</v>
      </c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29" t="n">
        <f aca="false">'Mar 2027'!J61</f>
        <v>0</v>
      </c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29" t="n">
        <f aca="false">'Mar 2027'!O61</f>
        <v>0</v>
      </c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29" t="n">
        <f aca="false">'Mar 2027'!F62</f>
        <v>0</v>
      </c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29" t="n">
        <f aca="false">'Mar 2027'!J62</f>
        <v>0</v>
      </c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29" t="n">
        <f aca="false">'Mar 2027'!O62</f>
        <v>0</v>
      </c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29" t="n">
        <f aca="false">'Mar 2027'!F63</f>
        <v>0</v>
      </c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29" t="n">
        <f aca="false">'Mar 2027'!J63</f>
        <v>0</v>
      </c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29" t="n">
        <f aca="false">'Mar 2027'!O63</f>
        <v>0</v>
      </c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29" t="n">
        <f aca="false">'Mar 2027'!F64</f>
        <v>0</v>
      </c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29" t="n">
        <f aca="false">'Mar 2027'!J64</f>
        <v>0</v>
      </c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29" t="n">
        <f aca="false">'Mar 2027'!O64</f>
        <v>0</v>
      </c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29" t="n">
        <f aca="false">'Mar 2027'!F65</f>
        <v>0</v>
      </c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29" t="n">
        <f aca="false">'Mar 2027'!J65</f>
        <v>0</v>
      </c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29" t="n">
        <f aca="false">'Mar 2027'!O65</f>
        <v>0</v>
      </c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29" t="n">
        <f aca="false">'Mar 2027'!F66</f>
        <v>0</v>
      </c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29" t="n">
        <f aca="false">'Mar 2027'!J66</f>
        <v>0</v>
      </c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29" t="n">
        <f aca="false">'Mar 2027'!O66</f>
        <v>0</v>
      </c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29" t="n">
        <f aca="false">'Mar 2027'!F67</f>
        <v>0</v>
      </c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29" t="n">
        <f aca="false">'Mar 2027'!J67</f>
        <v>0</v>
      </c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29" t="n">
        <f aca="false">'Mar 2027'!O67</f>
        <v>0</v>
      </c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29" t="n">
        <f aca="false">'Mar 2027'!F68</f>
        <v>0</v>
      </c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29" t="n">
        <f aca="false">'Mar 2027'!J68</f>
        <v>0</v>
      </c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29" t="n">
        <f aca="false">'Mar 2027'!O68</f>
        <v>0</v>
      </c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29" t="n">
        <f aca="false">'Mar 2027'!F69</f>
        <v>0</v>
      </c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29" t="n">
        <f aca="false">'Mar 2027'!J69</f>
        <v>0</v>
      </c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29" t="n">
        <f aca="false">'Mar 2027'!O69</f>
        <v>0</v>
      </c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29" t="n">
        <f aca="false">'Mar 2027'!F70</f>
        <v>0</v>
      </c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29" t="n">
        <f aca="false">'Mar 2027'!J70</f>
        <v>0</v>
      </c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29" t="n">
        <f aca="false">'Mar 2027'!O70</f>
        <v>0</v>
      </c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29" t="n">
        <f aca="false">'Mar 2027'!F71</f>
        <v>0</v>
      </c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29" t="n">
        <f aca="false">'Mar 2027'!J71</f>
        <v>0</v>
      </c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29" t="n">
        <f aca="false">'Mar 2027'!O71</f>
        <v>0</v>
      </c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29" t="n">
        <f aca="false">'Mar 2027'!F72</f>
        <v>0</v>
      </c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29" t="n">
        <f aca="false">'Mar 2027'!J72</f>
        <v>0</v>
      </c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29" t="n">
        <f aca="false">'Mar 2027'!O72</f>
        <v>0</v>
      </c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29" t="n">
        <f aca="false">'Mar 2027'!F73</f>
        <v>0</v>
      </c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29" t="n">
        <f aca="false">'Mar 2027'!J73</f>
        <v>0</v>
      </c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29" t="n">
        <f aca="false">'Mar 2027'!O73</f>
        <v>0</v>
      </c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29" t="n">
        <f aca="false">'Mar 2027'!F74</f>
        <v>0</v>
      </c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29" t="n">
        <f aca="false">'Mar 2027'!J74</f>
        <v>0</v>
      </c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29" t="n">
        <f aca="false">'Mar 2027'!O74</f>
        <v>0</v>
      </c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29" t="n">
        <f aca="false">'Mar 2027'!F75</f>
        <v>0</v>
      </c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29" t="n">
        <f aca="false">'Mar 2027'!J75</f>
        <v>0</v>
      </c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29" t="n">
        <f aca="false">'Mar 2027'!O75</f>
        <v>0</v>
      </c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29" t="n">
        <f aca="false">'Mar 2027'!F76</f>
        <v>0</v>
      </c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29" t="n">
        <f aca="false">'Mar 2027'!J76</f>
        <v>0</v>
      </c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29" t="n">
        <f aca="false">'Mar 2027'!O76</f>
        <v>0</v>
      </c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29" t="n">
        <f aca="false">'Mar 2027'!F77</f>
        <v>0</v>
      </c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29" t="n">
        <f aca="false">'Mar 2027'!J77</f>
        <v>0</v>
      </c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29" t="n">
        <f aca="false">'Mar 2027'!O77</f>
        <v>0</v>
      </c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29" t="n">
        <f aca="false">'Mar 2027'!F78</f>
        <v>0</v>
      </c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29" t="n">
        <f aca="false">'Mar 2027'!J78</f>
        <v>0</v>
      </c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29" t="n">
        <f aca="false">'Mar 2027'!O78</f>
        <v>0</v>
      </c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29" t="n">
        <f aca="false">'Mar 2027'!F79</f>
        <v>0</v>
      </c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29" t="n">
        <f aca="false">'Mar 2027'!J79</f>
        <v>0</v>
      </c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29" t="n">
        <f aca="false">'Mar 2027'!O79</f>
        <v>0</v>
      </c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29" t="n">
        <f aca="false">'Mar 2027'!F80</f>
        <v>0</v>
      </c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29" t="n">
        <f aca="false">'Mar 2027'!J80</f>
        <v>0</v>
      </c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29" t="n">
        <f aca="false">'Mar 2027'!O80</f>
        <v>0</v>
      </c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29" t="n">
        <f aca="false">'Mar 2027'!F81</f>
        <v>0</v>
      </c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29" t="n">
        <f aca="false">'Mar 2027'!J81</f>
        <v>0</v>
      </c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29" t="n">
        <f aca="false">'Mar 2027'!O81</f>
        <v>0</v>
      </c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29" t="n">
        <f aca="false">'Mar 2027'!F82</f>
        <v>0</v>
      </c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29" t="n">
        <f aca="false">'Mar 2027'!J82</f>
        <v>0</v>
      </c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29" t="n">
        <f aca="false">'Mar 2027'!O82</f>
        <v>0</v>
      </c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29" t="n">
        <f aca="false">'Mar 2027'!F83</f>
        <v>0</v>
      </c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29" t="n">
        <f aca="false">'Mar 2027'!J83</f>
        <v>0</v>
      </c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29" t="n">
        <f aca="false">'Mar 2027'!O83</f>
        <v>0</v>
      </c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29" t="n">
        <f aca="false">'Mar 2027'!F84</f>
        <v>0</v>
      </c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29" t="n">
        <f aca="false">'Mar 2027'!J84</f>
        <v>0</v>
      </c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29" t="n">
        <f aca="false">'Mar 2027'!O84</f>
        <v>0</v>
      </c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29" t="n">
        <f aca="false">'Mar 2027'!F85</f>
        <v>0</v>
      </c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29" t="n">
        <f aca="false">'Mar 2027'!J85</f>
        <v>0</v>
      </c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29" t="n">
        <f aca="false">'Mar 2027'!O85</f>
        <v>0</v>
      </c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29" t="n">
        <f aca="false">'Mar 2027'!F86</f>
        <v>0</v>
      </c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29" t="n">
        <f aca="false">'Mar 2027'!J86</f>
        <v>0</v>
      </c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29" t="n">
        <f aca="false">'Mar 2027'!O86</f>
        <v>0</v>
      </c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29" t="n">
        <f aca="false">'Mar 2027'!F87</f>
        <v>0</v>
      </c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29" t="n">
        <f aca="false">'Mar 2027'!J87</f>
        <v>0</v>
      </c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29" t="n">
        <f aca="false">'Mar 2027'!O87</f>
        <v>0</v>
      </c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29" t="n">
        <f aca="false">'Mar 2027'!F88</f>
        <v>0</v>
      </c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29" t="n">
        <f aca="false">'Mar 2027'!J88</f>
        <v>0</v>
      </c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29" t="n">
        <f aca="false">'Mar 2027'!O88</f>
        <v>0</v>
      </c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29" t="n">
        <f aca="false">'Mar 2027'!F89</f>
        <v>0</v>
      </c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29" t="n">
        <f aca="false">'Mar 2027'!J89</f>
        <v>0</v>
      </c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29" t="n">
        <f aca="false">'Mar 2027'!O89</f>
        <v>0</v>
      </c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29" t="n">
        <f aca="false">'Mar 2027'!F90</f>
        <v>0</v>
      </c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29" t="n">
        <f aca="false">'Mar 2027'!J90</f>
        <v>0</v>
      </c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29" t="n">
        <f aca="false">'Mar 2027'!O90</f>
        <v>0</v>
      </c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29" t="n">
        <f aca="false">'Mar 2027'!F91</f>
        <v>0</v>
      </c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29" t="n">
        <f aca="false">'Mar 2027'!J91</f>
        <v>0</v>
      </c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29" t="n">
        <f aca="false">'Mar 2027'!O91</f>
        <v>0</v>
      </c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29" t="n">
        <f aca="false">'Mar 2027'!F92</f>
        <v>0</v>
      </c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29" t="n">
        <f aca="false">'Mar 2027'!J92</f>
        <v>0</v>
      </c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29" t="n">
        <f aca="false">'Mar 2027'!O92</f>
        <v>0</v>
      </c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29" t="n">
        <f aca="false">'Mar 2027'!F93</f>
        <v>0</v>
      </c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29" t="n">
        <f aca="false">'Mar 2027'!J93</f>
        <v>0</v>
      </c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29" t="n">
        <f aca="false">'Mar 2027'!O93</f>
        <v>0</v>
      </c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29" t="n">
        <f aca="false">'Mar 2027'!F94</f>
        <v>0</v>
      </c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29" t="n">
        <f aca="false">'Mar 2027'!J94</f>
        <v>0</v>
      </c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29" t="n">
        <f aca="false">'Mar 2027'!O94</f>
        <v>0</v>
      </c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29" t="n">
        <f aca="false">'Mar 2027'!F95</f>
        <v>0</v>
      </c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29" t="n">
        <f aca="false">'Mar 2027'!J95</f>
        <v>0</v>
      </c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29" t="n">
        <f aca="false">'Mar 2027'!O95</f>
        <v>0</v>
      </c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29" t="n">
        <f aca="false">'Mar 2027'!F96</f>
        <v>0</v>
      </c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29" t="n">
        <f aca="false">'Mar 2027'!J96</f>
        <v>0</v>
      </c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29" t="n">
        <f aca="false">'Mar 2027'!O96</f>
        <v>0</v>
      </c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29" t="n">
        <f aca="false">'Mar 2027'!F97</f>
        <v>0</v>
      </c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29" t="n">
        <f aca="false">'Mar 2027'!J97</f>
        <v>0</v>
      </c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29" t="n">
        <f aca="false">'Mar 2027'!O97</f>
        <v>0</v>
      </c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29" t="n">
        <f aca="false">'Mar 2027'!F98</f>
        <v>0</v>
      </c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29" t="n">
        <f aca="false">'Mar 2027'!J98</f>
        <v>0</v>
      </c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29" t="n">
        <f aca="false">'Mar 2027'!O98</f>
        <v>0</v>
      </c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29" t="n">
        <f aca="false">'Mar 2027'!F99</f>
        <v>0</v>
      </c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29" t="n">
        <f aca="false">'Mar 2027'!J99</f>
        <v>0</v>
      </c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29" t="n">
        <f aca="false">'Mar 2027'!O99</f>
        <v>0</v>
      </c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29" t="n">
        <f aca="false">'Mar 2027'!F100</f>
        <v>0</v>
      </c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29" t="n">
        <f aca="false">'Mar 2027'!J100</f>
        <v>0</v>
      </c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29" t="n">
        <f aca="false">'Mar 2027'!O100</f>
        <v>0</v>
      </c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29" t="n">
        <f aca="false">'Mar 2027'!F101</f>
        <v>0</v>
      </c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29" t="n">
        <f aca="false">'Mar 2027'!J101</f>
        <v>0</v>
      </c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29" t="n">
        <f aca="false">'Mar 2027'!O101</f>
        <v>0</v>
      </c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29" t="n">
        <f aca="false">'Mar 2027'!F102</f>
        <v>0</v>
      </c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29" t="n">
        <f aca="false">'Mar 2027'!J102</f>
        <v>0</v>
      </c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29" t="n">
        <f aca="false">'Mar 2027'!O102</f>
        <v>0</v>
      </c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29" t="n">
        <f aca="false">'Mar 2027'!F103</f>
        <v>0</v>
      </c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29" t="n">
        <f aca="false">'Mar 2027'!J103</f>
        <v>0</v>
      </c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29" t="n">
        <f aca="false">'Mar 2027'!O103</f>
        <v>0</v>
      </c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29" t="n">
        <f aca="false">'Mar 2027'!F104</f>
        <v>0</v>
      </c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29" t="n">
        <f aca="false">'Mar 2027'!J104</f>
        <v>0</v>
      </c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29" t="n">
        <f aca="false">'Mar 2027'!O104</f>
        <v>0</v>
      </c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29" t="n">
        <f aca="false">'Mar 2027'!F105</f>
        <v>0</v>
      </c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29" t="n">
        <f aca="false">'Mar 2027'!J105</f>
        <v>0</v>
      </c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29" t="n">
        <f aca="false">'Mar 2027'!O105</f>
        <v>0</v>
      </c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29" t="n">
        <f aca="false">'Mar 2027'!F106</f>
        <v>0</v>
      </c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29" t="n">
        <f aca="false">'Mar 2027'!J106</f>
        <v>0</v>
      </c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29" t="n">
        <f aca="false">'Mar 2027'!O106</f>
        <v>0</v>
      </c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29" t="n">
        <f aca="false">'Mar 2027'!F107</f>
        <v>0</v>
      </c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29" t="n">
        <f aca="false">'Mar 2027'!J107</f>
        <v>0</v>
      </c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29" t="n">
        <f aca="false">'Mar 2027'!O107</f>
        <v>0</v>
      </c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29" t="n">
        <f aca="false">'Mar 2027'!F108</f>
        <v>0</v>
      </c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29" t="n">
        <f aca="false">'Mar 2027'!J108</f>
        <v>0</v>
      </c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29" t="n">
        <f aca="false">'Mar 2027'!O108</f>
        <v>0</v>
      </c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29" t="n">
        <f aca="false">'Mar 2027'!F109</f>
        <v>0</v>
      </c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29" t="n">
        <f aca="false">'Mar 2027'!J109</f>
        <v>0</v>
      </c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29" t="n">
        <f aca="false">'Mar 2027'!O109</f>
        <v>0</v>
      </c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29" t="n">
        <f aca="false">'Mar 2027'!F110</f>
        <v>0</v>
      </c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29" t="n">
        <f aca="false">'Mar 2027'!J110</f>
        <v>0</v>
      </c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29" t="n">
        <f aca="false">'Mar 2027'!O110</f>
        <v>0</v>
      </c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29" t="n">
        <f aca="false">'Mar 2027'!F111</f>
        <v>0</v>
      </c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29" t="n">
        <f aca="false">'Mar 2027'!J111</f>
        <v>0</v>
      </c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29" t="n">
        <f aca="false">'Mar 2027'!O111</f>
        <v>0</v>
      </c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29" t="n">
        <f aca="false">'Mar 2027'!F112</f>
        <v>0</v>
      </c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29" t="n">
        <f aca="false">'Mar 2027'!J112</f>
        <v>0</v>
      </c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29" t="n">
        <f aca="false">'Mar 2027'!O112</f>
        <v>0</v>
      </c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29" t="n">
        <f aca="false">'Mar 2027'!F113</f>
        <v>0</v>
      </c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29" t="n">
        <f aca="false">'Mar 2027'!J113</f>
        <v>0</v>
      </c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29" t="n">
        <f aca="false">'Mar 2027'!O113</f>
        <v>0</v>
      </c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10000</v>
      </c>
      <c r="D114" s="32" t="n">
        <f aca="false">SUM(D14:D113)</f>
        <v>2000</v>
      </c>
      <c r="E114" s="32" t="n">
        <f aca="false">SUM(E14:E113)</f>
        <v>0</v>
      </c>
      <c r="F114" s="32" t="n">
        <f aca="false">SUM(F14:F113)</f>
        <v>12000</v>
      </c>
      <c r="G114" s="32" t="n">
        <f aca="false">SUM(G14:G113)</f>
        <v>9000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10500</v>
      </c>
      <c r="K114" s="32" t="n">
        <f aca="false">SUM(K14:K113)</f>
        <v>200</v>
      </c>
      <c r="L114" s="32" t="n">
        <f aca="false">SUM(L14:L113)</f>
        <v>0</v>
      </c>
      <c r="M114" s="32" t="n">
        <f aca="false">SUM(M14:M113)</f>
        <v>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22700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65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22700</v>
      </c>
      <c r="D11" s="21"/>
      <c r="E11" s="3" t="s">
        <v>44</v>
      </c>
      <c r="F11" s="3"/>
      <c r="G11" s="21" t="n">
        <f aca="false">D114+H114+L114+M114</f>
        <v>3500</v>
      </c>
      <c r="H11" s="21"/>
      <c r="I11" s="3" t="s">
        <v>45</v>
      </c>
      <c r="J11" s="3"/>
      <c r="K11" s="21" t="n">
        <f aca="false">E114+I114+N114</f>
        <v>0</v>
      </c>
      <c r="L11" s="21"/>
      <c r="M11" s="3" t="s">
        <v>46</v>
      </c>
      <c r="N11" s="3"/>
      <c r="O11" s="21" t="n">
        <f aca="false">P114</f>
        <v>26200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29" t="n">
        <f aca="false">'Apr 2027'!F14</f>
        <v>12000</v>
      </c>
      <c r="D14" s="29" t="n">
        <f aca="false">IF(Students!D5="Yes",N(Students!E5),0)</f>
        <v>2000</v>
      </c>
      <c r="E14" s="13"/>
      <c r="F14" s="30" t="n">
        <f aca="false">N(C14)+N(D14)-N(E14)</f>
        <v>14000</v>
      </c>
      <c r="G14" s="29" t="n">
        <f aca="false">'Apr 2027'!J14</f>
        <v>10500</v>
      </c>
      <c r="H14" s="29" t="n">
        <f aca="false">IF(Students!F5="Yes",N(Students!G5),0)</f>
        <v>1500</v>
      </c>
      <c r="I14" s="13"/>
      <c r="J14" s="30" t="n">
        <f aca="false">N(G14)+N(H14)-N(I14)</f>
        <v>12000</v>
      </c>
      <c r="K14" s="29" t="n">
        <f aca="false">'Apr 2027'!O14</f>
        <v>200</v>
      </c>
      <c r="L14" s="13"/>
      <c r="M14" s="13"/>
      <c r="N14" s="13"/>
      <c r="O14" s="30" t="n">
        <f aca="false">N(K14)+N(L14)+N(M14)-N(N14)</f>
        <v>200</v>
      </c>
      <c r="P14" s="30" t="n">
        <f aca="false">F14+J14+O14</f>
        <v>26200</v>
      </c>
      <c r="Q14" s="10" t="str">
        <f aca="false">IF(B14="","",IF(P14&lt;=0,"Clear",IF(E14+I14+N14&gt;0,"Partial","Due")))</f>
        <v>Due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29" t="n">
        <f aca="false">'Apr 2027'!F15</f>
        <v>0</v>
      </c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29" t="n">
        <f aca="false">'Apr 2027'!J15</f>
        <v>0</v>
      </c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29" t="n">
        <f aca="false">'Apr 2027'!O15</f>
        <v>0</v>
      </c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29" t="n">
        <f aca="false">'Apr 2027'!F16</f>
        <v>0</v>
      </c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29" t="n">
        <f aca="false">'Apr 2027'!J16</f>
        <v>0</v>
      </c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29" t="n">
        <f aca="false">'Apr 2027'!O16</f>
        <v>0</v>
      </c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29" t="n">
        <f aca="false">'Apr 2027'!F17</f>
        <v>0</v>
      </c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29" t="n">
        <f aca="false">'Apr 2027'!J17</f>
        <v>0</v>
      </c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29" t="n">
        <f aca="false">'Apr 2027'!O17</f>
        <v>0</v>
      </c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29" t="n">
        <f aca="false">'Apr 2027'!F18</f>
        <v>0</v>
      </c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29" t="n">
        <f aca="false">'Apr 2027'!J18</f>
        <v>0</v>
      </c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29" t="n">
        <f aca="false">'Apr 2027'!O18</f>
        <v>0</v>
      </c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29" t="n">
        <f aca="false">'Apr 2027'!F19</f>
        <v>0</v>
      </c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29" t="n">
        <f aca="false">'Apr 2027'!J19</f>
        <v>0</v>
      </c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29" t="n">
        <f aca="false">'Apr 2027'!O19</f>
        <v>0</v>
      </c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29" t="n">
        <f aca="false">'Apr 2027'!F20</f>
        <v>0</v>
      </c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29" t="n">
        <f aca="false">'Apr 2027'!J20</f>
        <v>0</v>
      </c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29" t="n">
        <f aca="false">'Apr 2027'!O20</f>
        <v>0</v>
      </c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29" t="n">
        <f aca="false">'Apr 2027'!F21</f>
        <v>0</v>
      </c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29" t="n">
        <f aca="false">'Apr 2027'!J21</f>
        <v>0</v>
      </c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29" t="n">
        <f aca="false">'Apr 2027'!O21</f>
        <v>0</v>
      </c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29" t="n">
        <f aca="false">'Apr 2027'!F22</f>
        <v>0</v>
      </c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29" t="n">
        <f aca="false">'Apr 2027'!J22</f>
        <v>0</v>
      </c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29" t="n">
        <f aca="false">'Apr 2027'!O22</f>
        <v>0</v>
      </c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29" t="n">
        <f aca="false">'Apr 2027'!F23</f>
        <v>0</v>
      </c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29" t="n">
        <f aca="false">'Apr 2027'!J23</f>
        <v>0</v>
      </c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29" t="n">
        <f aca="false">'Apr 2027'!O23</f>
        <v>0</v>
      </c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29" t="n">
        <f aca="false">'Apr 2027'!F24</f>
        <v>0</v>
      </c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29" t="n">
        <f aca="false">'Apr 2027'!J24</f>
        <v>0</v>
      </c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29" t="n">
        <f aca="false">'Apr 2027'!O24</f>
        <v>0</v>
      </c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29" t="n">
        <f aca="false">'Apr 2027'!F25</f>
        <v>0</v>
      </c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29" t="n">
        <f aca="false">'Apr 2027'!J25</f>
        <v>0</v>
      </c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29" t="n">
        <f aca="false">'Apr 2027'!O25</f>
        <v>0</v>
      </c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29" t="n">
        <f aca="false">'Apr 2027'!F26</f>
        <v>0</v>
      </c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29" t="n">
        <f aca="false">'Apr 2027'!J26</f>
        <v>0</v>
      </c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29" t="n">
        <f aca="false">'Apr 2027'!O26</f>
        <v>0</v>
      </c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29" t="n">
        <f aca="false">'Apr 2027'!F27</f>
        <v>0</v>
      </c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29" t="n">
        <f aca="false">'Apr 2027'!J27</f>
        <v>0</v>
      </c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29" t="n">
        <f aca="false">'Apr 2027'!O27</f>
        <v>0</v>
      </c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29" t="n">
        <f aca="false">'Apr 2027'!F28</f>
        <v>0</v>
      </c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29" t="n">
        <f aca="false">'Apr 2027'!J28</f>
        <v>0</v>
      </c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29" t="n">
        <f aca="false">'Apr 2027'!O28</f>
        <v>0</v>
      </c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29" t="n">
        <f aca="false">'Apr 2027'!F29</f>
        <v>0</v>
      </c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29" t="n">
        <f aca="false">'Apr 2027'!J29</f>
        <v>0</v>
      </c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29" t="n">
        <f aca="false">'Apr 2027'!O29</f>
        <v>0</v>
      </c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29" t="n">
        <f aca="false">'Apr 2027'!F30</f>
        <v>0</v>
      </c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29" t="n">
        <f aca="false">'Apr 2027'!J30</f>
        <v>0</v>
      </c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29" t="n">
        <f aca="false">'Apr 2027'!O30</f>
        <v>0</v>
      </c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29" t="n">
        <f aca="false">'Apr 2027'!F31</f>
        <v>0</v>
      </c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29" t="n">
        <f aca="false">'Apr 2027'!J31</f>
        <v>0</v>
      </c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29" t="n">
        <f aca="false">'Apr 2027'!O31</f>
        <v>0</v>
      </c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29" t="n">
        <f aca="false">'Apr 2027'!F32</f>
        <v>0</v>
      </c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29" t="n">
        <f aca="false">'Apr 2027'!J32</f>
        <v>0</v>
      </c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29" t="n">
        <f aca="false">'Apr 2027'!O32</f>
        <v>0</v>
      </c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29" t="n">
        <f aca="false">'Apr 2027'!F33</f>
        <v>0</v>
      </c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29" t="n">
        <f aca="false">'Apr 2027'!J33</f>
        <v>0</v>
      </c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29" t="n">
        <f aca="false">'Apr 2027'!O33</f>
        <v>0</v>
      </c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29" t="n">
        <f aca="false">'Apr 2027'!F34</f>
        <v>0</v>
      </c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29" t="n">
        <f aca="false">'Apr 2027'!J34</f>
        <v>0</v>
      </c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29" t="n">
        <f aca="false">'Apr 2027'!O34</f>
        <v>0</v>
      </c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29" t="n">
        <f aca="false">'Apr 2027'!F35</f>
        <v>0</v>
      </c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29" t="n">
        <f aca="false">'Apr 2027'!J35</f>
        <v>0</v>
      </c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29" t="n">
        <f aca="false">'Apr 2027'!O35</f>
        <v>0</v>
      </c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29" t="n">
        <f aca="false">'Apr 2027'!F36</f>
        <v>0</v>
      </c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29" t="n">
        <f aca="false">'Apr 2027'!J36</f>
        <v>0</v>
      </c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29" t="n">
        <f aca="false">'Apr 2027'!O36</f>
        <v>0</v>
      </c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29" t="n">
        <f aca="false">'Apr 2027'!F37</f>
        <v>0</v>
      </c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29" t="n">
        <f aca="false">'Apr 2027'!J37</f>
        <v>0</v>
      </c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29" t="n">
        <f aca="false">'Apr 2027'!O37</f>
        <v>0</v>
      </c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29" t="n">
        <f aca="false">'Apr 2027'!F38</f>
        <v>0</v>
      </c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29" t="n">
        <f aca="false">'Apr 2027'!J38</f>
        <v>0</v>
      </c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29" t="n">
        <f aca="false">'Apr 2027'!O38</f>
        <v>0</v>
      </c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29" t="n">
        <f aca="false">'Apr 2027'!F39</f>
        <v>0</v>
      </c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29" t="n">
        <f aca="false">'Apr 2027'!J39</f>
        <v>0</v>
      </c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29" t="n">
        <f aca="false">'Apr 2027'!O39</f>
        <v>0</v>
      </c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29" t="n">
        <f aca="false">'Apr 2027'!F40</f>
        <v>0</v>
      </c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29" t="n">
        <f aca="false">'Apr 2027'!J40</f>
        <v>0</v>
      </c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29" t="n">
        <f aca="false">'Apr 2027'!O40</f>
        <v>0</v>
      </c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29" t="n">
        <f aca="false">'Apr 2027'!F41</f>
        <v>0</v>
      </c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29" t="n">
        <f aca="false">'Apr 2027'!J41</f>
        <v>0</v>
      </c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29" t="n">
        <f aca="false">'Apr 2027'!O41</f>
        <v>0</v>
      </c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29" t="n">
        <f aca="false">'Apr 2027'!F42</f>
        <v>0</v>
      </c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29" t="n">
        <f aca="false">'Apr 2027'!J42</f>
        <v>0</v>
      </c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29" t="n">
        <f aca="false">'Apr 2027'!O42</f>
        <v>0</v>
      </c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29" t="n">
        <f aca="false">'Apr 2027'!F43</f>
        <v>0</v>
      </c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29" t="n">
        <f aca="false">'Apr 2027'!J43</f>
        <v>0</v>
      </c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29" t="n">
        <f aca="false">'Apr 2027'!O43</f>
        <v>0</v>
      </c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29" t="n">
        <f aca="false">'Apr 2027'!F44</f>
        <v>0</v>
      </c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29" t="n">
        <f aca="false">'Apr 2027'!J44</f>
        <v>0</v>
      </c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29" t="n">
        <f aca="false">'Apr 2027'!O44</f>
        <v>0</v>
      </c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29" t="n">
        <f aca="false">'Apr 2027'!F45</f>
        <v>0</v>
      </c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29" t="n">
        <f aca="false">'Apr 2027'!J45</f>
        <v>0</v>
      </c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29" t="n">
        <f aca="false">'Apr 2027'!O45</f>
        <v>0</v>
      </c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29" t="n">
        <f aca="false">'Apr 2027'!F46</f>
        <v>0</v>
      </c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29" t="n">
        <f aca="false">'Apr 2027'!J46</f>
        <v>0</v>
      </c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29" t="n">
        <f aca="false">'Apr 2027'!O46</f>
        <v>0</v>
      </c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29" t="n">
        <f aca="false">'Apr 2027'!F47</f>
        <v>0</v>
      </c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29" t="n">
        <f aca="false">'Apr 2027'!J47</f>
        <v>0</v>
      </c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29" t="n">
        <f aca="false">'Apr 2027'!O47</f>
        <v>0</v>
      </c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29" t="n">
        <f aca="false">'Apr 2027'!F48</f>
        <v>0</v>
      </c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29" t="n">
        <f aca="false">'Apr 2027'!J48</f>
        <v>0</v>
      </c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29" t="n">
        <f aca="false">'Apr 2027'!O48</f>
        <v>0</v>
      </c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29" t="n">
        <f aca="false">'Apr 2027'!F49</f>
        <v>0</v>
      </c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29" t="n">
        <f aca="false">'Apr 2027'!J49</f>
        <v>0</v>
      </c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29" t="n">
        <f aca="false">'Apr 2027'!O49</f>
        <v>0</v>
      </c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29" t="n">
        <f aca="false">'Apr 2027'!F50</f>
        <v>0</v>
      </c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29" t="n">
        <f aca="false">'Apr 2027'!J50</f>
        <v>0</v>
      </c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29" t="n">
        <f aca="false">'Apr 2027'!O50</f>
        <v>0</v>
      </c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29" t="n">
        <f aca="false">'Apr 2027'!F51</f>
        <v>0</v>
      </c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29" t="n">
        <f aca="false">'Apr 2027'!J51</f>
        <v>0</v>
      </c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29" t="n">
        <f aca="false">'Apr 2027'!O51</f>
        <v>0</v>
      </c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29" t="n">
        <f aca="false">'Apr 2027'!F52</f>
        <v>0</v>
      </c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29" t="n">
        <f aca="false">'Apr 2027'!J52</f>
        <v>0</v>
      </c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29" t="n">
        <f aca="false">'Apr 2027'!O52</f>
        <v>0</v>
      </c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29" t="n">
        <f aca="false">'Apr 2027'!F53</f>
        <v>0</v>
      </c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29" t="n">
        <f aca="false">'Apr 2027'!J53</f>
        <v>0</v>
      </c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29" t="n">
        <f aca="false">'Apr 2027'!O53</f>
        <v>0</v>
      </c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29" t="n">
        <f aca="false">'Apr 2027'!F54</f>
        <v>0</v>
      </c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29" t="n">
        <f aca="false">'Apr 2027'!J54</f>
        <v>0</v>
      </c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29" t="n">
        <f aca="false">'Apr 2027'!O54</f>
        <v>0</v>
      </c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29" t="n">
        <f aca="false">'Apr 2027'!F55</f>
        <v>0</v>
      </c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29" t="n">
        <f aca="false">'Apr 2027'!J55</f>
        <v>0</v>
      </c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29" t="n">
        <f aca="false">'Apr 2027'!O55</f>
        <v>0</v>
      </c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29" t="n">
        <f aca="false">'Apr 2027'!F56</f>
        <v>0</v>
      </c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29" t="n">
        <f aca="false">'Apr 2027'!J56</f>
        <v>0</v>
      </c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29" t="n">
        <f aca="false">'Apr 2027'!O56</f>
        <v>0</v>
      </c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29" t="n">
        <f aca="false">'Apr 2027'!F57</f>
        <v>0</v>
      </c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29" t="n">
        <f aca="false">'Apr 2027'!J57</f>
        <v>0</v>
      </c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29" t="n">
        <f aca="false">'Apr 2027'!O57</f>
        <v>0</v>
      </c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29" t="n">
        <f aca="false">'Apr 2027'!F58</f>
        <v>0</v>
      </c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29" t="n">
        <f aca="false">'Apr 2027'!J58</f>
        <v>0</v>
      </c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29" t="n">
        <f aca="false">'Apr 2027'!O58</f>
        <v>0</v>
      </c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29" t="n">
        <f aca="false">'Apr 2027'!F59</f>
        <v>0</v>
      </c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29" t="n">
        <f aca="false">'Apr 2027'!J59</f>
        <v>0</v>
      </c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29" t="n">
        <f aca="false">'Apr 2027'!O59</f>
        <v>0</v>
      </c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29" t="n">
        <f aca="false">'Apr 2027'!F60</f>
        <v>0</v>
      </c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29" t="n">
        <f aca="false">'Apr 2027'!J60</f>
        <v>0</v>
      </c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29" t="n">
        <f aca="false">'Apr 2027'!O60</f>
        <v>0</v>
      </c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29" t="n">
        <f aca="false">'Apr 2027'!F61</f>
        <v>0</v>
      </c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29" t="n">
        <f aca="false">'Apr 2027'!J61</f>
        <v>0</v>
      </c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29" t="n">
        <f aca="false">'Apr 2027'!O61</f>
        <v>0</v>
      </c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29" t="n">
        <f aca="false">'Apr 2027'!F62</f>
        <v>0</v>
      </c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29" t="n">
        <f aca="false">'Apr 2027'!J62</f>
        <v>0</v>
      </c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29" t="n">
        <f aca="false">'Apr 2027'!O62</f>
        <v>0</v>
      </c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29" t="n">
        <f aca="false">'Apr 2027'!F63</f>
        <v>0</v>
      </c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29" t="n">
        <f aca="false">'Apr 2027'!J63</f>
        <v>0</v>
      </c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29" t="n">
        <f aca="false">'Apr 2027'!O63</f>
        <v>0</v>
      </c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29" t="n">
        <f aca="false">'Apr 2027'!F64</f>
        <v>0</v>
      </c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29" t="n">
        <f aca="false">'Apr 2027'!J64</f>
        <v>0</v>
      </c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29" t="n">
        <f aca="false">'Apr 2027'!O64</f>
        <v>0</v>
      </c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29" t="n">
        <f aca="false">'Apr 2027'!F65</f>
        <v>0</v>
      </c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29" t="n">
        <f aca="false">'Apr 2027'!J65</f>
        <v>0</v>
      </c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29" t="n">
        <f aca="false">'Apr 2027'!O65</f>
        <v>0</v>
      </c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29" t="n">
        <f aca="false">'Apr 2027'!F66</f>
        <v>0</v>
      </c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29" t="n">
        <f aca="false">'Apr 2027'!J66</f>
        <v>0</v>
      </c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29" t="n">
        <f aca="false">'Apr 2027'!O66</f>
        <v>0</v>
      </c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29" t="n">
        <f aca="false">'Apr 2027'!F67</f>
        <v>0</v>
      </c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29" t="n">
        <f aca="false">'Apr 2027'!J67</f>
        <v>0</v>
      </c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29" t="n">
        <f aca="false">'Apr 2027'!O67</f>
        <v>0</v>
      </c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29" t="n">
        <f aca="false">'Apr 2027'!F68</f>
        <v>0</v>
      </c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29" t="n">
        <f aca="false">'Apr 2027'!J68</f>
        <v>0</v>
      </c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29" t="n">
        <f aca="false">'Apr 2027'!O68</f>
        <v>0</v>
      </c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29" t="n">
        <f aca="false">'Apr 2027'!F69</f>
        <v>0</v>
      </c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29" t="n">
        <f aca="false">'Apr 2027'!J69</f>
        <v>0</v>
      </c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29" t="n">
        <f aca="false">'Apr 2027'!O69</f>
        <v>0</v>
      </c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29" t="n">
        <f aca="false">'Apr 2027'!F70</f>
        <v>0</v>
      </c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29" t="n">
        <f aca="false">'Apr 2027'!J70</f>
        <v>0</v>
      </c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29" t="n">
        <f aca="false">'Apr 2027'!O70</f>
        <v>0</v>
      </c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29" t="n">
        <f aca="false">'Apr 2027'!F71</f>
        <v>0</v>
      </c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29" t="n">
        <f aca="false">'Apr 2027'!J71</f>
        <v>0</v>
      </c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29" t="n">
        <f aca="false">'Apr 2027'!O71</f>
        <v>0</v>
      </c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29" t="n">
        <f aca="false">'Apr 2027'!F72</f>
        <v>0</v>
      </c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29" t="n">
        <f aca="false">'Apr 2027'!J72</f>
        <v>0</v>
      </c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29" t="n">
        <f aca="false">'Apr 2027'!O72</f>
        <v>0</v>
      </c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29" t="n">
        <f aca="false">'Apr 2027'!F73</f>
        <v>0</v>
      </c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29" t="n">
        <f aca="false">'Apr 2027'!J73</f>
        <v>0</v>
      </c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29" t="n">
        <f aca="false">'Apr 2027'!O73</f>
        <v>0</v>
      </c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29" t="n">
        <f aca="false">'Apr 2027'!F74</f>
        <v>0</v>
      </c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29" t="n">
        <f aca="false">'Apr 2027'!J74</f>
        <v>0</v>
      </c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29" t="n">
        <f aca="false">'Apr 2027'!O74</f>
        <v>0</v>
      </c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29" t="n">
        <f aca="false">'Apr 2027'!F75</f>
        <v>0</v>
      </c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29" t="n">
        <f aca="false">'Apr 2027'!J75</f>
        <v>0</v>
      </c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29" t="n">
        <f aca="false">'Apr 2027'!O75</f>
        <v>0</v>
      </c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29" t="n">
        <f aca="false">'Apr 2027'!F76</f>
        <v>0</v>
      </c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29" t="n">
        <f aca="false">'Apr 2027'!J76</f>
        <v>0</v>
      </c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29" t="n">
        <f aca="false">'Apr 2027'!O76</f>
        <v>0</v>
      </c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29" t="n">
        <f aca="false">'Apr 2027'!F77</f>
        <v>0</v>
      </c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29" t="n">
        <f aca="false">'Apr 2027'!J77</f>
        <v>0</v>
      </c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29" t="n">
        <f aca="false">'Apr 2027'!O77</f>
        <v>0</v>
      </c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29" t="n">
        <f aca="false">'Apr 2027'!F78</f>
        <v>0</v>
      </c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29" t="n">
        <f aca="false">'Apr 2027'!J78</f>
        <v>0</v>
      </c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29" t="n">
        <f aca="false">'Apr 2027'!O78</f>
        <v>0</v>
      </c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29" t="n">
        <f aca="false">'Apr 2027'!F79</f>
        <v>0</v>
      </c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29" t="n">
        <f aca="false">'Apr 2027'!J79</f>
        <v>0</v>
      </c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29" t="n">
        <f aca="false">'Apr 2027'!O79</f>
        <v>0</v>
      </c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29" t="n">
        <f aca="false">'Apr 2027'!F80</f>
        <v>0</v>
      </c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29" t="n">
        <f aca="false">'Apr 2027'!J80</f>
        <v>0</v>
      </c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29" t="n">
        <f aca="false">'Apr 2027'!O80</f>
        <v>0</v>
      </c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29" t="n">
        <f aca="false">'Apr 2027'!F81</f>
        <v>0</v>
      </c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29" t="n">
        <f aca="false">'Apr 2027'!J81</f>
        <v>0</v>
      </c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29" t="n">
        <f aca="false">'Apr 2027'!O81</f>
        <v>0</v>
      </c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29" t="n">
        <f aca="false">'Apr 2027'!F82</f>
        <v>0</v>
      </c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29" t="n">
        <f aca="false">'Apr 2027'!J82</f>
        <v>0</v>
      </c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29" t="n">
        <f aca="false">'Apr 2027'!O82</f>
        <v>0</v>
      </c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29" t="n">
        <f aca="false">'Apr 2027'!F83</f>
        <v>0</v>
      </c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29" t="n">
        <f aca="false">'Apr 2027'!J83</f>
        <v>0</v>
      </c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29" t="n">
        <f aca="false">'Apr 2027'!O83</f>
        <v>0</v>
      </c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29" t="n">
        <f aca="false">'Apr 2027'!F84</f>
        <v>0</v>
      </c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29" t="n">
        <f aca="false">'Apr 2027'!J84</f>
        <v>0</v>
      </c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29" t="n">
        <f aca="false">'Apr 2027'!O84</f>
        <v>0</v>
      </c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29" t="n">
        <f aca="false">'Apr 2027'!F85</f>
        <v>0</v>
      </c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29" t="n">
        <f aca="false">'Apr 2027'!J85</f>
        <v>0</v>
      </c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29" t="n">
        <f aca="false">'Apr 2027'!O85</f>
        <v>0</v>
      </c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29" t="n">
        <f aca="false">'Apr 2027'!F86</f>
        <v>0</v>
      </c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29" t="n">
        <f aca="false">'Apr 2027'!J86</f>
        <v>0</v>
      </c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29" t="n">
        <f aca="false">'Apr 2027'!O86</f>
        <v>0</v>
      </c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29" t="n">
        <f aca="false">'Apr 2027'!F87</f>
        <v>0</v>
      </c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29" t="n">
        <f aca="false">'Apr 2027'!J87</f>
        <v>0</v>
      </c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29" t="n">
        <f aca="false">'Apr 2027'!O87</f>
        <v>0</v>
      </c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29" t="n">
        <f aca="false">'Apr 2027'!F88</f>
        <v>0</v>
      </c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29" t="n">
        <f aca="false">'Apr 2027'!J88</f>
        <v>0</v>
      </c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29" t="n">
        <f aca="false">'Apr 2027'!O88</f>
        <v>0</v>
      </c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29" t="n">
        <f aca="false">'Apr 2027'!F89</f>
        <v>0</v>
      </c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29" t="n">
        <f aca="false">'Apr 2027'!J89</f>
        <v>0</v>
      </c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29" t="n">
        <f aca="false">'Apr 2027'!O89</f>
        <v>0</v>
      </c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29" t="n">
        <f aca="false">'Apr 2027'!F90</f>
        <v>0</v>
      </c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29" t="n">
        <f aca="false">'Apr 2027'!J90</f>
        <v>0</v>
      </c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29" t="n">
        <f aca="false">'Apr 2027'!O90</f>
        <v>0</v>
      </c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29" t="n">
        <f aca="false">'Apr 2027'!F91</f>
        <v>0</v>
      </c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29" t="n">
        <f aca="false">'Apr 2027'!J91</f>
        <v>0</v>
      </c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29" t="n">
        <f aca="false">'Apr 2027'!O91</f>
        <v>0</v>
      </c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29" t="n">
        <f aca="false">'Apr 2027'!F92</f>
        <v>0</v>
      </c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29" t="n">
        <f aca="false">'Apr 2027'!J92</f>
        <v>0</v>
      </c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29" t="n">
        <f aca="false">'Apr 2027'!O92</f>
        <v>0</v>
      </c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29" t="n">
        <f aca="false">'Apr 2027'!F93</f>
        <v>0</v>
      </c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29" t="n">
        <f aca="false">'Apr 2027'!J93</f>
        <v>0</v>
      </c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29" t="n">
        <f aca="false">'Apr 2027'!O93</f>
        <v>0</v>
      </c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29" t="n">
        <f aca="false">'Apr 2027'!F94</f>
        <v>0</v>
      </c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29" t="n">
        <f aca="false">'Apr 2027'!J94</f>
        <v>0</v>
      </c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29" t="n">
        <f aca="false">'Apr 2027'!O94</f>
        <v>0</v>
      </c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29" t="n">
        <f aca="false">'Apr 2027'!F95</f>
        <v>0</v>
      </c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29" t="n">
        <f aca="false">'Apr 2027'!J95</f>
        <v>0</v>
      </c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29" t="n">
        <f aca="false">'Apr 2027'!O95</f>
        <v>0</v>
      </c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29" t="n">
        <f aca="false">'Apr 2027'!F96</f>
        <v>0</v>
      </c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29" t="n">
        <f aca="false">'Apr 2027'!J96</f>
        <v>0</v>
      </c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29" t="n">
        <f aca="false">'Apr 2027'!O96</f>
        <v>0</v>
      </c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29" t="n">
        <f aca="false">'Apr 2027'!F97</f>
        <v>0</v>
      </c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29" t="n">
        <f aca="false">'Apr 2027'!J97</f>
        <v>0</v>
      </c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29" t="n">
        <f aca="false">'Apr 2027'!O97</f>
        <v>0</v>
      </c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29" t="n">
        <f aca="false">'Apr 2027'!F98</f>
        <v>0</v>
      </c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29" t="n">
        <f aca="false">'Apr 2027'!J98</f>
        <v>0</v>
      </c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29" t="n">
        <f aca="false">'Apr 2027'!O98</f>
        <v>0</v>
      </c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29" t="n">
        <f aca="false">'Apr 2027'!F99</f>
        <v>0</v>
      </c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29" t="n">
        <f aca="false">'Apr 2027'!J99</f>
        <v>0</v>
      </c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29" t="n">
        <f aca="false">'Apr 2027'!O99</f>
        <v>0</v>
      </c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29" t="n">
        <f aca="false">'Apr 2027'!F100</f>
        <v>0</v>
      </c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29" t="n">
        <f aca="false">'Apr 2027'!J100</f>
        <v>0</v>
      </c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29" t="n">
        <f aca="false">'Apr 2027'!O100</f>
        <v>0</v>
      </c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29" t="n">
        <f aca="false">'Apr 2027'!F101</f>
        <v>0</v>
      </c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29" t="n">
        <f aca="false">'Apr 2027'!J101</f>
        <v>0</v>
      </c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29" t="n">
        <f aca="false">'Apr 2027'!O101</f>
        <v>0</v>
      </c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29" t="n">
        <f aca="false">'Apr 2027'!F102</f>
        <v>0</v>
      </c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29" t="n">
        <f aca="false">'Apr 2027'!J102</f>
        <v>0</v>
      </c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29" t="n">
        <f aca="false">'Apr 2027'!O102</f>
        <v>0</v>
      </c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29" t="n">
        <f aca="false">'Apr 2027'!F103</f>
        <v>0</v>
      </c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29" t="n">
        <f aca="false">'Apr 2027'!J103</f>
        <v>0</v>
      </c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29" t="n">
        <f aca="false">'Apr 2027'!O103</f>
        <v>0</v>
      </c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29" t="n">
        <f aca="false">'Apr 2027'!F104</f>
        <v>0</v>
      </c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29" t="n">
        <f aca="false">'Apr 2027'!J104</f>
        <v>0</v>
      </c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29" t="n">
        <f aca="false">'Apr 2027'!O104</f>
        <v>0</v>
      </c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29" t="n">
        <f aca="false">'Apr 2027'!F105</f>
        <v>0</v>
      </c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29" t="n">
        <f aca="false">'Apr 2027'!J105</f>
        <v>0</v>
      </c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29" t="n">
        <f aca="false">'Apr 2027'!O105</f>
        <v>0</v>
      </c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29" t="n">
        <f aca="false">'Apr 2027'!F106</f>
        <v>0</v>
      </c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29" t="n">
        <f aca="false">'Apr 2027'!J106</f>
        <v>0</v>
      </c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29" t="n">
        <f aca="false">'Apr 2027'!O106</f>
        <v>0</v>
      </c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29" t="n">
        <f aca="false">'Apr 2027'!F107</f>
        <v>0</v>
      </c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29" t="n">
        <f aca="false">'Apr 2027'!J107</f>
        <v>0</v>
      </c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29" t="n">
        <f aca="false">'Apr 2027'!O107</f>
        <v>0</v>
      </c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29" t="n">
        <f aca="false">'Apr 2027'!F108</f>
        <v>0</v>
      </c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29" t="n">
        <f aca="false">'Apr 2027'!J108</f>
        <v>0</v>
      </c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29" t="n">
        <f aca="false">'Apr 2027'!O108</f>
        <v>0</v>
      </c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29" t="n">
        <f aca="false">'Apr 2027'!F109</f>
        <v>0</v>
      </c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29" t="n">
        <f aca="false">'Apr 2027'!J109</f>
        <v>0</v>
      </c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29" t="n">
        <f aca="false">'Apr 2027'!O109</f>
        <v>0</v>
      </c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29" t="n">
        <f aca="false">'Apr 2027'!F110</f>
        <v>0</v>
      </c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29" t="n">
        <f aca="false">'Apr 2027'!J110</f>
        <v>0</v>
      </c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29" t="n">
        <f aca="false">'Apr 2027'!O110</f>
        <v>0</v>
      </c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29" t="n">
        <f aca="false">'Apr 2027'!F111</f>
        <v>0</v>
      </c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29" t="n">
        <f aca="false">'Apr 2027'!J111</f>
        <v>0</v>
      </c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29" t="n">
        <f aca="false">'Apr 2027'!O111</f>
        <v>0</v>
      </c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29" t="n">
        <f aca="false">'Apr 2027'!F112</f>
        <v>0</v>
      </c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29" t="n">
        <f aca="false">'Apr 2027'!J112</f>
        <v>0</v>
      </c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29" t="n">
        <f aca="false">'Apr 2027'!O112</f>
        <v>0</v>
      </c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29" t="n">
        <f aca="false">'Apr 2027'!F113</f>
        <v>0</v>
      </c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29" t="n">
        <f aca="false">'Apr 2027'!J113</f>
        <v>0</v>
      </c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29" t="n">
        <f aca="false">'Apr 2027'!O113</f>
        <v>0</v>
      </c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12000</v>
      </c>
      <c r="D114" s="32" t="n">
        <f aca="false">SUM(D14:D113)</f>
        <v>2000</v>
      </c>
      <c r="E114" s="32" t="n">
        <f aca="false">SUM(E14:E113)</f>
        <v>0</v>
      </c>
      <c r="F114" s="32" t="n">
        <f aca="false">SUM(F14:F113)</f>
        <v>14000</v>
      </c>
      <c r="G114" s="32" t="n">
        <f aca="false">SUM(G14:G113)</f>
        <v>10500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12000</v>
      </c>
      <c r="K114" s="32" t="n">
        <f aca="false">SUM(K14:K113)</f>
        <v>200</v>
      </c>
      <c r="L114" s="32" t="n">
        <f aca="false">SUM(L14:L113)</f>
        <v>0</v>
      </c>
      <c r="M114" s="32" t="n">
        <f aca="false">SUM(M14:M113)</f>
        <v>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26200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26200</v>
      </c>
      <c r="D11" s="21"/>
      <c r="E11" s="3" t="s">
        <v>44</v>
      </c>
      <c r="F11" s="3"/>
      <c r="G11" s="21" t="n">
        <f aca="false">D114+H114+L114+M114</f>
        <v>3500</v>
      </c>
      <c r="H11" s="21"/>
      <c r="I11" s="3" t="s">
        <v>45</v>
      </c>
      <c r="J11" s="3"/>
      <c r="K11" s="21" t="n">
        <f aca="false">E114+I114+N114</f>
        <v>0</v>
      </c>
      <c r="L11" s="21"/>
      <c r="M11" s="3" t="s">
        <v>46</v>
      </c>
      <c r="N11" s="3"/>
      <c r="O11" s="21" t="n">
        <f aca="false">P114</f>
        <v>29700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29" t="n">
        <f aca="false">'May 2027'!F14</f>
        <v>14000</v>
      </c>
      <c r="D14" s="29" t="n">
        <f aca="false">IF(Students!D5="Yes",N(Students!E5),0)</f>
        <v>2000</v>
      </c>
      <c r="E14" s="13"/>
      <c r="F14" s="30" t="n">
        <f aca="false">N(C14)+N(D14)-N(E14)</f>
        <v>16000</v>
      </c>
      <c r="G14" s="29" t="n">
        <f aca="false">'May 2027'!J14</f>
        <v>12000</v>
      </c>
      <c r="H14" s="29" t="n">
        <f aca="false">IF(Students!F5="Yes",N(Students!G5),0)</f>
        <v>1500</v>
      </c>
      <c r="I14" s="13"/>
      <c r="J14" s="30" t="n">
        <f aca="false">N(G14)+N(H14)-N(I14)</f>
        <v>13500</v>
      </c>
      <c r="K14" s="29" t="n">
        <f aca="false">'May 2027'!O14</f>
        <v>200</v>
      </c>
      <c r="L14" s="13"/>
      <c r="M14" s="13"/>
      <c r="N14" s="13"/>
      <c r="O14" s="30" t="n">
        <f aca="false">N(K14)+N(L14)+N(M14)-N(N14)</f>
        <v>200</v>
      </c>
      <c r="P14" s="30" t="n">
        <f aca="false">F14+J14+O14</f>
        <v>29700</v>
      </c>
      <c r="Q14" s="10" t="str">
        <f aca="false">IF(B14="","",IF(P14&lt;=0,"Clear",IF(E14+I14+N14&gt;0,"Partial","Due")))</f>
        <v>Due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29" t="n">
        <f aca="false">'May 2027'!F15</f>
        <v>0</v>
      </c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29" t="n">
        <f aca="false">'May 2027'!J15</f>
        <v>0</v>
      </c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29" t="n">
        <f aca="false">'May 2027'!O15</f>
        <v>0</v>
      </c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29" t="n">
        <f aca="false">'May 2027'!F16</f>
        <v>0</v>
      </c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29" t="n">
        <f aca="false">'May 2027'!J16</f>
        <v>0</v>
      </c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29" t="n">
        <f aca="false">'May 2027'!O16</f>
        <v>0</v>
      </c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29" t="n">
        <f aca="false">'May 2027'!F17</f>
        <v>0</v>
      </c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29" t="n">
        <f aca="false">'May 2027'!J17</f>
        <v>0</v>
      </c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29" t="n">
        <f aca="false">'May 2027'!O17</f>
        <v>0</v>
      </c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29" t="n">
        <f aca="false">'May 2027'!F18</f>
        <v>0</v>
      </c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29" t="n">
        <f aca="false">'May 2027'!J18</f>
        <v>0</v>
      </c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29" t="n">
        <f aca="false">'May 2027'!O18</f>
        <v>0</v>
      </c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29" t="n">
        <f aca="false">'May 2027'!F19</f>
        <v>0</v>
      </c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29" t="n">
        <f aca="false">'May 2027'!J19</f>
        <v>0</v>
      </c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29" t="n">
        <f aca="false">'May 2027'!O19</f>
        <v>0</v>
      </c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29" t="n">
        <f aca="false">'May 2027'!F20</f>
        <v>0</v>
      </c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29" t="n">
        <f aca="false">'May 2027'!J20</f>
        <v>0</v>
      </c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29" t="n">
        <f aca="false">'May 2027'!O20</f>
        <v>0</v>
      </c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29" t="n">
        <f aca="false">'May 2027'!F21</f>
        <v>0</v>
      </c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29" t="n">
        <f aca="false">'May 2027'!J21</f>
        <v>0</v>
      </c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29" t="n">
        <f aca="false">'May 2027'!O21</f>
        <v>0</v>
      </c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29" t="n">
        <f aca="false">'May 2027'!F22</f>
        <v>0</v>
      </c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29" t="n">
        <f aca="false">'May 2027'!J22</f>
        <v>0</v>
      </c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29" t="n">
        <f aca="false">'May 2027'!O22</f>
        <v>0</v>
      </c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29" t="n">
        <f aca="false">'May 2027'!F23</f>
        <v>0</v>
      </c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29" t="n">
        <f aca="false">'May 2027'!J23</f>
        <v>0</v>
      </c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29" t="n">
        <f aca="false">'May 2027'!O23</f>
        <v>0</v>
      </c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29" t="n">
        <f aca="false">'May 2027'!F24</f>
        <v>0</v>
      </c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29" t="n">
        <f aca="false">'May 2027'!J24</f>
        <v>0</v>
      </c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29" t="n">
        <f aca="false">'May 2027'!O24</f>
        <v>0</v>
      </c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29" t="n">
        <f aca="false">'May 2027'!F25</f>
        <v>0</v>
      </c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29" t="n">
        <f aca="false">'May 2027'!J25</f>
        <v>0</v>
      </c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29" t="n">
        <f aca="false">'May 2027'!O25</f>
        <v>0</v>
      </c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29" t="n">
        <f aca="false">'May 2027'!F26</f>
        <v>0</v>
      </c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29" t="n">
        <f aca="false">'May 2027'!J26</f>
        <v>0</v>
      </c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29" t="n">
        <f aca="false">'May 2027'!O26</f>
        <v>0</v>
      </c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29" t="n">
        <f aca="false">'May 2027'!F27</f>
        <v>0</v>
      </c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29" t="n">
        <f aca="false">'May 2027'!J27</f>
        <v>0</v>
      </c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29" t="n">
        <f aca="false">'May 2027'!O27</f>
        <v>0</v>
      </c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29" t="n">
        <f aca="false">'May 2027'!F28</f>
        <v>0</v>
      </c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29" t="n">
        <f aca="false">'May 2027'!J28</f>
        <v>0</v>
      </c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29" t="n">
        <f aca="false">'May 2027'!O28</f>
        <v>0</v>
      </c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29" t="n">
        <f aca="false">'May 2027'!F29</f>
        <v>0</v>
      </c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29" t="n">
        <f aca="false">'May 2027'!J29</f>
        <v>0</v>
      </c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29" t="n">
        <f aca="false">'May 2027'!O29</f>
        <v>0</v>
      </c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29" t="n">
        <f aca="false">'May 2027'!F30</f>
        <v>0</v>
      </c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29" t="n">
        <f aca="false">'May 2027'!J30</f>
        <v>0</v>
      </c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29" t="n">
        <f aca="false">'May 2027'!O30</f>
        <v>0</v>
      </c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29" t="n">
        <f aca="false">'May 2027'!F31</f>
        <v>0</v>
      </c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29" t="n">
        <f aca="false">'May 2027'!J31</f>
        <v>0</v>
      </c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29" t="n">
        <f aca="false">'May 2027'!O31</f>
        <v>0</v>
      </c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29" t="n">
        <f aca="false">'May 2027'!F32</f>
        <v>0</v>
      </c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29" t="n">
        <f aca="false">'May 2027'!J32</f>
        <v>0</v>
      </c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29" t="n">
        <f aca="false">'May 2027'!O32</f>
        <v>0</v>
      </c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29" t="n">
        <f aca="false">'May 2027'!F33</f>
        <v>0</v>
      </c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29" t="n">
        <f aca="false">'May 2027'!J33</f>
        <v>0</v>
      </c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29" t="n">
        <f aca="false">'May 2027'!O33</f>
        <v>0</v>
      </c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29" t="n">
        <f aca="false">'May 2027'!F34</f>
        <v>0</v>
      </c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29" t="n">
        <f aca="false">'May 2027'!J34</f>
        <v>0</v>
      </c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29" t="n">
        <f aca="false">'May 2027'!O34</f>
        <v>0</v>
      </c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29" t="n">
        <f aca="false">'May 2027'!F35</f>
        <v>0</v>
      </c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29" t="n">
        <f aca="false">'May 2027'!J35</f>
        <v>0</v>
      </c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29" t="n">
        <f aca="false">'May 2027'!O35</f>
        <v>0</v>
      </c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29" t="n">
        <f aca="false">'May 2027'!F36</f>
        <v>0</v>
      </c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29" t="n">
        <f aca="false">'May 2027'!J36</f>
        <v>0</v>
      </c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29" t="n">
        <f aca="false">'May 2027'!O36</f>
        <v>0</v>
      </c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29" t="n">
        <f aca="false">'May 2027'!F37</f>
        <v>0</v>
      </c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29" t="n">
        <f aca="false">'May 2027'!J37</f>
        <v>0</v>
      </c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29" t="n">
        <f aca="false">'May 2027'!O37</f>
        <v>0</v>
      </c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29" t="n">
        <f aca="false">'May 2027'!F38</f>
        <v>0</v>
      </c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29" t="n">
        <f aca="false">'May 2027'!J38</f>
        <v>0</v>
      </c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29" t="n">
        <f aca="false">'May 2027'!O38</f>
        <v>0</v>
      </c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29" t="n">
        <f aca="false">'May 2027'!F39</f>
        <v>0</v>
      </c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29" t="n">
        <f aca="false">'May 2027'!J39</f>
        <v>0</v>
      </c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29" t="n">
        <f aca="false">'May 2027'!O39</f>
        <v>0</v>
      </c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29" t="n">
        <f aca="false">'May 2027'!F40</f>
        <v>0</v>
      </c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29" t="n">
        <f aca="false">'May 2027'!J40</f>
        <v>0</v>
      </c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29" t="n">
        <f aca="false">'May 2027'!O40</f>
        <v>0</v>
      </c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29" t="n">
        <f aca="false">'May 2027'!F41</f>
        <v>0</v>
      </c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29" t="n">
        <f aca="false">'May 2027'!J41</f>
        <v>0</v>
      </c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29" t="n">
        <f aca="false">'May 2027'!O41</f>
        <v>0</v>
      </c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29" t="n">
        <f aca="false">'May 2027'!F42</f>
        <v>0</v>
      </c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29" t="n">
        <f aca="false">'May 2027'!J42</f>
        <v>0</v>
      </c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29" t="n">
        <f aca="false">'May 2027'!O42</f>
        <v>0</v>
      </c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29" t="n">
        <f aca="false">'May 2027'!F43</f>
        <v>0</v>
      </c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29" t="n">
        <f aca="false">'May 2027'!J43</f>
        <v>0</v>
      </c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29" t="n">
        <f aca="false">'May 2027'!O43</f>
        <v>0</v>
      </c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29" t="n">
        <f aca="false">'May 2027'!F44</f>
        <v>0</v>
      </c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29" t="n">
        <f aca="false">'May 2027'!J44</f>
        <v>0</v>
      </c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29" t="n">
        <f aca="false">'May 2027'!O44</f>
        <v>0</v>
      </c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29" t="n">
        <f aca="false">'May 2027'!F45</f>
        <v>0</v>
      </c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29" t="n">
        <f aca="false">'May 2027'!J45</f>
        <v>0</v>
      </c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29" t="n">
        <f aca="false">'May 2027'!O45</f>
        <v>0</v>
      </c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29" t="n">
        <f aca="false">'May 2027'!F46</f>
        <v>0</v>
      </c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29" t="n">
        <f aca="false">'May 2027'!J46</f>
        <v>0</v>
      </c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29" t="n">
        <f aca="false">'May 2027'!O46</f>
        <v>0</v>
      </c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29" t="n">
        <f aca="false">'May 2027'!F47</f>
        <v>0</v>
      </c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29" t="n">
        <f aca="false">'May 2027'!J47</f>
        <v>0</v>
      </c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29" t="n">
        <f aca="false">'May 2027'!O47</f>
        <v>0</v>
      </c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29" t="n">
        <f aca="false">'May 2027'!F48</f>
        <v>0</v>
      </c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29" t="n">
        <f aca="false">'May 2027'!J48</f>
        <v>0</v>
      </c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29" t="n">
        <f aca="false">'May 2027'!O48</f>
        <v>0</v>
      </c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29" t="n">
        <f aca="false">'May 2027'!F49</f>
        <v>0</v>
      </c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29" t="n">
        <f aca="false">'May 2027'!J49</f>
        <v>0</v>
      </c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29" t="n">
        <f aca="false">'May 2027'!O49</f>
        <v>0</v>
      </c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29" t="n">
        <f aca="false">'May 2027'!F50</f>
        <v>0</v>
      </c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29" t="n">
        <f aca="false">'May 2027'!J50</f>
        <v>0</v>
      </c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29" t="n">
        <f aca="false">'May 2027'!O50</f>
        <v>0</v>
      </c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29" t="n">
        <f aca="false">'May 2027'!F51</f>
        <v>0</v>
      </c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29" t="n">
        <f aca="false">'May 2027'!J51</f>
        <v>0</v>
      </c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29" t="n">
        <f aca="false">'May 2027'!O51</f>
        <v>0</v>
      </c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29" t="n">
        <f aca="false">'May 2027'!F52</f>
        <v>0</v>
      </c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29" t="n">
        <f aca="false">'May 2027'!J52</f>
        <v>0</v>
      </c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29" t="n">
        <f aca="false">'May 2027'!O52</f>
        <v>0</v>
      </c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29" t="n">
        <f aca="false">'May 2027'!F53</f>
        <v>0</v>
      </c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29" t="n">
        <f aca="false">'May 2027'!J53</f>
        <v>0</v>
      </c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29" t="n">
        <f aca="false">'May 2027'!O53</f>
        <v>0</v>
      </c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29" t="n">
        <f aca="false">'May 2027'!F54</f>
        <v>0</v>
      </c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29" t="n">
        <f aca="false">'May 2027'!J54</f>
        <v>0</v>
      </c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29" t="n">
        <f aca="false">'May 2027'!O54</f>
        <v>0</v>
      </c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29" t="n">
        <f aca="false">'May 2027'!F55</f>
        <v>0</v>
      </c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29" t="n">
        <f aca="false">'May 2027'!J55</f>
        <v>0</v>
      </c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29" t="n">
        <f aca="false">'May 2027'!O55</f>
        <v>0</v>
      </c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29" t="n">
        <f aca="false">'May 2027'!F56</f>
        <v>0</v>
      </c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29" t="n">
        <f aca="false">'May 2027'!J56</f>
        <v>0</v>
      </c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29" t="n">
        <f aca="false">'May 2027'!O56</f>
        <v>0</v>
      </c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29" t="n">
        <f aca="false">'May 2027'!F57</f>
        <v>0</v>
      </c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29" t="n">
        <f aca="false">'May 2027'!J57</f>
        <v>0</v>
      </c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29" t="n">
        <f aca="false">'May 2027'!O57</f>
        <v>0</v>
      </c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29" t="n">
        <f aca="false">'May 2027'!F58</f>
        <v>0</v>
      </c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29" t="n">
        <f aca="false">'May 2027'!J58</f>
        <v>0</v>
      </c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29" t="n">
        <f aca="false">'May 2027'!O58</f>
        <v>0</v>
      </c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29" t="n">
        <f aca="false">'May 2027'!F59</f>
        <v>0</v>
      </c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29" t="n">
        <f aca="false">'May 2027'!J59</f>
        <v>0</v>
      </c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29" t="n">
        <f aca="false">'May 2027'!O59</f>
        <v>0</v>
      </c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29" t="n">
        <f aca="false">'May 2027'!F60</f>
        <v>0</v>
      </c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29" t="n">
        <f aca="false">'May 2027'!J60</f>
        <v>0</v>
      </c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29" t="n">
        <f aca="false">'May 2027'!O60</f>
        <v>0</v>
      </c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29" t="n">
        <f aca="false">'May 2027'!F61</f>
        <v>0</v>
      </c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29" t="n">
        <f aca="false">'May 2027'!J61</f>
        <v>0</v>
      </c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29" t="n">
        <f aca="false">'May 2027'!O61</f>
        <v>0</v>
      </c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29" t="n">
        <f aca="false">'May 2027'!F62</f>
        <v>0</v>
      </c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29" t="n">
        <f aca="false">'May 2027'!J62</f>
        <v>0</v>
      </c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29" t="n">
        <f aca="false">'May 2027'!O62</f>
        <v>0</v>
      </c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29" t="n">
        <f aca="false">'May 2027'!F63</f>
        <v>0</v>
      </c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29" t="n">
        <f aca="false">'May 2027'!J63</f>
        <v>0</v>
      </c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29" t="n">
        <f aca="false">'May 2027'!O63</f>
        <v>0</v>
      </c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29" t="n">
        <f aca="false">'May 2027'!F64</f>
        <v>0</v>
      </c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29" t="n">
        <f aca="false">'May 2027'!J64</f>
        <v>0</v>
      </c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29" t="n">
        <f aca="false">'May 2027'!O64</f>
        <v>0</v>
      </c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29" t="n">
        <f aca="false">'May 2027'!F65</f>
        <v>0</v>
      </c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29" t="n">
        <f aca="false">'May 2027'!J65</f>
        <v>0</v>
      </c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29" t="n">
        <f aca="false">'May 2027'!O65</f>
        <v>0</v>
      </c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29" t="n">
        <f aca="false">'May 2027'!F66</f>
        <v>0</v>
      </c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29" t="n">
        <f aca="false">'May 2027'!J66</f>
        <v>0</v>
      </c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29" t="n">
        <f aca="false">'May 2027'!O66</f>
        <v>0</v>
      </c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29" t="n">
        <f aca="false">'May 2027'!F67</f>
        <v>0</v>
      </c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29" t="n">
        <f aca="false">'May 2027'!J67</f>
        <v>0</v>
      </c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29" t="n">
        <f aca="false">'May 2027'!O67</f>
        <v>0</v>
      </c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29" t="n">
        <f aca="false">'May 2027'!F68</f>
        <v>0</v>
      </c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29" t="n">
        <f aca="false">'May 2027'!J68</f>
        <v>0</v>
      </c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29" t="n">
        <f aca="false">'May 2027'!O68</f>
        <v>0</v>
      </c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29" t="n">
        <f aca="false">'May 2027'!F69</f>
        <v>0</v>
      </c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29" t="n">
        <f aca="false">'May 2027'!J69</f>
        <v>0</v>
      </c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29" t="n">
        <f aca="false">'May 2027'!O69</f>
        <v>0</v>
      </c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29" t="n">
        <f aca="false">'May 2027'!F70</f>
        <v>0</v>
      </c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29" t="n">
        <f aca="false">'May 2027'!J70</f>
        <v>0</v>
      </c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29" t="n">
        <f aca="false">'May 2027'!O70</f>
        <v>0</v>
      </c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29" t="n">
        <f aca="false">'May 2027'!F71</f>
        <v>0</v>
      </c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29" t="n">
        <f aca="false">'May 2027'!J71</f>
        <v>0</v>
      </c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29" t="n">
        <f aca="false">'May 2027'!O71</f>
        <v>0</v>
      </c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29" t="n">
        <f aca="false">'May 2027'!F72</f>
        <v>0</v>
      </c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29" t="n">
        <f aca="false">'May 2027'!J72</f>
        <v>0</v>
      </c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29" t="n">
        <f aca="false">'May 2027'!O72</f>
        <v>0</v>
      </c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29" t="n">
        <f aca="false">'May 2027'!F73</f>
        <v>0</v>
      </c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29" t="n">
        <f aca="false">'May 2027'!J73</f>
        <v>0</v>
      </c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29" t="n">
        <f aca="false">'May 2027'!O73</f>
        <v>0</v>
      </c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29" t="n">
        <f aca="false">'May 2027'!F74</f>
        <v>0</v>
      </c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29" t="n">
        <f aca="false">'May 2027'!J74</f>
        <v>0</v>
      </c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29" t="n">
        <f aca="false">'May 2027'!O74</f>
        <v>0</v>
      </c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29" t="n">
        <f aca="false">'May 2027'!F75</f>
        <v>0</v>
      </c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29" t="n">
        <f aca="false">'May 2027'!J75</f>
        <v>0</v>
      </c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29" t="n">
        <f aca="false">'May 2027'!O75</f>
        <v>0</v>
      </c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29" t="n">
        <f aca="false">'May 2027'!F76</f>
        <v>0</v>
      </c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29" t="n">
        <f aca="false">'May 2027'!J76</f>
        <v>0</v>
      </c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29" t="n">
        <f aca="false">'May 2027'!O76</f>
        <v>0</v>
      </c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29" t="n">
        <f aca="false">'May 2027'!F77</f>
        <v>0</v>
      </c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29" t="n">
        <f aca="false">'May 2027'!J77</f>
        <v>0</v>
      </c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29" t="n">
        <f aca="false">'May 2027'!O77</f>
        <v>0</v>
      </c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29" t="n">
        <f aca="false">'May 2027'!F78</f>
        <v>0</v>
      </c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29" t="n">
        <f aca="false">'May 2027'!J78</f>
        <v>0</v>
      </c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29" t="n">
        <f aca="false">'May 2027'!O78</f>
        <v>0</v>
      </c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29" t="n">
        <f aca="false">'May 2027'!F79</f>
        <v>0</v>
      </c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29" t="n">
        <f aca="false">'May 2027'!J79</f>
        <v>0</v>
      </c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29" t="n">
        <f aca="false">'May 2027'!O79</f>
        <v>0</v>
      </c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29" t="n">
        <f aca="false">'May 2027'!F80</f>
        <v>0</v>
      </c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29" t="n">
        <f aca="false">'May 2027'!J80</f>
        <v>0</v>
      </c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29" t="n">
        <f aca="false">'May 2027'!O80</f>
        <v>0</v>
      </c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29" t="n">
        <f aca="false">'May 2027'!F81</f>
        <v>0</v>
      </c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29" t="n">
        <f aca="false">'May 2027'!J81</f>
        <v>0</v>
      </c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29" t="n">
        <f aca="false">'May 2027'!O81</f>
        <v>0</v>
      </c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29" t="n">
        <f aca="false">'May 2027'!F82</f>
        <v>0</v>
      </c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29" t="n">
        <f aca="false">'May 2027'!J82</f>
        <v>0</v>
      </c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29" t="n">
        <f aca="false">'May 2027'!O82</f>
        <v>0</v>
      </c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29" t="n">
        <f aca="false">'May 2027'!F83</f>
        <v>0</v>
      </c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29" t="n">
        <f aca="false">'May 2027'!J83</f>
        <v>0</v>
      </c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29" t="n">
        <f aca="false">'May 2027'!O83</f>
        <v>0</v>
      </c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29" t="n">
        <f aca="false">'May 2027'!F84</f>
        <v>0</v>
      </c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29" t="n">
        <f aca="false">'May 2027'!J84</f>
        <v>0</v>
      </c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29" t="n">
        <f aca="false">'May 2027'!O84</f>
        <v>0</v>
      </c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29" t="n">
        <f aca="false">'May 2027'!F85</f>
        <v>0</v>
      </c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29" t="n">
        <f aca="false">'May 2027'!J85</f>
        <v>0</v>
      </c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29" t="n">
        <f aca="false">'May 2027'!O85</f>
        <v>0</v>
      </c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29" t="n">
        <f aca="false">'May 2027'!F86</f>
        <v>0</v>
      </c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29" t="n">
        <f aca="false">'May 2027'!J86</f>
        <v>0</v>
      </c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29" t="n">
        <f aca="false">'May 2027'!O86</f>
        <v>0</v>
      </c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29" t="n">
        <f aca="false">'May 2027'!F87</f>
        <v>0</v>
      </c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29" t="n">
        <f aca="false">'May 2027'!J87</f>
        <v>0</v>
      </c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29" t="n">
        <f aca="false">'May 2027'!O87</f>
        <v>0</v>
      </c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29" t="n">
        <f aca="false">'May 2027'!F88</f>
        <v>0</v>
      </c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29" t="n">
        <f aca="false">'May 2027'!J88</f>
        <v>0</v>
      </c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29" t="n">
        <f aca="false">'May 2027'!O88</f>
        <v>0</v>
      </c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29" t="n">
        <f aca="false">'May 2027'!F89</f>
        <v>0</v>
      </c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29" t="n">
        <f aca="false">'May 2027'!J89</f>
        <v>0</v>
      </c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29" t="n">
        <f aca="false">'May 2027'!O89</f>
        <v>0</v>
      </c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29" t="n">
        <f aca="false">'May 2027'!F90</f>
        <v>0</v>
      </c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29" t="n">
        <f aca="false">'May 2027'!J90</f>
        <v>0</v>
      </c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29" t="n">
        <f aca="false">'May 2027'!O90</f>
        <v>0</v>
      </c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29" t="n">
        <f aca="false">'May 2027'!F91</f>
        <v>0</v>
      </c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29" t="n">
        <f aca="false">'May 2027'!J91</f>
        <v>0</v>
      </c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29" t="n">
        <f aca="false">'May 2027'!O91</f>
        <v>0</v>
      </c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29" t="n">
        <f aca="false">'May 2027'!F92</f>
        <v>0</v>
      </c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29" t="n">
        <f aca="false">'May 2027'!J92</f>
        <v>0</v>
      </c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29" t="n">
        <f aca="false">'May 2027'!O92</f>
        <v>0</v>
      </c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29" t="n">
        <f aca="false">'May 2027'!F93</f>
        <v>0</v>
      </c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29" t="n">
        <f aca="false">'May 2027'!J93</f>
        <v>0</v>
      </c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29" t="n">
        <f aca="false">'May 2027'!O93</f>
        <v>0</v>
      </c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29" t="n">
        <f aca="false">'May 2027'!F94</f>
        <v>0</v>
      </c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29" t="n">
        <f aca="false">'May 2027'!J94</f>
        <v>0</v>
      </c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29" t="n">
        <f aca="false">'May 2027'!O94</f>
        <v>0</v>
      </c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29" t="n">
        <f aca="false">'May 2027'!F95</f>
        <v>0</v>
      </c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29" t="n">
        <f aca="false">'May 2027'!J95</f>
        <v>0</v>
      </c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29" t="n">
        <f aca="false">'May 2027'!O95</f>
        <v>0</v>
      </c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29" t="n">
        <f aca="false">'May 2027'!F96</f>
        <v>0</v>
      </c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29" t="n">
        <f aca="false">'May 2027'!J96</f>
        <v>0</v>
      </c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29" t="n">
        <f aca="false">'May 2027'!O96</f>
        <v>0</v>
      </c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29" t="n">
        <f aca="false">'May 2027'!F97</f>
        <v>0</v>
      </c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29" t="n">
        <f aca="false">'May 2027'!J97</f>
        <v>0</v>
      </c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29" t="n">
        <f aca="false">'May 2027'!O97</f>
        <v>0</v>
      </c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29" t="n">
        <f aca="false">'May 2027'!F98</f>
        <v>0</v>
      </c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29" t="n">
        <f aca="false">'May 2027'!J98</f>
        <v>0</v>
      </c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29" t="n">
        <f aca="false">'May 2027'!O98</f>
        <v>0</v>
      </c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29" t="n">
        <f aca="false">'May 2027'!F99</f>
        <v>0</v>
      </c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29" t="n">
        <f aca="false">'May 2027'!J99</f>
        <v>0</v>
      </c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29" t="n">
        <f aca="false">'May 2027'!O99</f>
        <v>0</v>
      </c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29" t="n">
        <f aca="false">'May 2027'!F100</f>
        <v>0</v>
      </c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29" t="n">
        <f aca="false">'May 2027'!J100</f>
        <v>0</v>
      </c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29" t="n">
        <f aca="false">'May 2027'!O100</f>
        <v>0</v>
      </c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29" t="n">
        <f aca="false">'May 2027'!F101</f>
        <v>0</v>
      </c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29" t="n">
        <f aca="false">'May 2027'!J101</f>
        <v>0</v>
      </c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29" t="n">
        <f aca="false">'May 2027'!O101</f>
        <v>0</v>
      </c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29" t="n">
        <f aca="false">'May 2027'!F102</f>
        <v>0</v>
      </c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29" t="n">
        <f aca="false">'May 2027'!J102</f>
        <v>0</v>
      </c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29" t="n">
        <f aca="false">'May 2027'!O102</f>
        <v>0</v>
      </c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29" t="n">
        <f aca="false">'May 2027'!F103</f>
        <v>0</v>
      </c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29" t="n">
        <f aca="false">'May 2027'!J103</f>
        <v>0</v>
      </c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29" t="n">
        <f aca="false">'May 2027'!O103</f>
        <v>0</v>
      </c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29" t="n">
        <f aca="false">'May 2027'!F104</f>
        <v>0</v>
      </c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29" t="n">
        <f aca="false">'May 2027'!J104</f>
        <v>0</v>
      </c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29" t="n">
        <f aca="false">'May 2027'!O104</f>
        <v>0</v>
      </c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29" t="n">
        <f aca="false">'May 2027'!F105</f>
        <v>0</v>
      </c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29" t="n">
        <f aca="false">'May 2027'!J105</f>
        <v>0</v>
      </c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29" t="n">
        <f aca="false">'May 2027'!O105</f>
        <v>0</v>
      </c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29" t="n">
        <f aca="false">'May 2027'!F106</f>
        <v>0</v>
      </c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29" t="n">
        <f aca="false">'May 2027'!J106</f>
        <v>0</v>
      </c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29" t="n">
        <f aca="false">'May 2027'!O106</f>
        <v>0</v>
      </c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29" t="n">
        <f aca="false">'May 2027'!F107</f>
        <v>0</v>
      </c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29" t="n">
        <f aca="false">'May 2027'!J107</f>
        <v>0</v>
      </c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29" t="n">
        <f aca="false">'May 2027'!O107</f>
        <v>0</v>
      </c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29" t="n">
        <f aca="false">'May 2027'!F108</f>
        <v>0</v>
      </c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29" t="n">
        <f aca="false">'May 2027'!J108</f>
        <v>0</v>
      </c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29" t="n">
        <f aca="false">'May 2027'!O108</f>
        <v>0</v>
      </c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29" t="n">
        <f aca="false">'May 2027'!F109</f>
        <v>0</v>
      </c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29" t="n">
        <f aca="false">'May 2027'!J109</f>
        <v>0</v>
      </c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29" t="n">
        <f aca="false">'May 2027'!O109</f>
        <v>0</v>
      </c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29" t="n">
        <f aca="false">'May 2027'!F110</f>
        <v>0</v>
      </c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29" t="n">
        <f aca="false">'May 2027'!J110</f>
        <v>0</v>
      </c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29" t="n">
        <f aca="false">'May 2027'!O110</f>
        <v>0</v>
      </c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29" t="n">
        <f aca="false">'May 2027'!F111</f>
        <v>0</v>
      </c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29" t="n">
        <f aca="false">'May 2027'!J111</f>
        <v>0</v>
      </c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29" t="n">
        <f aca="false">'May 2027'!O111</f>
        <v>0</v>
      </c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29" t="n">
        <f aca="false">'May 2027'!F112</f>
        <v>0</v>
      </c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29" t="n">
        <f aca="false">'May 2027'!J112</f>
        <v>0</v>
      </c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29" t="n">
        <f aca="false">'May 2027'!O112</f>
        <v>0</v>
      </c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29" t="n">
        <f aca="false">'May 2027'!F113</f>
        <v>0</v>
      </c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29" t="n">
        <f aca="false">'May 2027'!J113</f>
        <v>0</v>
      </c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29" t="n">
        <f aca="false">'May 2027'!O113</f>
        <v>0</v>
      </c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14000</v>
      </c>
      <c r="D114" s="32" t="n">
        <f aca="false">SUM(D14:D113)</f>
        <v>2000</v>
      </c>
      <c r="E114" s="32" t="n">
        <f aca="false">SUM(E14:E113)</f>
        <v>0</v>
      </c>
      <c r="F114" s="32" t="n">
        <f aca="false">SUM(F14:F113)</f>
        <v>16000</v>
      </c>
      <c r="G114" s="32" t="n">
        <f aca="false">SUM(G14:G113)</f>
        <v>12000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13500</v>
      </c>
      <c r="K114" s="32" t="n">
        <f aca="false">SUM(K14:K113)</f>
        <v>200</v>
      </c>
      <c r="L114" s="32" t="n">
        <f aca="false">SUM(L14:L113)</f>
        <v>0</v>
      </c>
      <c r="M114" s="32" t="n">
        <f aca="false">SUM(M14:M113)</f>
        <v>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29700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29700</v>
      </c>
      <c r="D11" s="21"/>
      <c r="E11" s="3" t="s">
        <v>44</v>
      </c>
      <c r="F11" s="3"/>
      <c r="G11" s="21" t="n">
        <f aca="false">D114+H114+L114+M114</f>
        <v>3500</v>
      </c>
      <c r="H11" s="21"/>
      <c r="I11" s="3" t="s">
        <v>45</v>
      </c>
      <c r="J11" s="3"/>
      <c r="K11" s="21" t="n">
        <f aca="false">E114+I114+N114</f>
        <v>0</v>
      </c>
      <c r="L11" s="21"/>
      <c r="M11" s="3" t="s">
        <v>46</v>
      </c>
      <c r="N11" s="3"/>
      <c r="O11" s="21" t="n">
        <f aca="false">P114</f>
        <v>33200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29" t="n">
        <f aca="false">'Jun 2027'!F14</f>
        <v>16000</v>
      </c>
      <c r="D14" s="29" t="n">
        <f aca="false">IF(Students!D5="Yes",N(Students!E5),0)</f>
        <v>2000</v>
      </c>
      <c r="E14" s="13"/>
      <c r="F14" s="30" t="n">
        <f aca="false">N(C14)+N(D14)-N(E14)</f>
        <v>18000</v>
      </c>
      <c r="G14" s="29" t="n">
        <f aca="false">'Jun 2027'!J14</f>
        <v>13500</v>
      </c>
      <c r="H14" s="29" t="n">
        <f aca="false">IF(Students!F5="Yes",N(Students!G5),0)</f>
        <v>1500</v>
      </c>
      <c r="I14" s="13"/>
      <c r="J14" s="30" t="n">
        <f aca="false">N(G14)+N(H14)-N(I14)</f>
        <v>15000</v>
      </c>
      <c r="K14" s="29" t="n">
        <f aca="false">'Jun 2027'!O14</f>
        <v>200</v>
      </c>
      <c r="L14" s="13"/>
      <c r="M14" s="13"/>
      <c r="N14" s="13"/>
      <c r="O14" s="30" t="n">
        <f aca="false">N(K14)+N(L14)+N(M14)-N(N14)</f>
        <v>200</v>
      </c>
      <c r="P14" s="30" t="n">
        <f aca="false">F14+J14+O14</f>
        <v>33200</v>
      </c>
      <c r="Q14" s="10" t="str">
        <f aca="false">IF(B14="","",IF(P14&lt;=0,"Clear",IF(E14+I14+N14&gt;0,"Partial","Due")))</f>
        <v>Due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29" t="n">
        <f aca="false">'Jun 2027'!F15</f>
        <v>0</v>
      </c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29" t="n">
        <f aca="false">'Jun 2027'!J15</f>
        <v>0</v>
      </c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29" t="n">
        <f aca="false">'Jun 2027'!O15</f>
        <v>0</v>
      </c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29" t="n">
        <f aca="false">'Jun 2027'!F16</f>
        <v>0</v>
      </c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29" t="n">
        <f aca="false">'Jun 2027'!J16</f>
        <v>0</v>
      </c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29" t="n">
        <f aca="false">'Jun 2027'!O16</f>
        <v>0</v>
      </c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29" t="n">
        <f aca="false">'Jun 2027'!F17</f>
        <v>0</v>
      </c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29" t="n">
        <f aca="false">'Jun 2027'!J17</f>
        <v>0</v>
      </c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29" t="n">
        <f aca="false">'Jun 2027'!O17</f>
        <v>0</v>
      </c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29" t="n">
        <f aca="false">'Jun 2027'!F18</f>
        <v>0</v>
      </c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29" t="n">
        <f aca="false">'Jun 2027'!J18</f>
        <v>0</v>
      </c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29" t="n">
        <f aca="false">'Jun 2027'!O18</f>
        <v>0</v>
      </c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29" t="n">
        <f aca="false">'Jun 2027'!F19</f>
        <v>0</v>
      </c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29" t="n">
        <f aca="false">'Jun 2027'!J19</f>
        <v>0</v>
      </c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29" t="n">
        <f aca="false">'Jun 2027'!O19</f>
        <v>0</v>
      </c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29" t="n">
        <f aca="false">'Jun 2027'!F20</f>
        <v>0</v>
      </c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29" t="n">
        <f aca="false">'Jun 2027'!J20</f>
        <v>0</v>
      </c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29" t="n">
        <f aca="false">'Jun 2027'!O20</f>
        <v>0</v>
      </c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29" t="n">
        <f aca="false">'Jun 2027'!F21</f>
        <v>0</v>
      </c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29" t="n">
        <f aca="false">'Jun 2027'!J21</f>
        <v>0</v>
      </c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29" t="n">
        <f aca="false">'Jun 2027'!O21</f>
        <v>0</v>
      </c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29" t="n">
        <f aca="false">'Jun 2027'!F22</f>
        <v>0</v>
      </c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29" t="n">
        <f aca="false">'Jun 2027'!J22</f>
        <v>0</v>
      </c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29" t="n">
        <f aca="false">'Jun 2027'!O22</f>
        <v>0</v>
      </c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29" t="n">
        <f aca="false">'Jun 2027'!F23</f>
        <v>0</v>
      </c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29" t="n">
        <f aca="false">'Jun 2027'!J23</f>
        <v>0</v>
      </c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29" t="n">
        <f aca="false">'Jun 2027'!O23</f>
        <v>0</v>
      </c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29" t="n">
        <f aca="false">'Jun 2027'!F24</f>
        <v>0</v>
      </c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29" t="n">
        <f aca="false">'Jun 2027'!J24</f>
        <v>0</v>
      </c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29" t="n">
        <f aca="false">'Jun 2027'!O24</f>
        <v>0</v>
      </c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29" t="n">
        <f aca="false">'Jun 2027'!F25</f>
        <v>0</v>
      </c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29" t="n">
        <f aca="false">'Jun 2027'!J25</f>
        <v>0</v>
      </c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29" t="n">
        <f aca="false">'Jun 2027'!O25</f>
        <v>0</v>
      </c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29" t="n">
        <f aca="false">'Jun 2027'!F26</f>
        <v>0</v>
      </c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29" t="n">
        <f aca="false">'Jun 2027'!J26</f>
        <v>0</v>
      </c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29" t="n">
        <f aca="false">'Jun 2027'!O26</f>
        <v>0</v>
      </c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29" t="n">
        <f aca="false">'Jun 2027'!F27</f>
        <v>0</v>
      </c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29" t="n">
        <f aca="false">'Jun 2027'!J27</f>
        <v>0</v>
      </c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29" t="n">
        <f aca="false">'Jun 2027'!O27</f>
        <v>0</v>
      </c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29" t="n">
        <f aca="false">'Jun 2027'!F28</f>
        <v>0</v>
      </c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29" t="n">
        <f aca="false">'Jun 2027'!J28</f>
        <v>0</v>
      </c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29" t="n">
        <f aca="false">'Jun 2027'!O28</f>
        <v>0</v>
      </c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29" t="n">
        <f aca="false">'Jun 2027'!F29</f>
        <v>0</v>
      </c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29" t="n">
        <f aca="false">'Jun 2027'!J29</f>
        <v>0</v>
      </c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29" t="n">
        <f aca="false">'Jun 2027'!O29</f>
        <v>0</v>
      </c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29" t="n">
        <f aca="false">'Jun 2027'!F30</f>
        <v>0</v>
      </c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29" t="n">
        <f aca="false">'Jun 2027'!J30</f>
        <v>0</v>
      </c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29" t="n">
        <f aca="false">'Jun 2027'!O30</f>
        <v>0</v>
      </c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29" t="n">
        <f aca="false">'Jun 2027'!F31</f>
        <v>0</v>
      </c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29" t="n">
        <f aca="false">'Jun 2027'!J31</f>
        <v>0</v>
      </c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29" t="n">
        <f aca="false">'Jun 2027'!O31</f>
        <v>0</v>
      </c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29" t="n">
        <f aca="false">'Jun 2027'!F32</f>
        <v>0</v>
      </c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29" t="n">
        <f aca="false">'Jun 2027'!J32</f>
        <v>0</v>
      </c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29" t="n">
        <f aca="false">'Jun 2027'!O32</f>
        <v>0</v>
      </c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29" t="n">
        <f aca="false">'Jun 2027'!F33</f>
        <v>0</v>
      </c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29" t="n">
        <f aca="false">'Jun 2027'!J33</f>
        <v>0</v>
      </c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29" t="n">
        <f aca="false">'Jun 2027'!O33</f>
        <v>0</v>
      </c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29" t="n">
        <f aca="false">'Jun 2027'!F34</f>
        <v>0</v>
      </c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29" t="n">
        <f aca="false">'Jun 2027'!J34</f>
        <v>0</v>
      </c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29" t="n">
        <f aca="false">'Jun 2027'!O34</f>
        <v>0</v>
      </c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29" t="n">
        <f aca="false">'Jun 2027'!F35</f>
        <v>0</v>
      </c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29" t="n">
        <f aca="false">'Jun 2027'!J35</f>
        <v>0</v>
      </c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29" t="n">
        <f aca="false">'Jun 2027'!O35</f>
        <v>0</v>
      </c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29" t="n">
        <f aca="false">'Jun 2027'!F36</f>
        <v>0</v>
      </c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29" t="n">
        <f aca="false">'Jun 2027'!J36</f>
        <v>0</v>
      </c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29" t="n">
        <f aca="false">'Jun 2027'!O36</f>
        <v>0</v>
      </c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29" t="n">
        <f aca="false">'Jun 2027'!F37</f>
        <v>0</v>
      </c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29" t="n">
        <f aca="false">'Jun 2027'!J37</f>
        <v>0</v>
      </c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29" t="n">
        <f aca="false">'Jun 2027'!O37</f>
        <v>0</v>
      </c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29" t="n">
        <f aca="false">'Jun 2027'!F38</f>
        <v>0</v>
      </c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29" t="n">
        <f aca="false">'Jun 2027'!J38</f>
        <v>0</v>
      </c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29" t="n">
        <f aca="false">'Jun 2027'!O38</f>
        <v>0</v>
      </c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29" t="n">
        <f aca="false">'Jun 2027'!F39</f>
        <v>0</v>
      </c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29" t="n">
        <f aca="false">'Jun 2027'!J39</f>
        <v>0</v>
      </c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29" t="n">
        <f aca="false">'Jun 2027'!O39</f>
        <v>0</v>
      </c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29" t="n">
        <f aca="false">'Jun 2027'!F40</f>
        <v>0</v>
      </c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29" t="n">
        <f aca="false">'Jun 2027'!J40</f>
        <v>0</v>
      </c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29" t="n">
        <f aca="false">'Jun 2027'!O40</f>
        <v>0</v>
      </c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29" t="n">
        <f aca="false">'Jun 2027'!F41</f>
        <v>0</v>
      </c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29" t="n">
        <f aca="false">'Jun 2027'!J41</f>
        <v>0</v>
      </c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29" t="n">
        <f aca="false">'Jun 2027'!O41</f>
        <v>0</v>
      </c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29" t="n">
        <f aca="false">'Jun 2027'!F42</f>
        <v>0</v>
      </c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29" t="n">
        <f aca="false">'Jun 2027'!J42</f>
        <v>0</v>
      </c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29" t="n">
        <f aca="false">'Jun 2027'!O42</f>
        <v>0</v>
      </c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29" t="n">
        <f aca="false">'Jun 2027'!F43</f>
        <v>0</v>
      </c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29" t="n">
        <f aca="false">'Jun 2027'!J43</f>
        <v>0</v>
      </c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29" t="n">
        <f aca="false">'Jun 2027'!O43</f>
        <v>0</v>
      </c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29" t="n">
        <f aca="false">'Jun 2027'!F44</f>
        <v>0</v>
      </c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29" t="n">
        <f aca="false">'Jun 2027'!J44</f>
        <v>0</v>
      </c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29" t="n">
        <f aca="false">'Jun 2027'!O44</f>
        <v>0</v>
      </c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29" t="n">
        <f aca="false">'Jun 2027'!F45</f>
        <v>0</v>
      </c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29" t="n">
        <f aca="false">'Jun 2027'!J45</f>
        <v>0</v>
      </c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29" t="n">
        <f aca="false">'Jun 2027'!O45</f>
        <v>0</v>
      </c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29" t="n">
        <f aca="false">'Jun 2027'!F46</f>
        <v>0</v>
      </c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29" t="n">
        <f aca="false">'Jun 2027'!J46</f>
        <v>0</v>
      </c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29" t="n">
        <f aca="false">'Jun 2027'!O46</f>
        <v>0</v>
      </c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29" t="n">
        <f aca="false">'Jun 2027'!F47</f>
        <v>0</v>
      </c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29" t="n">
        <f aca="false">'Jun 2027'!J47</f>
        <v>0</v>
      </c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29" t="n">
        <f aca="false">'Jun 2027'!O47</f>
        <v>0</v>
      </c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29" t="n">
        <f aca="false">'Jun 2027'!F48</f>
        <v>0</v>
      </c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29" t="n">
        <f aca="false">'Jun 2027'!J48</f>
        <v>0</v>
      </c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29" t="n">
        <f aca="false">'Jun 2027'!O48</f>
        <v>0</v>
      </c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29" t="n">
        <f aca="false">'Jun 2027'!F49</f>
        <v>0</v>
      </c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29" t="n">
        <f aca="false">'Jun 2027'!J49</f>
        <v>0</v>
      </c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29" t="n">
        <f aca="false">'Jun 2027'!O49</f>
        <v>0</v>
      </c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29" t="n">
        <f aca="false">'Jun 2027'!F50</f>
        <v>0</v>
      </c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29" t="n">
        <f aca="false">'Jun 2027'!J50</f>
        <v>0</v>
      </c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29" t="n">
        <f aca="false">'Jun 2027'!O50</f>
        <v>0</v>
      </c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29" t="n">
        <f aca="false">'Jun 2027'!F51</f>
        <v>0</v>
      </c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29" t="n">
        <f aca="false">'Jun 2027'!J51</f>
        <v>0</v>
      </c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29" t="n">
        <f aca="false">'Jun 2027'!O51</f>
        <v>0</v>
      </c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29" t="n">
        <f aca="false">'Jun 2027'!F52</f>
        <v>0</v>
      </c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29" t="n">
        <f aca="false">'Jun 2027'!J52</f>
        <v>0</v>
      </c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29" t="n">
        <f aca="false">'Jun 2027'!O52</f>
        <v>0</v>
      </c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29" t="n">
        <f aca="false">'Jun 2027'!F53</f>
        <v>0</v>
      </c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29" t="n">
        <f aca="false">'Jun 2027'!J53</f>
        <v>0</v>
      </c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29" t="n">
        <f aca="false">'Jun 2027'!O53</f>
        <v>0</v>
      </c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29" t="n">
        <f aca="false">'Jun 2027'!F54</f>
        <v>0</v>
      </c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29" t="n">
        <f aca="false">'Jun 2027'!J54</f>
        <v>0</v>
      </c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29" t="n">
        <f aca="false">'Jun 2027'!O54</f>
        <v>0</v>
      </c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29" t="n">
        <f aca="false">'Jun 2027'!F55</f>
        <v>0</v>
      </c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29" t="n">
        <f aca="false">'Jun 2027'!J55</f>
        <v>0</v>
      </c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29" t="n">
        <f aca="false">'Jun 2027'!O55</f>
        <v>0</v>
      </c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29" t="n">
        <f aca="false">'Jun 2027'!F56</f>
        <v>0</v>
      </c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29" t="n">
        <f aca="false">'Jun 2027'!J56</f>
        <v>0</v>
      </c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29" t="n">
        <f aca="false">'Jun 2027'!O56</f>
        <v>0</v>
      </c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29" t="n">
        <f aca="false">'Jun 2027'!F57</f>
        <v>0</v>
      </c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29" t="n">
        <f aca="false">'Jun 2027'!J57</f>
        <v>0</v>
      </c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29" t="n">
        <f aca="false">'Jun 2027'!O57</f>
        <v>0</v>
      </c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29" t="n">
        <f aca="false">'Jun 2027'!F58</f>
        <v>0</v>
      </c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29" t="n">
        <f aca="false">'Jun 2027'!J58</f>
        <v>0</v>
      </c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29" t="n">
        <f aca="false">'Jun 2027'!O58</f>
        <v>0</v>
      </c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29" t="n">
        <f aca="false">'Jun 2027'!F59</f>
        <v>0</v>
      </c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29" t="n">
        <f aca="false">'Jun 2027'!J59</f>
        <v>0</v>
      </c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29" t="n">
        <f aca="false">'Jun 2027'!O59</f>
        <v>0</v>
      </c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29" t="n">
        <f aca="false">'Jun 2027'!F60</f>
        <v>0</v>
      </c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29" t="n">
        <f aca="false">'Jun 2027'!J60</f>
        <v>0</v>
      </c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29" t="n">
        <f aca="false">'Jun 2027'!O60</f>
        <v>0</v>
      </c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29" t="n">
        <f aca="false">'Jun 2027'!F61</f>
        <v>0</v>
      </c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29" t="n">
        <f aca="false">'Jun 2027'!J61</f>
        <v>0</v>
      </c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29" t="n">
        <f aca="false">'Jun 2027'!O61</f>
        <v>0</v>
      </c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29" t="n">
        <f aca="false">'Jun 2027'!F62</f>
        <v>0</v>
      </c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29" t="n">
        <f aca="false">'Jun 2027'!J62</f>
        <v>0</v>
      </c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29" t="n">
        <f aca="false">'Jun 2027'!O62</f>
        <v>0</v>
      </c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29" t="n">
        <f aca="false">'Jun 2027'!F63</f>
        <v>0</v>
      </c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29" t="n">
        <f aca="false">'Jun 2027'!J63</f>
        <v>0</v>
      </c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29" t="n">
        <f aca="false">'Jun 2027'!O63</f>
        <v>0</v>
      </c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29" t="n">
        <f aca="false">'Jun 2027'!F64</f>
        <v>0</v>
      </c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29" t="n">
        <f aca="false">'Jun 2027'!J64</f>
        <v>0</v>
      </c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29" t="n">
        <f aca="false">'Jun 2027'!O64</f>
        <v>0</v>
      </c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29" t="n">
        <f aca="false">'Jun 2027'!F65</f>
        <v>0</v>
      </c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29" t="n">
        <f aca="false">'Jun 2027'!J65</f>
        <v>0</v>
      </c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29" t="n">
        <f aca="false">'Jun 2027'!O65</f>
        <v>0</v>
      </c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29" t="n">
        <f aca="false">'Jun 2027'!F66</f>
        <v>0</v>
      </c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29" t="n">
        <f aca="false">'Jun 2027'!J66</f>
        <v>0</v>
      </c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29" t="n">
        <f aca="false">'Jun 2027'!O66</f>
        <v>0</v>
      </c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29" t="n">
        <f aca="false">'Jun 2027'!F67</f>
        <v>0</v>
      </c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29" t="n">
        <f aca="false">'Jun 2027'!J67</f>
        <v>0</v>
      </c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29" t="n">
        <f aca="false">'Jun 2027'!O67</f>
        <v>0</v>
      </c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29" t="n">
        <f aca="false">'Jun 2027'!F68</f>
        <v>0</v>
      </c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29" t="n">
        <f aca="false">'Jun 2027'!J68</f>
        <v>0</v>
      </c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29" t="n">
        <f aca="false">'Jun 2027'!O68</f>
        <v>0</v>
      </c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29" t="n">
        <f aca="false">'Jun 2027'!F69</f>
        <v>0</v>
      </c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29" t="n">
        <f aca="false">'Jun 2027'!J69</f>
        <v>0</v>
      </c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29" t="n">
        <f aca="false">'Jun 2027'!O69</f>
        <v>0</v>
      </c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29" t="n">
        <f aca="false">'Jun 2027'!F70</f>
        <v>0</v>
      </c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29" t="n">
        <f aca="false">'Jun 2027'!J70</f>
        <v>0</v>
      </c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29" t="n">
        <f aca="false">'Jun 2027'!O70</f>
        <v>0</v>
      </c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29" t="n">
        <f aca="false">'Jun 2027'!F71</f>
        <v>0</v>
      </c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29" t="n">
        <f aca="false">'Jun 2027'!J71</f>
        <v>0</v>
      </c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29" t="n">
        <f aca="false">'Jun 2027'!O71</f>
        <v>0</v>
      </c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29" t="n">
        <f aca="false">'Jun 2027'!F72</f>
        <v>0</v>
      </c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29" t="n">
        <f aca="false">'Jun 2027'!J72</f>
        <v>0</v>
      </c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29" t="n">
        <f aca="false">'Jun 2027'!O72</f>
        <v>0</v>
      </c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29" t="n">
        <f aca="false">'Jun 2027'!F73</f>
        <v>0</v>
      </c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29" t="n">
        <f aca="false">'Jun 2027'!J73</f>
        <v>0</v>
      </c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29" t="n">
        <f aca="false">'Jun 2027'!O73</f>
        <v>0</v>
      </c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29" t="n">
        <f aca="false">'Jun 2027'!F74</f>
        <v>0</v>
      </c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29" t="n">
        <f aca="false">'Jun 2027'!J74</f>
        <v>0</v>
      </c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29" t="n">
        <f aca="false">'Jun 2027'!O74</f>
        <v>0</v>
      </c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29" t="n">
        <f aca="false">'Jun 2027'!F75</f>
        <v>0</v>
      </c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29" t="n">
        <f aca="false">'Jun 2027'!J75</f>
        <v>0</v>
      </c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29" t="n">
        <f aca="false">'Jun 2027'!O75</f>
        <v>0</v>
      </c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29" t="n">
        <f aca="false">'Jun 2027'!F76</f>
        <v>0</v>
      </c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29" t="n">
        <f aca="false">'Jun 2027'!J76</f>
        <v>0</v>
      </c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29" t="n">
        <f aca="false">'Jun 2027'!O76</f>
        <v>0</v>
      </c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29" t="n">
        <f aca="false">'Jun 2027'!F77</f>
        <v>0</v>
      </c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29" t="n">
        <f aca="false">'Jun 2027'!J77</f>
        <v>0</v>
      </c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29" t="n">
        <f aca="false">'Jun 2027'!O77</f>
        <v>0</v>
      </c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29" t="n">
        <f aca="false">'Jun 2027'!F78</f>
        <v>0</v>
      </c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29" t="n">
        <f aca="false">'Jun 2027'!J78</f>
        <v>0</v>
      </c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29" t="n">
        <f aca="false">'Jun 2027'!O78</f>
        <v>0</v>
      </c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29" t="n">
        <f aca="false">'Jun 2027'!F79</f>
        <v>0</v>
      </c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29" t="n">
        <f aca="false">'Jun 2027'!J79</f>
        <v>0</v>
      </c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29" t="n">
        <f aca="false">'Jun 2027'!O79</f>
        <v>0</v>
      </c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29" t="n">
        <f aca="false">'Jun 2027'!F80</f>
        <v>0</v>
      </c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29" t="n">
        <f aca="false">'Jun 2027'!J80</f>
        <v>0</v>
      </c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29" t="n">
        <f aca="false">'Jun 2027'!O80</f>
        <v>0</v>
      </c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29" t="n">
        <f aca="false">'Jun 2027'!F81</f>
        <v>0</v>
      </c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29" t="n">
        <f aca="false">'Jun 2027'!J81</f>
        <v>0</v>
      </c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29" t="n">
        <f aca="false">'Jun 2027'!O81</f>
        <v>0</v>
      </c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29" t="n">
        <f aca="false">'Jun 2027'!F82</f>
        <v>0</v>
      </c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29" t="n">
        <f aca="false">'Jun 2027'!J82</f>
        <v>0</v>
      </c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29" t="n">
        <f aca="false">'Jun 2027'!O82</f>
        <v>0</v>
      </c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29" t="n">
        <f aca="false">'Jun 2027'!F83</f>
        <v>0</v>
      </c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29" t="n">
        <f aca="false">'Jun 2027'!J83</f>
        <v>0</v>
      </c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29" t="n">
        <f aca="false">'Jun 2027'!O83</f>
        <v>0</v>
      </c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29" t="n">
        <f aca="false">'Jun 2027'!F84</f>
        <v>0</v>
      </c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29" t="n">
        <f aca="false">'Jun 2027'!J84</f>
        <v>0</v>
      </c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29" t="n">
        <f aca="false">'Jun 2027'!O84</f>
        <v>0</v>
      </c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29" t="n">
        <f aca="false">'Jun 2027'!F85</f>
        <v>0</v>
      </c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29" t="n">
        <f aca="false">'Jun 2027'!J85</f>
        <v>0</v>
      </c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29" t="n">
        <f aca="false">'Jun 2027'!O85</f>
        <v>0</v>
      </c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29" t="n">
        <f aca="false">'Jun 2027'!F86</f>
        <v>0</v>
      </c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29" t="n">
        <f aca="false">'Jun 2027'!J86</f>
        <v>0</v>
      </c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29" t="n">
        <f aca="false">'Jun 2027'!O86</f>
        <v>0</v>
      </c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29" t="n">
        <f aca="false">'Jun 2027'!F87</f>
        <v>0</v>
      </c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29" t="n">
        <f aca="false">'Jun 2027'!J87</f>
        <v>0</v>
      </c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29" t="n">
        <f aca="false">'Jun 2027'!O87</f>
        <v>0</v>
      </c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29" t="n">
        <f aca="false">'Jun 2027'!F88</f>
        <v>0</v>
      </c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29" t="n">
        <f aca="false">'Jun 2027'!J88</f>
        <v>0</v>
      </c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29" t="n">
        <f aca="false">'Jun 2027'!O88</f>
        <v>0</v>
      </c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29" t="n">
        <f aca="false">'Jun 2027'!F89</f>
        <v>0</v>
      </c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29" t="n">
        <f aca="false">'Jun 2027'!J89</f>
        <v>0</v>
      </c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29" t="n">
        <f aca="false">'Jun 2027'!O89</f>
        <v>0</v>
      </c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29" t="n">
        <f aca="false">'Jun 2027'!F90</f>
        <v>0</v>
      </c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29" t="n">
        <f aca="false">'Jun 2027'!J90</f>
        <v>0</v>
      </c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29" t="n">
        <f aca="false">'Jun 2027'!O90</f>
        <v>0</v>
      </c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29" t="n">
        <f aca="false">'Jun 2027'!F91</f>
        <v>0</v>
      </c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29" t="n">
        <f aca="false">'Jun 2027'!J91</f>
        <v>0</v>
      </c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29" t="n">
        <f aca="false">'Jun 2027'!O91</f>
        <v>0</v>
      </c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29" t="n">
        <f aca="false">'Jun 2027'!F92</f>
        <v>0</v>
      </c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29" t="n">
        <f aca="false">'Jun 2027'!J92</f>
        <v>0</v>
      </c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29" t="n">
        <f aca="false">'Jun 2027'!O92</f>
        <v>0</v>
      </c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29" t="n">
        <f aca="false">'Jun 2027'!F93</f>
        <v>0</v>
      </c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29" t="n">
        <f aca="false">'Jun 2027'!J93</f>
        <v>0</v>
      </c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29" t="n">
        <f aca="false">'Jun 2027'!O93</f>
        <v>0</v>
      </c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29" t="n">
        <f aca="false">'Jun 2027'!F94</f>
        <v>0</v>
      </c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29" t="n">
        <f aca="false">'Jun 2027'!J94</f>
        <v>0</v>
      </c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29" t="n">
        <f aca="false">'Jun 2027'!O94</f>
        <v>0</v>
      </c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29" t="n">
        <f aca="false">'Jun 2027'!F95</f>
        <v>0</v>
      </c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29" t="n">
        <f aca="false">'Jun 2027'!J95</f>
        <v>0</v>
      </c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29" t="n">
        <f aca="false">'Jun 2027'!O95</f>
        <v>0</v>
      </c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29" t="n">
        <f aca="false">'Jun 2027'!F96</f>
        <v>0</v>
      </c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29" t="n">
        <f aca="false">'Jun 2027'!J96</f>
        <v>0</v>
      </c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29" t="n">
        <f aca="false">'Jun 2027'!O96</f>
        <v>0</v>
      </c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29" t="n">
        <f aca="false">'Jun 2027'!F97</f>
        <v>0</v>
      </c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29" t="n">
        <f aca="false">'Jun 2027'!J97</f>
        <v>0</v>
      </c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29" t="n">
        <f aca="false">'Jun 2027'!O97</f>
        <v>0</v>
      </c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29" t="n">
        <f aca="false">'Jun 2027'!F98</f>
        <v>0</v>
      </c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29" t="n">
        <f aca="false">'Jun 2027'!J98</f>
        <v>0</v>
      </c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29" t="n">
        <f aca="false">'Jun 2027'!O98</f>
        <v>0</v>
      </c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29" t="n">
        <f aca="false">'Jun 2027'!F99</f>
        <v>0</v>
      </c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29" t="n">
        <f aca="false">'Jun 2027'!J99</f>
        <v>0</v>
      </c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29" t="n">
        <f aca="false">'Jun 2027'!O99</f>
        <v>0</v>
      </c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29" t="n">
        <f aca="false">'Jun 2027'!F100</f>
        <v>0</v>
      </c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29" t="n">
        <f aca="false">'Jun 2027'!J100</f>
        <v>0</v>
      </c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29" t="n">
        <f aca="false">'Jun 2027'!O100</f>
        <v>0</v>
      </c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29" t="n">
        <f aca="false">'Jun 2027'!F101</f>
        <v>0</v>
      </c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29" t="n">
        <f aca="false">'Jun 2027'!J101</f>
        <v>0</v>
      </c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29" t="n">
        <f aca="false">'Jun 2027'!O101</f>
        <v>0</v>
      </c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29" t="n">
        <f aca="false">'Jun 2027'!F102</f>
        <v>0</v>
      </c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29" t="n">
        <f aca="false">'Jun 2027'!J102</f>
        <v>0</v>
      </c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29" t="n">
        <f aca="false">'Jun 2027'!O102</f>
        <v>0</v>
      </c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29" t="n">
        <f aca="false">'Jun 2027'!F103</f>
        <v>0</v>
      </c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29" t="n">
        <f aca="false">'Jun 2027'!J103</f>
        <v>0</v>
      </c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29" t="n">
        <f aca="false">'Jun 2027'!O103</f>
        <v>0</v>
      </c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29" t="n">
        <f aca="false">'Jun 2027'!F104</f>
        <v>0</v>
      </c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29" t="n">
        <f aca="false">'Jun 2027'!J104</f>
        <v>0</v>
      </c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29" t="n">
        <f aca="false">'Jun 2027'!O104</f>
        <v>0</v>
      </c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29" t="n">
        <f aca="false">'Jun 2027'!F105</f>
        <v>0</v>
      </c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29" t="n">
        <f aca="false">'Jun 2027'!J105</f>
        <v>0</v>
      </c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29" t="n">
        <f aca="false">'Jun 2027'!O105</f>
        <v>0</v>
      </c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29" t="n">
        <f aca="false">'Jun 2027'!F106</f>
        <v>0</v>
      </c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29" t="n">
        <f aca="false">'Jun 2027'!J106</f>
        <v>0</v>
      </c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29" t="n">
        <f aca="false">'Jun 2027'!O106</f>
        <v>0</v>
      </c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29" t="n">
        <f aca="false">'Jun 2027'!F107</f>
        <v>0</v>
      </c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29" t="n">
        <f aca="false">'Jun 2027'!J107</f>
        <v>0</v>
      </c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29" t="n">
        <f aca="false">'Jun 2027'!O107</f>
        <v>0</v>
      </c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29" t="n">
        <f aca="false">'Jun 2027'!F108</f>
        <v>0</v>
      </c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29" t="n">
        <f aca="false">'Jun 2027'!J108</f>
        <v>0</v>
      </c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29" t="n">
        <f aca="false">'Jun 2027'!O108</f>
        <v>0</v>
      </c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29" t="n">
        <f aca="false">'Jun 2027'!F109</f>
        <v>0</v>
      </c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29" t="n">
        <f aca="false">'Jun 2027'!J109</f>
        <v>0</v>
      </c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29" t="n">
        <f aca="false">'Jun 2027'!O109</f>
        <v>0</v>
      </c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29" t="n">
        <f aca="false">'Jun 2027'!F110</f>
        <v>0</v>
      </c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29" t="n">
        <f aca="false">'Jun 2027'!J110</f>
        <v>0</v>
      </c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29" t="n">
        <f aca="false">'Jun 2027'!O110</f>
        <v>0</v>
      </c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29" t="n">
        <f aca="false">'Jun 2027'!F111</f>
        <v>0</v>
      </c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29" t="n">
        <f aca="false">'Jun 2027'!J111</f>
        <v>0</v>
      </c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29" t="n">
        <f aca="false">'Jun 2027'!O111</f>
        <v>0</v>
      </c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29" t="n">
        <f aca="false">'Jun 2027'!F112</f>
        <v>0</v>
      </c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29" t="n">
        <f aca="false">'Jun 2027'!J112</f>
        <v>0</v>
      </c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29" t="n">
        <f aca="false">'Jun 2027'!O112</f>
        <v>0</v>
      </c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29" t="n">
        <f aca="false">'Jun 2027'!F113</f>
        <v>0</v>
      </c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29" t="n">
        <f aca="false">'Jun 2027'!J113</f>
        <v>0</v>
      </c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29" t="n">
        <f aca="false">'Jun 2027'!O113</f>
        <v>0</v>
      </c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16000</v>
      </c>
      <c r="D114" s="32" t="n">
        <f aca="false">SUM(D14:D113)</f>
        <v>2000</v>
      </c>
      <c r="E114" s="32" t="n">
        <f aca="false">SUM(E14:E113)</f>
        <v>0</v>
      </c>
      <c r="F114" s="32" t="n">
        <f aca="false">SUM(F14:F113)</f>
        <v>18000</v>
      </c>
      <c r="G114" s="32" t="n">
        <f aca="false">SUM(G14:G113)</f>
        <v>13500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15000</v>
      </c>
      <c r="K114" s="32" t="n">
        <f aca="false">SUM(K14:K113)</f>
        <v>200</v>
      </c>
      <c r="L114" s="32" t="n">
        <f aca="false">SUM(L14:L113)</f>
        <v>0</v>
      </c>
      <c r="M114" s="32" t="n">
        <f aca="false">SUM(M14:M113)</f>
        <v>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33200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68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33200</v>
      </c>
      <c r="D11" s="21"/>
      <c r="E11" s="3" t="s">
        <v>44</v>
      </c>
      <c r="F11" s="3"/>
      <c r="G11" s="21" t="n">
        <f aca="false">D114+H114+L114+M114</f>
        <v>3500</v>
      </c>
      <c r="H11" s="21"/>
      <c r="I11" s="3" t="s">
        <v>45</v>
      </c>
      <c r="J11" s="3"/>
      <c r="K11" s="21" t="n">
        <f aca="false">E114+I114+N114</f>
        <v>0</v>
      </c>
      <c r="L11" s="21"/>
      <c r="M11" s="3" t="s">
        <v>46</v>
      </c>
      <c r="N11" s="3"/>
      <c r="O11" s="21" t="n">
        <f aca="false">P114</f>
        <v>36700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29" t="n">
        <f aca="false">'Jul 2027'!F14</f>
        <v>18000</v>
      </c>
      <c r="D14" s="29" t="n">
        <f aca="false">IF(Students!D5="Yes",N(Students!E5),0)</f>
        <v>2000</v>
      </c>
      <c r="E14" s="13"/>
      <c r="F14" s="30" t="n">
        <f aca="false">N(C14)+N(D14)-N(E14)</f>
        <v>20000</v>
      </c>
      <c r="G14" s="29" t="n">
        <f aca="false">'Jul 2027'!J14</f>
        <v>15000</v>
      </c>
      <c r="H14" s="29" t="n">
        <f aca="false">IF(Students!F5="Yes",N(Students!G5),0)</f>
        <v>1500</v>
      </c>
      <c r="I14" s="13"/>
      <c r="J14" s="30" t="n">
        <f aca="false">N(G14)+N(H14)-N(I14)</f>
        <v>16500</v>
      </c>
      <c r="K14" s="29" t="n">
        <f aca="false">'Jul 2027'!O14</f>
        <v>200</v>
      </c>
      <c r="L14" s="13"/>
      <c r="M14" s="13"/>
      <c r="N14" s="13"/>
      <c r="O14" s="30" t="n">
        <f aca="false">N(K14)+N(L14)+N(M14)-N(N14)</f>
        <v>200</v>
      </c>
      <c r="P14" s="30" t="n">
        <f aca="false">F14+J14+O14</f>
        <v>36700</v>
      </c>
      <c r="Q14" s="10" t="str">
        <f aca="false">IF(B14="","",IF(P14&lt;=0,"Clear",IF(E14+I14+N14&gt;0,"Partial","Due")))</f>
        <v>Due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29" t="n">
        <f aca="false">'Jul 2027'!F15</f>
        <v>0</v>
      </c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29" t="n">
        <f aca="false">'Jul 2027'!J15</f>
        <v>0</v>
      </c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29" t="n">
        <f aca="false">'Jul 2027'!O15</f>
        <v>0</v>
      </c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29" t="n">
        <f aca="false">'Jul 2027'!F16</f>
        <v>0</v>
      </c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29" t="n">
        <f aca="false">'Jul 2027'!J16</f>
        <v>0</v>
      </c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29" t="n">
        <f aca="false">'Jul 2027'!O16</f>
        <v>0</v>
      </c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29" t="n">
        <f aca="false">'Jul 2027'!F17</f>
        <v>0</v>
      </c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29" t="n">
        <f aca="false">'Jul 2027'!J17</f>
        <v>0</v>
      </c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29" t="n">
        <f aca="false">'Jul 2027'!O17</f>
        <v>0</v>
      </c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29" t="n">
        <f aca="false">'Jul 2027'!F18</f>
        <v>0</v>
      </c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29" t="n">
        <f aca="false">'Jul 2027'!J18</f>
        <v>0</v>
      </c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29" t="n">
        <f aca="false">'Jul 2027'!O18</f>
        <v>0</v>
      </c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29" t="n">
        <f aca="false">'Jul 2027'!F19</f>
        <v>0</v>
      </c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29" t="n">
        <f aca="false">'Jul 2027'!J19</f>
        <v>0</v>
      </c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29" t="n">
        <f aca="false">'Jul 2027'!O19</f>
        <v>0</v>
      </c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29" t="n">
        <f aca="false">'Jul 2027'!F20</f>
        <v>0</v>
      </c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29" t="n">
        <f aca="false">'Jul 2027'!J20</f>
        <v>0</v>
      </c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29" t="n">
        <f aca="false">'Jul 2027'!O20</f>
        <v>0</v>
      </c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29" t="n">
        <f aca="false">'Jul 2027'!F21</f>
        <v>0</v>
      </c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29" t="n">
        <f aca="false">'Jul 2027'!J21</f>
        <v>0</v>
      </c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29" t="n">
        <f aca="false">'Jul 2027'!O21</f>
        <v>0</v>
      </c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29" t="n">
        <f aca="false">'Jul 2027'!F22</f>
        <v>0</v>
      </c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29" t="n">
        <f aca="false">'Jul 2027'!J22</f>
        <v>0</v>
      </c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29" t="n">
        <f aca="false">'Jul 2027'!O22</f>
        <v>0</v>
      </c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29" t="n">
        <f aca="false">'Jul 2027'!F23</f>
        <v>0</v>
      </c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29" t="n">
        <f aca="false">'Jul 2027'!J23</f>
        <v>0</v>
      </c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29" t="n">
        <f aca="false">'Jul 2027'!O23</f>
        <v>0</v>
      </c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29" t="n">
        <f aca="false">'Jul 2027'!F24</f>
        <v>0</v>
      </c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29" t="n">
        <f aca="false">'Jul 2027'!J24</f>
        <v>0</v>
      </c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29" t="n">
        <f aca="false">'Jul 2027'!O24</f>
        <v>0</v>
      </c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29" t="n">
        <f aca="false">'Jul 2027'!F25</f>
        <v>0</v>
      </c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29" t="n">
        <f aca="false">'Jul 2027'!J25</f>
        <v>0</v>
      </c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29" t="n">
        <f aca="false">'Jul 2027'!O25</f>
        <v>0</v>
      </c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29" t="n">
        <f aca="false">'Jul 2027'!F26</f>
        <v>0</v>
      </c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29" t="n">
        <f aca="false">'Jul 2027'!J26</f>
        <v>0</v>
      </c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29" t="n">
        <f aca="false">'Jul 2027'!O26</f>
        <v>0</v>
      </c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29" t="n">
        <f aca="false">'Jul 2027'!F27</f>
        <v>0</v>
      </c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29" t="n">
        <f aca="false">'Jul 2027'!J27</f>
        <v>0</v>
      </c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29" t="n">
        <f aca="false">'Jul 2027'!O27</f>
        <v>0</v>
      </c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29" t="n">
        <f aca="false">'Jul 2027'!F28</f>
        <v>0</v>
      </c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29" t="n">
        <f aca="false">'Jul 2027'!J28</f>
        <v>0</v>
      </c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29" t="n">
        <f aca="false">'Jul 2027'!O28</f>
        <v>0</v>
      </c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29" t="n">
        <f aca="false">'Jul 2027'!F29</f>
        <v>0</v>
      </c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29" t="n">
        <f aca="false">'Jul 2027'!J29</f>
        <v>0</v>
      </c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29" t="n">
        <f aca="false">'Jul 2027'!O29</f>
        <v>0</v>
      </c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29" t="n">
        <f aca="false">'Jul 2027'!F30</f>
        <v>0</v>
      </c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29" t="n">
        <f aca="false">'Jul 2027'!J30</f>
        <v>0</v>
      </c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29" t="n">
        <f aca="false">'Jul 2027'!O30</f>
        <v>0</v>
      </c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29" t="n">
        <f aca="false">'Jul 2027'!F31</f>
        <v>0</v>
      </c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29" t="n">
        <f aca="false">'Jul 2027'!J31</f>
        <v>0</v>
      </c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29" t="n">
        <f aca="false">'Jul 2027'!O31</f>
        <v>0</v>
      </c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29" t="n">
        <f aca="false">'Jul 2027'!F32</f>
        <v>0</v>
      </c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29" t="n">
        <f aca="false">'Jul 2027'!J32</f>
        <v>0</v>
      </c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29" t="n">
        <f aca="false">'Jul 2027'!O32</f>
        <v>0</v>
      </c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29" t="n">
        <f aca="false">'Jul 2027'!F33</f>
        <v>0</v>
      </c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29" t="n">
        <f aca="false">'Jul 2027'!J33</f>
        <v>0</v>
      </c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29" t="n">
        <f aca="false">'Jul 2027'!O33</f>
        <v>0</v>
      </c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29" t="n">
        <f aca="false">'Jul 2027'!F34</f>
        <v>0</v>
      </c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29" t="n">
        <f aca="false">'Jul 2027'!J34</f>
        <v>0</v>
      </c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29" t="n">
        <f aca="false">'Jul 2027'!O34</f>
        <v>0</v>
      </c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29" t="n">
        <f aca="false">'Jul 2027'!F35</f>
        <v>0</v>
      </c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29" t="n">
        <f aca="false">'Jul 2027'!J35</f>
        <v>0</v>
      </c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29" t="n">
        <f aca="false">'Jul 2027'!O35</f>
        <v>0</v>
      </c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29" t="n">
        <f aca="false">'Jul 2027'!F36</f>
        <v>0</v>
      </c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29" t="n">
        <f aca="false">'Jul 2027'!J36</f>
        <v>0</v>
      </c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29" t="n">
        <f aca="false">'Jul 2027'!O36</f>
        <v>0</v>
      </c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29" t="n">
        <f aca="false">'Jul 2027'!F37</f>
        <v>0</v>
      </c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29" t="n">
        <f aca="false">'Jul 2027'!J37</f>
        <v>0</v>
      </c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29" t="n">
        <f aca="false">'Jul 2027'!O37</f>
        <v>0</v>
      </c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29" t="n">
        <f aca="false">'Jul 2027'!F38</f>
        <v>0</v>
      </c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29" t="n">
        <f aca="false">'Jul 2027'!J38</f>
        <v>0</v>
      </c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29" t="n">
        <f aca="false">'Jul 2027'!O38</f>
        <v>0</v>
      </c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29" t="n">
        <f aca="false">'Jul 2027'!F39</f>
        <v>0</v>
      </c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29" t="n">
        <f aca="false">'Jul 2027'!J39</f>
        <v>0</v>
      </c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29" t="n">
        <f aca="false">'Jul 2027'!O39</f>
        <v>0</v>
      </c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29" t="n">
        <f aca="false">'Jul 2027'!F40</f>
        <v>0</v>
      </c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29" t="n">
        <f aca="false">'Jul 2027'!J40</f>
        <v>0</v>
      </c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29" t="n">
        <f aca="false">'Jul 2027'!O40</f>
        <v>0</v>
      </c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29" t="n">
        <f aca="false">'Jul 2027'!F41</f>
        <v>0</v>
      </c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29" t="n">
        <f aca="false">'Jul 2027'!J41</f>
        <v>0</v>
      </c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29" t="n">
        <f aca="false">'Jul 2027'!O41</f>
        <v>0</v>
      </c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29" t="n">
        <f aca="false">'Jul 2027'!F42</f>
        <v>0</v>
      </c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29" t="n">
        <f aca="false">'Jul 2027'!J42</f>
        <v>0</v>
      </c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29" t="n">
        <f aca="false">'Jul 2027'!O42</f>
        <v>0</v>
      </c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29" t="n">
        <f aca="false">'Jul 2027'!F43</f>
        <v>0</v>
      </c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29" t="n">
        <f aca="false">'Jul 2027'!J43</f>
        <v>0</v>
      </c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29" t="n">
        <f aca="false">'Jul 2027'!O43</f>
        <v>0</v>
      </c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29" t="n">
        <f aca="false">'Jul 2027'!F44</f>
        <v>0</v>
      </c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29" t="n">
        <f aca="false">'Jul 2027'!J44</f>
        <v>0</v>
      </c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29" t="n">
        <f aca="false">'Jul 2027'!O44</f>
        <v>0</v>
      </c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29" t="n">
        <f aca="false">'Jul 2027'!F45</f>
        <v>0</v>
      </c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29" t="n">
        <f aca="false">'Jul 2027'!J45</f>
        <v>0</v>
      </c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29" t="n">
        <f aca="false">'Jul 2027'!O45</f>
        <v>0</v>
      </c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29" t="n">
        <f aca="false">'Jul 2027'!F46</f>
        <v>0</v>
      </c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29" t="n">
        <f aca="false">'Jul 2027'!J46</f>
        <v>0</v>
      </c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29" t="n">
        <f aca="false">'Jul 2027'!O46</f>
        <v>0</v>
      </c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29" t="n">
        <f aca="false">'Jul 2027'!F47</f>
        <v>0</v>
      </c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29" t="n">
        <f aca="false">'Jul 2027'!J47</f>
        <v>0</v>
      </c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29" t="n">
        <f aca="false">'Jul 2027'!O47</f>
        <v>0</v>
      </c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29" t="n">
        <f aca="false">'Jul 2027'!F48</f>
        <v>0</v>
      </c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29" t="n">
        <f aca="false">'Jul 2027'!J48</f>
        <v>0</v>
      </c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29" t="n">
        <f aca="false">'Jul 2027'!O48</f>
        <v>0</v>
      </c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29" t="n">
        <f aca="false">'Jul 2027'!F49</f>
        <v>0</v>
      </c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29" t="n">
        <f aca="false">'Jul 2027'!J49</f>
        <v>0</v>
      </c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29" t="n">
        <f aca="false">'Jul 2027'!O49</f>
        <v>0</v>
      </c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29" t="n">
        <f aca="false">'Jul 2027'!F50</f>
        <v>0</v>
      </c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29" t="n">
        <f aca="false">'Jul 2027'!J50</f>
        <v>0</v>
      </c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29" t="n">
        <f aca="false">'Jul 2027'!O50</f>
        <v>0</v>
      </c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29" t="n">
        <f aca="false">'Jul 2027'!F51</f>
        <v>0</v>
      </c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29" t="n">
        <f aca="false">'Jul 2027'!J51</f>
        <v>0</v>
      </c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29" t="n">
        <f aca="false">'Jul 2027'!O51</f>
        <v>0</v>
      </c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29" t="n">
        <f aca="false">'Jul 2027'!F52</f>
        <v>0</v>
      </c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29" t="n">
        <f aca="false">'Jul 2027'!J52</f>
        <v>0</v>
      </c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29" t="n">
        <f aca="false">'Jul 2027'!O52</f>
        <v>0</v>
      </c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29" t="n">
        <f aca="false">'Jul 2027'!F53</f>
        <v>0</v>
      </c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29" t="n">
        <f aca="false">'Jul 2027'!J53</f>
        <v>0</v>
      </c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29" t="n">
        <f aca="false">'Jul 2027'!O53</f>
        <v>0</v>
      </c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29" t="n">
        <f aca="false">'Jul 2027'!F54</f>
        <v>0</v>
      </c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29" t="n">
        <f aca="false">'Jul 2027'!J54</f>
        <v>0</v>
      </c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29" t="n">
        <f aca="false">'Jul 2027'!O54</f>
        <v>0</v>
      </c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29" t="n">
        <f aca="false">'Jul 2027'!F55</f>
        <v>0</v>
      </c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29" t="n">
        <f aca="false">'Jul 2027'!J55</f>
        <v>0</v>
      </c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29" t="n">
        <f aca="false">'Jul 2027'!O55</f>
        <v>0</v>
      </c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29" t="n">
        <f aca="false">'Jul 2027'!F56</f>
        <v>0</v>
      </c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29" t="n">
        <f aca="false">'Jul 2027'!J56</f>
        <v>0</v>
      </c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29" t="n">
        <f aca="false">'Jul 2027'!O56</f>
        <v>0</v>
      </c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29" t="n">
        <f aca="false">'Jul 2027'!F57</f>
        <v>0</v>
      </c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29" t="n">
        <f aca="false">'Jul 2027'!J57</f>
        <v>0</v>
      </c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29" t="n">
        <f aca="false">'Jul 2027'!O57</f>
        <v>0</v>
      </c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29" t="n">
        <f aca="false">'Jul 2027'!F58</f>
        <v>0</v>
      </c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29" t="n">
        <f aca="false">'Jul 2027'!J58</f>
        <v>0</v>
      </c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29" t="n">
        <f aca="false">'Jul 2027'!O58</f>
        <v>0</v>
      </c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29" t="n">
        <f aca="false">'Jul 2027'!F59</f>
        <v>0</v>
      </c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29" t="n">
        <f aca="false">'Jul 2027'!J59</f>
        <v>0</v>
      </c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29" t="n">
        <f aca="false">'Jul 2027'!O59</f>
        <v>0</v>
      </c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29" t="n">
        <f aca="false">'Jul 2027'!F60</f>
        <v>0</v>
      </c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29" t="n">
        <f aca="false">'Jul 2027'!J60</f>
        <v>0</v>
      </c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29" t="n">
        <f aca="false">'Jul 2027'!O60</f>
        <v>0</v>
      </c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29" t="n">
        <f aca="false">'Jul 2027'!F61</f>
        <v>0</v>
      </c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29" t="n">
        <f aca="false">'Jul 2027'!J61</f>
        <v>0</v>
      </c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29" t="n">
        <f aca="false">'Jul 2027'!O61</f>
        <v>0</v>
      </c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29" t="n">
        <f aca="false">'Jul 2027'!F62</f>
        <v>0</v>
      </c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29" t="n">
        <f aca="false">'Jul 2027'!J62</f>
        <v>0</v>
      </c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29" t="n">
        <f aca="false">'Jul 2027'!O62</f>
        <v>0</v>
      </c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29" t="n">
        <f aca="false">'Jul 2027'!F63</f>
        <v>0</v>
      </c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29" t="n">
        <f aca="false">'Jul 2027'!J63</f>
        <v>0</v>
      </c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29" t="n">
        <f aca="false">'Jul 2027'!O63</f>
        <v>0</v>
      </c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29" t="n">
        <f aca="false">'Jul 2027'!F64</f>
        <v>0</v>
      </c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29" t="n">
        <f aca="false">'Jul 2027'!J64</f>
        <v>0</v>
      </c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29" t="n">
        <f aca="false">'Jul 2027'!O64</f>
        <v>0</v>
      </c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29" t="n">
        <f aca="false">'Jul 2027'!F65</f>
        <v>0</v>
      </c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29" t="n">
        <f aca="false">'Jul 2027'!J65</f>
        <v>0</v>
      </c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29" t="n">
        <f aca="false">'Jul 2027'!O65</f>
        <v>0</v>
      </c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29" t="n">
        <f aca="false">'Jul 2027'!F66</f>
        <v>0</v>
      </c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29" t="n">
        <f aca="false">'Jul 2027'!J66</f>
        <v>0</v>
      </c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29" t="n">
        <f aca="false">'Jul 2027'!O66</f>
        <v>0</v>
      </c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29" t="n">
        <f aca="false">'Jul 2027'!F67</f>
        <v>0</v>
      </c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29" t="n">
        <f aca="false">'Jul 2027'!J67</f>
        <v>0</v>
      </c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29" t="n">
        <f aca="false">'Jul 2027'!O67</f>
        <v>0</v>
      </c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29" t="n">
        <f aca="false">'Jul 2027'!F68</f>
        <v>0</v>
      </c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29" t="n">
        <f aca="false">'Jul 2027'!J68</f>
        <v>0</v>
      </c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29" t="n">
        <f aca="false">'Jul 2027'!O68</f>
        <v>0</v>
      </c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29" t="n">
        <f aca="false">'Jul 2027'!F69</f>
        <v>0</v>
      </c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29" t="n">
        <f aca="false">'Jul 2027'!J69</f>
        <v>0</v>
      </c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29" t="n">
        <f aca="false">'Jul 2027'!O69</f>
        <v>0</v>
      </c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29" t="n">
        <f aca="false">'Jul 2027'!F70</f>
        <v>0</v>
      </c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29" t="n">
        <f aca="false">'Jul 2027'!J70</f>
        <v>0</v>
      </c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29" t="n">
        <f aca="false">'Jul 2027'!O70</f>
        <v>0</v>
      </c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29" t="n">
        <f aca="false">'Jul 2027'!F71</f>
        <v>0</v>
      </c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29" t="n">
        <f aca="false">'Jul 2027'!J71</f>
        <v>0</v>
      </c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29" t="n">
        <f aca="false">'Jul 2027'!O71</f>
        <v>0</v>
      </c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29" t="n">
        <f aca="false">'Jul 2027'!F72</f>
        <v>0</v>
      </c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29" t="n">
        <f aca="false">'Jul 2027'!J72</f>
        <v>0</v>
      </c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29" t="n">
        <f aca="false">'Jul 2027'!O72</f>
        <v>0</v>
      </c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29" t="n">
        <f aca="false">'Jul 2027'!F73</f>
        <v>0</v>
      </c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29" t="n">
        <f aca="false">'Jul 2027'!J73</f>
        <v>0</v>
      </c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29" t="n">
        <f aca="false">'Jul 2027'!O73</f>
        <v>0</v>
      </c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29" t="n">
        <f aca="false">'Jul 2027'!F74</f>
        <v>0</v>
      </c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29" t="n">
        <f aca="false">'Jul 2027'!J74</f>
        <v>0</v>
      </c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29" t="n">
        <f aca="false">'Jul 2027'!O74</f>
        <v>0</v>
      </c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29" t="n">
        <f aca="false">'Jul 2027'!F75</f>
        <v>0</v>
      </c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29" t="n">
        <f aca="false">'Jul 2027'!J75</f>
        <v>0</v>
      </c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29" t="n">
        <f aca="false">'Jul 2027'!O75</f>
        <v>0</v>
      </c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29" t="n">
        <f aca="false">'Jul 2027'!F76</f>
        <v>0</v>
      </c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29" t="n">
        <f aca="false">'Jul 2027'!J76</f>
        <v>0</v>
      </c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29" t="n">
        <f aca="false">'Jul 2027'!O76</f>
        <v>0</v>
      </c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29" t="n">
        <f aca="false">'Jul 2027'!F77</f>
        <v>0</v>
      </c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29" t="n">
        <f aca="false">'Jul 2027'!J77</f>
        <v>0</v>
      </c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29" t="n">
        <f aca="false">'Jul 2027'!O77</f>
        <v>0</v>
      </c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29" t="n">
        <f aca="false">'Jul 2027'!F78</f>
        <v>0</v>
      </c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29" t="n">
        <f aca="false">'Jul 2027'!J78</f>
        <v>0</v>
      </c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29" t="n">
        <f aca="false">'Jul 2027'!O78</f>
        <v>0</v>
      </c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29" t="n">
        <f aca="false">'Jul 2027'!F79</f>
        <v>0</v>
      </c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29" t="n">
        <f aca="false">'Jul 2027'!J79</f>
        <v>0</v>
      </c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29" t="n">
        <f aca="false">'Jul 2027'!O79</f>
        <v>0</v>
      </c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29" t="n">
        <f aca="false">'Jul 2027'!F80</f>
        <v>0</v>
      </c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29" t="n">
        <f aca="false">'Jul 2027'!J80</f>
        <v>0</v>
      </c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29" t="n">
        <f aca="false">'Jul 2027'!O80</f>
        <v>0</v>
      </c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29" t="n">
        <f aca="false">'Jul 2027'!F81</f>
        <v>0</v>
      </c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29" t="n">
        <f aca="false">'Jul 2027'!J81</f>
        <v>0</v>
      </c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29" t="n">
        <f aca="false">'Jul 2027'!O81</f>
        <v>0</v>
      </c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29" t="n">
        <f aca="false">'Jul 2027'!F82</f>
        <v>0</v>
      </c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29" t="n">
        <f aca="false">'Jul 2027'!J82</f>
        <v>0</v>
      </c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29" t="n">
        <f aca="false">'Jul 2027'!O82</f>
        <v>0</v>
      </c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29" t="n">
        <f aca="false">'Jul 2027'!F83</f>
        <v>0</v>
      </c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29" t="n">
        <f aca="false">'Jul 2027'!J83</f>
        <v>0</v>
      </c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29" t="n">
        <f aca="false">'Jul 2027'!O83</f>
        <v>0</v>
      </c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29" t="n">
        <f aca="false">'Jul 2027'!F84</f>
        <v>0</v>
      </c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29" t="n">
        <f aca="false">'Jul 2027'!J84</f>
        <v>0</v>
      </c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29" t="n">
        <f aca="false">'Jul 2027'!O84</f>
        <v>0</v>
      </c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29" t="n">
        <f aca="false">'Jul 2027'!F85</f>
        <v>0</v>
      </c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29" t="n">
        <f aca="false">'Jul 2027'!J85</f>
        <v>0</v>
      </c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29" t="n">
        <f aca="false">'Jul 2027'!O85</f>
        <v>0</v>
      </c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29" t="n">
        <f aca="false">'Jul 2027'!F86</f>
        <v>0</v>
      </c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29" t="n">
        <f aca="false">'Jul 2027'!J86</f>
        <v>0</v>
      </c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29" t="n">
        <f aca="false">'Jul 2027'!O86</f>
        <v>0</v>
      </c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29" t="n">
        <f aca="false">'Jul 2027'!F87</f>
        <v>0</v>
      </c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29" t="n">
        <f aca="false">'Jul 2027'!J87</f>
        <v>0</v>
      </c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29" t="n">
        <f aca="false">'Jul 2027'!O87</f>
        <v>0</v>
      </c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29" t="n">
        <f aca="false">'Jul 2027'!F88</f>
        <v>0</v>
      </c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29" t="n">
        <f aca="false">'Jul 2027'!J88</f>
        <v>0</v>
      </c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29" t="n">
        <f aca="false">'Jul 2027'!O88</f>
        <v>0</v>
      </c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29" t="n">
        <f aca="false">'Jul 2027'!F89</f>
        <v>0</v>
      </c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29" t="n">
        <f aca="false">'Jul 2027'!J89</f>
        <v>0</v>
      </c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29" t="n">
        <f aca="false">'Jul 2027'!O89</f>
        <v>0</v>
      </c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29" t="n">
        <f aca="false">'Jul 2027'!F90</f>
        <v>0</v>
      </c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29" t="n">
        <f aca="false">'Jul 2027'!J90</f>
        <v>0</v>
      </c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29" t="n">
        <f aca="false">'Jul 2027'!O90</f>
        <v>0</v>
      </c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29" t="n">
        <f aca="false">'Jul 2027'!F91</f>
        <v>0</v>
      </c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29" t="n">
        <f aca="false">'Jul 2027'!J91</f>
        <v>0</v>
      </c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29" t="n">
        <f aca="false">'Jul 2027'!O91</f>
        <v>0</v>
      </c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29" t="n">
        <f aca="false">'Jul 2027'!F92</f>
        <v>0</v>
      </c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29" t="n">
        <f aca="false">'Jul 2027'!J92</f>
        <v>0</v>
      </c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29" t="n">
        <f aca="false">'Jul 2027'!O92</f>
        <v>0</v>
      </c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29" t="n">
        <f aca="false">'Jul 2027'!F93</f>
        <v>0</v>
      </c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29" t="n">
        <f aca="false">'Jul 2027'!J93</f>
        <v>0</v>
      </c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29" t="n">
        <f aca="false">'Jul 2027'!O93</f>
        <v>0</v>
      </c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29" t="n">
        <f aca="false">'Jul 2027'!F94</f>
        <v>0</v>
      </c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29" t="n">
        <f aca="false">'Jul 2027'!J94</f>
        <v>0</v>
      </c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29" t="n">
        <f aca="false">'Jul 2027'!O94</f>
        <v>0</v>
      </c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29" t="n">
        <f aca="false">'Jul 2027'!F95</f>
        <v>0</v>
      </c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29" t="n">
        <f aca="false">'Jul 2027'!J95</f>
        <v>0</v>
      </c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29" t="n">
        <f aca="false">'Jul 2027'!O95</f>
        <v>0</v>
      </c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29" t="n">
        <f aca="false">'Jul 2027'!F96</f>
        <v>0</v>
      </c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29" t="n">
        <f aca="false">'Jul 2027'!J96</f>
        <v>0</v>
      </c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29" t="n">
        <f aca="false">'Jul 2027'!O96</f>
        <v>0</v>
      </c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29" t="n">
        <f aca="false">'Jul 2027'!F97</f>
        <v>0</v>
      </c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29" t="n">
        <f aca="false">'Jul 2027'!J97</f>
        <v>0</v>
      </c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29" t="n">
        <f aca="false">'Jul 2027'!O97</f>
        <v>0</v>
      </c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29" t="n">
        <f aca="false">'Jul 2027'!F98</f>
        <v>0</v>
      </c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29" t="n">
        <f aca="false">'Jul 2027'!J98</f>
        <v>0</v>
      </c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29" t="n">
        <f aca="false">'Jul 2027'!O98</f>
        <v>0</v>
      </c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29" t="n">
        <f aca="false">'Jul 2027'!F99</f>
        <v>0</v>
      </c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29" t="n">
        <f aca="false">'Jul 2027'!J99</f>
        <v>0</v>
      </c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29" t="n">
        <f aca="false">'Jul 2027'!O99</f>
        <v>0</v>
      </c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29" t="n">
        <f aca="false">'Jul 2027'!F100</f>
        <v>0</v>
      </c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29" t="n">
        <f aca="false">'Jul 2027'!J100</f>
        <v>0</v>
      </c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29" t="n">
        <f aca="false">'Jul 2027'!O100</f>
        <v>0</v>
      </c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29" t="n">
        <f aca="false">'Jul 2027'!F101</f>
        <v>0</v>
      </c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29" t="n">
        <f aca="false">'Jul 2027'!J101</f>
        <v>0</v>
      </c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29" t="n">
        <f aca="false">'Jul 2027'!O101</f>
        <v>0</v>
      </c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29" t="n">
        <f aca="false">'Jul 2027'!F102</f>
        <v>0</v>
      </c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29" t="n">
        <f aca="false">'Jul 2027'!J102</f>
        <v>0</v>
      </c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29" t="n">
        <f aca="false">'Jul 2027'!O102</f>
        <v>0</v>
      </c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29" t="n">
        <f aca="false">'Jul 2027'!F103</f>
        <v>0</v>
      </c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29" t="n">
        <f aca="false">'Jul 2027'!J103</f>
        <v>0</v>
      </c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29" t="n">
        <f aca="false">'Jul 2027'!O103</f>
        <v>0</v>
      </c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29" t="n">
        <f aca="false">'Jul 2027'!F104</f>
        <v>0</v>
      </c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29" t="n">
        <f aca="false">'Jul 2027'!J104</f>
        <v>0</v>
      </c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29" t="n">
        <f aca="false">'Jul 2027'!O104</f>
        <v>0</v>
      </c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29" t="n">
        <f aca="false">'Jul 2027'!F105</f>
        <v>0</v>
      </c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29" t="n">
        <f aca="false">'Jul 2027'!J105</f>
        <v>0</v>
      </c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29" t="n">
        <f aca="false">'Jul 2027'!O105</f>
        <v>0</v>
      </c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29" t="n">
        <f aca="false">'Jul 2027'!F106</f>
        <v>0</v>
      </c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29" t="n">
        <f aca="false">'Jul 2027'!J106</f>
        <v>0</v>
      </c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29" t="n">
        <f aca="false">'Jul 2027'!O106</f>
        <v>0</v>
      </c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29" t="n">
        <f aca="false">'Jul 2027'!F107</f>
        <v>0</v>
      </c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29" t="n">
        <f aca="false">'Jul 2027'!J107</f>
        <v>0</v>
      </c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29" t="n">
        <f aca="false">'Jul 2027'!O107</f>
        <v>0</v>
      </c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29" t="n">
        <f aca="false">'Jul 2027'!F108</f>
        <v>0</v>
      </c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29" t="n">
        <f aca="false">'Jul 2027'!J108</f>
        <v>0</v>
      </c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29" t="n">
        <f aca="false">'Jul 2027'!O108</f>
        <v>0</v>
      </c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29" t="n">
        <f aca="false">'Jul 2027'!F109</f>
        <v>0</v>
      </c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29" t="n">
        <f aca="false">'Jul 2027'!J109</f>
        <v>0</v>
      </c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29" t="n">
        <f aca="false">'Jul 2027'!O109</f>
        <v>0</v>
      </c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29" t="n">
        <f aca="false">'Jul 2027'!F110</f>
        <v>0</v>
      </c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29" t="n">
        <f aca="false">'Jul 2027'!J110</f>
        <v>0</v>
      </c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29" t="n">
        <f aca="false">'Jul 2027'!O110</f>
        <v>0</v>
      </c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29" t="n">
        <f aca="false">'Jul 2027'!F111</f>
        <v>0</v>
      </c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29" t="n">
        <f aca="false">'Jul 2027'!J111</f>
        <v>0</v>
      </c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29" t="n">
        <f aca="false">'Jul 2027'!O111</f>
        <v>0</v>
      </c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29" t="n">
        <f aca="false">'Jul 2027'!F112</f>
        <v>0</v>
      </c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29" t="n">
        <f aca="false">'Jul 2027'!J112</f>
        <v>0</v>
      </c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29" t="n">
        <f aca="false">'Jul 2027'!O112</f>
        <v>0</v>
      </c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29" t="n">
        <f aca="false">'Jul 2027'!F113</f>
        <v>0</v>
      </c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29" t="n">
        <f aca="false">'Jul 2027'!J113</f>
        <v>0</v>
      </c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29" t="n">
        <f aca="false">'Jul 2027'!O113</f>
        <v>0</v>
      </c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18000</v>
      </c>
      <c r="D114" s="32" t="n">
        <f aca="false">SUM(D14:D113)</f>
        <v>2000</v>
      </c>
      <c r="E114" s="32" t="n">
        <f aca="false">SUM(E14:E113)</f>
        <v>0</v>
      </c>
      <c r="F114" s="32" t="n">
        <f aca="false">SUM(F14:F113)</f>
        <v>20000</v>
      </c>
      <c r="G114" s="32" t="n">
        <f aca="false">SUM(G14:G113)</f>
        <v>15000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16500</v>
      </c>
      <c r="K114" s="32" t="n">
        <f aca="false">SUM(K14:K113)</f>
        <v>200</v>
      </c>
      <c r="L114" s="32" t="n">
        <f aca="false">SUM(L14:L113)</f>
        <v>0</v>
      </c>
      <c r="M114" s="32" t="n">
        <f aca="false">SUM(M14:M113)</f>
        <v>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36700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7" min="3" style="0" width="11.5"/>
  </cols>
  <sheetData>
    <row r="1" customFormat="false" ht="19.7" hidden="false" customHeight="false" outlineLevel="0" collapsed="false">
      <c r="A1" s="14" t="s">
        <v>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32</v>
      </c>
      <c r="B4" s="15"/>
      <c r="C4" s="15"/>
      <c r="D4" s="15"/>
      <c r="E4" s="15"/>
      <c r="G4" s="16" t="s">
        <v>33</v>
      </c>
      <c r="H4" s="16"/>
      <c r="I4" s="16"/>
      <c r="J4" s="16"/>
      <c r="K4" s="16"/>
      <c r="M4" s="17" t="s">
        <v>34</v>
      </c>
      <c r="N4" s="17"/>
      <c r="O4" s="17"/>
      <c r="P4" s="17"/>
      <c r="Q4" s="17"/>
    </row>
    <row r="5" customFormat="false" ht="15" hidden="false" customHeight="false" outlineLevel="0" collapsed="false">
      <c r="A5" s="3" t="s">
        <v>35</v>
      </c>
      <c r="B5" s="3"/>
      <c r="C5" s="18" t="str">
        <f aca="false">IF(Setup!B5="","(enter name in Setup)",Setup!B5)</f>
        <v>(enter name in Setup)</v>
      </c>
      <c r="D5" s="18"/>
      <c r="E5" s="18"/>
      <c r="G5" s="3" t="s">
        <v>35</v>
      </c>
      <c r="H5" s="3"/>
      <c r="I5" s="18" t="str">
        <f aca="false">Setup!B6</f>
        <v>Sir Nazeer Ahmed Jamali</v>
      </c>
      <c r="J5" s="18"/>
      <c r="K5" s="18"/>
      <c r="M5" s="3" t="s">
        <v>36</v>
      </c>
      <c r="N5" s="3"/>
      <c r="O5" s="19" t="n">
        <f aca="false">E114*(1-Setup!B11)</f>
        <v>0</v>
      </c>
      <c r="P5" s="19"/>
      <c r="Q5" s="19"/>
    </row>
    <row r="6" customFormat="false" ht="15" hidden="false" customHeight="false" outlineLevel="0" collapsed="false">
      <c r="A6" s="3" t="s">
        <v>37</v>
      </c>
      <c r="B6" s="3"/>
      <c r="C6" s="20" t="n">
        <f aca="false">Setup!B11</f>
        <v>0.5</v>
      </c>
      <c r="D6" s="20"/>
      <c r="E6" s="20"/>
      <c r="G6" s="3" t="s">
        <v>37</v>
      </c>
      <c r="H6" s="3"/>
      <c r="I6" s="20" t="n">
        <f aca="false">Setup!B12</f>
        <v>0.5</v>
      </c>
      <c r="J6" s="20"/>
      <c r="K6" s="20"/>
      <c r="M6" s="3" t="s">
        <v>38</v>
      </c>
      <c r="N6" s="3"/>
      <c r="O6" s="19" t="n">
        <f aca="false">I114*(1-Setup!B12)</f>
        <v>0</v>
      </c>
      <c r="P6" s="19"/>
      <c r="Q6" s="19"/>
    </row>
    <row r="7" customFormat="false" ht="15" hidden="false" customHeight="false" outlineLevel="0" collapsed="false">
      <c r="A7" s="3" t="s">
        <v>39</v>
      </c>
      <c r="B7" s="3"/>
      <c r="C7" s="21" t="n">
        <f aca="false">E114*Setup!B11</f>
        <v>0</v>
      </c>
      <c r="D7" s="21"/>
      <c r="E7" s="21"/>
      <c r="G7" s="3" t="s">
        <v>39</v>
      </c>
      <c r="H7" s="3"/>
      <c r="I7" s="21" t="n">
        <f aca="false">I114*Setup!B12</f>
        <v>0</v>
      </c>
      <c r="J7" s="21"/>
      <c r="K7" s="21"/>
      <c r="M7" s="3" t="s">
        <v>40</v>
      </c>
      <c r="N7" s="3"/>
      <c r="O7" s="19" t="n">
        <f aca="false">N114*Setup!B13</f>
        <v>0</v>
      </c>
      <c r="P7" s="19"/>
      <c r="Q7" s="19"/>
    </row>
    <row r="8" customFormat="false" ht="15" hidden="false" customHeight="false" outlineLevel="0" collapsed="false">
      <c r="M8" s="3" t="s">
        <v>41</v>
      </c>
      <c r="N8" s="3"/>
      <c r="O8" s="21" t="n">
        <f aca="false">SUM(O5:O7)</f>
        <v>0</v>
      </c>
      <c r="P8" s="21"/>
      <c r="Q8" s="21"/>
    </row>
    <row r="10" customFormat="false" ht="15" hidden="false" customHeight="false" outlineLevel="0" collapsed="false">
      <c r="A10" s="22" t="s">
        <v>42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customFormat="false" ht="15" hidden="false" customHeight="false" outlineLevel="0" collapsed="false">
      <c r="A11" s="3" t="s">
        <v>43</v>
      </c>
      <c r="B11" s="3"/>
      <c r="C11" s="21" t="n">
        <f aca="false">C114+G114+K114</f>
        <v>36700</v>
      </c>
      <c r="D11" s="21"/>
      <c r="E11" s="3" t="s">
        <v>44</v>
      </c>
      <c r="F11" s="3"/>
      <c r="G11" s="21" t="n">
        <f aca="false">D114+H114+L114+M114</f>
        <v>3500</v>
      </c>
      <c r="H11" s="21"/>
      <c r="I11" s="3" t="s">
        <v>45</v>
      </c>
      <c r="J11" s="3"/>
      <c r="K11" s="21" t="n">
        <f aca="false">E114+I114+N114</f>
        <v>0</v>
      </c>
      <c r="L11" s="21"/>
      <c r="M11" s="3" t="s">
        <v>46</v>
      </c>
      <c r="N11" s="3"/>
      <c r="O11" s="21" t="n">
        <f aca="false">P114</f>
        <v>40200</v>
      </c>
      <c r="P11" s="21"/>
      <c r="Q11" s="21"/>
    </row>
    <row r="12" customFormat="false" ht="15" hidden="false" customHeight="false" outlineLevel="0" collapsed="false">
      <c r="A12" s="23"/>
      <c r="B12" s="23"/>
      <c r="C12" s="15" t="s">
        <v>47</v>
      </c>
      <c r="D12" s="15"/>
      <c r="E12" s="15"/>
      <c r="F12" s="15"/>
      <c r="G12" s="16" t="s">
        <v>48</v>
      </c>
      <c r="H12" s="16"/>
      <c r="I12" s="16"/>
      <c r="J12" s="16"/>
      <c r="K12" s="17" t="s">
        <v>49</v>
      </c>
      <c r="L12" s="17"/>
      <c r="M12" s="17"/>
      <c r="N12" s="17"/>
      <c r="O12" s="17"/>
      <c r="P12" s="22" t="s">
        <v>50</v>
      </c>
      <c r="Q12" s="22"/>
    </row>
    <row r="13" customFormat="false" ht="30" hidden="false" customHeight="true" outlineLevel="0" collapsed="false">
      <c r="A13" s="24" t="s">
        <v>20</v>
      </c>
      <c r="B13" s="24" t="s">
        <v>21</v>
      </c>
      <c r="C13" s="24" t="s">
        <v>51</v>
      </c>
      <c r="D13" s="24" t="s">
        <v>52</v>
      </c>
      <c r="E13" s="24" t="s">
        <v>53</v>
      </c>
      <c r="F13" s="24" t="s">
        <v>54</v>
      </c>
      <c r="G13" s="25" t="s">
        <v>51</v>
      </c>
      <c r="H13" s="25" t="s">
        <v>52</v>
      </c>
      <c r="I13" s="25" t="s">
        <v>53</v>
      </c>
      <c r="J13" s="25" t="s">
        <v>54</v>
      </c>
      <c r="K13" s="26" t="s">
        <v>51</v>
      </c>
      <c r="L13" s="26" t="s">
        <v>55</v>
      </c>
      <c r="M13" s="26" t="s">
        <v>56</v>
      </c>
      <c r="N13" s="26" t="s">
        <v>53</v>
      </c>
      <c r="O13" s="26" t="s">
        <v>54</v>
      </c>
      <c r="P13" s="27" t="s">
        <v>57</v>
      </c>
      <c r="Q13" s="27" t="s">
        <v>58</v>
      </c>
    </row>
    <row r="14" customFormat="false" ht="15" hidden="false" customHeight="false" outlineLevel="0" collapsed="false">
      <c r="A14" s="10" t="n">
        <v>1</v>
      </c>
      <c r="B14" s="28" t="str">
        <f aca="false">IF(Students!B5="","",Students!B5)</f>
        <v>Ali Ahmed (example)</v>
      </c>
      <c r="C14" s="29" t="n">
        <f aca="false">'Aug 2027'!F14</f>
        <v>20000</v>
      </c>
      <c r="D14" s="29" t="n">
        <f aca="false">IF(Students!D5="Yes",N(Students!E5),0)</f>
        <v>2000</v>
      </c>
      <c r="E14" s="13"/>
      <c r="F14" s="30" t="n">
        <f aca="false">N(C14)+N(D14)-N(E14)</f>
        <v>22000</v>
      </c>
      <c r="G14" s="29" t="n">
        <f aca="false">'Aug 2027'!J14</f>
        <v>16500</v>
      </c>
      <c r="H14" s="29" t="n">
        <f aca="false">IF(Students!F5="Yes",N(Students!G5),0)</f>
        <v>1500</v>
      </c>
      <c r="I14" s="13"/>
      <c r="J14" s="30" t="n">
        <f aca="false">N(G14)+N(H14)-N(I14)</f>
        <v>18000</v>
      </c>
      <c r="K14" s="29" t="n">
        <f aca="false">'Aug 2027'!O14</f>
        <v>200</v>
      </c>
      <c r="L14" s="13"/>
      <c r="M14" s="13"/>
      <c r="N14" s="13"/>
      <c r="O14" s="30" t="n">
        <f aca="false">N(K14)+N(L14)+N(M14)-N(N14)</f>
        <v>200</v>
      </c>
      <c r="P14" s="30" t="n">
        <f aca="false">F14+J14+O14</f>
        <v>40200</v>
      </c>
      <c r="Q14" s="10" t="str">
        <f aca="false">IF(B14="","",IF(P14&lt;=0,"Clear",IF(E14+I14+N14&gt;0,"Partial","Due")))</f>
        <v>Due</v>
      </c>
    </row>
    <row r="15" customFormat="false" ht="15" hidden="false" customHeight="false" outlineLevel="0" collapsed="false">
      <c r="A15" s="10" t="n">
        <v>2</v>
      </c>
      <c r="B15" s="28" t="str">
        <f aca="false">IF(Students!B6="","",Students!B6)</f>
        <v/>
      </c>
      <c r="C15" s="29" t="n">
        <f aca="false">'Aug 2027'!F15</f>
        <v>0</v>
      </c>
      <c r="D15" s="29" t="n">
        <f aca="false">IF(Students!D6="Yes",N(Students!E6),0)</f>
        <v>0</v>
      </c>
      <c r="E15" s="13"/>
      <c r="F15" s="30" t="n">
        <f aca="false">N(C15)+N(D15)-N(E15)</f>
        <v>0</v>
      </c>
      <c r="G15" s="29" t="n">
        <f aca="false">'Aug 2027'!J15</f>
        <v>0</v>
      </c>
      <c r="H15" s="29" t="n">
        <f aca="false">IF(Students!F6="Yes",N(Students!G6),0)</f>
        <v>0</v>
      </c>
      <c r="I15" s="13"/>
      <c r="J15" s="30" t="n">
        <f aca="false">N(G15)+N(H15)-N(I15)</f>
        <v>0</v>
      </c>
      <c r="K15" s="29" t="n">
        <f aca="false">'Aug 2027'!O15</f>
        <v>0</v>
      </c>
      <c r="L15" s="13"/>
      <c r="M15" s="13"/>
      <c r="N15" s="13"/>
      <c r="O15" s="30" t="n">
        <f aca="false">N(K15)+N(L15)+N(M15)-N(N15)</f>
        <v>0</v>
      </c>
      <c r="P15" s="30" t="n">
        <f aca="false">F15+J15+O15</f>
        <v>0</v>
      </c>
      <c r="Q15" s="10" t="str">
        <f aca="false">IF(B15="","",IF(P15&lt;=0,"Clear",IF(E15+I15+N15&gt;0,"Partial","Due")))</f>
        <v/>
      </c>
    </row>
    <row r="16" customFormat="false" ht="15" hidden="false" customHeight="false" outlineLevel="0" collapsed="false">
      <c r="A16" s="10" t="n">
        <v>3</v>
      </c>
      <c r="B16" s="28" t="str">
        <f aca="false">IF(Students!B7="","",Students!B7)</f>
        <v/>
      </c>
      <c r="C16" s="29" t="n">
        <f aca="false">'Aug 2027'!F16</f>
        <v>0</v>
      </c>
      <c r="D16" s="29" t="n">
        <f aca="false">IF(Students!D7="Yes",N(Students!E7),0)</f>
        <v>0</v>
      </c>
      <c r="E16" s="13"/>
      <c r="F16" s="30" t="n">
        <f aca="false">N(C16)+N(D16)-N(E16)</f>
        <v>0</v>
      </c>
      <c r="G16" s="29" t="n">
        <f aca="false">'Aug 2027'!J16</f>
        <v>0</v>
      </c>
      <c r="H16" s="29" t="n">
        <f aca="false">IF(Students!F7="Yes",N(Students!G7),0)</f>
        <v>0</v>
      </c>
      <c r="I16" s="13"/>
      <c r="J16" s="30" t="n">
        <f aca="false">N(G16)+N(H16)-N(I16)</f>
        <v>0</v>
      </c>
      <c r="K16" s="29" t="n">
        <f aca="false">'Aug 2027'!O16</f>
        <v>0</v>
      </c>
      <c r="L16" s="13"/>
      <c r="M16" s="13"/>
      <c r="N16" s="13"/>
      <c r="O16" s="30" t="n">
        <f aca="false">N(K16)+N(L16)+N(M16)-N(N16)</f>
        <v>0</v>
      </c>
      <c r="P16" s="30" t="n">
        <f aca="false">F16+J16+O16</f>
        <v>0</v>
      </c>
      <c r="Q16" s="10" t="str">
        <f aca="false">IF(B16="","",IF(P16&lt;=0,"Clear",IF(E16+I16+N16&gt;0,"Partial","Due")))</f>
        <v/>
      </c>
    </row>
    <row r="17" customFormat="false" ht="15" hidden="false" customHeight="false" outlineLevel="0" collapsed="false">
      <c r="A17" s="10" t="n">
        <v>4</v>
      </c>
      <c r="B17" s="28" t="str">
        <f aca="false">IF(Students!B8="","",Students!B8)</f>
        <v/>
      </c>
      <c r="C17" s="29" t="n">
        <f aca="false">'Aug 2027'!F17</f>
        <v>0</v>
      </c>
      <c r="D17" s="29" t="n">
        <f aca="false">IF(Students!D8="Yes",N(Students!E8),0)</f>
        <v>0</v>
      </c>
      <c r="E17" s="13"/>
      <c r="F17" s="30" t="n">
        <f aca="false">N(C17)+N(D17)-N(E17)</f>
        <v>0</v>
      </c>
      <c r="G17" s="29" t="n">
        <f aca="false">'Aug 2027'!J17</f>
        <v>0</v>
      </c>
      <c r="H17" s="29" t="n">
        <f aca="false">IF(Students!F8="Yes",N(Students!G8),0)</f>
        <v>0</v>
      </c>
      <c r="I17" s="13"/>
      <c r="J17" s="30" t="n">
        <f aca="false">N(G17)+N(H17)-N(I17)</f>
        <v>0</v>
      </c>
      <c r="K17" s="29" t="n">
        <f aca="false">'Aug 2027'!O17</f>
        <v>0</v>
      </c>
      <c r="L17" s="13"/>
      <c r="M17" s="13"/>
      <c r="N17" s="13"/>
      <c r="O17" s="30" t="n">
        <f aca="false">N(K17)+N(L17)+N(M17)-N(N17)</f>
        <v>0</v>
      </c>
      <c r="P17" s="30" t="n">
        <f aca="false">F17+J17+O17</f>
        <v>0</v>
      </c>
      <c r="Q17" s="10" t="str">
        <f aca="false">IF(B17="","",IF(P17&lt;=0,"Clear",IF(E17+I17+N17&gt;0,"Partial","Due")))</f>
        <v/>
      </c>
    </row>
    <row r="18" customFormat="false" ht="15" hidden="false" customHeight="false" outlineLevel="0" collapsed="false">
      <c r="A18" s="10" t="n">
        <v>5</v>
      </c>
      <c r="B18" s="28" t="str">
        <f aca="false">IF(Students!B9="","",Students!B9)</f>
        <v/>
      </c>
      <c r="C18" s="29" t="n">
        <f aca="false">'Aug 2027'!F18</f>
        <v>0</v>
      </c>
      <c r="D18" s="29" t="n">
        <f aca="false">IF(Students!D9="Yes",N(Students!E9),0)</f>
        <v>0</v>
      </c>
      <c r="E18" s="13"/>
      <c r="F18" s="30" t="n">
        <f aca="false">N(C18)+N(D18)-N(E18)</f>
        <v>0</v>
      </c>
      <c r="G18" s="29" t="n">
        <f aca="false">'Aug 2027'!J18</f>
        <v>0</v>
      </c>
      <c r="H18" s="29" t="n">
        <f aca="false">IF(Students!F9="Yes",N(Students!G9),0)</f>
        <v>0</v>
      </c>
      <c r="I18" s="13"/>
      <c r="J18" s="30" t="n">
        <f aca="false">N(G18)+N(H18)-N(I18)</f>
        <v>0</v>
      </c>
      <c r="K18" s="29" t="n">
        <f aca="false">'Aug 2027'!O18</f>
        <v>0</v>
      </c>
      <c r="L18" s="13"/>
      <c r="M18" s="13"/>
      <c r="N18" s="13"/>
      <c r="O18" s="30" t="n">
        <f aca="false">N(K18)+N(L18)+N(M18)-N(N18)</f>
        <v>0</v>
      </c>
      <c r="P18" s="30" t="n">
        <f aca="false">F18+J18+O18</f>
        <v>0</v>
      </c>
      <c r="Q18" s="10" t="str">
        <f aca="false">IF(B18="","",IF(P18&lt;=0,"Clear",IF(E18+I18+N18&gt;0,"Partial","Due")))</f>
        <v/>
      </c>
    </row>
    <row r="19" customFormat="false" ht="15" hidden="false" customHeight="false" outlineLevel="0" collapsed="false">
      <c r="A19" s="10" t="n">
        <v>6</v>
      </c>
      <c r="B19" s="28" t="str">
        <f aca="false">IF(Students!B10="","",Students!B10)</f>
        <v/>
      </c>
      <c r="C19" s="29" t="n">
        <f aca="false">'Aug 2027'!F19</f>
        <v>0</v>
      </c>
      <c r="D19" s="29" t="n">
        <f aca="false">IF(Students!D10="Yes",N(Students!E10),0)</f>
        <v>0</v>
      </c>
      <c r="E19" s="13"/>
      <c r="F19" s="30" t="n">
        <f aca="false">N(C19)+N(D19)-N(E19)</f>
        <v>0</v>
      </c>
      <c r="G19" s="29" t="n">
        <f aca="false">'Aug 2027'!J19</f>
        <v>0</v>
      </c>
      <c r="H19" s="29" t="n">
        <f aca="false">IF(Students!F10="Yes",N(Students!G10),0)</f>
        <v>0</v>
      </c>
      <c r="I19" s="13"/>
      <c r="J19" s="30" t="n">
        <f aca="false">N(G19)+N(H19)-N(I19)</f>
        <v>0</v>
      </c>
      <c r="K19" s="29" t="n">
        <f aca="false">'Aug 2027'!O19</f>
        <v>0</v>
      </c>
      <c r="L19" s="13"/>
      <c r="M19" s="13"/>
      <c r="N19" s="13"/>
      <c r="O19" s="30" t="n">
        <f aca="false">N(K19)+N(L19)+N(M19)-N(N19)</f>
        <v>0</v>
      </c>
      <c r="P19" s="30" t="n">
        <f aca="false">F19+J19+O19</f>
        <v>0</v>
      </c>
      <c r="Q19" s="10" t="str">
        <f aca="false">IF(B19="","",IF(P19&lt;=0,"Clear",IF(E19+I19+N19&gt;0,"Partial","Due")))</f>
        <v/>
      </c>
    </row>
    <row r="20" customFormat="false" ht="15" hidden="false" customHeight="false" outlineLevel="0" collapsed="false">
      <c r="A20" s="10" t="n">
        <v>7</v>
      </c>
      <c r="B20" s="28" t="str">
        <f aca="false">IF(Students!B11="","",Students!B11)</f>
        <v/>
      </c>
      <c r="C20" s="29" t="n">
        <f aca="false">'Aug 2027'!F20</f>
        <v>0</v>
      </c>
      <c r="D20" s="29" t="n">
        <f aca="false">IF(Students!D11="Yes",N(Students!E11),0)</f>
        <v>0</v>
      </c>
      <c r="E20" s="13"/>
      <c r="F20" s="30" t="n">
        <f aca="false">N(C20)+N(D20)-N(E20)</f>
        <v>0</v>
      </c>
      <c r="G20" s="29" t="n">
        <f aca="false">'Aug 2027'!J20</f>
        <v>0</v>
      </c>
      <c r="H20" s="29" t="n">
        <f aca="false">IF(Students!F11="Yes",N(Students!G11),0)</f>
        <v>0</v>
      </c>
      <c r="I20" s="13"/>
      <c r="J20" s="30" t="n">
        <f aca="false">N(G20)+N(H20)-N(I20)</f>
        <v>0</v>
      </c>
      <c r="K20" s="29" t="n">
        <f aca="false">'Aug 2027'!O20</f>
        <v>0</v>
      </c>
      <c r="L20" s="13"/>
      <c r="M20" s="13"/>
      <c r="N20" s="13"/>
      <c r="O20" s="30" t="n">
        <f aca="false">N(K20)+N(L20)+N(M20)-N(N20)</f>
        <v>0</v>
      </c>
      <c r="P20" s="30" t="n">
        <f aca="false">F20+J20+O20</f>
        <v>0</v>
      </c>
      <c r="Q20" s="10" t="str">
        <f aca="false">IF(B20="","",IF(P20&lt;=0,"Clear",IF(E20+I20+N20&gt;0,"Partial","Due")))</f>
        <v/>
      </c>
    </row>
    <row r="21" customFormat="false" ht="15" hidden="false" customHeight="false" outlineLevel="0" collapsed="false">
      <c r="A21" s="10" t="n">
        <v>8</v>
      </c>
      <c r="B21" s="28" t="str">
        <f aca="false">IF(Students!B12="","",Students!B12)</f>
        <v/>
      </c>
      <c r="C21" s="29" t="n">
        <f aca="false">'Aug 2027'!F21</f>
        <v>0</v>
      </c>
      <c r="D21" s="29" t="n">
        <f aca="false">IF(Students!D12="Yes",N(Students!E12),0)</f>
        <v>0</v>
      </c>
      <c r="E21" s="13"/>
      <c r="F21" s="30" t="n">
        <f aca="false">N(C21)+N(D21)-N(E21)</f>
        <v>0</v>
      </c>
      <c r="G21" s="29" t="n">
        <f aca="false">'Aug 2027'!J21</f>
        <v>0</v>
      </c>
      <c r="H21" s="29" t="n">
        <f aca="false">IF(Students!F12="Yes",N(Students!G12),0)</f>
        <v>0</v>
      </c>
      <c r="I21" s="13"/>
      <c r="J21" s="30" t="n">
        <f aca="false">N(G21)+N(H21)-N(I21)</f>
        <v>0</v>
      </c>
      <c r="K21" s="29" t="n">
        <f aca="false">'Aug 2027'!O21</f>
        <v>0</v>
      </c>
      <c r="L21" s="13"/>
      <c r="M21" s="13"/>
      <c r="N21" s="13"/>
      <c r="O21" s="30" t="n">
        <f aca="false">N(K21)+N(L21)+N(M21)-N(N21)</f>
        <v>0</v>
      </c>
      <c r="P21" s="30" t="n">
        <f aca="false">F21+J21+O21</f>
        <v>0</v>
      </c>
      <c r="Q21" s="10" t="str">
        <f aca="false">IF(B21="","",IF(P21&lt;=0,"Clear",IF(E21+I21+N21&gt;0,"Partial","Due")))</f>
        <v/>
      </c>
    </row>
    <row r="22" customFormat="false" ht="15" hidden="false" customHeight="false" outlineLevel="0" collapsed="false">
      <c r="A22" s="10" t="n">
        <v>9</v>
      </c>
      <c r="B22" s="28" t="str">
        <f aca="false">IF(Students!B13="","",Students!B13)</f>
        <v/>
      </c>
      <c r="C22" s="29" t="n">
        <f aca="false">'Aug 2027'!F22</f>
        <v>0</v>
      </c>
      <c r="D22" s="29" t="n">
        <f aca="false">IF(Students!D13="Yes",N(Students!E13),0)</f>
        <v>0</v>
      </c>
      <c r="E22" s="13"/>
      <c r="F22" s="30" t="n">
        <f aca="false">N(C22)+N(D22)-N(E22)</f>
        <v>0</v>
      </c>
      <c r="G22" s="29" t="n">
        <f aca="false">'Aug 2027'!J22</f>
        <v>0</v>
      </c>
      <c r="H22" s="29" t="n">
        <f aca="false">IF(Students!F13="Yes",N(Students!G13),0)</f>
        <v>0</v>
      </c>
      <c r="I22" s="13"/>
      <c r="J22" s="30" t="n">
        <f aca="false">N(G22)+N(H22)-N(I22)</f>
        <v>0</v>
      </c>
      <c r="K22" s="29" t="n">
        <f aca="false">'Aug 2027'!O22</f>
        <v>0</v>
      </c>
      <c r="L22" s="13"/>
      <c r="M22" s="13"/>
      <c r="N22" s="13"/>
      <c r="O22" s="30" t="n">
        <f aca="false">N(K22)+N(L22)+N(M22)-N(N22)</f>
        <v>0</v>
      </c>
      <c r="P22" s="30" t="n">
        <f aca="false">F22+J22+O22</f>
        <v>0</v>
      </c>
      <c r="Q22" s="10" t="str">
        <f aca="false">IF(B22="","",IF(P22&lt;=0,"Clear",IF(E22+I22+N22&gt;0,"Partial","Due")))</f>
        <v/>
      </c>
    </row>
    <row r="23" customFormat="false" ht="15" hidden="false" customHeight="false" outlineLevel="0" collapsed="false">
      <c r="A23" s="10" t="n">
        <v>10</v>
      </c>
      <c r="B23" s="28" t="str">
        <f aca="false">IF(Students!B14="","",Students!B14)</f>
        <v/>
      </c>
      <c r="C23" s="29" t="n">
        <f aca="false">'Aug 2027'!F23</f>
        <v>0</v>
      </c>
      <c r="D23" s="29" t="n">
        <f aca="false">IF(Students!D14="Yes",N(Students!E14),0)</f>
        <v>0</v>
      </c>
      <c r="E23" s="13"/>
      <c r="F23" s="30" t="n">
        <f aca="false">N(C23)+N(D23)-N(E23)</f>
        <v>0</v>
      </c>
      <c r="G23" s="29" t="n">
        <f aca="false">'Aug 2027'!J23</f>
        <v>0</v>
      </c>
      <c r="H23" s="29" t="n">
        <f aca="false">IF(Students!F14="Yes",N(Students!G14),0)</f>
        <v>0</v>
      </c>
      <c r="I23" s="13"/>
      <c r="J23" s="30" t="n">
        <f aca="false">N(G23)+N(H23)-N(I23)</f>
        <v>0</v>
      </c>
      <c r="K23" s="29" t="n">
        <f aca="false">'Aug 2027'!O23</f>
        <v>0</v>
      </c>
      <c r="L23" s="13"/>
      <c r="M23" s="13"/>
      <c r="N23" s="13"/>
      <c r="O23" s="30" t="n">
        <f aca="false">N(K23)+N(L23)+N(M23)-N(N23)</f>
        <v>0</v>
      </c>
      <c r="P23" s="30" t="n">
        <f aca="false">F23+J23+O23</f>
        <v>0</v>
      </c>
      <c r="Q23" s="10" t="str">
        <f aca="false">IF(B23="","",IF(P23&lt;=0,"Clear",IF(E23+I23+N23&gt;0,"Partial","Due")))</f>
        <v/>
      </c>
    </row>
    <row r="24" customFormat="false" ht="15" hidden="false" customHeight="false" outlineLevel="0" collapsed="false">
      <c r="A24" s="10" t="n">
        <v>11</v>
      </c>
      <c r="B24" s="28" t="str">
        <f aca="false">IF(Students!B15="","",Students!B15)</f>
        <v/>
      </c>
      <c r="C24" s="29" t="n">
        <f aca="false">'Aug 2027'!F24</f>
        <v>0</v>
      </c>
      <c r="D24" s="29" t="n">
        <f aca="false">IF(Students!D15="Yes",N(Students!E15),0)</f>
        <v>0</v>
      </c>
      <c r="E24" s="13"/>
      <c r="F24" s="30" t="n">
        <f aca="false">N(C24)+N(D24)-N(E24)</f>
        <v>0</v>
      </c>
      <c r="G24" s="29" t="n">
        <f aca="false">'Aug 2027'!J24</f>
        <v>0</v>
      </c>
      <c r="H24" s="29" t="n">
        <f aca="false">IF(Students!F15="Yes",N(Students!G15),0)</f>
        <v>0</v>
      </c>
      <c r="I24" s="13"/>
      <c r="J24" s="30" t="n">
        <f aca="false">N(G24)+N(H24)-N(I24)</f>
        <v>0</v>
      </c>
      <c r="K24" s="29" t="n">
        <f aca="false">'Aug 2027'!O24</f>
        <v>0</v>
      </c>
      <c r="L24" s="13"/>
      <c r="M24" s="13"/>
      <c r="N24" s="13"/>
      <c r="O24" s="30" t="n">
        <f aca="false">N(K24)+N(L24)+N(M24)-N(N24)</f>
        <v>0</v>
      </c>
      <c r="P24" s="30" t="n">
        <f aca="false">F24+J24+O24</f>
        <v>0</v>
      </c>
      <c r="Q24" s="10" t="str">
        <f aca="false">IF(B24="","",IF(P24&lt;=0,"Clear",IF(E24+I24+N24&gt;0,"Partial","Due")))</f>
        <v/>
      </c>
    </row>
    <row r="25" customFormat="false" ht="15" hidden="false" customHeight="false" outlineLevel="0" collapsed="false">
      <c r="A25" s="10" t="n">
        <v>12</v>
      </c>
      <c r="B25" s="28" t="str">
        <f aca="false">IF(Students!B16="","",Students!B16)</f>
        <v/>
      </c>
      <c r="C25" s="29" t="n">
        <f aca="false">'Aug 2027'!F25</f>
        <v>0</v>
      </c>
      <c r="D25" s="29" t="n">
        <f aca="false">IF(Students!D16="Yes",N(Students!E16),0)</f>
        <v>0</v>
      </c>
      <c r="E25" s="13"/>
      <c r="F25" s="30" t="n">
        <f aca="false">N(C25)+N(D25)-N(E25)</f>
        <v>0</v>
      </c>
      <c r="G25" s="29" t="n">
        <f aca="false">'Aug 2027'!J25</f>
        <v>0</v>
      </c>
      <c r="H25" s="29" t="n">
        <f aca="false">IF(Students!F16="Yes",N(Students!G16),0)</f>
        <v>0</v>
      </c>
      <c r="I25" s="13"/>
      <c r="J25" s="30" t="n">
        <f aca="false">N(G25)+N(H25)-N(I25)</f>
        <v>0</v>
      </c>
      <c r="K25" s="29" t="n">
        <f aca="false">'Aug 2027'!O25</f>
        <v>0</v>
      </c>
      <c r="L25" s="13"/>
      <c r="M25" s="13"/>
      <c r="N25" s="13"/>
      <c r="O25" s="30" t="n">
        <f aca="false">N(K25)+N(L25)+N(M25)-N(N25)</f>
        <v>0</v>
      </c>
      <c r="P25" s="30" t="n">
        <f aca="false">F25+J25+O25</f>
        <v>0</v>
      </c>
      <c r="Q25" s="10" t="str">
        <f aca="false">IF(B25="","",IF(P25&lt;=0,"Clear",IF(E25+I25+N25&gt;0,"Partial","Due")))</f>
        <v/>
      </c>
    </row>
    <row r="26" customFormat="false" ht="15" hidden="false" customHeight="false" outlineLevel="0" collapsed="false">
      <c r="A26" s="10" t="n">
        <v>13</v>
      </c>
      <c r="B26" s="28" t="str">
        <f aca="false">IF(Students!B17="","",Students!B17)</f>
        <v/>
      </c>
      <c r="C26" s="29" t="n">
        <f aca="false">'Aug 2027'!F26</f>
        <v>0</v>
      </c>
      <c r="D26" s="29" t="n">
        <f aca="false">IF(Students!D17="Yes",N(Students!E17),0)</f>
        <v>0</v>
      </c>
      <c r="E26" s="13"/>
      <c r="F26" s="30" t="n">
        <f aca="false">N(C26)+N(D26)-N(E26)</f>
        <v>0</v>
      </c>
      <c r="G26" s="29" t="n">
        <f aca="false">'Aug 2027'!J26</f>
        <v>0</v>
      </c>
      <c r="H26" s="29" t="n">
        <f aca="false">IF(Students!F17="Yes",N(Students!G17),0)</f>
        <v>0</v>
      </c>
      <c r="I26" s="13"/>
      <c r="J26" s="30" t="n">
        <f aca="false">N(G26)+N(H26)-N(I26)</f>
        <v>0</v>
      </c>
      <c r="K26" s="29" t="n">
        <f aca="false">'Aug 2027'!O26</f>
        <v>0</v>
      </c>
      <c r="L26" s="13"/>
      <c r="M26" s="13"/>
      <c r="N26" s="13"/>
      <c r="O26" s="30" t="n">
        <f aca="false">N(K26)+N(L26)+N(M26)-N(N26)</f>
        <v>0</v>
      </c>
      <c r="P26" s="30" t="n">
        <f aca="false">F26+J26+O26</f>
        <v>0</v>
      </c>
      <c r="Q26" s="10" t="str">
        <f aca="false">IF(B26="","",IF(P26&lt;=0,"Clear",IF(E26+I26+N26&gt;0,"Partial","Due")))</f>
        <v/>
      </c>
    </row>
    <row r="27" customFormat="false" ht="15" hidden="false" customHeight="false" outlineLevel="0" collapsed="false">
      <c r="A27" s="10" t="n">
        <v>14</v>
      </c>
      <c r="B27" s="28" t="str">
        <f aca="false">IF(Students!B18="","",Students!B18)</f>
        <v/>
      </c>
      <c r="C27" s="29" t="n">
        <f aca="false">'Aug 2027'!F27</f>
        <v>0</v>
      </c>
      <c r="D27" s="29" t="n">
        <f aca="false">IF(Students!D18="Yes",N(Students!E18),0)</f>
        <v>0</v>
      </c>
      <c r="E27" s="13"/>
      <c r="F27" s="30" t="n">
        <f aca="false">N(C27)+N(D27)-N(E27)</f>
        <v>0</v>
      </c>
      <c r="G27" s="29" t="n">
        <f aca="false">'Aug 2027'!J27</f>
        <v>0</v>
      </c>
      <c r="H27" s="29" t="n">
        <f aca="false">IF(Students!F18="Yes",N(Students!G18),0)</f>
        <v>0</v>
      </c>
      <c r="I27" s="13"/>
      <c r="J27" s="30" t="n">
        <f aca="false">N(G27)+N(H27)-N(I27)</f>
        <v>0</v>
      </c>
      <c r="K27" s="29" t="n">
        <f aca="false">'Aug 2027'!O27</f>
        <v>0</v>
      </c>
      <c r="L27" s="13"/>
      <c r="M27" s="13"/>
      <c r="N27" s="13"/>
      <c r="O27" s="30" t="n">
        <f aca="false">N(K27)+N(L27)+N(M27)-N(N27)</f>
        <v>0</v>
      </c>
      <c r="P27" s="30" t="n">
        <f aca="false">F27+J27+O27</f>
        <v>0</v>
      </c>
      <c r="Q27" s="10" t="str">
        <f aca="false">IF(B27="","",IF(P27&lt;=0,"Clear",IF(E27+I27+N27&gt;0,"Partial","Due")))</f>
        <v/>
      </c>
    </row>
    <row r="28" customFormat="false" ht="15" hidden="false" customHeight="false" outlineLevel="0" collapsed="false">
      <c r="A28" s="10" t="n">
        <v>15</v>
      </c>
      <c r="B28" s="28" t="str">
        <f aca="false">IF(Students!B19="","",Students!B19)</f>
        <v/>
      </c>
      <c r="C28" s="29" t="n">
        <f aca="false">'Aug 2027'!F28</f>
        <v>0</v>
      </c>
      <c r="D28" s="29" t="n">
        <f aca="false">IF(Students!D19="Yes",N(Students!E19),0)</f>
        <v>0</v>
      </c>
      <c r="E28" s="13"/>
      <c r="F28" s="30" t="n">
        <f aca="false">N(C28)+N(D28)-N(E28)</f>
        <v>0</v>
      </c>
      <c r="G28" s="29" t="n">
        <f aca="false">'Aug 2027'!J28</f>
        <v>0</v>
      </c>
      <c r="H28" s="29" t="n">
        <f aca="false">IF(Students!F19="Yes",N(Students!G19),0)</f>
        <v>0</v>
      </c>
      <c r="I28" s="13"/>
      <c r="J28" s="30" t="n">
        <f aca="false">N(G28)+N(H28)-N(I28)</f>
        <v>0</v>
      </c>
      <c r="K28" s="29" t="n">
        <f aca="false">'Aug 2027'!O28</f>
        <v>0</v>
      </c>
      <c r="L28" s="13"/>
      <c r="M28" s="13"/>
      <c r="N28" s="13"/>
      <c r="O28" s="30" t="n">
        <f aca="false">N(K28)+N(L28)+N(M28)-N(N28)</f>
        <v>0</v>
      </c>
      <c r="P28" s="30" t="n">
        <f aca="false">F28+J28+O28</f>
        <v>0</v>
      </c>
      <c r="Q28" s="10" t="str">
        <f aca="false">IF(B28="","",IF(P28&lt;=0,"Clear",IF(E28+I28+N28&gt;0,"Partial","Due")))</f>
        <v/>
      </c>
    </row>
    <row r="29" customFormat="false" ht="15" hidden="false" customHeight="false" outlineLevel="0" collapsed="false">
      <c r="A29" s="10" t="n">
        <v>16</v>
      </c>
      <c r="B29" s="28" t="str">
        <f aca="false">IF(Students!B20="","",Students!B20)</f>
        <v/>
      </c>
      <c r="C29" s="29" t="n">
        <f aca="false">'Aug 2027'!F29</f>
        <v>0</v>
      </c>
      <c r="D29" s="29" t="n">
        <f aca="false">IF(Students!D20="Yes",N(Students!E20),0)</f>
        <v>0</v>
      </c>
      <c r="E29" s="13"/>
      <c r="F29" s="30" t="n">
        <f aca="false">N(C29)+N(D29)-N(E29)</f>
        <v>0</v>
      </c>
      <c r="G29" s="29" t="n">
        <f aca="false">'Aug 2027'!J29</f>
        <v>0</v>
      </c>
      <c r="H29" s="29" t="n">
        <f aca="false">IF(Students!F20="Yes",N(Students!G20),0)</f>
        <v>0</v>
      </c>
      <c r="I29" s="13"/>
      <c r="J29" s="30" t="n">
        <f aca="false">N(G29)+N(H29)-N(I29)</f>
        <v>0</v>
      </c>
      <c r="K29" s="29" t="n">
        <f aca="false">'Aug 2027'!O29</f>
        <v>0</v>
      </c>
      <c r="L29" s="13"/>
      <c r="M29" s="13"/>
      <c r="N29" s="13"/>
      <c r="O29" s="30" t="n">
        <f aca="false">N(K29)+N(L29)+N(M29)-N(N29)</f>
        <v>0</v>
      </c>
      <c r="P29" s="30" t="n">
        <f aca="false">F29+J29+O29</f>
        <v>0</v>
      </c>
      <c r="Q29" s="10" t="str">
        <f aca="false">IF(B29="","",IF(P29&lt;=0,"Clear",IF(E29+I29+N29&gt;0,"Partial","Due")))</f>
        <v/>
      </c>
    </row>
    <row r="30" customFormat="false" ht="15" hidden="false" customHeight="false" outlineLevel="0" collapsed="false">
      <c r="A30" s="10" t="n">
        <v>17</v>
      </c>
      <c r="B30" s="28" t="str">
        <f aca="false">IF(Students!B21="","",Students!B21)</f>
        <v/>
      </c>
      <c r="C30" s="29" t="n">
        <f aca="false">'Aug 2027'!F30</f>
        <v>0</v>
      </c>
      <c r="D30" s="29" t="n">
        <f aca="false">IF(Students!D21="Yes",N(Students!E21),0)</f>
        <v>0</v>
      </c>
      <c r="E30" s="13"/>
      <c r="F30" s="30" t="n">
        <f aca="false">N(C30)+N(D30)-N(E30)</f>
        <v>0</v>
      </c>
      <c r="G30" s="29" t="n">
        <f aca="false">'Aug 2027'!J30</f>
        <v>0</v>
      </c>
      <c r="H30" s="29" t="n">
        <f aca="false">IF(Students!F21="Yes",N(Students!G21),0)</f>
        <v>0</v>
      </c>
      <c r="I30" s="13"/>
      <c r="J30" s="30" t="n">
        <f aca="false">N(G30)+N(H30)-N(I30)</f>
        <v>0</v>
      </c>
      <c r="K30" s="29" t="n">
        <f aca="false">'Aug 2027'!O30</f>
        <v>0</v>
      </c>
      <c r="L30" s="13"/>
      <c r="M30" s="13"/>
      <c r="N30" s="13"/>
      <c r="O30" s="30" t="n">
        <f aca="false">N(K30)+N(L30)+N(M30)-N(N30)</f>
        <v>0</v>
      </c>
      <c r="P30" s="30" t="n">
        <f aca="false">F30+J30+O30</f>
        <v>0</v>
      </c>
      <c r="Q30" s="10" t="str">
        <f aca="false">IF(B30="","",IF(P30&lt;=0,"Clear",IF(E30+I30+N30&gt;0,"Partial","Due")))</f>
        <v/>
      </c>
    </row>
    <row r="31" customFormat="false" ht="15" hidden="false" customHeight="false" outlineLevel="0" collapsed="false">
      <c r="A31" s="10" t="n">
        <v>18</v>
      </c>
      <c r="B31" s="28" t="str">
        <f aca="false">IF(Students!B22="","",Students!B22)</f>
        <v/>
      </c>
      <c r="C31" s="29" t="n">
        <f aca="false">'Aug 2027'!F31</f>
        <v>0</v>
      </c>
      <c r="D31" s="29" t="n">
        <f aca="false">IF(Students!D22="Yes",N(Students!E22),0)</f>
        <v>0</v>
      </c>
      <c r="E31" s="13"/>
      <c r="F31" s="30" t="n">
        <f aca="false">N(C31)+N(D31)-N(E31)</f>
        <v>0</v>
      </c>
      <c r="G31" s="29" t="n">
        <f aca="false">'Aug 2027'!J31</f>
        <v>0</v>
      </c>
      <c r="H31" s="29" t="n">
        <f aca="false">IF(Students!F22="Yes",N(Students!G22),0)</f>
        <v>0</v>
      </c>
      <c r="I31" s="13"/>
      <c r="J31" s="30" t="n">
        <f aca="false">N(G31)+N(H31)-N(I31)</f>
        <v>0</v>
      </c>
      <c r="K31" s="29" t="n">
        <f aca="false">'Aug 2027'!O31</f>
        <v>0</v>
      </c>
      <c r="L31" s="13"/>
      <c r="M31" s="13"/>
      <c r="N31" s="13"/>
      <c r="O31" s="30" t="n">
        <f aca="false">N(K31)+N(L31)+N(M31)-N(N31)</f>
        <v>0</v>
      </c>
      <c r="P31" s="30" t="n">
        <f aca="false">F31+J31+O31</f>
        <v>0</v>
      </c>
      <c r="Q31" s="10" t="str">
        <f aca="false">IF(B31="","",IF(P31&lt;=0,"Clear",IF(E31+I31+N31&gt;0,"Partial","Due")))</f>
        <v/>
      </c>
    </row>
    <row r="32" customFormat="false" ht="15" hidden="false" customHeight="false" outlineLevel="0" collapsed="false">
      <c r="A32" s="10" t="n">
        <v>19</v>
      </c>
      <c r="B32" s="28" t="str">
        <f aca="false">IF(Students!B23="","",Students!B23)</f>
        <v/>
      </c>
      <c r="C32" s="29" t="n">
        <f aca="false">'Aug 2027'!F32</f>
        <v>0</v>
      </c>
      <c r="D32" s="29" t="n">
        <f aca="false">IF(Students!D23="Yes",N(Students!E23),0)</f>
        <v>0</v>
      </c>
      <c r="E32" s="13"/>
      <c r="F32" s="30" t="n">
        <f aca="false">N(C32)+N(D32)-N(E32)</f>
        <v>0</v>
      </c>
      <c r="G32" s="29" t="n">
        <f aca="false">'Aug 2027'!J32</f>
        <v>0</v>
      </c>
      <c r="H32" s="29" t="n">
        <f aca="false">IF(Students!F23="Yes",N(Students!G23),0)</f>
        <v>0</v>
      </c>
      <c r="I32" s="13"/>
      <c r="J32" s="30" t="n">
        <f aca="false">N(G32)+N(H32)-N(I32)</f>
        <v>0</v>
      </c>
      <c r="K32" s="29" t="n">
        <f aca="false">'Aug 2027'!O32</f>
        <v>0</v>
      </c>
      <c r="L32" s="13"/>
      <c r="M32" s="13"/>
      <c r="N32" s="13"/>
      <c r="O32" s="30" t="n">
        <f aca="false">N(K32)+N(L32)+N(M32)-N(N32)</f>
        <v>0</v>
      </c>
      <c r="P32" s="30" t="n">
        <f aca="false">F32+J32+O32</f>
        <v>0</v>
      </c>
      <c r="Q32" s="10" t="str">
        <f aca="false">IF(B32="","",IF(P32&lt;=0,"Clear",IF(E32+I32+N32&gt;0,"Partial","Due")))</f>
        <v/>
      </c>
    </row>
    <row r="33" customFormat="false" ht="15" hidden="false" customHeight="false" outlineLevel="0" collapsed="false">
      <c r="A33" s="10" t="n">
        <v>20</v>
      </c>
      <c r="B33" s="28" t="str">
        <f aca="false">IF(Students!B24="","",Students!B24)</f>
        <v/>
      </c>
      <c r="C33" s="29" t="n">
        <f aca="false">'Aug 2027'!F33</f>
        <v>0</v>
      </c>
      <c r="D33" s="29" t="n">
        <f aca="false">IF(Students!D24="Yes",N(Students!E24),0)</f>
        <v>0</v>
      </c>
      <c r="E33" s="13"/>
      <c r="F33" s="30" t="n">
        <f aca="false">N(C33)+N(D33)-N(E33)</f>
        <v>0</v>
      </c>
      <c r="G33" s="29" t="n">
        <f aca="false">'Aug 2027'!J33</f>
        <v>0</v>
      </c>
      <c r="H33" s="29" t="n">
        <f aca="false">IF(Students!F24="Yes",N(Students!G24),0)</f>
        <v>0</v>
      </c>
      <c r="I33" s="13"/>
      <c r="J33" s="30" t="n">
        <f aca="false">N(G33)+N(H33)-N(I33)</f>
        <v>0</v>
      </c>
      <c r="K33" s="29" t="n">
        <f aca="false">'Aug 2027'!O33</f>
        <v>0</v>
      </c>
      <c r="L33" s="13"/>
      <c r="M33" s="13"/>
      <c r="N33" s="13"/>
      <c r="O33" s="30" t="n">
        <f aca="false">N(K33)+N(L33)+N(M33)-N(N33)</f>
        <v>0</v>
      </c>
      <c r="P33" s="30" t="n">
        <f aca="false">F33+J33+O33</f>
        <v>0</v>
      </c>
      <c r="Q33" s="10" t="str">
        <f aca="false">IF(B33="","",IF(P33&lt;=0,"Clear",IF(E33+I33+N33&gt;0,"Partial","Due")))</f>
        <v/>
      </c>
    </row>
    <row r="34" customFormat="false" ht="15" hidden="false" customHeight="false" outlineLevel="0" collapsed="false">
      <c r="A34" s="10" t="n">
        <v>21</v>
      </c>
      <c r="B34" s="28" t="str">
        <f aca="false">IF(Students!B25="","",Students!B25)</f>
        <v/>
      </c>
      <c r="C34" s="29" t="n">
        <f aca="false">'Aug 2027'!F34</f>
        <v>0</v>
      </c>
      <c r="D34" s="29" t="n">
        <f aca="false">IF(Students!D25="Yes",N(Students!E25),0)</f>
        <v>0</v>
      </c>
      <c r="E34" s="13"/>
      <c r="F34" s="30" t="n">
        <f aca="false">N(C34)+N(D34)-N(E34)</f>
        <v>0</v>
      </c>
      <c r="G34" s="29" t="n">
        <f aca="false">'Aug 2027'!J34</f>
        <v>0</v>
      </c>
      <c r="H34" s="29" t="n">
        <f aca="false">IF(Students!F25="Yes",N(Students!G25),0)</f>
        <v>0</v>
      </c>
      <c r="I34" s="13"/>
      <c r="J34" s="30" t="n">
        <f aca="false">N(G34)+N(H34)-N(I34)</f>
        <v>0</v>
      </c>
      <c r="K34" s="29" t="n">
        <f aca="false">'Aug 2027'!O34</f>
        <v>0</v>
      </c>
      <c r="L34" s="13"/>
      <c r="M34" s="13"/>
      <c r="N34" s="13"/>
      <c r="O34" s="30" t="n">
        <f aca="false">N(K34)+N(L34)+N(M34)-N(N34)</f>
        <v>0</v>
      </c>
      <c r="P34" s="30" t="n">
        <f aca="false">F34+J34+O34</f>
        <v>0</v>
      </c>
      <c r="Q34" s="10" t="str">
        <f aca="false">IF(B34="","",IF(P34&lt;=0,"Clear",IF(E34+I34+N34&gt;0,"Partial","Due")))</f>
        <v/>
      </c>
    </row>
    <row r="35" customFormat="false" ht="15" hidden="false" customHeight="false" outlineLevel="0" collapsed="false">
      <c r="A35" s="10" t="n">
        <v>22</v>
      </c>
      <c r="B35" s="28" t="str">
        <f aca="false">IF(Students!B26="","",Students!B26)</f>
        <v/>
      </c>
      <c r="C35" s="29" t="n">
        <f aca="false">'Aug 2027'!F35</f>
        <v>0</v>
      </c>
      <c r="D35" s="29" t="n">
        <f aca="false">IF(Students!D26="Yes",N(Students!E26),0)</f>
        <v>0</v>
      </c>
      <c r="E35" s="13"/>
      <c r="F35" s="30" t="n">
        <f aca="false">N(C35)+N(D35)-N(E35)</f>
        <v>0</v>
      </c>
      <c r="G35" s="29" t="n">
        <f aca="false">'Aug 2027'!J35</f>
        <v>0</v>
      </c>
      <c r="H35" s="29" t="n">
        <f aca="false">IF(Students!F26="Yes",N(Students!G26),0)</f>
        <v>0</v>
      </c>
      <c r="I35" s="13"/>
      <c r="J35" s="30" t="n">
        <f aca="false">N(G35)+N(H35)-N(I35)</f>
        <v>0</v>
      </c>
      <c r="K35" s="29" t="n">
        <f aca="false">'Aug 2027'!O35</f>
        <v>0</v>
      </c>
      <c r="L35" s="13"/>
      <c r="M35" s="13"/>
      <c r="N35" s="13"/>
      <c r="O35" s="30" t="n">
        <f aca="false">N(K35)+N(L35)+N(M35)-N(N35)</f>
        <v>0</v>
      </c>
      <c r="P35" s="30" t="n">
        <f aca="false">F35+J35+O35</f>
        <v>0</v>
      </c>
      <c r="Q35" s="10" t="str">
        <f aca="false">IF(B35="","",IF(P35&lt;=0,"Clear",IF(E35+I35+N35&gt;0,"Partial","Due")))</f>
        <v/>
      </c>
    </row>
    <row r="36" customFormat="false" ht="15" hidden="false" customHeight="false" outlineLevel="0" collapsed="false">
      <c r="A36" s="10" t="n">
        <v>23</v>
      </c>
      <c r="B36" s="28" t="str">
        <f aca="false">IF(Students!B27="","",Students!B27)</f>
        <v/>
      </c>
      <c r="C36" s="29" t="n">
        <f aca="false">'Aug 2027'!F36</f>
        <v>0</v>
      </c>
      <c r="D36" s="29" t="n">
        <f aca="false">IF(Students!D27="Yes",N(Students!E27),0)</f>
        <v>0</v>
      </c>
      <c r="E36" s="13"/>
      <c r="F36" s="30" t="n">
        <f aca="false">N(C36)+N(D36)-N(E36)</f>
        <v>0</v>
      </c>
      <c r="G36" s="29" t="n">
        <f aca="false">'Aug 2027'!J36</f>
        <v>0</v>
      </c>
      <c r="H36" s="29" t="n">
        <f aca="false">IF(Students!F27="Yes",N(Students!G27),0)</f>
        <v>0</v>
      </c>
      <c r="I36" s="13"/>
      <c r="J36" s="30" t="n">
        <f aca="false">N(G36)+N(H36)-N(I36)</f>
        <v>0</v>
      </c>
      <c r="K36" s="29" t="n">
        <f aca="false">'Aug 2027'!O36</f>
        <v>0</v>
      </c>
      <c r="L36" s="13"/>
      <c r="M36" s="13"/>
      <c r="N36" s="13"/>
      <c r="O36" s="30" t="n">
        <f aca="false">N(K36)+N(L36)+N(M36)-N(N36)</f>
        <v>0</v>
      </c>
      <c r="P36" s="30" t="n">
        <f aca="false">F36+J36+O36</f>
        <v>0</v>
      </c>
      <c r="Q36" s="10" t="str">
        <f aca="false">IF(B36="","",IF(P36&lt;=0,"Clear",IF(E36+I36+N36&gt;0,"Partial","Due")))</f>
        <v/>
      </c>
    </row>
    <row r="37" customFormat="false" ht="15" hidden="false" customHeight="false" outlineLevel="0" collapsed="false">
      <c r="A37" s="10" t="n">
        <v>24</v>
      </c>
      <c r="B37" s="28" t="str">
        <f aca="false">IF(Students!B28="","",Students!B28)</f>
        <v/>
      </c>
      <c r="C37" s="29" t="n">
        <f aca="false">'Aug 2027'!F37</f>
        <v>0</v>
      </c>
      <c r="D37" s="29" t="n">
        <f aca="false">IF(Students!D28="Yes",N(Students!E28),0)</f>
        <v>0</v>
      </c>
      <c r="E37" s="13"/>
      <c r="F37" s="30" t="n">
        <f aca="false">N(C37)+N(D37)-N(E37)</f>
        <v>0</v>
      </c>
      <c r="G37" s="29" t="n">
        <f aca="false">'Aug 2027'!J37</f>
        <v>0</v>
      </c>
      <c r="H37" s="29" t="n">
        <f aca="false">IF(Students!F28="Yes",N(Students!G28),0)</f>
        <v>0</v>
      </c>
      <c r="I37" s="13"/>
      <c r="J37" s="30" t="n">
        <f aca="false">N(G37)+N(H37)-N(I37)</f>
        <v>0</v>
      </c>
      <c r="K37" s="29" t="n">
        <f aca="false">'Aug 2027'!O37</f>
        <v>0</v>
      </c>
      <c r="L37" s="13"/>
      <c r="M37" s="13"/>
      <c r="N37" s="13"/>
      <c r="O37" s="30" t="n">
        <f aca="false">N(K37)+N(L37)+N(M37)-N(N37)</f>
        <v>0</v>
      </c>
      <c r="P37" s="30" t="n">
        <f aca="false">F37+J37+O37</f>
        <v>0</v>
      </c>
      <c r="Q37" s="10" t="str">
        <f aca="false">IF(B37="","",IF(P37&lt;=0,"Clear",IF(E37+I37+N37&gt;0,"Partial","Due")))</f>
        <v/>
      </c>
    </row>
    <row r="38" customFormat="false" ht="15" hidden="false" customHeight="false" outlineLevel="0" collapsed="false">
      <c r="A38" s="10" t="n">
        <v>25</v>
      </c>
      <c r="B38" s="28" t="str">
        <f aca="false">IF(Students!B29="","",Students!B29)</f>
        <v/>
      </c>
      <c r="C38" s="29" t="n">
        <f aca="false">'Aug 2027'!F38</f>
        <v>0</v>
      </c>
      <c r="D38" s="29" t="n">
        <f aca="false">IF(Students!D29="Yes",N(Students!E29),0)</f>
        <v>0</v>
      </c>
      <c r="E38" s="13"/>
      <c r="F38" s="30" t="n">
        <f aca="false">N(C38)+N(D38)-N(E38)</f>
        <v>0</v>
      </c>
      <c r="G38" s="29" t="n">
        <f aca="false">'Aug 2027'!J38</f>
        <v>0</v>
      </c>
      <c r="H38" s="29" t="n">
        <f aca="false">IF(Students!F29="Yes",N(Students!G29),0)</f>
        <v>0</v>
      </c>
      <c r="I38" s="13"/>
      <c r="J38" s="30" t="n">
        <f aca="false">N(G38)+N(H38)-N(I38)</f>
        <v>0</v>
      </c>
      <c r="K38" s="29" t="n">
        <f aca="false">'Aug 2027'!O38</f>
        <v>0</v>
      </c>
      <c r="L38" s="13"/>
      <c r="M38" s="13"/>
      <c r="N38" s="13"/>
      <c r="O38" s="30" t="n">
        <f aca="false">N(K38)+N(L38)+N(M38)-N(N38)</f>
        <v>0</v>
      </c>
      <c r="P38" s="30" t="n">
        <f aca="false">F38+J38+O38</f>
        <v>0</v>
      </c>
      <c r="Q38" s="10" t="str">
        <f aca="false">IF(B38="","",IF(P38&lt;=0,"Clear",IF(E38+I38+N38&gt;0,"Partial","Due")))</f>
        <v/>
      </c>
    </row>
    <row r="39" customFormat="false" ht="15" hidden="false" customHeight="false" outlineLevel="0" collapsed="false">
      <c r="A39" s="10" t="n">
        <v>26</v>
      </c>
      <c r="B39" s="28" t="str">
        <f aca="false">IF(Students!B30="","",Students!B30)</f>
        <v/>
      </c>
      <c r="C39" s="29" t="n">
        <f aca="false">'Aug 2027'!F39</f>
        <v>0</v>
      </c>
      <c r="D39" s="29" t="n">
        <f aca="false">IF(Students!D30="Yes",N(Students!E30),0)</f>
        <v>0</v>
      </c>
      <c r="E39" s="13"/>
      <c r="F39" s="30" t="n">
        <f aca="false">N(C39)+N(D39)-N(E39)</f>
        <v>0</v>
      </c>
      <c r="G39" s="29" t="n">
        <f aca="false">'Aug 2027'!J39</f>
        <v>0</v>
      </c>
      <c r="H39" s="29" t="n">
        <f aca="false">IF(Students!F30="Yes",N(Students!G30),0)</f>
        <v>0</v>
      </c>
      <c r="I39" s="13"/>
      <c r="J39" s="30" t="n">
        <f aca="false">N(G39)+N(H39)-N(I39)</f>
        <v>0</v>
      </c>
      <c r="K39" s="29" t="n">
        <f aca="false">'Aug 2027'!O39</f>
        <v>0</v>
      </c>
      <c r="L39" s="13"/>
      <c r="M39" s="13"/>
      <c r="N39" s="13"/>
      <c r="O39" s="30" t="n">
        <f aca="false">N(K39)+N(L39)+N(M39)-N(N39)</f>
        <v>0</v>
      </c>
      <c r="P39" s="30" t="n">
        <f aca="false">F39+J39+O39</f>
        <v>0</v>
      </c>
      <c r="Q39" s="10" t="str">
        <f aca="false">IF(B39="","",IF(P39&lt;=0,"Clear",IF(E39+I39+N39&gt;0,"Partial","Due")))</f>
        <v/>
      </c>
    </row>
    <row r="40" customFormat="false" ht="15" hidden="false" customHeight="false" outlineLevel="0" collapsed="false">
      <c r="A40" s="10" t="n">
        <v>27</v>
      </c>
      <c r="B40" s="28" t="str">
        <f aca="false">IF(Students!B31="","",Students!B31)</f>
        <v/>
      </c>
      <c r="C40" s="29" t="n">
        <f aca="false">'Aug 2027'!F40</f>
        <v>0</v>
      </c>
      <c r="D40" s="29" t="n">
        <f aca="false">IF(Students!D31="Yes",N(Students!E31),0)</f>
        <v>0</v>
      </c>
      <c r="E40" s="13"/>
      <c r="F40" s="30" t="n">
        <f aca="false">N(C40)+N(D40)-N(E40)</f>
        <v>0</v>
      </c>
      <c r="G40" s="29" t="n">
        <f aca="false">'Aug 2027'!J40</f>
        <v>0</v>
      </c>
      <c r="H40" s="29" t="n">
        <f aca="false">IF(Students!F31="Yes",N(Students!G31),0)</f>
        <v>0</v>
      </c>
      <c r="I40" s="13"/>
      <c r="J40" s="30" t="n">
        <f aca="false">N(G40)+N(H40)-N(I40)</f>
        <v>0</v>
      </c>
      <c r="K40" s="29" t="n">
        <f aca="false">'Aug 2027'!O40</f>
        <v>0</v>
      </c>
      <c r="L40" s="13"/>
      <c r="M40" s="13"/>
      <c r="N40" s="13"/>
      <c r="O40" s="30" t="n">
        <f aca="false">N(K40)+N(L40)+N(M40)-N(N40)</f>
        <v>0</v>
      </c>
      <c r="P40" s="30" t="n">
        <f aca="false">F40+J40+O40</f>
        <v>0</v>
      </c>
      <c r="Q40" s="10" t="str">
        <f aca="false">IF(B40="","",IF(P40&lt;=0,"Clear",IF(E40+I40+N40&gt;0,"Partial","Due")))</f>
        <v/>
      </c>
    </row>
    <row r="41" customFormat="false" ht="15" hidden="false" customHeight="false" outlineLevel="0" collapsed="false">
      <c r="A41" s="10" t="n">
        <v>28</v>
      </c>
      <c r="B41" s="28" t="str">
        <f aca="false">IF(Students!B32="","",Students!B32)</f>
        <v/>
      </c>
      <c r="C41" s="29" t="n">
        <f aca="false">'Aug 2027'!F41</f>
        <v>0</v>
      </c>
      <c r="D41" s="29" t="n">
        <f aca="false">IF(Students!D32="Yes",N(Students!E32),0)</f>
        <v>0</v>
      </c>
      <c r="E41" s="13"/>
      <c r="F41" s="30" t="n">
        <f aca="false">N(C41)+N(D41)-N(E41)</f>
        <v>0</v>
      </c>
      <c r="G41" s="29" t="n">
        <f aca="false">'Aug 2027'!J41</f>
        <v>0</v>
      </c>
      <c r="H41" s="29" t="n">
        <f aca="false">IF(Students!F32="Yes",N(Students!G32),0)</f>
        <v>0</v>
      </c>
      <c r="I41" s="13"/>
      <c r="J41" s="30" t="n">
        <f aca="false">N(G41)+N(H41)-N(I41)</f>
        <v>0</v>
      </c>
      <c r="K41" s="29" t="n">
        <f aca="false">'Aug 2027'!O41</f>
        <v>0</v>
      </c>
      <c r="L41" s="13"/>
      <c r="M41" s="13"/>
      <c r="N41" s="13"/>
      <c r="O41" s="30" t="n">
        <f aca="false">N(K41)+N(L41)+N(M41)-N(N41)</f>
        <v>0</v>
      </c>
      <c r="P41" s="30" t="n">
        <f aca="false">F41+J41+O41</f>
        <v>0</v>
      </c>
      <c r="Q41" s="10" t="str">
        <f aca="false">IF(B41="","",IF(P41&lt;=0,"Clear",IF(E41+I41+N41&gt;0,"Partial","Due")))</f>
        <v/>
      </c>
    </row>
    <row r="42" customFormat="false" ht="15" hidden="false" customHeight="false" outlineLevel="0" collapsed="false">
      <c r="A42" s="10" t="n">
        <v>29</v>
      </c>
      <c r="B42" s="28" t="str">
        <f aca="false">IF(Students!B33="","",Students!B33)</f>
        <v/>
      </c>
      <c r="C42" s="29" t="n">
        <f aca="false">'Aug 2027'!F42</f>
        <v>0</v>
      </c>
      <c r="D42" s="29" t="n">
        <f aca="false">IF(Students!D33="Yes",N(Students!E33),0)</f>
        <v>0</v>
      </c>
      <c r="E42" s="13"/>
      <c r="F42" s="30" t="n">
        <f aca="false">N(C42)+N(D42)-N(E42)</f>
        <v>0</v>
      </c>
      <c r="G42" s="29" t="n">
        <f aca="false">'Aug 2027'!J42</f>
        <v>0</v>
      </c>
      <c r="H42" s="29" t="n">
        <f aca="false">IF(Students!F33="Yes",N(Students!G33),0)</f>
        <v>0</v>
      </c>
      <c r="I42" s="13"/>
      <c r="J42" s="30" t="n">
        <f aca="false">N(G42)+N(H42)-N(I42)</f>
        <v>0</v>
      </c>
      <c r="K42" s="29" t="n">
        <f aca="false">'Aug 2027'!O42</f>
        <v>0</v>
      </c>
      <c r="L42" s="13"/>
      <c r="M42" s="13"/>
      <c r="N42" s="13"/>
      <c r="O42" s="30" t="n">
        <f aca="false">N(K42)+N(L42)+N(M42)-N(N42)</f>
        <v>0</v>
      </c>
      <c r="P42" s="30" t="n">
        <f aca="false">F42+J42+O42</f>
        <v>0</v>
      </c>
      <c r="Q42" s="10" t="str">
        <f aca="false">IF(B42="","",IF(P42&lt;=0,"Clear",IF(E42+I42+N42&gt;0,"Partial","Due")))</f>
        <v/>
      </c>
    </row>
    <row r="43" customFormat="false" ht="15" hidden="false" customHeight="false" outlineLevel="0" collapsed="false">
      <c r="A43" s="10" t="n">
        <v>30</v>
      </c>
      <c r="B43" s="28" t="str">
        <f aca="false">IF(Students!B34="","",Students!B34)</f>
        <v/>
      </c>
      <c r="C43" s="29" t="n">
        <f aca="false">'Aug 2027'!F43</f>
        <v>0</v>
      </c>
      <c r="D43" s="29" t="n">
        <f aca="false">IF(Students!D34="Yes",N(Students!E34),0)</f>
        <v>0</v>
      </c>
      <c r="E43" s="13"/>
      <c r="F43" s="30" t="n">
        <f aca="false">N(C43)+N(D43)-N(E43)</f>
        <v>0</v>
      </c>
      <c r="G43" s="29" t="n">
        <f aca="false">'Aug 2027'!J43</f>
        <v>0</v>
      </c>
      <c r="H43" s="29" t="n">
        <f aca="false">IF(Students!F34="Yes",N(Students!G34),0)</f>
        <v>0</v>
      </c>
      <c r="I43" s="13"/>
      <c r="J43" s="30" t="n">
        <f aca="false">N(G43)+N(H43)-N(I43)</f>
        <v>0</v>
      </c>
      <c r="K43" s="29" t="n">
        <f aca="false">'Aug 2027'!O43</f>
        <v>0</v>
      </c>
      <c r="L43" s="13"/>
      <c r="M43" s="13"/>
      <c r="N43" s="13"/>
      <c r="O43" s="30" t="n">
        <f aca="false">N(K43)+N(L43)+N(M43)-N(N43)</f>
        <v>0</v>
      </c>
      <c r="P43" s="30" t="n">
        <f aca="false">F43+J43+O43</f>
        <v>0</v>
      </c>
      <c r="Q43" s="10" t="str">
        <f aca="false">IF(B43="","",IF(P43&lt;=0,"Clear",IF(E43+I43+N43&gt;0,"Partial","Due")))</f>
        <v/>
      </c>
    </row>
    <row r="44" customFormat="false" ht="15" hidden="false" customHeight="false" outlineLevel="0" collapsed="false">
      <c r="A44" s="10" t="n">
        <v>31</v>
      </c>
      <c r="B44" s="28" t="str">
        <f aca="false">IF(Students!B35="","",Students!B35)</f>
        <v/>
      </c>
      <c r="C44" s="29" t="n">
        <f aca="false">'Aug 2027'!F44</f>
        <v>0</v>
      </c>
      <c r="D44" s="29" t="n">
        <f aca="false">IF(Students!D35="Yes",N(Students!E35),0)</f>
        <v>0</v>
      </c>
      <c r="E44" s="13"/>
      <c r="F44" s="30" t="n">
        <f aca="false">N(C44)+N(D44)-N(E44)</f>
        <v>0</v>
      </c>
      <c r="G44" s="29" t="n">
        <f aca="false">'Aug 2027'!J44</f>
        <v>0</v>
      </c>
      <c r="H44" s="29" t="n">
        <f aca="false">IF(Students!F35="Yes",N(Students!G35),0)</f>
        <v>0</v>
      </c>
      <c r="I44" s="13"/>
      <c r="J44" s="30" t="n">
        <f aca="false">N(G44)+N(H44)-N(I44)</f>
        <v>0</v>
      </c>
      <c r="K44" s="29" t="n">
        <f aca="false">'Aug 2027'!O44</f>
        <v>0</v>
      </c>
      <c r="L44" s="13"/>
      <c r="M44" s="13"/>
      <c r="N44" s="13"/>
      <c r="O44" s="30" t="n">
        <f aca="false">N(K44)+N(L44)+N(M44)-N(N44)</f>
        <v>0</v>
      </c>
      <c r="P44" s="30" t="n">
        <f aca="false">F44+J44+O44</f>
        <v>0</v>
      </c>
      <c r="Q44" s="10" t="str">
        <f aca="false">IF(B44="","",IF(P44&lt;=0,"Clear",IF(E44+I44+N44&gt;0,"Partial","Due")))</f>
        <v/>
      </c>
    </row>
    <row r="45" customFormat="false" ht="15" hidden="false" customHeight="false" outlineLevel="0" collapsed="false">
      <c r="A45" s="10" t="n">
        <v>32</v>
      </c>
      <c r="B45" s="28" t="str">
        <f aca="false">IF(Students!B36="","",Students!B36)</f>
        <v/>
      </c>
      <c r="C45" s="29" t="n">
        <f aca="false">'Aug 2027'!F45</f>
        <v>0</v>
      </c>
      <c r="D45" s="29" t="n">
        <f aca="false">IF(Students!D36="Yes",N(Students!E36),0)</f>
        <v>0</v>
      </c>
      <c r="E45" s="13"/>
      <c r="F45" s="30" t="n">
        <f aca="false">N(C45)+N(D45)-N(E45)</f>
        <v>0</v>
      </c>
      <c r="G45" s="29" t="n">
        <f aca="false">'Aug 2027'!J45</f>
        <v>0</v>
      </c>
      <c r="H45" s="29" t="n">
        <f aca="false">IF(Students!F36="Yes",N(Students!G36),0)</f>
        <v>0</v>
      </c>
      <c r="I45" s="13"/>
      <c r="J45" s="30" t="n">
        <f aca="false">N(G45)+N(H45)-N(I45)</f>
        <v>0</v>
      </c>
      <c r="K45" s="29" t="n">
        <f aca="false">'Aug 2027'!O45</f>
        <v>0</v>
      </c>
      <c r="L45" s="13"/>
      <c r="M45" s="13"/>
      <c r="N45" s="13"/>
      <c r="O45" s="30" t="n">
        <f aca="false">N(K45)+N(L45)+N(M45)-N(N45)</f>
        <v>0</v>
      </c>
      <c r="P45" s="30" t="n">
        <f aca="false">F45+J45+O45</f>
        <v>0</v>
      </c>
      <c r="Q45" s="10" t="str">
        <f aca="false">IF(B45="","",IF(P45&lt;=0,"Clear",IF(E45+I45+N45&gt;0,"Partial","Due")))</f>
        <v/>
      </c>
    </row>
    <row r="46" customFormat="false" ht="15" hidden="false" customHeight="false" outlineLevel="0" collapsed="false">
      <c r="A46" s="10" t="n">
        <v>33</v>
      </c>
      <c r="B46" s="28" t="str">
        <f aca="false">IF(Students!B37="","",Students!B37)</f>
        <v/>
      </c>
      <c r="C46" s="29" t="n">
        <f aca="false">'Aug 2027'!F46</f>
        <v>0</v>
      </c>
      <c r="D46" s="29" t="n">
        <f aca="false">IF(Students!D37="Yes",N(Students!E37),0)</f>
        <v>0</v>
      </c>
      <c r="E46" s="13"/>
      <c r="F46" s="30" t="n">
        <f aca="false">N(C46)+N(D46)-N(E46)</f>
        <v>0</v>
      </c>
      <c r="G46" s="29" t="n">
        <f aca="false">'Aug 2027'!J46</f>
        <v>0</v>
      </c>
      <c r="H46" s="29" t="n">
        <f aca="false">IF(Students!F37="Yes",N(Students!G37),0)</f>
        <v>0</v>
      </c>
      <c r="I46" s="13"/>
      <c r="J46" s="30" t="n">
        <f aca="false">N(G46)+N(H46)-N(I46)</f>
        <v>0</v>
      </c>
      <c r="K46" s="29" t="n">
        <f aca="false">'Aug 2027'!O46</f>
        <v>0</v>
      </c>
      <c r="L46" s="13"/>
      <c r="M46" s="13"/>
      <c r="N46" s="13"/>
      <c r="O46" s="30" t="n">
        <f aca="false">N(K46)+N(L46)+N(M46)-N(N46)</f>
        <v>0</v>
      </c>
      <c r="P46" s="30" t="n">
        <f aca="false">F46+J46+O46</f>
        <v>0</v>
      </c>
      <c r="Q46" s="10" t="str">
        <f aca="false">IF(B46="","",IF(P46&lt;=0,"Clear",IF(E46+I46+N46&gt;0,"Partial","Due")))</f>
        <v/>
      </c>
    </row>
    <row r="47" customFormat="false" ht="15" hidden="false" customHeight="false" outlineLevel="0" collapsed="false">
      <c r="A47" s="10" t="n">
        <v>34</v>
      </c>
      <c r="B47" s="28" t="str">
        <f aca="false">IF(Students!B38="","",Students!B38)</f>
        <v/>
      </c>
      <c r="C47" s="29" t="n">
        <f aca="false">'Aug 2027'!F47</f>
        <v>0</v>
      </c>
      <c r="D47" s="29" t="n">
        <f aca="false">IF(Students!D38="Yes",N(Students!E38),0)</f>
        <v>0</v>
      </c>
      <c r="E47" s="13"/>
      <c r="F47" s="30" t="n">
        <f aca="false">N(C47)+N(D47)-N(E47)</f>
        <v>0</v>
      </c>
      <c r="G47" s="29" t="n">
        <f aca="false">'Aug 2027'!J47</f>
        <v>0</v>
      </c>
      <c r="H47" s="29" t="n">
        <f aca="false">IF(Students!F38="Yes",N(Students!G38),0)</f>
        <v>0</v>
      </c>
      <c r="I47" s="13"/>
      <c r="J47" s="30" t="n">
        <f aca="false">N(G47)+N(H47)-N(I47)</f>
        <v>0</v>
      </c>
      <c r="K47" s="29" t="n">
        <f aca="false">'Aug 2027'!O47</f>
        <v>0</v>
      </c>
      <c r="L47" s="13"/>
      <c r="M47" s="13"/>
      <c r="N47" s="13"/>
      <c r="O47" s="30" t="n">
        <f aca="false">N(K47)+N(L47)+N(M47)-N(N47)</f>
        <v>0</v>
      </c>
      <c r="P47" s="30" t="n">
        <f aca="false">F47+J47+O47</f>
        <v>0</v>
      </c>
      <c r="Q47" s="10" t="str">
        <f aca="false">IF(B47="","",IF(P47&lt;=0,"Clear",IF(E47+I47+N47&gt;0,"Partial","Due")))</f>
        <v/>
      </c>
    </row>
    <row r="48" customFormat="false" ht="15" hidden="false" customHeight="false" outlineLevel="0" collapsed="false">
      <c r="A48" s="10" t="n">
        <v>35</v>
      </c>
      <c r="B48" s="28" t="str">
        <f aca="false">IF(Students!B39="","",Students!B39)</f>
        <v/>
      </c>
      <c r="C48" s="29" t="n">
        <f aca="false">'Aug 2027'!F48</f>
        <v>0</v>
      </c>
      <c r="D48" s="29" t="n">
        <f aca="false">IF(Students!D39="Yes",N(Students!E39),0)</f>
        <v>0</v>
      </c>
      <c r="E48" s="13"/>
      <c r="F48" s="30" t="n">
        <f aca="false">N(C48)+N(D48)-N(E48)</f>
        <v>0</v>
      </c>
      <c r="G48" s="29" t="n">
        <f aca="false">'Aug 2027'!J48</f>
        <v>0</v>
      </c>
      <c r="H48" s="29" t="n">
        <f aca="false">IF(Students!F39="Yes",N(Students!G39),0)</f>
        <v>0</v>
      </c>
      <c r="I48" s="13"/>
      <c r="J48" s="30" t="n">
        <f aca="false">N(G48)+N(H48)-N(I48)</f>
        <v>0</v>
      </c>
      <c r="K48" s="29" t="n">
        <f aca="false">'Aug 2027'!O48</f>
        <v>0</v>
      </c>
      <c r="L48" s="13"/>
      <c r="M48" s="13"/>
      <c r="N48" s="13"/>
      <c r="O48" s="30" t="n">
        <f aca="false">N(K48)+N(L48)+N(M48)-N(N48)</f>
        <v>0</v>
      </c>
      <c r="P48" s="30" t="n">
        <f aca="false">F48+J48+O48</f>
        <v>0</v>
      </c>
      <c r="Q48" s="10" t="str">
        <f aca="false">IF(B48="","",IF(P48&lt;=0,"Clear",IF(E48+I48+N48&gt;0,"Partial","Due")))</f>
        <v/>
      </c>
    </row>
    <row r="49" customFormat="false" ht="15" hidden="false" customHeight="false" outlineLevel="0" collapsed="false">
      <c r="A49" s="10" t="n">
        <v>36</v>
      </c>
      <c r="B49" s="28" t="str">
        <f aca="false">IF(Students!B40="","",Students!B40)</f>
        <v/>
      </c>
      <c r="C49" s="29" t="n">
        <f aca="false">'Aug 2027'!F49</f>
        <v>0</v>
      </c>
      <c r="D49" s="29" t="n">
        <f aca="false">IF(Students!D40="Yes",N(Students!E40),0)</f>
        <v>0</v>
      </c>
      <c r="E49" s="13"/>
      <c r="F49" s="30" t="n">
        <f aca="false">N(C49)+N(D49)-N(E49)</f>
        <v>0</v>
      </c>
      <c r="G49" s="29" t="n">
        <f aca="false">'Aug 2027'!J49</f>
        <v>0</v>
      </c>
      <c r="H49" s="29" t="n">
        <f aca="false">IF(Students!F40="Yes",N(Students!G40),0)</f>
        <v>0</v>
      </c>
      <c r="I49" s="13"/>
      <c r="J49" s="30" t="n">
        <f aca="false">N(G49)+N(H49)-N(I49)</f>
        <v>0</v>
      </c>
      <c r="K49" s="29" t="n">
        <f aca="false">'Aug 2027'!O49</f>
        <v>0</v>
      </c>
      <c r="L49" s="13"/>
      <c r="M49" s="13"/>
      <c r="N49" s="13"/>
      <c r="O49" s="30" t="n">
        <f aca="false">N(K49)+N(L49)+N(M49)-N(N49)</f>
        <v>0</v>
      </c>
      <c r="P49" s="30" t="n">
        <f aca="false">F49+J49+O49</f>
        <v>0</v>
      </c>
      <c r="Q49" s="10" t="str">
        <f aca="false">IF(B49="","",IF(P49&lt;=0,"Clear",IF(E49+I49+N49&gt;0,"Partial","Due")))</f>
        <v/>
      </c>
    </row>
    <row r="50" customFormat="false" ht="15" hidden="false" customHeight="false" outlineLevel="0" collapsed="false">
      <c r="A50" s="10" t="n">
        <v>37</v>
      </c>
      <c r="B50" s="28" t="str">
        <f aca="false">IF(Students!B41="","",Students!B41)</f>
        <v/>
      </c>
      <c r="C50" s="29" t="n">
        <f aca="false">'Aug 2027'!F50</f>
        <v>0</v>
      </c>
      <c r="D50" s="29" t="n">
        <f aca="false">IF(Students!D41="Yes",N(Students!E41),0)</f>
        <v>0</v>
      </c>
      <c r="E50" s="13"/>
      <c r="F50" s="30" t="n">
        <f aca="false">N(C50)+N(D50)-N(E50)</f>
        <v>0</v>
      </c>
      <c r="G50" s="29" t="n">
        <f aca="false">'Aug 2027'!J50</f>
        <v>0</v>
      </c>
      <c r="H50" s="29" t="n">
        <f aca="false">IF(Students!F41="Yes",N(Students!G41),0)</f>
        <v>0</v>
      </c>
      <c r="I50" s="13"/>
      <c r="J50" s="30" t="n">
        <f aca="false">N(G50)+N(H50)-N(I50)</f>
        <v>0</v>
      </c>
      <c r="K50" s="29" t="n">
        <f aca="false">'Aug 2027'!O50</f>
        <v>0</v>
      </c>
      <c r="L50" s="13"/>
      <c r="M50" s="13"/>
      <c r="N50" s="13"/>
      <c r="O50" s="30" t="n">
        <f aca="false">N(K50)+N(L50)+N(M50)-N(N50)</f>
        <v>0</v>
      </c>
      <c r="P50" s="30" t="n">
        <f aca="false">F50+J50+O50</f>
        <v>0</v>
      </c>
      <c r="Q50" s="10" t="str">
        <f aca="false">IF(B50="","",IF(P50&lt;=0,"Clear",IF(E50+I50+N50&gt;0,"Partial","Due")))</f>
        <v/>
      </c>
    </row>
    <row r="51" customFormat="false" ht="15" hidden="false" customHeight="false" outlineLevel="0" collapsed="false">
      <c r="A51" s="10" t="n">
        <v>38</v>
      </c>
      <c r="B51" s="28" t="str">
        <f aca="false">IF(Students!B42="","",Students!B42)</f>
        <v/>
      </c>
      <c r="C51" s="29" t="n">
        <f aca="false">'Aug 2027'!F51</f>
        <v>0</v>
      </c>
      <c r="D51" s="29" t="n">
        <f aca="false">IF(Students!D42="Yes",N(Students!E42),0)</f>
        <v>0</v>
      </c>
      <c r="E51" s="13"/>
      <c r="F51" s="30" t="n">
        <f aca="false">N(C51)+N(D51)-N(E51)</f>
        <v>0</v>
      </c>
      <c r="G51" s="29" t="n">
        <f aca="false">'Aug 2027'!J51</f>
        <v>0</v>
      </c>
      <c r="H51" s="29" t="n">
        <f aca="false">IF(Students!F42="Yes",N(Students!G42),0)</f>
        <v>0</v>
      </c>
      <c r="I51" s="13"/>
      <c r="J51" s="30" t="n">
        <f aca="false">N(G51)+N(H51)-N(I51)</f>
        <v>0</v>
      </c>
      <c r="K51" s="29" t="n">
        <f aca="false">'Aug 2027'!O51</f>
        <v>0</v>
      </c>
      <c r="L51" s="13"/>
      <c r="M51" s="13"/>
      <c r="N51" s="13"/>
      <c r="O51" s="30" t="n">
        <f aca="false">N(K51)+N(L51)+N(M51)-N(N51)</f>
        <v>0</v>
      </c>
      <c r="P51" s="30" t="n">
        <f aca="false">F51+J51+O51</f>
        <v>0</v>
      </c>
      <c r="Q51" s="10" t="str">
        <f aca="false">IF(B51="","",IF(P51&lt;=0,"Clear",IF(E51+I51+N51&gt;0,"Partial","Due")))</f>
        <v/>
      </c>
    </row>
    <row r="52" customFormat="false" ht="15" hidden="false" customHeight="false" outlineLevel="0" collapsed="false">
      <c r="A52" s="10" t="n">
        <v>39</v>
      </c>
      <c r="B52" s="28" t="str">
        <f aca="false">IF(Students!B43="","",Students!B43)</f>
        <v/>
      </c>
      <c r="C52" s="29" t="n">
        <f aca="false">'Aug 2027'!F52</f>
        <v>0</v>
      </c>
      <c r="D52" s="29" t="n">
        <f aca="false">IF(Students!D43="Yes",N(Students!E43),0)</f>
        <v>0</v>
      </c>
      <c r="E52" s="13"/>
      <c r="F52" s="30" t="n">
        <f aca="false">N(C52)+N(D52)-N(E52)</f>
        <v>0</v>
      </c>
      <c r="G52" s="29" t="n">
        <f aca="false">'Aug 2027'!J52</f>
        <v>0</v>
      </c>
      <c r="H52" s="29" t="n">
        <f aca="false">IF(Students!F43="Yes",N(Students!G43),0)</f>
        <v>0</v>
      </c>
      <c r="I52" s="13"/>
      <c r="J52" s="30" t="n">
        <f aca="false">N(G52)+N(H52)-N(I52)</f>
        <v>0</v>
      </c>
      <c r="K52" s="29" t="n">
        <f aca="false">'Aug 2027'!O52</f>
        <v>0</v>
      </c>
      <c r="L52" s="13"/>
      <c r="M52" s="13"/>
      <c r="N52" s="13"/>
      <c r="O52" s="30" t="n">
        <f aca="false">N(K52)+N(L52)+N(M52)-N(N52)</f>
        <v>0</v>
      </c>
      <c r="P52" s="30" t="n">
        <f aca="false">F52+J52+O52</f>
        <v>0</v>
      </c>
      <c r="Q52" s="10" t="str">
        <f aca="false">IF(B52="","",IF(P52&lt;=0,"Clear",IF(E52+I52+N52&gt;0,"Partial","Due")))</f>
        <v/>
      </c>
    </row>
    <row r="53" customFormat="false" ht="15" hidden="false" customHeight="false" outlineLevel="0" collapsed="false">
      <c r="A53" s="10" t="n">
        <v>40</v>
      </c>
      <c r="B53" s="28" t="str">
        <f aca="false">IF(Students!B44="","",Students!B44)</f>
        <v/>
      </c>
      <c r="C53" s="29" t="n">
        <f aca="false">'Aug 2027'!F53</f>
        <v>0</v>
      </c>
      <c r="D53" s="29" t="n">
        <f aca="false">IF(Students!D44="Yes",N(Students!E44),0)</f>
        <v>0</v>
      </c>
      <c r="E53" s="13"/>
      <c r="F53" s="30" t="n">
        <f aca="false">N(C53)+N(D53)-N(E53)</f>
        <v>0</v>
      </c>
      <c r="G53" s="29" t="n">
        <f aca="false">'Aug 2027'!J53</f>
        <v>0</v>
      </c>
      <c r="H53" s="29" t="n">
        <f aca="false">IF(Students!F44="Yes",N(Students!G44),0)</f>
        <v>0</v>
      </c>
      <c r="I53" s="13"/>
      <c r="J53" s="30" t="n">
        <f aca="false">N(G53)+N(H53)-N(I53)</f>
        <v>0</v>
      </c>
      <c r="K53" s="29" t="n">
        <f aca="false">'Aug 2027'!O53</f>
        <v>0</v>
      </c>
      <c r="L53" s="13"/>
      <c r="M53" s="13"/>
      <c r="N53" s="13"/>
      <c r="O53" s="30" t="n">
        <f aca="false">N(K53)+N(L53)+N(M53)-N(N53)</f>
        <v>0</v>
      </c>
      <c r="P53" s="30" t="n">
        <f aca="false">F53+J53+O53</f>
        <v>0</v>
      </c>
      <c r="Q53" s="10" t="str">
        <f aca="false">IF(B53="","",IF(P53&lt;=0,"Clear",IF(E53+I53+N53&gt;0,"Partial","Due")))</f>
        <v/>
      </c>
    </row>
    <row r="54" customFormat="false" ht="15" hidden="false" customHeight="false" outlineLevel="0" collapsed="false">
      <c r="A54" s="10" t="n">
        <v>41</v>
      </c>
      <c r="B54" s="28" t="str">
        <f aca="false">IF(Students!B45="","",Students!B45)</f>
        <v/>
      </c>
      <c r="C54" s="29" t="n">
        <f aca="false">'Aug 2027'!F54</f>
        <v>0</v>
      </c>
      <c r="D54" s="29" t="n">
        <f aca="false">IF(Students!D45="Yes",N(Students!E45),0)</f>
        <v>0</v>
      </c>
      <c r="E54" s="13"/>
      <c r="F54" s="30" t="n">
        <f aca="false">N(C54)+N(D54)-N(E54)</f>
        <v>0</v>
      </c>
      <c r="G54" s="29" t="n">
        <f aca="false">'Aug 2027'!J54</f>
        <v>0</v>
      </c>
      <c r="H54" s="29" t="n">
        <f aca="false">IF(Students!F45="Yes",N(Students!G45),0)</f>
        <v>0</v>
      </c>
      <c r="I54" s="13"/>
      <c r="J54" s="30" t="n">
        <f aca="false">N(G54)+N(H54)-N(I54)</f>
        <v>0</v>
      </c>
      <c r="K54" s="29" t="n">
        <f aca="false">'Aug 2027'!O54</f>
        <v>0</v>
      </c>
      <c r="L54" s="13"/>
      <c r="M54" s="13"/>
      <c r="N54" s="13"/>
      <c r="O54" s="30" t="n">
        <f aca="false">N(K54)+N(L54)+N(M54)-N(N54)</f>
        <v>0</v>
      </c>
      <c r="P54" s="30" t="n">
        <f aca="false">F54+J54+O54</f>
        <v>0</v>
      </c>
      <c r="Q54" s="10" t="str">
        <f aca="false">IF(B54="","",IF(P54&lt;=0,"Clear",IF(E54+I54+N54&gt;0,"Partial","Due")))</f>
        <v/>
      </c>
    </row>
    <row r="55" customFormat="false" ht="15" hidden="false" customHeight="false" outlineLevel="0" collapsed="false">
      <c r="A55" s="10" t="n">
        <v>42</v>
      </c>
      <c r="B55" s="28" t="str">
        <f aca="false">IF(Students!B46="","",Students!B46)</f>
        <v/>
      </c>
      <c r="C55" s="29" t="n">
        <f aca="false">'Aug 2027'!F55</f>
        <v>0</v>
      </c>
      <c r="D55" s="29" t="n">
        <f aca="false">IF(Students!D46="Yes",N(Students!E46),0)</f>
        <v>0</v>
      </c>
      <c r="E55" s="13"/>
      <c r="F55" s="30" t="n">
        <f aca="false">N(C55)+N(D55)-N(E55)</f>
        <v>0</v>
      </c>
      <c r="G55" s="29" t="n">
        <f aca="false">'Aug 2027'!J55</f>
        <v>0</v>
      </c>
      <c r="H55" s="29" t="n">
        <f aca="false">IF(Students!F46="Yes",N(Students!G46),0)</f>
        <v>0</v>
      </c>
      <c r="I55" s="13"/>
      <c r="J55" s="30" t="n">
        <f aca="false">N(G55)+N(H55)-N(I55)</f>
        <v>0</v>
      </c>
      <c r="K55" s="29" t="n">
        <f aca="false">'Aug 2027'!O55</f>
        <v>0</v>
      </c>
      <c r="L55" s="13"/>
      <c r="M55" s="13"/>
      <c r="N55" s="13"/>
      <c r="O55" s="30" t="n">
        <f aca="false">N(K55)+N(L55)+N(M55)-N(N55)</f>
        <v>0</v>
      </c>
      <c r="P55" s="30" t="n">
        <f aca="false">F55+J55+O55</f>
        <v>0</v>
      </c>
      <c r="Q55" s="10" t="str">
        <f aca="false">IF(B55="","",IF(P55&lt;=0,"Clear",IF(E55+I55+N55&gt;0,"Partial","Due")))</f>
        <v/>
      </c>
    </row>
    <row r="56" customFormat="false" ht="15" hidden="false" customHeight="false" outlineLevel="0" collapsed="false">
      <c r="A56" s="10" t="n">
        <v>43</v>
      </c>
      <c r="B56" s="28" t="str">
        <f aca="false">IF(Students!B47="","",Students!B47)</f>
        <v/>
      </c>
      <c r="C56" s="29" t="n">
        <f aca="false">'Aug 2027'!F56</f>
        <v>0</v>
      </c>
      <c r="D56" s="29" t="n">
        <f aca="false">IF(Students!D47="Yes",N(Students!E47),0)</f>
        <v>0</v>
      </c>
      <c r="E56" s="13"/>
      <c r="F56" s="30" t="n">
        <f aca="false">N(C56)+N(D56)-N(E56)</f>
        <v>0</v>
      </c>
      <c r="G56" s="29" t="n">
        <f aca="false">'Aug 2027'!J56</f>
        <v>0</v>
      </c>
      <c r="H56" s="29" t="n">
        <f aca="false">IF(Students!F47="Yes",N(Students!G47),0)</f>
        <v>0</v>
      </c>
      <c r="I56" s="13"/>
      <c r="J56" s="30" t="n">
        <f aca="false">N(G56)+N(H56)-N(I56)</f>
        <v>0</v>
      </c>
      <c r="K56" s="29" t="n">
        <f aca="false">'Aug 2027'!O56</f>
        <v>0</v>
      </c>
      <c r="L56" s="13"/>
      <c r="M56" s="13"/>
      <c r="N56" s="13"/>
      <c r="O56" s="30" t="n">
        <f aca="false">N(K56)+N(L56)+N(M56)-N(N56)</f>
        <v>0</v>
      </c>
      <c r="P56" s="30" t="n">
        <f aca="false">F56+J56+O56</f>
        <v>0</v>
      </c>
      <c r="Q56" s="10" t="str">
        <f aca="false">IF(B56="","",IF(P56&lt;=0,"Clear",IF(E56+I56+N56&gt;0,"Partial","Due")))</f>
        <v/>
      </c>
    </row>
    <row r="57" customFormat="false" ht="15" hidden="false" customHeight="false" outlineLevel="0" collapsed="false">
      <c r="A57" s="10" t="n">
        <v>44</v>
      </c>
      <c r="B57" s="28" t="str">
        <f aca="false">IF(Students!B48="","",Students!B48)</f>
        <v/>
      </c>
      <c r="C57" s="29" t="n">
        <f aca="false">'Aug 2027'!F57</f>
        <v>0</v>
      </c>
      <c r="D57" s="29" t="n">
        <f aca="false">IF(Students!D48="Yes",N(Students!E48),0)</f>
        <v>0</v>
      </c>
      <c r="E57" s="13"/>
      <c r="F57" s="30" t="n">
        <f aca="false">N(C57)+N(D57)-N(E57)</f>
        <v>0</v>
      </c>
      <c r="G57" s="29" t="n">
        <f aca="false">'Aug 2027'!J57</f>
        <v>0</v>
      </c>
      <c r="H57" s="29" t="n">
        <f aca="false">IF(Students!F48="Yes",N(Students!G48),0)</f>
        <v>0</v>
      </c>
      <c r="I57" s="13"/>
      <c r="J57" s="30" t="n">
        <f aca="false">N(G57)+N(H57)-N(I57)</f>
        <v>0</v>
      </c>
      <c r="K57" s="29" t="n">
        <f aca="false">'Aug 2027'!O57</f>
        <v>0</v>
      </c>
      <c r="L57" s="13"/>
      <c r="M57" s="13"/>
      <c r="N57" s="13"/>
      <c r="O57" s="30" t="n">
        <f aca="false">N(K57)+N(L57)+N(M57)-N(N57)</f>
        <v>0</v>
      </c>
      <c r="P57" s="30" t="n">
        <f aca="false">F57+J57+O57</f>
        <v>0</v>
      </c>
      <c r="Q57" s="10" t="str">
        <f aca="false">IF(B57="","",IF(P57&lt;=0,"Clear",IF(E57+I57+N57&gt;0,"Partial","Due")))</f>
        <v/>
      </c>
    </row>
    <row r="58" customFormat="false" ht="15" hidden="false" customHeight="false" outlineLevel="0" collapsed="false">
      <c r="A58" s="10" t="n">
        <v>45</v>
      </c>
      <c r="B58" s="28" t="str">
        <f aca="false">IF(Students!B49="","",Students!B49)</f>
        <v/>
      </c>
      <c r="C58" s="29" t="n">
        <f aca="false">'Aug 2027'!F58</f>
        <v>0</v>
      </c>
      <c r="D58" s="29" t="n">
        <f aca="false">IF(Students!D49="Yes",N(Students!E49),0)</f>
        <v>0</v>
      </c>
      <c r="E58" s="13"/>
      <c r="F58" s="30" t="n">
        <f aca="false">N(C58)+N(D58)-N(E58)</f>
        <v>0</v>
      </c>
      <c r="G58" s="29" t="n">
        <f aca="false">'Aug 2027'!J58</f>
        <v>0</v>
      </c>
      <c r="H58" s="29" t="n">
        <f aca="false">IF(Students!F49="Yes",N(Students!G49),0)</f>
        <v>0</v>
      </c>
      <c r="I58" s="13"/>
      <c r="J58" s="30" t="n">
        <f aca="false">N(G58)+N(H58)-N(I58)</f>
        <v>0</v>
      </c>
      <c r="K58" s="29" t="n">
        <f aca="false">'Aug 2027'!O58</f>
        <v>0</v>
      </c>
      <c r="L58" s="13"/>
      <c r="M58" s="13"/>
      <c r="N58" s="13"/>
      <c r="O58" s="30" t="n">
        <f aca="false">N(K58)+N(L58)+N(M58)-N(N58)</f>
        <v>0</v>
      </c>
      <c r="P58" s="30" t="n">
        <f aca="false">F58+J58+O58</f>
        <v>0</v>
      </c>
      <c r="Q58" s="10" t="str">
        <f aca="false">IF(B58="","",IF(P58&lt;=0,"Clear",IF(E58+I58+N58&gt;0,"Partial","Due")))</f>
        <v/>
      </c>
    </row>
    <row r="59" customFormat="false" ht="15" hidden="false" customHeight="false" outlineLevel="0" collapsed="false">
      <c r="A59" s="10" t="n">
        <v>46</v>
      </c>
      <c r="B59" s="28" t="str">
        <f aca="false">IF(Students!B50="","",Students!B50)</f>
        <v/>
      </c>
      <c r="C59" s="29" t="n">
        <f aca="false">'Aug 2027'!F59</f>
        <v>0</v>
      </c>
      <c r="D59" s="29" t="n">
        <f aca="false">IF(Students!D50="Yes",N(Students!E50),0)</f>
        <v>0</v>
      </c>
      <c r="E59" s="13"/>
      <c r="F59" s="30" t="n">
        <f aca="false">N(C59)+N(D59)-N(E59)</f>
        <v>0</v>
      </c>
      <c r="G59" s="29" t="n">
        <f aca="false">'Aug 2027'!J59</f>
        <v>0</v>
      </c>
      <c r="H59" s="29" t="n">
        <f aca="false">IF(Students!F50="Yes",N(Students!G50),0)</f>
        <v>0</v>
      </c>
      <c r="I59" s="13"/>
      <c r="J59" s="30" t="n">
        <f aca="false">N(G59)+N(H59)-N(I59)</f>
        <v>0</v>
      </c>
      <c r="K59" s="29" t="n">
        <f aca="false">'Aug 2027'!O59</f>
        <v>0</v>
      </c>
      <c r="L59" s="13"/>
      <c r="M59" s="13"/>
      <c r="N59" s="13"/>
      <c r="O59" s="30" t="n">
        <f aca="false">N(K59)+N(L59)+N(M59)-N(N59)</f>
        <v>0</v>
      </c>
      <c r="P59" s="30" t="n">
        <f aca="false">F59+J59+O59</f>
        <v>0</v>
      </c>
      <c r="Q59" s="10" t="str">
        <f aca="false">IF(B59="","",IF(P59&lt;=0,"Clear",IF(E59+I59+N59&gt;0,"Partial","Due")))</f>
        <v/>
      </c>
    </row>
    <row r="60" customFormat="false" ht="15" hidden="false" customHeight="false" outlineLevel="0" collapsed="false">
      <c r="A60" s="10" t="n">
        <v>47</v>
      </c>
      <c r="B60" s="28" t="str">
        <f aca="false">IF(Students!B51="","",Students!B51)</f>
        <v/>
      </c>
      <c r="C60" s="29" t="n">
        <f aca="false">'Aug 2027'!F60</f>
        <v>0</v>
      </c>
      <c r="D60" s="29" t="n">
        <f aca="false">IF(Students!D51="Yes",N(Students!E51),0)</f>
        <v>0</v>
      </c>
      <c r="E60" s="13"/>
      <c r="F60" s="30" t="n">
        <f aca="false">N(C60)+N(D60)-N(E60)</f>
        <v>0</v>
      </c>
      <c r="G60" s="29" t="n">
        <f aca="false">'Aug 2027'!J60</f>
        <v>0</v>
      </c>
      <c r="H60" s="29" t="n">
        <f aca="false">IF(Students!F51="Yes",N(Students!G51),0)</f>
        <v>0</v>
      </c>
      <c r="I60" s="13"/>
      <c r="J60" s="30" t="n">
        <f aca="false">N(G60)+N(H60)-N(I60)</f>
        <v>0</v>
      </c>
      <c r="K60" s="29" t="n">
        <f aca="false">'Aug 2027'!O60</f>
        <v>0</v>
      </c>
      <c r="L60" s="13"/>
      <c r="M60" s="13"/>
      <c r="N60" s="13"/>
      <c r="O60" s="30" t="n">
        <f aca="false">N(K60)+N(L60)+N(M60)-N(N60)</f>
        <v>0</v>
      </c>
      <c r="P60" s="30" t="n">
        <f aca="false">F60+J60+O60</f>
        <v>0</v>
      </c>
      <c r="Q60" s="10" t="str">
        <f aca="false">IF(B60="","",IF(P60&lt;=0,"Clear",IF(E60+I60+N60&gt;0,"Partial","Due")))</f>
        <v/>
      </c>
    </row>
    <row r="61" customFormat="false" ht="15" hidden="false" customHeight="false" outlineLevel="0" collapsed="false">
      <c r="A61" s="10" t="n">
        <v>48</v>
      </c>
      <c r="B61" s="28" t="str">
        <f aca="false">IF(Students!B52="","",Students!B52)</f>
        <v/>
      </c>
      <c r="C61" s="29" t="n">
        <f aca="false">'Aug 2027'!F61</f>
        <v>0</v>
      </c>
      <c r="D61" s="29" t="n">
        <f aca="false">IF(Students!D52="Yes",N(Students!E52),0)</f>
        <v>0</v>
      </c>
      <c r="E61" s="13"/>
      <c r="F61" s="30" t="n">
        <f aca="false">N(C61)+N(D61)-N(E61)</f>
        <v>0</v>
      </c>
      <c r="G61" s="29" t="n">
        <f aca="false">'Aug 2027'!J61</f>
        <v>0</v>
      </c>
      <c r="H61" s="29" t="n">
        <f aca="false">IF(Students!F52="Yes",N(Students!G52),0)</f>
        <v>0</v>
      </c>
      <c r="I61" s="13"/>
      <c r="J61" s="30" t="n">
        <f aca="false">N(G61)+N(H61)-N(I61)</f>
        <v>0</v>
      </c>
      <c r="K61" s="29" t="n">
        <f aca="false">'Aug 2027'!O61</f>
        <v>0</v>
      </c>
      <c r="L61" s="13"/>
      <c r="M61" s="13"/>
      <c r="N61" s="13"/>
      <c r="O61" s="30" t="n">
        <f aca="false">N(K61)+N(L61)+N(M61)-N(N61)</f>
        <v>0</v>
      </c>
      <c r="P61" s="30" t="n">
        <f aca="false">F61+J61+O61</f>
        <v>0</v>
      </c>
      <c r="Q61" s="10" t="str">
        <f aca="false">IF(B61="","",IF(P61&lt;=0,"Clear",IF(E61+I61+N61&gt;0,"Partial","Due")))</f>
        <v/>
      </c>
    </row>
    <row r="62" customFormat="false" ht="15" hidden="false" customHeight="false" outlineLevel="0" collapsed="false">
      <c r="A62" s="10" t="n">
        <v>49</v>
      </c>
      <c r="B62" s="28" t="str">
        <f aca="false">IF(Students!B53="","",Students!B53)</f>
        <v/>
      </c>
      <c r="C62" s="29" t="n">
        <f aca="false">'Aug 2027'!F62</f>
        <v>0</v>
      </c>
      <c r="D62" s="29" t="n">
        <f aca="false">IF(Students!D53="Yes",N(Students!E53),0)</f>
        <v>0</v>
      </c>
      <c r="E62" s="13"/>
      <c r="F62" s="30" t="n">
        <f aca="false">N(C62)+N(D62)-N(E62)</f>
        <v>0</v>
      </c>
      <c r="G62" s="29" t="n">
        <f aca="false">'Aug 2027'!J62</f>
        <v>0</v>
      </c>
      <c r="H62" s="29" t="n">
        <f aca="false">IF(Students!F53="Yes",N(Students!G53),0)</f>
        <v>0</v>
      </c>
      <c r="I62" s="13"/>
      <c r="J62" s="30" t="n">
        <f aca="false">N(G62)+N(H62)-N(I62)</f>
        <v>0</v>
      </c>
      <c r="K62" s="29" t="n">
        <f aca="false">'Aug 2027'!O62</f>
        <v>0</v>
      </c>
      <c r="L62" s="13"/>
      <c r="M62" s="13"/>
      <c r="N62" s="13"/>
      <c r="O62" s="30" t="n">
        <f aca="false">N(K62)+N(L62)+N(M62)-N(N62)</f>
        <v>0</v>
      </c>
      <c r="P62" s="30" t="n">
        <f aca="false">F62+J62+O62</f>
        <v>0</v>
      </c>
      <c r="Q62" s="10" t="str">
        <f aca="false">IF(B62="","",IF(P62&lt;=0,"Clear",IF(E62+I62+N62&gt;0,"Partial","Due")))</f>
        <v/>
      </c>
    </row>
    <row r="63" customFormat="false" ht="15" hidden="false" customHeight="false" outlineLevel="0" collapsed="false">
      <c r="A63" s="10" t="n">
        <v>50</v>
      </c>
      <c r="B63" s="28" t="str">
        <f aca="false">IF(Students!B54="","",Students!B54)</f>
        <v/>
      </c>
      <c r="C63" s="29" t="n">
        <f aca="false">'Aug 2027'!F63</f>
        <v>0</v>
      </c>
      <c r="D63" s="29" t="n">
        <f aca="false">IF(Students!D54="Yes",N(Students!E54),0)</f>
        <v>0</v>
      </c>
      <c r="E63" s="13"/>
      <c r="F63" s="30" t="n">
        <f aca="false">N(C63)+N(D63)-N(E63)</f>
        <v>0</v>
      </c>
      <c r="G63" s="29" t="n">
        <f aca="false">'Aug 2027'!J63</f>
        <v>0</v>
      </c>
      <c r="H63" s="29" t="n">
        <f aca="false">IF(Students!F54="Yes",N(Students!G54),0)</f>
        <v>0</v>
      </c>
      <c r="I63" s="13"/>
      <c r="J63" s="30" t="n">
        <f aca="false">N(G63)+N(H63)-N(I63)</f>
        <v>0</v>
      </c>
      <c r="K63" s="29" t="n">
        <f aca="false">'Aug 2027'!O63</f>
        <v>0</v>
      </c>
      <c r="L63" s="13"/>
      <c r="M63" s="13"/>
      <c r="N63" s="13"/>
      <c r="O63" s="30" t="n">
        <f aca="false">N(K63)+N(L63)+N(M63)-N(N63)</f>
        <v>0</v>
      </c>
      <c r="P63" s="30" t="n">
        <f aca="false">F63+J63+O63</f>
        <v>0</v>
      </c>
      <c r="Q63" s="10" t="str">
        <f aca="false">IF(B63="","",IF(P63&lt;=0,"Clear",IF(E63+I63+N63&gt;0,"Partial","Due")))</f>
        <v/>
      </c>
    </row>
    <row r="64" customFormat="false" ht="15" hidden="false" customHeight="false" outlineLevel="0" collapsed="false">
      <c r="A64" s="10" t="n">
        <v>51</v>
      </c>
      <c r="B64" s="28" t="str">
        <f aca="false">IF(Students!B55="","",Students!B55)</f>
        <v/>
      </c>
      <c r="C64" s="29" t="n">
        <f aca="false">'Aug 2027'!F64</f>
        <v>0</v>
      </c>
      <c r="D64" s="29" t="n">
        <f aca="false">IF(Students!D55="Yes",N(Students!E55),0)</f>
        <v>0</v>
      </c>
      <c r="E64" s="13"/>
      <c r="F64" s="30" t="n">
        <f aca="false">N(C64)+N(D64)-N(E64)</f>
        <v>0</v>
      </c>
      <c r="G64" s="29" t="n">
        <f aca="false">'Aug 2027'!J64</f>
        <v>0</v>
      </c>
      <c r="H64" s="29" t="n">
        <f aca="false">IF(Students!F55="Yes",N(Students!G55),0)</f>
        <v>0</v>
      </c>
      <c r="I64" s="13"/>
      <c r="J64" s="30" t="n">
        <f aca="false">N(G64)+N(H64)-N(I64)</f>
        <v>0</v>
      </c>
      <c r="K64" s="29" t="n">
        <f aca="false">'Aug 2027'!O64</f>
        <v>0</v>
      </c>
      <c r="L64" s="13"/>
      <c r="M64" s="13"/>
      <c r="N64" s="13"/>
      <c r="O64" s="30" t="n">
        <f aca="false">N(K64)+N(L64)+N(M64)-N(N64)</f>
        <v>0</v>
      </c>
      <c r="P64" s="30" t="n">
        <f aca="false">F64+J64+O64</f>
        <v>0</v>
      </c>
      <c r="Q64" s="10" t="str">
        <f aca="false">IF(B64="","",IF(P64&lt;=0,"Clear",IF(E64+I64+N64&gt;0,"Partial","Due")))</f>
        <v/>
      </c>
    </row>
    <row r="65" customFormat="false" ht="15" hidden="false" customHeight="false" outlineLevel="0" collapsed="false">
      <c r="A65" s="10" t="n">
        <v>52</v>
      </c>
      <c r="B65" s="28" t="str">
        <f aca="false">IF(Students!B56="","",Students!B56)</f>
        <v/>
      </c>
      <c r="C65" s="29" t="n">
        <f aca="false">'Aug 2027'!F65</f>
        <v>0</v>
      </c>
      <c r="D65" s="29" t="n">
        <f aca="false">IF(Students!D56="Yes",N(Students!E56),0)</f>
        <v>0</v>
      </c>
      <c r="E65" s="13"/>
      <c r="F65" s="30" t="n">
        <f aca="false">N(C65)+N(D65)-N(E65)</f>
        <v>0</v>
      </c>
      <c r="G65" s="29" t="n">
        <f aca="false">'Aug 2027'!J65</f>
        <v>0</v>
      </c>
      <c r="H65" s="29" t="n">
        <f aca="false">IF(Students!F56="Yes",N(Students!G56),0)</f>
        <v>0</v>
      </c>
      <c r="I65" s="13"/>
      <c r="J65" s="30" t="n">
        <f aca="false">N(G65)+N(H65)-N(I65)</f>
        <v>0</v>
      </c>
      <c r="K65" s="29" t="n">
        <f aca="false">'Aug 2027'!O65</f>
        <v>0</v>
      </c>
      <c r="L65" s="13"/>
      <c r="M65" s="13"/>
      <c r="N65" s="13"/>
      <c r="O65" s="30" t="n">
        <f aca="false">N(K65)+N(L65)+N(M65)-N(N65)</f>
        <v>0</v>
      </c>
      <c r="P65" s="30" t="n">
        <f aca="false">F65+J65+O65</f>
        <v>0</v>
      </c>
      <c r="Q65" s="10" t="str">
        <f aca="false">IF(B65="","",IF(P65&lt;=0,"Clear",IF(E65+I65+N65&gt;0,"Partial","Due")))</f>
        <v/>
      </c>
    </row>
    <row r="66" customFormat="false" ht="15" hidden="false" customHeight="false" outlineLevel="0" collapsed="false">
      <c r="A66" s="10" t="n">
        <v>53</v>
      </c>
      <c r="B66" s="28" t="str">
        <f aca="false">IF(Students!B57="","",Students!B57)</f>
        <v/>
      </c>
      <c r="C66" s="29" t="n">
        <f aca="false">'Aug 2027'!F66</f>
        <v>0</v>
      </c>
      <c r="D66" s="29" t="n">
        <f aca="false">IF(Students!D57="Yes",N(Students!E57),0)</f>
        <v>0</v>
      </c>
      <c r="E66" s="13"/>
      <c r="F66" s="30" t="n">
        <f aca="false">N(C66)+N(D66)-N(E66)</f>
        <v>0</v>
      </c>
      <c r="G66" s="29" t="n">
        <f aca="false">'Aug 2027'!J66</f>
        <v>0</v>
      </c>
      <c r="H66" s="29" t="n">
        <f aca="false">IF(Students!F57="Yes",N(Students!G57),0)</f>
        <v>0</v>
      </c>
      <c r="I66" s="13"/>
      <c r="J66" s="30" t="n">
        <f aca="false">N(G66)+N(H66)-N(I66)</f>
        <v>0</v>
      </c>
      <c r="K66" s="29" t="n">
        <f aca="false">'Aug 2027'!O66</f>
        <v>0</v>
      </c>
      <c r="L66" s="13"/>
      <c r="M66" s="13"/>
      <c r="N66" s="13"/>
      <c r="O66" s="30" t="n">
        <f aca="false">N(K66)+N(L66)+N(M66)-N(N66)</f>
        <v>0</v>
      </c>
      <c r="P66" s="30" t="n">
        <f aca="false">F66+J66+O66</f>
        <v>0</v>
      </c>
      <c r="Q66" s="10" t="str">
        <f aca="false">IF(B66="","",IF(P66&lt;=0,"Clear",IF(E66+I66+N66&gt;0,"Partial","Due")))</f>
        <v/>
      </c>
    </row>
    <row r="67" customFormat="false" ht="15" hidden="false" customHeight="false" outlineLevel="0" collapsed="false">
      <c r="A67" s="10" t="n">
        <v>54</v>
      </c>
      <c r="B67" s="28" t="str">
        <f aca="false">IF(Students!B58="","",Students!B58)</f>
        <v/>
      </c>
      <c r="C67" s="29" t="n">
        <f aca="false">'Aug 2027'!F67</f>
        <v>0</v>
      </c>
      <c r="D67" s="29" t="n">
        <f aca="false">IF(Students!D58="Yes",N(Students!E58),0)</f>
        <v>0</v>
      </c>
      <c r="E67" s="13"/>
      <c r="F67" s="30" t="n">
        <f aca="false">N(C67)+N(D67)-N(E67)</f>
        <v>0</v>
      </c>
      <c r="G67" s="29" t="n">
        <f aca="false">'Aug 2027'!J67</f>
        <v>0</v>
      </c>
      <c r="H67" s="29" t="n">
        <f aca="false">IF(Students!F58="Yes",N(Students!G58),0)</f>
        <v>0</v>
      </c>
      <c r="I67" s="13"/>
      <c r="J67" s="30" t="n">
        <f aca="false">N(G67)+N(H67)-N(I67)</f>
        <v>0</v>
      </c>
      <c r="K67" s="29" t="n">
        <f aca="false">'Aug 2027'!O67</f>
        <v>0</v>
      </c>
      <c r="L67" s="13"/>
      <c r="M67" s="13"/>
      <c r="N67" s="13"/>
      <c r="O67" s="30" t="n">
        <f aca="false">N(K67)+N(L67)+N(M67)-N(N67)</f>
        <v>0</v>
      </c>
      <c r="P67" s="30" t="n">
        <f aca="false">F67+J67+O67</f>
        <v>0</v>
      </c>
      <c r="Q67" s="10" t="str">
        <f aca="false">IF(B67="","",IF(P67&lt;=0,"Clear",IF(E67+I67+N67&gt;0,"Partial","Due")))</f>
        <v/>
      </c>
    </row>
    <row r="68" customFormat="false" ht="15" hidden="false" customHeight="false" outlineLevel="0" collapsed="false">
      <c r="A68" s="10" t="n">
        <v>55</v>
      </c>
      <c r="B68" s="28" t="str">
        <f aca="false">IF(Students!B59="","",Students!B59)</f>
        <v/>
      </c>
      <c r="C68" s="29" t="n">
        <f aca="false">'Aug 2027'!F68</f>
        <v>0</v>
      </c>
      <c r="D68" s="29" t="n">
        <f aca="false">IF(Students!D59="Yes",N(Students!E59),0)</f>
        <v>0</v>
      </c>
      <c r="E68" s="13"/>
      <c r="F68" s="30" t="n">
        <f aca="false">N(C68)+N(D68)-N(E68)</f>
        <v>0</v>
      </c>
      <c r="G68" s="29" t="n">
        <f aca="false">'Aug 2027'!J68</f>
        <v>0</v>
      </c>
      <c r="H68" s="29" t="n">
        <f aca="false">IF(Students!F59="Yes",N(Students!G59),0)</f>
        <v>0</v>
      </c>
      <c r="I68" s="13"/>
      <c r="J68" s="30" t="n">
        <f aca="false">N(G68)+N(H68)-N(I68)</f>
        <v>0</v>
      </c>
      <c r="K68" s="29" t="n">
        <f aca="false">'Aug 2027'!O68</f>
        <v>0</v>
      </c>
      <c r="L68" s="13"/>
      <c r="M68" s="13"/>
      <c r="N68" s="13"/>
      <c r="O68" s="30" t="n">
        <f aca="false">N(K68)+N(L68)+N(M68)-N(N68)</f>
        <v>0</v>
      </c>
      <c r="P68" s="30" t="n">
        <f aca="false">F68+J68+O68</f>
        <v>0</v>
      </c>
      <c r="Q68" s="10" t="str">
        <f aca="false">IF(B68="","",IF(P68&lt;=0,"Clear",IF(E68+I68+N68&gt;0,"Partial","Due")))</f>
        <v/>
      </c>
    </row>
    <row r="69" customFormat="false" ht="15" hidden="false" customHeight="false" outlineLevel="0" collapsed="false">
      <c r="A69" s="10" t="n">
        <v>56</v>
      </c>
      <c r="B69" s="28" t="str">
        <f aca="false">IF(Students!B60="","",Students!B60)</f>
        <v/>
      </c>
      <c r="C69" s="29" t="n">
        <f aca="false">'Aug 2027'!F69</f>
        <v>0</v>
      </c>
      <c r="D69" s="29" t="n">
        <f aca="false">IF(Students!D60="Yes",N(Students!E60),0)</f>
        <v>0</v>
      </c>
      <c r="E69" s="13"/>
      <c r="F69" s="30" t="n">
        <f aca="false">N(C69)+N(D69)-N(E69)</f>
        <v>0</v>
      </c>
      <c r="G69" s="29" t="n">
        <f aca="false">'Aug 2027'!J69</f>
        <v>0</v>
      </c>
      <c r="H69" s="29" t="n">
        <f aca="false">IF(Students!F60="Yes",N(Students!G60),0)</f>
        <v>0</v>
      </c>
      <c r="I69" s="13"/>
      <c r="J69" s="30" t="n">
        <f aca="false">N(G69)+N(H69)-N(I69)</f>
        <v>0</v>
      </c>
      <c r="K69" s="29" t="n">
        <f aca="false">'Aug 2027'!O69</f>
        <v>0</v>
      </c>
      <c r="L69" s="13"/>
      <c r="M69" s="13"/>
      <c r="N69" s="13"/>
      <c r="O69" s="30" t="n">
        <f aca="false">N(K69)+N(L69)+N(M69)-N(N69)</f>
        <v>0</v>
      </c>
      <c r="P69" s="30" t="n">
        <f aca="false">F69+J69+O69</f>
        <v>0</v>
      </c>
      <c r="Q69" s="10" t="str">
        <f aca="false">IF(B69="","",IF(P69&lt;=0,"Clear",IF(E69+I69+N69&gt;0,"Partial","Due")))</f>
        <v/>
      </c>
    </row>
    <row r="70" customFormat="false" ht="15" hidden="false" customHeight="false" outlineLevel="0" collapsed="false">
      <c r="A70" s="10" t="n">
        <v>57</v>
      </c>
      <c r="B70" s="28" t="str">
        <f aca="false">IF(Students!B61="","",Students!B61)</f>
        <v/>
      </c>
      <c r="C70" s="29" t="n">
        <f aca="false">'Aug 2027'!F70</f>
        <v>0</v>
      </c>
      <c r="D70" s="29" t="n">
        <f aca="false">IF(Students!D61="Yes",N(Students!E61),0)</f>
        <v>0</v>
      </c>
      <c r="E70" s="13"/>
      <c r="F70" s="30" t="n">
        <f aca="false">N(C70)+N(D70)-N(E70)</f>
        <v>0</v>
      </c>
      <c r="G70" s="29" t="n">
        <f aca="false">'Aug 2027'!J70</f>
        <v>0</v>
      </c>
      <c r="H70" s="29" t="n">
        <f aca="false">IF(Students!F61="Yes",N(Students!G61),0)</f>
        <v>0</v>
      </c>
      <c r="I70" s="13"/>
      <c r="J70" s="30" t="n">
        <f aca="false">N(G70)+N(H70)-N(I70)</f>
        <v>0</v>
      </c>
      <c r="K70" s="29" t="n">
        <f aca="false">'Aug 2027'!O70</f>
        <v>0</v>
      </c>
      <c r="L70" s="13"/>
      <c r="M70" s="13"/>
      <c r="N70" s="13"/>
      <c r="O70" s="30" t="n">
        <f aca="false">N(K70)+N(L70)+N(M70)-N(N70)</f>
        <v>0</v>
      </c>
      <c r="P70" s="30" t="n">
        <f aca="false">F70+J70+O70</f>
        <v>0</v>
      </c>
      <c r="Q70" s="10" t="str">
        <f aca="false">IF(B70="","",IF(P70&lt;=0,"Clear",IF(E70+I70+N70&gt;0,"Partial","Due")))</f>
        <v/>
      </c>
    </row>
    <row r="71" customFormat="false" ht="15" hidden="false" customHeight="false" outlineLevel="0" collapsed="false">
      <c r="A71" s="10" t="n">
        <v>58</v>
      </c>
      <c r="B71" s="28" t="str">
        <f aca="false">IF(Students!B62="","",Students!B62)</f>
        <v/>
      </c>
      <c r="C71" s="29" t="n">
        <f aca="false">'Aug 2027'!F71</f>
        <v>0</v>
      </c>
      <c r="D71" s="29" t="n">
        <f aca="false">IF(Students!D62="Yes",N(Students!E62),0)</f>
        <v>0</v>
      </c>
      <c r="E71" s="13"/>
      <c r="F71" s="30" t="n">
        <f aca="false">N(C71)+N(D71)-N(E71)</f>
        <v>0</v>
      </c>
      <c r="G71" s="29" t="n">
        <f aca="false">'Aug 2027'!J71</f>
        <v>0</v>
      </c>
      <c r="H71" s="29" t="n">
        <f aca="false">IF(Students!F62="Yes",N(Students!G62),0)</f>
        <v>0</v>
      </c>
      <c r="I71" s="13"/>
      <c r="J71" s="30" t="n">
        <f aca="false">N(G71)+N(H71)-N(I71)</f>
        <v>0</v>
      </c>
      <c r="K71" s="29" t="n">
        <f aca="false">'Aug 2027'!O71</f>
        <v>0</v>
      </c>
      <c r="L71" s="13"/>
      <c r="M71" s="13"/>
      <c r="N71" s="13"/>
      <c r="O71" s="30" t="n">
        <f aca="false">N(K71)+N(L71)+N(M71)-N(N71)</f>
        <v>0</v>
      </c>
      <c r="P71" s="30" t="n">
        <f aca="false">F71+J71+O71</f>
        <v>0</v>
      </c>
      <c r="Q71" s="10" t="str">
        <f aca="false">IF(B71="","",IF(P71&lt;=0,"Clear",IF(E71+I71+N71&gt;0,"Partial","Due")))</f>
        <v/>
      </c>
    </row>
    <row r="72" customFormat="false" ht="15" hidden="false" customHeight="false" outlineLevel="0" collapsed="false">
      <c r="A72" s="10" t="n">
        <v>59</v>
      </c>
      <c r="B72" s="28" t="str">
        <f aca="false">IF(Students!B63="","",Students!B63)</f>
        <v/>
      </c>
      <c r="C72" s="29" t="n">
        <f aca="false">'Aug 2027'!F72</f>
        <v>0</v>
      </c>
      <c r="D72" s="29" t="n">
        <f aca="false">IF(Students!D63="Yes",N(Students!E63),0)</f>
        <v>0</v>
      </c>
      <c r="E72" s="13"/>
      <c r="F72" s="30" t="n">
        <f aca="false">N(C72)+N(D72)-N(E72)</f>
        <v>0</v>
      </c>
      <c r="G72" s="29" t="n">
        <f aca="false">'Aug 2027'!J72</f>
        <v>0</v>
      </c>
      <c r="H72" s="29" t="n">
        <f aca="false">IF(Students!F63="Yes",N(Students!G63),0)</f>
        <v>0</v>
      </c>
      <c r="I72" s="13"/>
      <c r="J72" s="30" t="n">
        <f aca="false">N(G72)+N(H72)-N(I72)</f>
        <v>0</v>
      </c>
      <c r="K72" s="29" t="n">
        <f aca="false">'Aug 2027'!O72</f>
        <v>0</v>
      </c>
      <c r="L72" s="13"/>
      <c r="M72" s="13"/>
      <c r="N72" s="13"/>
      <c r="O72" s="30" t="n">
        <f aca="false">N(K72)+N(L72)+N(M72)-N(N72)</f>
        <v>0</v>
      </c>
      <c r="P72" s="30" t="n">
        <f aca="false">F72+J72+O72</f>
        <v>0</v>
      </c>
      <c r="Q72" s="10" t="str">
        <f aca="false">IF(B72="","",IF(P72&lt;=0,"Clear",IF(E72+I72+N72&gt;0,"Partial","Due")))</f>
        <v/>
      </c>
    </row>
    <row r="73" customFormat="false" ht="15" hidden="false" customHeight="false" outlineLevel="0" collapsed="false">
      <c r="A73" s="10" t="n">
        <v>60</v>
      </c>
      <c r="B73" s="28" t="str">
        <f aca="false">IF(Students!B64="","",Students!B64)</f>
        <v/>
      </c>
      <c r="C73" s="29" t="n">
        <f aca="false">'Aug 2027'!F73</f>
        <v>0</v>
      </c>
      <c r="D73" s="29" t="n">
        <f aca="false">IF(Students!D64="Yes",N(Students!E64),0)</f>
        <v>0</v>
      </c>
      <c r="E73" s="13"/>
      <c r="F73" s="30" t="n">
        <f aca="false">N(C73)+N(D73)-N(E73)</f>
        <v>0</v>
      </c>
      <c r="G73" s="29" t="n">
        <f aca="false">'Aug 2027'!J73</f>
        <v>0</v>
      </c>
      <c r="H73" s="29" t="n">
        <f aca="false">IF(Students!F64="Yes",N(Students!G64),0)</f>
        <v>0</v>
      </c>
      <c r="I73" s="13"/>
      <c r="J73" s="30" t="n">
        <f aca="false">N(G73)+N(H73)-N(I73)</f>
        <v>0</v>
      </c>
      <c r="K73" s="29" t="n">
        <f aca="false">'Aug 2027'!O73</f>
        <v>0</v>
      </c>
      <c r="L73" s="13"/>
      <c r="M73" s="13"/>
      <c r="N73" s="13"/>
      <c r="O73" s="30" t="n">
        <f aca="false">N(K73)+N(L73)+N(M73)-N(N73)</f>
        <v>0</v>
      </c>
      <c r="P73" s="30" t="n">
        <f aca="false">F73+J73+O73</f>
        <v>0</v>
      </c>
      <c r="Q73" s="10" t="str">
        <f aca="false">IF(B73="","",IF(P73&lt;=0,"Clear",IF(E73+I73+N73&gt;0,"Partial","Due")))</f>
        <v/>
      </c>
    </row>
    <row r="74" customFormat="false" ht="15" hidden="false" customHeight="false" outlineLevel="0" collapsed="false">
      <c r="A74" s="10" t="n">
        <v>61</v>
      </c>
      <c r="B74" s="28" t="str">
        <f aca="false">IF(Students!B65="","",Students!B65)</f>
        <v/>
      </c>
      <c r="C74" s="29" t="n">
        <f aca="false">'Aug 2027'!F74</f>
        <v>0</v>
      </c>
      <c r="D74" s="29" t="n">
        <f aca="false">IF(Students!D65="Yes",N(Students!E65),0)</f>
        <v>0</v>
      </c>
      <c r="E74" s="13"/>
      <c r="F74" s="30" t="n">
        <f aca="false">N(C74)+N(D74)-N(E74)</f>
        <v>0</v>
      </c>
      <c r="G74" s="29" t="n">
        <f aca="false">'Aug 2027'!J74</f>
        <v>0</v>
      </c>
      <c r="H74" s="29" t="n">
        <f aca="false">IF(Students!F65="Yes",N(Students!G65),0)</f>
        <v>0</v>
      </c>
      <c r="I74" s="13"/>
      <c r="J74" s="30" t="n">
        <f aca="false">N(G74)+N(H74)-N(I74)</f>
        <v>0</v>
      </c>
      <c r="K74" s="29" t="n">
        <f aca="false">'Aug 2027'!O74</f>
        <v>0</v>
      </c>
      <c r="L74" s="13"/>
      <c r="M74" s="13"/>
      <c r="N74" s="13"/>
      <c r="O74" s="30" t="n">
        <f aca="false">N(K74)+N(L74)+N(M74)-N(N74)</f>
        <v>0</v>
      </c>
      <c r="P74" s="30" t="n">
        <f aca="false">F74+J74+O74</f>
        <v>0</v>
      </c>
      <c r="Q74" s="10" t="str">
        <f aca="false">IF(B74="","",IF(P74&lt;=0,"Clear",IF(E74+I74+N74&gt;0,"Partial","Due")))</f>
        <v/>
      </c>
    </row>
    <row r="75" customFormat="false" ht="15" hidden="false" customHeight="false" outlineLevel="0" collapsed="false">
      <c r="A75" s="10" t="n">
        <v>62</v>
      </c>
      <c r="B75" s="28" t="str">
        <f aca="false">IF(Students!B66="","",Students!B66)</f>
        <v/>
      </c>
      <c r="C75" s="29" t="n">
        <f aca="false">'Aug 2027'!F75</f>
        <v>0</v>
      </c>
      <c r="D75" s="29" t="n">
        <f aca="false">IF(Students!D66="Yes",N(Students!E66),0)</f>
        <v>0</v>
      </c>
      <c r="E75" s="13"/>
      <c r="F75" s="30" t="n">
        <f aca="false">N(C75)+N(D75)-N(E75)</f>
        <v>0</v>
      </c>
      <c r="G75" s="29" t="n">
        <f aca="false">'Aug 2027'!J75</f>
        <v>0</v>
      </c>
      <c r="H75" s="29" t="n">
        <f aca="false">IF(Students!F66="Yes",N(Students!G66),0)</f>
        <v>0</v>
      </c>
      <c r="I75" s="13"/>
      <c r="J75" s="30" t="n">
        <f aca="false">N(G75)+N(H75)-N(I75)</f>
        <v>0</v>
      </c>
      <c r="K75" s="29" t="n">
        <f aca="false">'Aug 2027'!O75</f>
        <v>0</v>
      </c>
      <c r="L75" s="13"/>
      <c r="M75" s="13"/>
      <c r="N75" s="13"/>
      <c r="O75" s="30" t="n">
        <f aca="false">N(K75)+N(L75)+N(M75)-N(N75)</f>
        <v>0</v>
      </c>
      <c r="P75" s="30" t="n">
        <f aca="false">F75+J75+O75</f>
        <v>0</v>
      </c>
      <c r="Q75" s="10" t="str">
        <f aca="false">IF(B75="","",IF(P75&lt;=0,"Clear",IF(E75+I75+N75&gt;0,"Partial","Due")))</f>
        <v/>
      </c>
    </row>
    <row r="76" customFormat="false" ht="15" hidden="false" customHeight="false" outlineLevel="0" collapsed="false">
      <c r="A76" s="10" t="n">
        <v>63</v>
      </c>
      <c r="B76" s="28" t="str">
        <f aca="false">IF(Students!B67="","",Students!B67)</f>
        <v/>
      </c>
      <c r="C76" s="29" t="n">
        <f aca="false">'Aug 2027'!F76</f>
        <v>0</v>
      </c>
      <c r="D76" s="29" t="n">
        <f aca="false">IF(Students!D67="Yes",N(Students!E67),0)</f>
        <v>0</v>
      </c>
      <c r="E76" s="13"/>
      <c r="F76" s="30" t="n">
        <f aca="false">N(C76)+N(D76)-N(E76)</f>
        <v>0</v>
      </c>
      <c r="G76" s="29" t="n">
        <f aca="false">'Aug 2027'!J76</f>
        <v>0</v>
      </c>
      <c r="H76" s="29" t="n">
        <f aca="false">IF(Students!F67="Yes",N(Students!G67),0)</f>
        <v>0</v>
      </c>
      <c r="I76" s="13"/>
      <c r="J76" s="30" t="n">
        <f aca="false">N(G76)+N(H76)-N(I76)</f>
        <v>0</v>
      </c>
      <c r="K76" s="29" t="n">
        <f aca="false">'Aug 2027'!O76</f>
        <v>0</v>
      </c>
      <c r="L76" s="13"/>
      <c r="M76" s="13"/>
      <c r="N76" s="13"/>
      <c r="O76" s="30" t="n">
        <f aca="false">N(K76)+N(L76)+N(M76)-N(N76)</f>
        <v>0</v>
      </c>
      <c r="P76" s="30" t="n">
        <f aca="false">F76+J76+O76</f>
        <v>0</v>
      </c>
      <c r="Q76" s="10" t="str">
        <f aca="false">IF(B76="","",IF(P76&lt;=0,"Clear",IF(E76+I76+N76&gt;0,"Partial","Due")))</f>
        <v/>
      </c>
    </row>
    <row r="77" customFormat="false" ht="15" hidden="false" customHeight="false" outlineLevel="0" collapsed="false">
      <c r="A77" s="10" t="n">
        <v>64</v>
      </c>
      <c r="B77" s="28" t="str">
        <f aca="false">IF(Students!B68="","",Students!B68)</f>
        <v/>
      </c>
      <c r="C77" s="29" t="n">
        <f aca="false">'Aug 2027'!F77</f>
        <v>0</v>
      </c>
      <c r="D77" s="29" t="n">
        <f aca="false">IF(Students!D68="Yes",N(Students!E68),0)</f>
        <v>0</v>
      </c>
      <c r="E77" s="13"/>
      <c r="F77" s="30" t="n">
        <f aca="false">N(C77)+N(D77)-N(E77)</f>
        <v>0</v>
      </c>
      <c r="G77" s="29" t="n">
        <f aca="false">'Aug 2027'!J77</f>
        <v>0</v>
      </c>
      <c r="H77" s="29" t="n">
        <f aca="false">IF(Students!F68="Yes",N(Students!G68),0)</f>
        <v>0</v>
      </c>
      <c r="I77" s="13"/>
      <c r="J77" s="30" t="n">
        <f aca="false">N(G77)+N(H77)-N(I77)</f>
        <v>0</v>
      </c>
      <c r="K77" s="29" t="n">
        <f aca="false">'Aug 2027'!O77</f>
        <v>0</v>
      </c>
      <c r="L77" s="13"/>
      <c r="M77" s="13"/>
      <c r="N77" s="13"/>
      <c r="O77" s="30" t="n">
        <f aca="false">N(K77)+N(L77)+N(M77)-N(N77)</f>
        <v>0</v>
      </c>
      <c r="P77" s="30" t="n">
        <f aca="false">F77+J77+O77</f>
        <v>0</v>
      </c>
      <c r="Q77" s="10" t="str">
        <f aca="false">IF(B77="","",IF(P77&lt;=0,"Clear",IF(E77+I77+N77&gt;0,"Partial","Due")))</f>
        <v/>
      </c>
    </row>
    <row r="78" customFormat="false" ht="15" hidden="false" customHeight="false" outlineLevel="0" collapsed="false">
      <c r="A78" s="10" t="n">
        <v>65</v>
      </c>
      <c r="B78" s="28" t="str">
        <f aca="false">IF(Students!B69="","",Students!B69)</f>
        <v/>
      </c>
      <c r="C78" s="29" t="n">
        <f aca="false">'Aug 2027'!F78</f>
        <v>0</v>
      </c>
      <c r="D78" s="29" t="n">
        <f aca="false">IF(Students!D69="Yes",N(Students!E69),0)</f>
        <v>0</v>
      </c>
      <c r="E78" s="13"/>
      <c r="F78" s="30" t="n">
        <f aca="false">N(C78)+N(D78)-N(E78)</f>
        <v>0</v>
      </c>
      <c r="G78" s="29" t="n">
        <f aca="false">'Aug 2027'!J78</f>
        <v>0</v>
      </c>
      <c r="H78" s="29" t="n">
        <f aca="false">IF(Students!F69="Yes",N(Students!G69),0)</f>
        <v>0</v>
      </c>
      <c r="I78" s="13"/>
      <c r="J78" s="30" t="n">
        <f aca="false">N(G78)+N(H78)-N(I78)</f>
        <v>0</v>
      </c>
      <c r="K78" s="29" t="n">
        <f aca="false">'Aug 2027'!O78</f>
        <v>0</v>
      </c>
      <c r="L78" s="13"/>
      <c r="M78" s="13"/>
      <c r="N78" s="13"/>
      <c r="O78" s="30" t="n">
        <f aca="false">N(K78)+N(L78)+N(M78)-N(N78)</f>
        <v>0</v>
      </c>
      <c r="P78" s="30" t="n">
        <f aca="false">F78+J78+O78</f>
        <v>0</v>
      </c>
      <c r="Q78" s="10" t="str">
        <f aca="false">IF(B78="","",IF(P78&lt;=0,"Clear",IF(E78+I78+N78&gt;0,"Partial","Due")))</f>
        <v/>
      </c>
    </row>
    <row r="79" customFormat="false" ht="15" hidden="false" customHeight="false" outlineLevel="0" collapsed="false">
      <c r="A79" s="10" t="n">
        <v>66</v>
      </c>
      <c r="B79" s="28" t="str">
        <f aca="false">IF(Students!B70="","",Students!B70)</f>
        <v/>
      </c>
      <c r="C79" s="29" t="n">
        <f aca="false">'Aug 2027'!F79</f>
        <v>0</v>
      </c>
      <c r="D79" s="29" t="n">
        <f aca="false">IF(Students!D70="Yes",N(Students!E70),0)</f>
        <v>0</v>
      </c>
      <c r="E79" s="13"/>
      <c r="F79" s="30" t="n">
        <f aca="false">N(C79)+N(D79)-N(E79)</f>
        <v>0</v>
      </c>
      <c r="G79" s="29" t="n">
        <f aca="false">'Aug 2027'!J79</f>
        <v>0</v>
      </c>
      <c r="H79" s="29" t="n">
        <f aca="false">IF(Students!F70="Yes",N(Students!G70),0)</f>
        <v>0</v>
      </c>
      <c r="I79" s="13"/>
      <c r="J79" s="30" t="n">
        <f aca="false">N(G79)+N(H79)-N(I79)</f>
        <v>0</v>
      </c>
      <c r="K79" s="29" t="n">
        <f aca="false">'Aug 2027'!O79</f>
        <v>0</v>
      </c>
      <c r="L79" s="13"/>
      <c r="M79" s="13"/>
      <c r="N79" s="13"/>
      <c r="O79" s="30" t="n">
        <f aca="false">N(K79)+N(L79)+N(M79)-N(N79)</f>
        <v>0</v>
      </c>
      <c r="P79" s="30" t="n">
        <f aca="false">F79+J79+O79</f>
        <v>0</v>
      </c>
      <c r="Q79" s="10" t="str">
        <f aca="false">IF(B79="","",IF(P79&lt;=0,"Clear",IF(E79+I79+N79&gt;0,"Partial","Due")))</f>
        <v/>
      </c>
    </row>
    <row r="80" customFormat="false" ht="15" hidden="false" customHeight="false" outlineLevel="0" collapsed="false">
      <c r="A80" s="10" t="n">
        <v>67</v>
      </c>
      <c r="B80" s="28" t="str">
        <f aca="false">IF(Students!B71="","",Students!B71)</f>
        <v/>
      </c>
      <c r="C80" s="29" t="n">
        <f aca="false">'Aug 2027'!F80</f>
        <v>0</v>
      </c>
      <c r="D80" s="29" t="n">
        <f aca="false">IF(Students!D71="Yes",N(Students!E71),0)</f>
        <v>0</v>
      </c>
      <c r="E80" s="13"/>
      <c r="F80" s="30" t="n">
        <f aca="false">N(C80)+N(D80)-N(E80)</f>
        <v>0</v>
      </c>
      <c r="G80" s="29" t="n">
        <f aca="false">'Aug 2027'!J80</f>
        <v>0</v>
      </c>
      <c r="H80" s="29" t="n">
        <f aca="false">IF(Students!F71="Yes",N(Students!G71),0)</f>
        <v>0</v>
      </c>
      <c r="I80" s="13"/>
      <c r="J80" s="30" t="n">
        <f aca="false">N(G80)+N(H80)-N(I80)</f>
        <v>0</v>
      </c>
      <c r="K80" s="29" t="n">
        <f aca="false">'Aug 2027'!O80</f>
        <v>0</v>
      </c>
      <c r="L80" s="13"/>
      <c r="M80" s="13"/>
      <c r="N80" s="13"/>
      <c r="O80" s="30" t="n">
        <f aca="false">N(K80)+N(L80)+N(M80)-N(N80)</f>
        <v>0</v>
      </c>
      <c r="P80" s="30" t="n">
        <f aca="false">F80+J80+O80</f>
        <v>0</v>
      </c>
      <c r="Q80" s="10" t="str">
        <f aca="false">IF(B80="","",IF(P80&lt;=0,"Clear",IF(E80+I80+N80&gt;0,"Partial","Due")))</f>
        <v/>
      </c>
    </row>
    <row r="81" customFormat="false" ht="15" hidden="false" customHeight="false" outlineLevel="0" collapsed="false">
      <c r="A81" s="10" t="n">
        <v>68</v>
      </c>
      <c r="B81" s="28" t="str">
        <f aca="false">IF(Students!B72="","",Students!B72)</f>
        <v/>
      </c>
      <c r="C81" s="29" t="n">
        <f aca="false">'Aug 2027'!F81</f>
        <v>0</v>
      </c>
      <c r="D81" s="29" t="n">
        <f aca="false">IF(Students!D72="Yes",N(Students!E72),0)</f>
        <v>0</v>
      </c>
      <c r="E81" s="13"/>
      <c r="F81" s="30" t="n">
        <f aca="false">N(C81)+N(D81)-N(E81)</f>
        <v>0</v>
      </c>
      <c r="G81" s="29" t="n">
        <f aca="false">'Aug 2027'!J81</f>
        <v>0</v>
      </c>
      <c r="H81" s="29" t="n">
        <f aca="false">IF(Students!F72="Yes",N(Students!G72),0)</f>
        <v>0</v>
      </c>
      <c r="I81" s="13"/>
      <c r="J81" s="30" t="n">
        <f aca="false">N(G81)+N(H81)-N(I81)</f>
        <v>0</v>
      </c>
      <c r="K81" s="29" t="n">
        <f aca="false">'Aug 2027'!O81</f>
        <v>0</v>
      </c>
      <c r="L81" s="13"/>
      <c r="M81" s="13"/>
      <c r="N81" s="13"/>
      <c r="O81" s="30" t="n">
        <f aca="false">N(K81)+N(L81)+N(M81)-N(N81)</f>
        <v>0</v>
      </c>
      <c r="P81" s="30" t="n">
        <f aca="false">F81+J81+O81</f>
        <v>0</v>
      </c>
      <c r="Q81" s="10" t="str">
        <f aca="false">IF(B81="","",IF(P81&lt;=0,"Clear",IF(E81+I81+N81&gt;0,"Partial","Due")))</f>
        <v/>
      </c>
    </row>
    <row r="82" customFormat="false" ht="15" hidden="false" customHeight="false" outlineLevel="0" collapsed="false">
      <c r="A82" s="10" t="n">
        <v>69</v>
      </c>
      <c r="B82" s="28" t="str">
        <f aca="false">IF(Students!B73="","",Students!B73)</f>
        <v/>
      </c>
      <c r="C82" s="29" t="n">
        <f aca="false">'Aug 2027'!F82</f>
        <v>0</v>
      </c>
      <c r="D82" s="29" t="n">
        <f aca="false">IF(Students!D73="Yes",N(Students!E73),0)</f>
        <v>0</v>
      </c>
      <c r="E82" s="13"/>
      <c r="F82" s="30" t="n">
        <f aca="false">N(C82)+N(D82)-N(E82)</f>
        <v>0</v>
      </c>
      <c r="G82" s="29" t="n">
        <f aca="false">'Aug 2027'!J82</f>
        <v>0</v>
      </c>
      <c r="H82" s="29" t="n">
        <f aca="false">IF(Students!F73="Yes",N(Students!G73),0)</f>
        <v>0</v>
      </c>
      <c r="I82" s="13"/>
      <c r="J82" s="30" t="n">
        <f aca="false">N(G82)+N(H82)-N(I82)</f>
        <v>0</v>
      </c>
      <c r="K82" s="29" t="n">
        <f aca="false">'Aug 2027'!O82</f>
        <v>0</v>
      </c>
      <c r="L82" s="13"/>
      <c r="M82" s="13"/>
      <c r="N82" s="13"/>
      <c r="O82" s="30" t="n">
        <f aca="false">N(K82)+N(L82)+N(M82)-N(N82)</f>
        <v>0</v>
      </c>
      <c r="P82" s="30" t="n">
        <f aca="false">F82+J82+O82</f>
        <v>0</v>
      </c>
      <c r="Q82" s="10" t="str">
        <f aca="false">IF(B82="","",IF(P82&lt;=0,"Clear",IF(E82+I82+N82&gt;0,"Partial","Due")))</f>
        <v/>
      </c>
    </row>
    <row r="83" customFormat="false" ht="15" hidden="false" customHeight="false" outlineLevel="0" collapsed="false">
      <c r="A83" s="10" t="n">
        <v>70</v>
      </c>
      <c r="B83" s="28" t="str">
        <f aca="false">IF(Students!B74="","",Students!B74)</f>
        <v/>
      </c>
      <c r="C83" s="29" t="n">
        <f aca="false">'Aug 2027'!F83</f>
        <v>0</v>
      </c>
      <c r="D83" s="29" t="n">
        <f aca="false">IF(Students!D74="Yes",N(Students!E74),0)</f>
        <v>0</v>
      </c>
      <c r="E83" s="13"/>
      <c r="F83" s="30" t="n">
        <f aca="false">N(C83)+N(D83)-N(E83)</f>
        <v>0</v>
      </c>
      <c r="G83" s="29" t="n">
        <f aca="false">'Aug 2027'!J83</f>
        <v>0</v>
      </c>
      <c r="H83" s="29" t="n">
        <f aca="false">IF(Students!F74="Yes",N(Students!G74),0)</f>
        <v>0</v>
      </c>
      <c r="I83" s="13"/>
      <c r="J83" s="30" t="n">
        <f aca="false">N(G83)+N(H83)-N(I83)</f>
        <v>0</v>
      </c>
      <c r="K83" s="29" t="n">
        <f aca="false">'Aug 2027'!O83</f>
        <v>0</v>
      </c>
      <c r="L83" s="13"/>
      <c r="M83" s="13"/>
      <c r="N83" s="13"/>
      <c r="O83" s="30" t="n">
        <f aca="false">N(K83)+N(L83)+N(M83)-N(N83)</f>
        <v>0</v>
      </c>
      <c r="P83" s="30" t="n">
        <f aca="false">F83+J83+O83</f>
        <v>0</v>
      </c>
      <c r="Q83" s="10" t="str">
        <f aca="false">IF(B83="","",IF(P83&lt;=0,"Clear",IF(E83+I83+N83&gt;0,"Partial","Due")))</f>
        <v/>
      </c>
    </row>
    <row r="84" customFormat="false" ht="15" hidden="false" customHeight="false" outlineLevel="0" collapsed="false">
      <c r="A84" s="10" t="n">
        <v>71</v>
      </c>
      <c r="B84" s="28" t="str">
        <f aca="false">IF(Students!B75="","",Students!B75)</f>
        <v/>
      </c>
      <c r="C84" s="29" t="n">
        <f aca="false">'Aug 2027'!F84</f>
        <v>0</v>
      </c>
      <c r="D84" s="29" t="n">
        <f aca="false">IF(Students!D75="Yes",N(Students!E75),0)</f>
        <v>0</v>
      </c>
      <c r="E84" s="13"/>
      <c r="F84" s="30" t="n">
        <f aca="false">N(C84)+N(D84)-N(E84)</f>
        <v>0</v>
      </c>
      <c r="G84" s="29" t="n">
        <f aca="false">'Aug 2027'!J84</f>
        <v>0</v>
      </c>
      <c r="H84" s="29" t="n">
        <f aca="false">IF(Students!F75="Yes",N(Students!G75),0)</f>
        <v>0</v>
      </c>
      <c r="I84" s="13"/>
      <c r="J84" s="30" t="n">
        <f aca="false">N(G84)+N(H84)-N(I84)</f>
        <v>0</v>
      </c>
      <c r="K84" s="29" t="n">
        <f aca="false">'Aug 2027'!O84</f>
        <v>0</v>
      </c>
      <c r="L84" s="13"/>
      <c r="M84" s="13"/>
      <c r="N84" s="13"/>
      <c r="O84" s="30" t="n">
        <f aca="false">N(K84)+N(L84)+N(M84)-N(N84)</f>
        <v>0</v>
      </c>
      <c r="P84" s="30" t="n">
        <f aca="false">F84+J84+O84</f>
        <v>0</v>
      </c>
      <c r="Q84" s="10" t="str">
        <f aca="false">IF(B84="","",IF(P84&lt;=0,"Clear",IF(E84+I84+N84&gt;0,"Partial","Due")))</f>
        <v/>
      </c>
    </row>
    <row r="85" customFormat="false" ht="15" hidden="false" customHeight="false" outlineLevel="0" collapsed="false">
      <c r="A85" s="10" t="n">
        <v>72</v>
      </c>
      <c r="B85" s="28" t="str">
        <f aca="false">IF(Students!B76="","",Students!B76)</f>
        <v/>
      </c>
      <c r="C85" s="29" t="n">
        <f aca="false">'Aug 2027'!F85</f>
        <v>0</v>
      </c>
      <c r="D85" s="29" t="n">
        <f aca="false">IF(Students!D76="Yes",N(Students!E76),0)</f>
        <v>0</v>
      </c>
      <c r="E85" s="13"/>
      <c r="F85" s="30" t="n">
        <f aca="false">N(C85)+N(D85)-N(E85)</f>
        <v>0</v>
      </c>
      <c r="G85" s="29" t="n">
        <f aca="false">'Aug 2027'!J85</f>
        <v>0</v>
      </c>
      <c r="H85" s="29" t="n">
        <f aca="false">IF(Students!F76="Yes",N(Students!G76),0)</f>
        <v>0</v>
      </c>
      <c r="I85" s="13"/>
      <c r="J85" s="30" t="n">
        <f aca="false">N(G85)+N(H85)-N(I85)</f>
        <v>0</v>
      </c>
      <c r="K85" s="29" t="n">
        <f aca="false">'Aug 2027'!O85</f>
        <v>0</v>
      </c>
      <c r="L85" s="13"/>
      <c r="M85" s="13"/>
      <c r="N85" s="13"/>
      <c r="O85" s="30" t="n">
        <f aca="false">N(K85)+N(L85)+N(M85)-N(N85)</f>
        <v>0</v>
      </c>
      <c r="P85" s="30" t="n">
        <f aca="false">F85+J85+O85</f>
        <v>0</v>
      </c>
      <c r="Q85" s="10" t="str">
        <f aca="false">IF(B85="","",IF(P85&lt;=0,"Clear",IF(E85+I85+N85&gt;0,"Partial","Due")))</f>
        <v/>
      </c>
    </row>
    <row r="86" customFormat="false" ht="15" hidden="false" customHeight="false" outlineLevel="0" collapsed="false">
      <c r="A86" s="10" t="n">
        <v>73</v>
      </c>
      <c r="B86" s="28" t="str">
        <f aca="false">IF(Students!B77="","",Students!B77)</f>
        <v/>
      </c>
      <c r="C86" s="29" t="n">
        <f aca="false">'Aug 2027'!F86</f>
        <v>0</v>
      </c>
      <c r="D86" s="29" t="n">
        <f aca="false">IF(Students!D77="Yes",N(Students!E77),0)</f>
        <v>0</v>
      </c>
      <c r="E86" s="13"/>
      <c r="F86" s="30" t="n">
        <f aca="false">N(C86)+N(D86)-N(E86)</f>
        <v>0</v>
      </c>
      <c r="G86" s="29" t="n">
        <f aca="false">'Aug 2027'!J86</f>
        <v>0</v>
      </c>
      <c r="H86" s="29" t="n">
        <f aca="false">IF(Students!F77="Yes",N(Students!G77),0)</f>
        <v>0</v>
      </c>
      <c r="I86" s="13"/>
      <c r="J86" s="30" t="n">
        <f aca="false">N(G86)+N(H86)-N(I86)</f>
        <v>0</v>
      </c>
      <c r="K86" s="29" t="n">
        <f aca="false">'Aug 2027'!O86</f>
        <v>0</v>
      </c>
      <c r="L86" s="13"/>
      <c r="M86" s="13"/>
      <c r="N86" s="13"/>
      <c r="O86" s="30" t="n">
        <f aca="false">N(K86)+N(L86)+N(M86)-N(N86)</f>
        <v>0</v>
      </c>
      <c r="P86" s="30" t="n">
        <f aca="false">F86+J86+O86</f>
        <v>0</v>
      </c>
      <c r="Q86" s="10" t="str">
        <f aca="false">IF(B86="","",IF(P86&lt;=0,"Clear",IF(E86+I86+N86&gt;0,"Partial","Due")))</f>
        <v/>
      </c>
    </row>
    <row r="87" customFormat="false" ht="15" hidden="false" customHeight="false" outlineLevel="0" collapsed="false">
      <c r="A87" s="10" t="n">
        <v>74</v>
      </c>
      <c r="B87" s="28" t="str">
        <f aca="false">IF(Students!B78="","",Students!B78)</f>
        <v/>
      </c>
      <c r="C87" s="29" t="n">
        <f aca="false">'Aug 2027'!F87</f>
        <v>0</v>
      </c>
      <c r="D87" s="29" t="n">
        <f aca="false">IF(Students!D78="Yes",N(Students!E78),0)</f>
        <v>0</v>
      </c>
      <c r="E87" s="13"/>
      <c r="F87" s="30" t="n">
        <f aca="false">N(C87)+N(D87)-N(E87)</f>
        <v>0</v>
      </c>
      <c r="G87" s="29" t="n">
        <f aca="false">'Aug 2027'!J87</f>
        <v>0</v>
      </c>
      <c r="H87" s="29" t="n">
        <f aca="false">IF(Students!F78="Yes",N(Students!G78),0)</f>
        <v>0</v>
      </c>
      <c r="I87" s="13"/>
      <c r="J87" s="30" t="n">
        <f aca="false">N(G87)+N(H87)-N(I87)</f>
        <v>0</v>
      </c>
      <c r="K87" s="29" t="n">
        <f aca="false">'Aug 2027'!O87</f>
        <v>0</v>
      </c>
      <c r="L87" s="13"/>
      <c r="M87" s="13"/>
      <c r="N87" s="13"/>
      <c r="O87" s="30" t="n">
        <f aca="false">N(K87)+N(L87)+N(M87)-N(N87)</f>
        <v>0</v>
      </c>
      <c r="P87" s="30" t="n">
        <f aca="false">F87+J87+O87</f>
        <v>0</v>
      </c>
      <c r="Q87" s="10" t="str">
        <f aca="false">IF(B87="","",IF(P87&lt;=0,"Clear",IF(E87+I87+N87&gt;0,"Partial","Due")))</f>
        <v/>
      </c>
    </row>
    <row r="88" customFormat="false" ht="15" hidden="false" customHeight="false" outlineLevel="0" collapsed="false">
      <c r="A88" s="10" t="n">
        <v>75</v>
      </c>
      <c r="B88" s="28" t="str">
        <f aca="false">IF(Students!B79="","",Students!B79)</f>
        <v/>
      </c>
      <c r="C88" s="29" t="n">
        <f aca="false">'Aug 2027'!F88</f>
        <v>0</v>
      </c>
      <c r="D88" s="29" t="n">
        <f aca="false">IF(Students!D79="Yes",N(Students!E79),0)</f>
        <v>0</v>
      </c>
      <c r="E88" s="13"/>
      <c r="F88" s="30" t="n">
        <f aca="false">N(C88)+N(D88)-N(E88)</f>
        <v>0</v>
      </c>
      <c r="G88" s="29" t="n">
        <f aca="false">'Aug 2027'!J88</f>
        <v>0</v>
      </c>
      <c r="H88" s="29" t="n">
        <f aca="false">IF(Students!F79="Yes",N(Students!G79),0)</f>
        <v>0</v>
      </c>
      <c r="I88" s="13"/>
      <c r="J88" s="30" t="n">
        <f aca="false">N(G88)+N(H88)-N(I88)</f>
        <v>0</v>
      </c>
      <c r="K88" s="29" t="n">
        <f aca="false">'Aug 2027'!O88</f>
        <v>0</v>
      </c>
      <c r="L88" s="13"/>
      <c r="M88" s="13"/>
      <c r="N88" s="13"/>
      <c r="O88" s="30" t="n">
        <f aca="false">N(K88)+N(L88)+N(M88)-N(N88)</f>
        <v>0</v>
      </c>
      <c r="P88" s="30" t="n">
        <f aca="false">F88+J88+O88</f>
        <v>0</v>
      </c>
      <c r="Q88" s="10" t="str">
        <f aca="false">IF(B88="","",IF(P88&lt;=0,"Clear",IF(E88+I88+N88&gt;0,"Partial","Due")))</f>
        <v/>
      </c>
    </row>
    <row r="89" customFormat="false" ht="15" hidden="false" customHeight="false" outlineLevel="0" collapsed="false">
      <c r="A89" s="10" t="n">
        <v>76</v>
      </c>
      <c r="B89" s="28" t="str">
        <f aca="false">IF(Students!B80="","",Students!B80)</f>
        <v/>
      </c>
      <c r="C89" s="29" t="n">
        <f aca="false">'Aug 2027'!F89</f>
        <v>0</v>
      </c>
      <c r="D89" s="29" t="n">
        <f aca="false">IF(Students!D80="Yes",N(Students!E80),0)</f>
        <v>0</v>
      </c>
      <c r="E89" s="13"/>
      <c r="F89" s="30" t="n">
        <f aca="false">N(C89)+N(D89)-N(E89)</f>
        <v>0</v>
      </c>
      <c r="G89" s="29" t="n">
        <f aca="false">'Aug 2027'!J89</f>
        <v>0</v>
      </c>
      <c r="H89" s="29" t="n">
        <f aca="false">IF(Students!F80="Yes",N(Students!G80),0)</f>
        <v>0</v>
      </c>
      <c r="I89" s="13"/>
      <c r="J89" s="30" t="n">
        <f aca="false">N(G89)+N(H89)-N(I89)</f>
        <v>0</v>
      </c>
      <c r="K89" s="29" t="n">
        <f aca="false">'Aug 2027'!O89</f>
        <v>0</v>
      </c>
      <c r="L89" s="13"/>
      <c r="M89" s="13"/>
      <c r="N89" s="13"/>
      <c r="O89" s="30" t="n">
        <f aca="false">N(K89)+N(L89)+N(M89)-N(N89)</f>
        <v>0</v>
      </c>
      <c r="P89" s="30" t="n">
        <f aca="false">F89+J89+O89</f>
        <v>0</v>
      </c>
      <c r="Q89" s="10" t="str">
        <f aca="false">IF(B89="","",IF(P89&lt;=0,"Clear",IF(E89+I89+N89&gt;0,"Partial","Due")))</f>
        <v/>
      </c>
    </row>
    <row r="90" customFormat="false" ht="15" hidden="false" customHeight="false" outlineLevel="0" collapsed="false">
      <c r="A90" s="10" t="n">
        <v>77</v>
      </c>
      <c r="B90" s="28" t="str">
        <f aca="false">IF(Students!B81="","",Students!B81)</f>
        <v/>
      </c>
      <c r="C90" s="29" t="n">
        <f aca="false">'Aug 2027'!F90</f>
        <v>0</v>
      </c>
      <c r="D90" s="29" t="n">
        <f aca="false">IF(Students!D81="Yes",N(Students!E81),0)</f>
        <v>0</v>
      </c>
      <c r="E90" s="13"/>
      <c r="F90" s="30" t="n">
        <f aca="false">N(C90)+N(D90)-N(E90)</f>
        <v>0</v>
      </c>
      <c r="G90" s="29" t="n">
        <f aca="false">'Aug 2027'!J90</f>
        <v>0</v>
      </c>
      <c r="H90" s="29" t="n">
        <f aca="false">IF(Students!F81="Yes",N(Students!G81),0)</f>
        <v>0</v>
      </c>
      <c r="I90" s="13"/>
      <c r="J90" s="30" t="n">
        <f aca="false">N(G90)+N(H90)-N(I90)</f>
        <v>0</v>
      </c>
      <c r="K90" s="29" t="n">
        <f aca="false">'Aug 2027'!O90</f>
        <v>0</v>
      </c>
      <c r="L90" s="13"/>
      <c r="M90" s="13"/>
      <c r="N90" s="13"/>
      <c r="O90" s="30" t="n">
        <f aca="false">N(K90)+N(L90)+N(M90)-N(N90)</f>
        <v>0</v>
      </c>
      <c r="P90" s="30" t="n">
        <f aca="false">F90+J90+O90</f>
        <v>0</v>
      </c>
      <c r="Q90" s="10" t="str">
        <f aca="false">IF(B90="","",IF(P90&lt;=0,"Clear",IF(E90+I90+N90&gt;0,"Partial","Due")))</f>
        <v/>
      </c>
    </row>
    <row r="91" customFormat="false" ht="15" hidden="false" customHeight="false" outlineLevel="0" collapsed="false">
      <c r="A91" s="10" t="n">
        <v>78</v>
      </c>
      <c r="B91" s="28" t="str">
        <f aca="false">IF(Students!B82="","",Students!B82)</f>
        <v/>
      </c>
      <c r="C91" s="29" t="n">
        <f aca="false">'Aug 2027'!F91</f>
        <v>0</v>
      </c>
      <c r="D91" s="29" t="n">
        <f aca="false">IF(Students!D82="Yes",N(Students!E82),0)</f>
        <v>0</v>
      </c>
      <c r="E91" s="13"/>
      <c r="F91" s="30" t="n">
        <f aca="false">N(C91)+N(D91)-N(E91)</f>
        <v>0</v>
      </c>
      <c r="G91" s="29" t="n">
        <f aca="false">'Aug 2027'!J91</f>
        <v>0</v>
      </c>
      <c r="H91" s="29" t="n">
        <f aca="false">IF(Students!F82="Yes",N(Students!G82),0)</f>
        <v>0</v>
      </c>
      <c r="I91" s="13"/>
      <c r="J91" s="30" t="n">
        <f aca="false">N(G91)+N(H91)-N(I91)</f>
        <v>0</v>
      </c>
      <c r="K91" s="29" t="n">
        <f aca="false">'Aug 2027'!O91</f>
        <v>0</v>
      </c>
      <c r="L91" s="13"/>
      <c r="M91" s="13"/>
      <c r="N91" s="13"/>
      <c r="O91" s="30" t="n">
        <f aca="false">N(K91)+N(L91)+N(M91)-N(N91)</f>
        <v>0</v>
      </c>
      <c r="P91" s="30" t="n">
        <f aca="false">F91+J91+O91</f>
        <v>0</v>
      </c>
      <c r="Q91" s="10" t="str">
        <f aca="false">IF(B91="","",IF(P91&lt;=0,"Clear",IF(E91+I91+N91&gt;0,"Partial","Due")))</f>
        <v/>
      </c>
    </row>
    <row r="92" customFormat="false" ht="15" hidden="false" customHeight="false" outlineLevel="0" collapsed="false">
      <c r="A92" s="10" t="n">
        <v>79</v>
      </c>
      <c r="B92" s="28" t="str">
        <f aca="false">IF(Students!B83="","",Students!B83)</f>
        <v/>
      </c>
      <c r="C92" s="29" t="n">
        <f aca="false">'Aug 2027'!F92</f>
        <v>0</v>
      </c>
      <c r="D92" s="29" t="n">
        <f aca="false">IF(Students!D83="Yes",N(Students!E83),0)</f>
        <v>0</v>
      </c>
      <c r="E92" s="13"/>
      <c r="F92" s="30" t="n">
        <f aca="false">N(C92)+N(D92)-N(E92)</f>
        <v>0</v>
      </c>
      <c r="G92" s="29" t="n">
        <f aca="false">'Aug 2027'!J92</f>
        <v>0</v>
      </c>
      <c r="H92" s="29" t="n">
        <f aca="false">IF(Students!F83="Yes",N(Students!G83),0)</f>
        <v>0</v>
      </c>
      <c r="I92" s="13"/>
      <c r="J92" s="30" t="n">
        <f aca="false">N(G92)+N(H92)-N(I92)</f>
        <v>0</v>
      </c>
      <c r="K92" s="29" t="n">
        <f aca="false">'Aug 2027'!O92</f>
        <v>0</v>
      </c>
      <c r="L92" s="13"/>
      <c r="M92" s="13"/>
      <c r="N92" s="13"/>
      <c r="O92" s="30" t="n">
        <f aca="false">N(K92)+N(L92)+N(M92)-N(N92)</f>
        <v>0</v>
      </c>
      <c r="P92" s="30" t="n">
        <f aca="false">F92+J92+O92</f>
        <v>0</v>
      </c>
      <c r="Q92" s="10" t="str">
        <f aca="false">IF(B92="","",IF(P92&lt;=0,"Clear",IF(E92+I92+N92&gt;0,"Partial","Due")))</f>
        <v/>
      </c>
    </row>
    <row r="93" customFormat="false" ht="15" hidden="false" customHeight="false" outlineLevel="0" collapsed="false">
      <c r="A93" s="10" t="n">
        <v>80</v>
      </c>
      <c r="B93" s="28" t="str">
        <f aca="false">IF(Students!B84="","",Students!B84)</f>
        <v/>
      </c>
      <c r="C93" s="29" t="n">
        <f aca="false">'Aug 2027'!F93</f>
        <v>0</v>
      </c>
      <c r="D93" s="29" t="n">
        <f aca="false">IF(Students!D84="Yes",N(Students!E84),0)</f>
        <v>0</v>
      </c>
      <c r="E93" s="13"/>
      <c r="F93" s="30" t="n">
        <f aca="false">N(C93)+N(D93)-N(E93)</f>
        <v>0</v>
      </c>
      <c r="G93" s="29" t="n">
        <f aca="false">'Aug 2027'!J93</f>
        <v>0</v>
      </c>
      <c r="H93" s="29" t="n">
        <f aca="false">IF(Students!F84="Yes",N(Students!G84),0)</f>
        <v>0</v>
      </c>
      <c r="I93" s="13"/>
      <c r="J93" s="30" t="n">
        <f aca="false">N(G93)+N(H93)-N(I93)</f>
        <v>0</v>
      </c>
      <c r="K93" s="29" t="n">
        <f aca="false">'Aug 2027'!O93</f>
        <v>0</v>
      </c>
      <c r="L93" s="13"/>
      <c r="M93" s="13"/>
      <c r="N93" s="13"/>
      <c r="O93" s="30" t="n">
        <f aca="false">N(K93)+N(L93)+N(M93)-N(N93)</f>
        <v>0</v>
      </c>
      <c r="P93" s="30" t="n">
        <f aca="false">F93+J93+O93</f>
        <v>0</v>
      </c>
      <c r="Q93" s="10" t="str">
        <f aca="false">IF(B93="","",IF(P93&lt;=0,"Clear",IF(E93+I93+N93&gt;0,"Partial","Due")))</f>
        <v/>
      </c>
    </row>
    <row r="94" customFormat="false" ht="15" hidden="false" customHeight="false" outlineLevel="0" collapsed="false">
      <c r="A94" s="10" t="n">
        <v>81</v>
      </c>
      <c r="B94" s="28" t="str">
        <f aca="false">IF(Students!B85="","",Students!B85)</f>
        <v/>
      </c>
      <c r="C94" s="29" t="n">
        <f aca="false">'Aug 2027'!F94</f>
        <v>0</v>
      </c>
      <c r="D94" s="29" t="n">
        <f aca="false">IF(Students!D85="Yes",N(Students!E85),0)</f>
        <v>0</v>
      </c>
      <c r="E94" s="13"/>
      <c r="F94" s="30" t="n">
        <f aca="false">N(C94)+N(D94)-N(E94)</f>
        <v>0</v>
      </c>
      <c r="G94" s="29" t="n">
        <f aca="false">'Aug 2027'!J94</f>
        <v>0</v>
      </c>
      <c r="H94" s="29" t="n">
        <f aca="false">IF(Students!F85="Yes",N(Students!G85),0)</f>
        <v>0</v>
      </c>
      <c r="I94" s="13"/>
      <c r="J94" s="30" t="n">
        <f aca="false">N(G94)+N(H94)-N(I94)</f>
        <v>0</v>
      </c>
      <c r="K94" s="29" t="n">
        <f aca="false">'Aug 2027'!O94</f>
        <v>0</v>
      </c>
      <c r="L94" s="13"/>
      <c r="M94" s="13"/>
      <c r="N94" s="13"/>
      <c r="O94" s="30" t="n">
        <f aca="false">N(K94)+N(L94)+N(M94)-N(N94)</f>
        <v>0</v>
      </c>
      <c r="P94" s="30" t="n">
        <f aca="false">F94+J94+O94</f>
        <v>0</v>
      </c>
      <c r="Q94" s="10" t="str">
        <f aca="false">IF(B94="","",IF(P94&lt;=0,"Clear",IF(E94+I94+N94&gt;0,"Partial","Due")))</f>
        <v/>
      </c>
    </row>
    <row r="95" customFormat="false" ht="15" hidden="false" customHeight="false" outlineLevel="0" collapsed="false">
      <c r="A95" s="10" t="n">
        <v>82</v>
      </c>
      <c r="B95" s="28" t="str">
        <f aca="false">IF(Students!B86="","",Students!B86)</f>
        <v/>
      </c>
      <c r="C95" s="29" t="n">
        <f aca="false">'Aug 2027'!F95</f>
        <v>0</v>
      </c>
      <c r="D95" s="29" t="n">
        <f aca="false">IF(Students!D86="Yes",N(Students!E86),0)</f>
        <v>0</v>
      </c>
      <c r="E95" s="13"/>
      <c r="F95" s="30" t="n">
        <f aca="false">N(C95)+N(D95)-N(E95)</f>
        <v>0</v>
      </c>
      <c r="G95" s="29" t="n">
        <f aca="false">'Aug 2027'!J95</f>
        <v>0</v>
      </c>
      <c r="H95" s="29" t="n">
        <f aca="false">IF(Students!F86="Yes",N(Students!G86),0)</f>
        <v>0</v>
      </c>
      <c r="I95" s="13"/>
      <c r="J95" s="30" t="n">
        <f aca="false">N(G95)+N(H95)-N(I95)</f>
        <v>0</v>
      </c>
      <c r="K95" s="29" t="n">
        <f aca="false">'Aug 2027'!O95</f>
        <v>0</v>
      </c>
      <c r="L95" s="13"/>
      <c r="M95" s="13"/>
      <c r="N95" s="13"/>
      <c r="O95" s="30" t="n">
        <f aca="false">N(K95)+N(L95)+N(M95)-N(N95)</f>
        <v>0</v>
      </c>
      <c r="P95" s="30" t="n">
        <f aca="false">F95+J95+O95</f>
        <v>0</v>
      </c>
      <c r="Q95" s="10" t="str">
        <f aca="false">IF(B95="","",IF(P95&lt;=0,"Clear",IF(E95+I95+N95&gt;0,"Partial","Due")))</f>
        <v/>
      </c>
    </row>
    <row r="96" customFormat="false" ht="15" hidden="false" customHeight="false" outlineLevel="0" collapsed="false">
      <c r="A96" s="10" t="n">
        <v>83</v>
      </c>
      <c r="B96" s="28" t="str">
        <f aca="false">IF(Students!B87="","",Students!B87)</f>
        <v/>
      </c>
      <c r="C96" s="29" t="n">
        <f aca="false">'Aug 2027'!F96</f>
        <v>0</v>
      </c>
      <c r="D96" s="29" t="n">
        <f aca="false">IF(Students!D87="Yes",N(Students!E87),0)</f>
        <v>0</v>
      </c>
      <c r="E96" s="13"/>
      <c r="F96" s="30" t="n">
        <f aca="false">N(C96)+N(D96)-N(E96)</f>
        <v>0</v>
      </c>
      <c r="G96" s="29" t="n">
        <f aca="false">'Aug 2027'!J96</f>
        <v>0</v>
      </c>
      <c r="H96" s="29" t="n">
        <f aca="false">IF(Students!F87="Yes",N(Students!G87),0)</f>
        <v>0</v>
      </c>
      <c r="I96" s="13"/>
      <c r="J96" s="30" t="n">
        <f aca="false">N(G96)+N(H96)-N(I96)</f>
        <v>0</v>
      </c>
      <c r="K96" s="29" t="n">
        <f aca="false">'Aug 2027'!O96</f>
        <v>0</v>
      </c>
      <c r="L96" s="13"/>
      <c r="M96" s="13"/>
      <c r="N96" s="13"/>
      <c r="O96" s="30" t="n">
        <f aca="false">N(K96)+N(L96)+N(M96)-N(N96)</f>
        <v>0</v>
      </c>
      <c r="P96" s="30" t="n">
        <f aca="false">F96+J96+O96</f>
        <v>0</v>
      </c>
      <c r="Q96" s="10" t="str">
        <f aca="false">IF(B96="","",IF(P96&lt;=0,"Clear",IF(E96+I96+N96&gt;0,"Partial","Due")))</f>
        <v/>
      </c>
    </row>
    <row r="97" customFormat="false" ht="15" hidden="false" customHeight="false" outlineLevel="0" collapsed="false">
      <c r="A97" s="10" t="n">
        <v>84</v>
      </c>
      <c r="B97" s="28" t="str">
        <f aca="false">IF(Students!B88="","",Students!B88)</f>
        <v/>
      </c>
      <c r="C97" s="29" t="n">
        <f aca="false">'Aug 2027'!F97</f>
        <v>0</v>
      </c>
      <c r="D97" s="29" t="n">
        <f aca="false">IF(Students!D88="Yes",N(Students!E88),0)</f>
        <v>0</v>
      </c>
      <c r="E97" s="13"/>
      <c r="F97" s="30" t="n">
        <f aca="false">N(C97)+N(D97)-N(E97)</f>
        <v>0</v>
      </c>
      <c r="G97" s="29" t="n">
        <f aca="false">'Aug 2027'!J97</f>
        <v>0</v>
      </c>
      <c r="H97" s="29" t="n">
        <f aca="false">IF(Students!F88="Yes",N(Students!G88),0)</f>
        <v>0</v>
      </c>
      <c r="I97" s="13"/>
      <c r="J97" s="30" t="n">
        <f aca="false">N(G97)+N(H97)-N(I97)</f>
        <v>0</v>
      </c>
      <c r="K97" s="29" t="n">
        <f aca="false">'Aug 2027'!O97</f>
        <v>0</v>
      </c>
      <c r="L97" s="13"/>
      <c r="M97" s="13"/>
      <c r="N97" s="13"/>
      <c r="O97" s="30" t="n">
        <f aca="false">N(K97)+N(L97)+N(M97)-N(N97)</f>
        <v>0</v>
      </c>
      <c r="P97" s="30" t="n">
        <f aca="false">F97+J97+O97</f>
        <v>0</v>
      </c>
      <c r="Q97" s="10" t="str">
        <f aca="false">IF(B97="","",IF(P97&lt;=0,"Clear",IF(E97+I97+N97&gt;0,"Partial","Due")))</f>
        <v/>
      </c>
    </row>
    <row r="98" customFormat="false" ht="15" hidden="false" customHeight="false" outlineLevel="0" collapsed="false">
      <c r="A98" s="10" t="n">
        <v>85</v>
      </c>
      <c r="B98" s="28" t="str">
        <f aca="false">IF(Students!B89="","",Students!B89)</f>
        <v/>
      </c>
      <c r="C98" s="29" t="n">
        <f aca="false">'Aug 2027'!F98</f>
        <v>0</v>
      </c>
      <c r="D98" s="29" t="n">
        <f aca="false">IF(Students!D89="Yes",N(Students!E89),0)</f>
        <v>0</v>
      </c>
      <c r="E98" s="13"/>
      <c r="F98" s="30" t="n">
        <f aca="false">N(C98)+N(D98)-N(E98)</f>
        <v>0</v>
      </c>
      <c r="G98" s="29" t="n">
        <f aca="false">'Aug 2027'!J98</f>
        <v>0</v>
      </c>
      <c r="H98" s="29" t="n">
        <f aca="false">IF(Students!F89="Yes",N(Students!G89),0)</f>
        <v>0</v>
      </c>
      <c r="I98" s="13"/>
      <c r="J98" s="30" t="n">
        <f aca="false">N(G98)+N(H98)-N(I98)</f>
        <v>0</v>
      </c>
      <c r="K98" s="29" t="n">
        <f aca="false">'Aug 2027'!O98</f>
        <v>0</v>
      </c>
      <c r="L98" s="13"/>
      <c r="M98" s="13"/>
      <c r="N98" s="13"/>
      <c r="O98" s="30" t="n">
        <f aca="false">N(K98)+N(L98)+N(M98)-N(N98)</f>
        <v>0</v>
      </c>
      <c r="P98" s="30" t="n">
        <f aca="false">F98+J98+O98</f>
        <v>0</v>
      </c>
      <c r="Q98" s="10" t="str">
        <f aca="false">IF(B98="","",IF(P98&lt;=0,"Clear",IF(E98+I98+N98&gt;0,"Partial","Due")))</f>
        <v/>
      </c>
    </row>
    <row r="99" customFormat="false" ht="15" hidden="false" customHeight="false" outlineLevel="0" collapsed="false">
      <c r="A99" s="10" t="n">
        <v>86</v>
      </c>
      <c r="B99" s="28" t="str">
        <f aca="false">IF(Students!B90="","",Students!B90)</f>
        <v/>
      </c>
      <c r="C99" s="29" t="n">
        <f aca="false">'Aug 2027'!F99</f>
        <v>0</v>
      </c>
      <c r="D99" s="29" t="n">
        <f aca="false">IF(Students!D90="Yes",N(Students!E90),0)</f>
        <v>0</v>
      </c>
      <c r="E99" s="13"/>
      <c r="F99" s="30" t="n">
        <f aca="false">N(C99)+N(D99)-N(E99)</f>
        <v>0</v>
      </c>
      <c r="G99" s="29" t="n">
        <f aca="false">'Aug 2027'!J99</f>
        <v>0</v>
      </c>
      <c r="H99" s="29" t="n">
        <f aca="false">IF(Students!F90="Yes",N(Students!G90),0)</f>
        <v>0</v>
      </c>
      <c r="I99" s="13"/>
      <c r="J99" s="30" t="n">
        <f aca="false">N(G99)+N(H99)-N(I99)</f>
        <v>0</v>
      </c>
      <c r="K99" s="29" t="n">
        <f aca="false">'Aug 2027'!O99</f>
        <v>0</v>
      </c>
      <c r="L99" s="13"/>
      <c r="M99" s="13"/>
      <c r="N99" s="13"/>
      <c r="O99" s="30" t="n">
        <f aca="false">N(K99)+N(L99)+N(M99)-N(N99)</f>
        <v>0</v>
      </c>
      <c r="P99" s="30" t="n">
        <f aca="false">F99+J99+O99</f>
        <v>0</v>
      </c>
      <c r="Q99" s="10" t="str">
        <f aca="false">IF(B99="","",IF(P99&lt;=0,"Clear",IF(E99+I99+N99&gt;0,"Partial","Due")))</f>
        <v/>
      </c>
    </row>
    <row r="100" customFormat="false" ht="15" hidden="false" customHeight="false" outlineLevel="0" collapsed="false">
      <c r="A100" s="10" t="n">
        <v>87</v>
      </c>
      <c r="B100" s="28" t="str">
        <f aca="false">IF(Students!B91="","",Students!B91)</f>
        <v/>
      </c>
      <c r="C100" s="29" t="n">
        <f aca="false">'Aug 2027'!F100</f>
        <v>0</v>
      </c>
      <c r="D100" s="29" t="n">
        <f aca="false">IF(Students!D91="Yes",N(Students!E91),0)</f>
        <v>0</v>
      </c>
      <c r="E100" s="13"/>
      <c r="F100" s="30" t="n">
        <f aca="false">N(C100)+N(D100)-N(E100)</f>
        <v>0</v>
      </c>
      <c r="G100" s="29" t="n">
        <f aca="false">'Aug 2027'!J100</f>
        <v>0</v>
      </c>
      <c r="H100" s="29" t="n">
        <f aca="false">IF(Students!F91="Yes",N(Students!G91),0)</f>
        <v>0</v>
      </c>
      <c r="I100" s="13"/>
      <c r="J100" s="30" t="n">
        <f aca="false">N(G100)+N(H100)-N(I100)</f>
        <v>0</v>
      </c>
      <c r="K100" s="29" t="n">
        <f aca="false">'Aug 2027'!O100</f>
        <v>0</v>
      </c>
      <c r="L100" s="13"/>
      <c r="M100" s="13"/>
      <c r="N100" s="13"/>
      <c r="O100" s="30" t="n">
        <f aca="false">N(K100)+N(L100)+N(M100)-N(N100)</f>
        <v>0</v>
      </c>
      <c r="P100" s="30" t="n">
        <f aca="false">F100+J100+O100</f>
        <v>0</v>
      </c>
      <c r="Q100" s="10" t="str">
        <f aca="false">IF(B100="","",IF(P100&lt;=0,"Clear",IF(E100+I100+N100&gt;0,"Partial","Due")))</f>
        <v/>
      </c>
    </row>
    <row r="101" customFormat="false" ht="15" hidden="false" customHeight="false" outlineLevel="0" collapsed="false">
      <c r="A101" s="10" t="n">
        <v>88</v>
      </c>
      <c r="B101" s="28" t="str">
        <f aca="false">IF(Students!B92="","",Students!B92)</f>
        <v/>
      </c>
      <c r="C101" s="29" t="n">
        <f aca="false">'Aug 2027'!F101</f>
        <v>0</v>
      </c>
      <c r="D101" s="29" t="n">
        <f aca="false">IF(Students!D92="Yes",N(Students!E92),0)</f>
        <v>0</v>
      </c>
      <c r="E101" s="13"/>
      <c r="F101" s="30" t="n">
        <f aca="false">N(C101)+N(D101)-N(E101)</f>
        <v>0</v>
      </c>
      <c r="G101" s="29" t="n">
        <f aca="false">'Aug 2027'!J101</f>
        <v>0</v>
      </c>
      <c r="H101" s="29" t="n">
        <f aca="false">IF(Students!F92="Yes",N(Students!G92),0)</f>
        <v>0</v>
      </c>
      <c r="I101" s="13"/>
      <c r="J101" s="30" t="n">
        <f aca="false">N(G101)+N(H101)-N(I101)</f>
        <v>0</v>
      </c>
      <c r="K101" s="29" t="n">
        <f aca="false">'Aug 2027'!O101</f>
        <v>0</v>
      </c>
      <c r="L101" s="13"/>
      <c r="M101" s="13"/>
      <c r="N101" s="13"/>
      <c r="O101" s="30" t="n">
        <f aca="false">N(K101)+N(L101)+N(M101)-N(N101)</f>
        <v>0</v>
      </c>
      <c r="P101" s="30" t="n">
        <f aca="false">F101+J101+O101</f>
        <v>0</v>
      </c>
      <c r="Q101" s="10" t="str">
        <f aca="false">IF(B101="","",IF(P101&lt;=0,"Clear",IF(E101+I101+N101&gt;0,"Partial","Due")))</f>
        <v/>
      </c>
    </row>
    <row r="102" customFormat="false" ht="15" hidden="false" customHeight="false" outlineLevel="0" collapsed="false">
      <c r="A102" s="10" t="n">
        <v>89</v>
      </c>
      <c r="B102" s="28" t="str">
        <f aca="false">IF(Students!B93="","",Students!B93)</f>
        <v/>
      </c>
      <c r="C102" s="29" t="n">
        <f aca="false">'Aug 2027'!F102</f>
        <v>0</v>
      </c>
      <c r="D102" s="29" t="n">
        <f aca="false">IF(Students!D93="Yes",N(Students!E93),0)</f>
        <v>0</v>
      </c>
      <c r="E102" s="13"/>
      <c r="F102" s="30" t="n">
        <f aca="false">N(C102)+N(D102)-N(E102)</f>
        <v>0</v>
      </c>
      <c r="G102" s="29" t="n">
        <f aca="false">'Aug 2027'!J102</f>
        <v>0</v>
      </c>
      <c r="H102" s="29" t="n">
        <f aca="false">IF(Students!F93="Yes",N(Students!G93),0)</f>
        <v>0</v>
      </c>
      <c r="I102" s="13"/>
      <c r="J102" s="30" t="n">
        <f aca="false">N(G102)+N(H102)-N(I102)</f>
        <v>0</v>
      </c>
      <c r="K102" s="29" t="n">
        <f aca="false">'Aug 2027'!O102</f>
        <v>0</v>
      </c>
      <c r="L102" s="13"/>
      <c r="M102" s="13"/>
      <c r="N102" s="13"/>
      <c r="O102" s="30" t="n">
        <f aca="false">N(K102)+N(L102)+N(M102)-N(N102)</f>
        <v>0</v>
      </c>
      <c r="P102" s="30" t="n">
        <f aca="false">F102+J102+O102</f>
        <v>0</v>
      </c>
      <c r="Q102" s="10" t="str">
        <f aca="false">IF(B102="","",IF(P102&lt;=0,"Clear",IF(E102+I102+N102&gt;0,"Partial","Due")))</f>
        <v/>
      </c>
    </row>
    <row r="103" customFormat="false" ht="15" hidden="false" customHeight="false" outlineLevel="0" collapsed="false">
      <c r="A103" s="10" t="n">
        <v>90</v>
      </c>
      <c r="B103" s="28" t="str">
        <f aca="false">IF(Students!B94="","",Students!B94)</f>
        <v/>
      </c>
      <c r="C103" s="29" t="n">
        <f aca="false">'Aug 2027'!F103</f>
        <v>0</v>
      </c>
      <c r="D103" s="29" t="n">
        <f aca="false">IF(Students!D94="Yes",N(Students!E94),0)</f>
        <v>0</v>
      </c>
      <c r="E103" s="13"/>
      <c r="F103" s="30" t="n">
        <f aca="false">N(C103)+N(D103)-N(E103)</f>
        <v>0</v>
      </c>
      <c r="G103" s="29" t="n">
        <f aca="false">'Aug 2027'!J103</f>
        <v>0</v>
      </c>
      <c r="H103" s="29" t="n">
        <f aca="false">IF(Students!F94="Yes",N(Students!G94),0)</f>
        <v>0</v>
      </c>
      <c r="I103" s="13"/>
      <c r="J103" s="30" t="n">
        <f aca="false">N(G103)+N(H103)-N(I103)</f>
        <v>0</v>
      </c>
      <c r="K103" s="29" t="n">
        <f aca="false">'Aug 2027'!O103</f>
        <v>0</v>
      </c>
      <c r="L103" s="13"/>
      <c r="M103" s="13"/>
      <c r="N103" s="13"/>
      <c r="O103" s="30" t="n">
        <f aca="false">N(K103)+N(L103)+N(M103)-N(N103)</f>
        <v>0</v>
      </c>
      <c r="P103" s="30" t="n">
        <f aca="false">F103+J103+O103</f>
        <v>0</v>
      </c>
      <c r="Q103" s="10" t="str">
        <f aca="false">IF(B103="","",IF(P103&lt;=0,"Clear",IF(E103+I103+N103&gt;0,"Partial","Due")))</f>
        <v/>
      </c>
    </row>
    <row r="104" customFormat="false" ht="15" hidden="false" customHeight="false" outlineLevel="0" collapsed="false">
      <c r="A104" s="10" t="n">
        <v>91</v>
      </c>
      <c r="B104" s="28" t="str">
        <f aca="false">IF(Students!B95="","",Students!B95)</f>
        <v/>
      </c>
      <c r="C104" s="29" t="n">
        <f aca="false">'Aug 2027'!F104</f>
        <v>0</v>
      </c>
      <c r="D104" s="29" t="n">
        <f aca="false">IF(Students!D95="Yes",N(Students!E95),0)</f>
        <v>0</v>
      </c>
      <c r="E104" s="13"/>
      <c r="F104" s="30" t="n">
        <f aca="false">N(C104)+N(D104)-N(E104)</f>
        <v>0</v>
      </c>
      <c r="G104" s="29" t="n">
        <f aca="false">'Aug 2027'!J104</f>
        <v>0</v>
      </c>
      <c r="H104" s="29" t="n">
        <f aca="false">IF(Students!F95="Yes",N(Students!G95),0)</f>
        <v>0</v>
      </c>
      <c r="I104" s="13"/>
      <c r="J104" s="30" t="n">
        <f aca="false">N(G104)+N(H104)-N(I104)</f>
        <v>0</v>
      </c>
      <c r="K104" s="29" t="n">
        <f aca="false">'Aug 2027'!O104</f>
        <v>0</v>
      </c>
      <c r="L104" s="13"/>
      <c r="M104" s="13"/>
      <c r="N104" s="13"/>
      <c r="O104" s="30" t="n">
        <f aca="false">N(K104)+N(L104)+N(M104)-N(N104)</f>
        <v>0</v>
      </c>
      <c r="P104" s="30" t="n">
        <f aca="false">F104+J104+O104</f>
        <v>0</v>
      </c>
      <c r="Q104" s="10" t="str">
        <f aca="false">IF(B104="","",IF(P104&lt;=0,"Clear",IF(E104+I104+N104&gt;0,"Partial","Due")))</f>
        <v/>
      </c>
    </row>
    <row r="105" customFormat="false" ht="15" hidden="false" customHeight="false" outlineLevel="0" collapsed="false">
      <c r="A105" s="10" t="n">
        <v>92</v>
      </c>
      <c r="B105" s="28" t="str">
        <f aca="false">IF(Students!B96="","",Students!B96)</f>
        <v/>
      </c>
      <c r="C105" s="29" t="n">
        <f aca="false">'Aug 2027'!F105</f>
        <v>0</v>
      </c>
      <c r="D105" s="29" t="n">
        <f aca="false">IF(Students!D96="Yes",N(Students!E96),0)</f>
        <v>0</v>
      </c>
      <c r="E105" s="13"/>
      <c r="F105" s="30" t="n">
        <f aca="false">N(C105)+N(D105)-N(E105)</f>
        <v>0</v>
      </c>
      <c r="G105" s="29" t="n">
        <f aca="false">'Aug 2027'!J105</f>
        <v>0</v>
      </c>
      <c r="H105" s="29" t="n">
        <f aca="false">IF(Students!F96="Yes",N(Students!G96),0)</f>
        <v>0</v>
      </c>
      <c r="I105" s="13"/>
      <c r="J105" s="30" t="n">
        <f aca="false">N(G105)+N(H105)-N(I105)</f>
        <v>0</v>
      </c>
      <c r="K105" s="29" t="n">
        <f aca="false">'Aug 2027'!O105</f>
        <v>0</v>
      </c>
      <c r="L105" s="13"/>
      <c r="M105" s="13"/>
      <c r="N105" s="13"/>
      <c r="O105" s="30" t="n">
        <f aca="false">N(K105)+N(L105)+N(M105)-N(N105)</f>
        <v>0</v>
      </c>
      <c r="P105" s="30" t="n">
        <f aca="false">F105+J105+O105</f>
        <v>0</v>
      </c>
      <c r="Q105" s="10" t="str">
        <f aca="false">IF(B105="","",IF(P105&lt;=0,"Clear",IF(E105+I105+N105&gt;0,"Partial","Due")))</f>
        <v/>
      </c>
    </row>
    <row r="106" customFormat="false" ht="15" hidden="false" customHeight="false" outlineLevel="0" collapsed="false">
      <c r="A106" s="10" t="n">
        <v>93</v>
      </c>
      <c r="B106" s="28" t="str">
        <f aca="false">IF(Students!B97="","",Students!B97)</f>
        <v/>
      </c>
      <c r="C106" s="29" t="n">
        <f aca="false">'Aug 2027'!F106</f>
        <v>0</v>
      </c>
      <c r="D106" s="29" t="n">
        <f aca="false">IF(Students!D97="Yes",N(Students!E97),0)</f>
        <v>0</v>
      </c>
      <c r="E106" s="13"/>
      <c r="F106" s="30" t="n">
        <f aca="false">N(C106)+N(D106)-N(E106)</f>
        <v>0</v>
      </c>
      <c r="G106" s="29" t="n">
        <f aca="false">'Aug 2027'!J106</f>
        <v>0</v>
      </c>
      <c r="H106" s="29" t="n">
        <f aca="false">IF(Students!F97="Yes",N(Students!G97),0)</f>
        <v>0</v>
      </c>
      <c r="I106" s="13"/>
      <c r="J106" s="30" t="n">
        <f aca="false">N(G106)+N(H106)-N(I106)</f>
        <v>0</v>
      </c>
      <c r="K106" s="29" t="n">
        <f aca="false">'Aug 2027'!O106</f>
        <v>0</v>
      </c>
      <c r="L106" s="13"/>
      <c r="M106" s="13"/>
      <c r="N106" s="13"/>
      <c r="O106" s="30" t="n">
        <f aca="false">N(K106)+N(L106)+N(M106)-N(N106)</f>
        <v>0</v>
      </c>
      <c r="P106" s="30" t="n">
        <f aca="false">F106+J106+O106</f>
        <v>0</v>
      </c>
      <c r="Q106" s="10" t="str">
        <f aca="false">IF(B106="","",IF(P106&lt;=0,"Clear",IF(E106+I106+N106&gt;0,"Partial","Due")))</f>
        <v/>
      </c>
    </row>
    <row r="107" customFormat="false" ht="15" hidden="false" customHeight="false" outlineLevel="0" collapsed="false">
      <c r="A107" s="10" t="n">
        <v>94</v>
      </c>
      <c r="B107" s="28" t="str">
        <f aca="false">IF(Students!B98="","",Students!B98)</f>
        <v/>
      </c>
      <c r="C107" s="29" t="n">
        <f aca="false">'Aug 2027'!F107</f>
        <v>0</v>
      </c>
      <c r="D107" s="29" t="n">
        <f aca="false">IF(Students!D98="Yes",N(Students!E98),0)</f>
        <v>0</v>
      </c>
      <c r="E107" s="13"/>
      <c r="F107" s="30" t="n">
        <f aca="false">N(C107)+N(D107)-N(E107)</f>
        <v>0</v>
      </c>
      <c r="G107" s="29" t="n">
        <f aca="false">'Aug 2027'!J107</f>
        <v>0</v>
      </c>
      <c r="H107" s="29" t="n">
        <f aca="false">IF(Students!F98="Yes",N(Students!G98),0)</f>
        <v>0</v>
      </c>
      <c r="I107" s="13"/>
      <c r="J107" s="30" t="n">
        <f aca="false">N(G107)+N(H107)-N(I107)</f>
        <v>0</v>
      </c>
      <c r="K107" s="29" t="n">
        <f aca="false">'Aug 2027'!O107</f>
        <v>0</v>
      </c>
      <c r="L107" s="13"/>
      <c r="M107" s="13"/>
      <c r="N107" s="13"/>
      <c r="O107" s="30" t="n">
        <f aca="false">N(K107)+N(L107)+N(M107)-N(N107)</f>
        <v>0</v>
      </c>
      <c r="P107" s="30" t="n">
        <f aca="false">F107+J107+O107</f>
        <v>0</v>
      </c>
      <c r="Q107" s="10" t="str">
        <f aca="false">IF(B107="","",IF(P107&lt;=0,"Clear",IF(E107+I107+N107&gt;0,"Partial","Due")))</f>
        <v/>
      </c>
    </row>
    <row r="108" customFormat="false" ht="15" hidden="false" customHeight="false" outlineLevel="0" collapsed="false">
      <c r="A108" s="10" t="n">
        <v>95</v>
      </c>
      <c r="B108" s="28" t="str">
        <f aca="false">IF(Students!B99="","",Students!B99)</f>
        <v/>
      </c>
      <c r="C108" s="29" t="n">
        <f aca="false">'Aug 2027'!F108</f>
        <v>0</v>
      </c>
      <c r="D108" s="29" t="n">
        <f aca="false">IF(Students!D99="Yes",N(Students!E99),0)</f>
        <v>0</v>
      </c>
      <c r="E108" s="13"/>
      <c r="F108" s="30" t="n">
        <f aca="false">N(C108)+N(D108)-N(E108)</f>
        <v>0</v>
      </c>
      <c r="G108" s="29" t="n">
        <f aca="false">'Aug 2027'!J108</f>
        <v>0</v>
      </c>
      <c r="H108" s="29" t="n">
        <f aca="false">IF(Students!F99="Yes",N(Students!G99),0)</f>
        <v>0</v>
      </c>
      <c r="I108" s="13"/>
      <c r="J108" s="30" t="n">
        <f aca="false">N(G108)+N(H108)-N(I108)</f>
        <v>0</v>
      </c>
      <c r="K108" s="29" t="n">
        <f aca="false">'Aug 2027'!O108</f>
        <v>0</v>
      </c>
      <c r="L108" s="13"/>
      <c r="M108" s="13"/>
      <c r="N108" s="13"/>
      <c r="O108" s="30" t="n">
        <f aca="false">N(K108)+N(L108)+N(M108)-N(N108)</f>
        <v>0</v>
      </c>
      <c r="P108" s="30" t="n">
        <f aca="false">F108+J108+O108</f>
        <v>0</v>
      </c>
      <c r="Q108" s="10" t="str">
        <f aca="false">IF(B108="","",IF(P108&lt;=0,"Clear",IF(E108+I108+N108&gt;0,"Partial","Due")))</f>
        <v/>
      </c>
    </row>
    <row r="109" customFormat="false" ht="15" hidden="false" customHeight="false" outlineLevel="0" collapsed="false">
      <c r="A109" s="10" t="n">
        <v>96</v>
      </c>
      <c r="B109" s="28" t="str">
        <f aca="false">IF(Students!B100="","",Students!B100)</f>
        <v/>
      </c>
      <c r="C109" s="29" t="n">
        <f aca="false">'Aug 2027'!F109</f>
        <v>0</v>
      </c>
      <c r="D109" s="29" t="n">
        <f aca="false">IF(Students!D100="Yes",N(Students!E100),0)</f>
        <v>0</v>
      </c>
      <c r="E109" s="13"/>
      <c r="F109" s="30" t="n">
        <f aca="false">N(C109)+N(D109)-N(E109)</f>
        <v>0</v>
      </c>
      <c r="G109" s="29" t="n">
        <f aca="false">'Aug 2027'!J109</f>
        <v>0</v>
      </c>
      <c r="H109" s="29" t="n">
        <f aca="false">IF(Students!F100="Yes",N(Students!G100),0)</f>
        <v>0</v>
      </c>
      <c r="I109" s="13"/>
      <c r="J109" s="30" t="n">
        <f aca="false">N(G109)+N(H109)-N(I109)</f>
        <v>0</v>
      </c>
      <c r="K109" s="29" t="n">
        <f aca="false">'Aug 2027'!O109</f>
        <v>0</v>
      </c>
      <c r="L109" s="13"/>
      <c r="M109" s="13"/>
      <c r="N109" s="13"/>
      <c r="O109" s="30" t="n">
        <f aca="false">N(K109)+N(L109)+N(M109)-N(N109)</f>
        <v>0</v>
      </c>
      <c r="P109" s="30" t="n">
        <f aca="false">F109+J109+O109</f>
        <v>0</v>
      </c>
      <c r="Q109" s="10" t="str">
        <f aca="false">IF(B109="","",IF(P109&lt;=0,"Clear",IF(E109+I109+N109&gt;0,"Partial","Due")))</f>
        <v/>
      </c>
    </row>
    <row r="110" customFormat="false" ht="15" hidden="false" customHeight="false" outlineLevel="0" collapsed="false">
      <c r="A110" s="10" t="n">
        <v>97</v>
      </c>
      <c r="B110" s="28" t="str">
        <f aca="false">IF(Students!B101="","",Students!B101)</f>
        <v/>
      </c>
      <c r="C110" s="29" t="n">
        <f aca="false">'Aug 2027'!F110</f>
        <v>0</v>
      </c>
      <c r="D110" s="29" t="n">
        <f aca="false">IF(Students!D101="Yes",N(Students!E101),0)</f>
        <v>0</v>
      </c>
      <c r="E110" s="13"/>
      <c r="F110" s="30" t="n">
        <f aca="false">N(C110)+N(D110)-N(E110)</f>
        <v>0</v>
      </c>
      <c r="G110" s="29" t="n">
        <f aca="false">'Aug 2027'!J110</f>
        <v>0</v>
      </c>
      <c r="H110" s="29" t="n">
        <f aca="false">IF(Students!F101="Yes",N(Students!G101),0)</f>
        <v>0</v>
      </c>
      <c r="I110" s="13"/>
      <c r="J110" s="30" t="n">
        <f aca="false">N(G110)+N(H110)-N(I110)</f>
        <v>0</v>
      </c>
      <c r="K110" s="29" t="n">
        <f aca="false">'Aug 2027'!O110</f>
        <v>0</v>
      </c>
      <c r="L110" s="13"/>
      <c r="M110" s="13"/>
      <c r="N110" s="13"/>
      <c r="O110" s="30" t="n">
        <f aca="false">N(K110)+N(L110)+N(M110)-N(N110)</f>
        <v>0</v>
      </c>
      <c r="P110" s="30" t="n">
        <f aca="false">F110+J110+O110</f>
        <v>0</v>
      </c>
      <c r="Q110" s="10" t="str">
        <f aca="false">IF(B110="","",IF(P110&lt;=0,"Clear",IF(E110+I110+N110&gt;0,"Partial","Due")))</f>
        <v/>
      </c>
    </row>
    <row r="111" customFormat="false" ht="15" hidden="false" customHeight="false" outlineLevel="0" collapsed="false">
      <c r="A111" s="10" t="n">
        <v>98</v>
      </c>
      <c r="B111" s="28" t="str">
        <f aca="false">IF(Students!B102="","",Students!B102)</f>
        <v/>
      </c>
      <c r="C111" s="29" t="n">
        <f aca="false">'Aug 2027'!F111</f>
        <v>0</v>
      </c>
      <c r="D111" s="29" t="n">
        <f aca="false">IF(Students!D102="Yes",N(Students!E102),0)</f>
        <v>0</v>
      </c>
      <c r="E111" s="13"/>
      <c r="F111" s="30" t="n">
        <f aca="false">N(C111)+N(D111)-N(E111)</f>
        <v>0</v>
      </c>
      <c r="G111" s="29" t="n">
        <f aca="false">'Aug 2027'!J111</f>
        <v>0</v>
      </c>
      <c r="H111" s="29" t="n">
        <f aca="false">IF(Students!F102="Yes",N(Students!G102),0)</f>
        <v>0</v>
      </c>
      <c r="I111" s="13"/>
      <c r="J111" s="30" t="n">
        <f aca="false">N(G111)+N(H111)-N(I111)</f>
        <v>0</v>
      </c>
      <c r="K111" s="29" t="n">
        <f aca="false">'Aug 2027'!O111</f>
        <v>0</v>
      </c>
      <c r="L111" s="13"/>
      <c r="M111" s="13"/>
      <c r="N111" s="13"/>
      <c r="O111" s="30" t="n">
        <f aca="false">N(K111)+N(L111)+N(M111)-N(N111)</f>
        <v>0</v>
      </c>
      <c r="P111" s="30" t="n">
        <f aca="false">F111+J111+O111</f>
        <v>0</v>
      </c>
      <c r="Q111" s="10" t="str">
        <f aca="false">IF(B111="","",IF(P111&lt;=0,"Clear",IF(E111+I111+N111&gt;0,"Partial","Due")))</f>
        <v/>
      </c>
    </row>
    <row r="112" customFormat="false" ht="15" hidden="false" customHeight="false" outlineLevel="0" collapsed="false">
      <c r="A112" s="10" t="n">
        <v>99</v>
      </c>
      <c r="B112" s="28" t="str">
        <f aca="false">IF(Students!B103="","",Students!B103)</f>
        <v/>
      </c>
      <c r="C112" s="29" t="n">
        <f aca="false">'Aug 2027'!F112</f>
        <v>0</v>
      </c>
      <c r="D112" s="29" t="n">
        <f aca="false">IF(Students!D103="Yes",N(Students!E103),0)</f>
        <v>0</v>
      </c>
      <c r="E112" s="13"/>
      <c r="F112" s="30" t="n">
        <f aca="false">N(C112)+N(D112)-N(E112)</f>
        <v>0</v>
      </c>
      <c r="G112" s="29" t="n">
        <f aca="false">'Aug 2027'!J112</f>
        <v>0</v>
      </c>
      <c r="H112" s="29" t="n">
        <f aca="false">IF(Students!F103="Yes",N(Students!G103),0)</f>
        <v>0</v>
      </c>
      <c r="I112" s="13"/>
      <c r="J112" s="30" t="n">
        <f aca="false">N(G112)+N(H112)-N(I112)</f>
        <v>0</v>
      </c>
      <c r="K112" s="29" t="n">
        <f aca="false">'Aug 2027'!O112</f>
        <v>0</v>
      </c>
      <c r="L112" s="13"/>
      <c r="M112" s="13"/>
      <c r="N112" s="13"/>
      <c r="O112" s="30" t="n">
        <f aca="false">N(K112)+N(L112)+N(M112)-N(N112)</f>
        <v>0</v>
      </c>
      <c r="P112" s="30" t="n">
        <f aca="false">F112+J112+O112</f>
        <v>0</v>
      </c>
      <c r="Q112" s="10" t="str">
        <f aca="false">IF(B112="","",IF(P112&lt;=0,"Clear",IF(E112+I112+N112&gt;0,"Partial","Due")))</f>
        <v/>
      </c>
    </row>
    <row r="113" customFormat="false" ht="15" hidden="false" customHeight="false" outlineLevel="0" collapsed="false">
      <c r="A113" s="10" t="n">
        <v>100</v>
      </c>
      <c r="B113" s="28" t="str">
        <f aca="false">IF(Students!B104="","",Students!B104)</f>
        <v/>
      </c>
      <c r="C113" s="29" t="n">
        <f aca="false">'Aug 2027'!F113</f>
        <v>0</v>
      </c>
      <c r="D113" s="29" t="n">
        <f aca="false">IF(Students!D104="Yes",N(Students!E104),0)</f>
        <v>0</v>
      </c>
      <c r="E113" s="13"/>
      <c r="F113" s="30" t="n">
        <f aca="false">N(C113)+N(D113)-N(E113)</f>
        <v>0</v>
      </c>
      <c r="G113" s="29" t="n">
        <f aca="false">'Aug 2027'!J113</f>
        <v>0</v>
      </c>
      <c r="H113" s="29" t="n">
        <f aca="false">IF(Students!F104="Yes",N(Students!G104),0)</f>
        <v>0</v>
      </c>
      <c r="I113" s="13"/>
      <c r="J113" s="30" t="n">
        <f aca="false">N(G113)+N(H113)-N(I113)</f>
        <v>0</v>
      </c>
      <c r="K113" s="29" t="n">
        <f aca="false">'Aug 2027'!O113</f>
        <v>0</v>
      </c>
      <c r="L113" s="13"/>
      <c r="M113" s="13"/>
      <c r="N113" s="13"/>
      <c r="O113" s="30" t="n">
        <f aca="false">N(K113)+N(L113)+N(M113)-N(N113)</f>
        <v>0</v>
      </c>
      <c r="P113" s="30" t="n">
        <f aca="false">F113+J113+O113</f>
        <v>0</v>
      </c>
      <c r="Q113" s="10" t="str">
        <f aca="false">IF(B113="","",IF(P113&lt;=0,"Clear",IF(E113+I113+N113&gt;0,"Partial","Due")))</f>
        <v/>
      </c>
    </row>
    <row r="114" customFormat="false" ht="15" hidden="false" customHeight="false" outlineLevel="0" collapsed="false">
      <c r="A114" s="31" t="s">
        <v>50</v>
      </c>
      <c r="B114" s="31"/>
      <c r="C114" s="32" t="n">
        <f aca="false">SUM(C14:C113)</f>
        <v>20000</v>
      </c>
      <c r="D114" s="32" t="n">
        <f aca="false">SUM(D14:D113)</f>
        <v>2000</v>
      </c>
      <c r="E114" s="32" t="n">
        <f aca="false">SUM(E14:E113)</f>
        <v>0</v>
      </c>
      <c r="F114" s="32" t="n">
        <f aca="false">SUM(F14:F113)</f>
        <v>22000</v>
      </c>
      <c r="G114" s="32" t="n">
        <f aca="false">SUM(G14:G113)</f>
        <v>16500</v>
      </c>
      <c r="H114" s="32" t="n">
        <f aca="false">SUM(H14:H113)</f>
        <v>1500</v>
      </c>
      <c r="I114" s="32" t="n">
        <f aca="false">SUM(I14:I113)</f>
        <v>0</v>
      </c>
      <c r="J114" s="32" t="n">
        <f aca="false">SUM(J14:J113)</f>
        <v>18000</v>
      </c>
      <c r="K114" s="32" t="n">
        <f aca="false">SUM(K14:K113)</f>
        <v>200</v>
      </c>
      <c r="L114" s="32" t="n">
        <f aca="false">SUM(L14:L113)</f>
        <v>0</v>
      </c>
      <c r="M114" s="32" t="n">
        <f aca="false">SUM(M14:M113)</f>
        <v>0</v>
      </c>
      <c r="N114" s="32" t="n">
        <f aca="false">SUM(N14:N113)</f>
        <v>0</v>
      </c>
      <c r="O114" s="32" t="n">
        <f aca="false">SUM(O14:O113)</f>
        <v>200</v>
      </c>
      <c r="P114" s="32" t="n">
        <f aca="false">SUM(P14:P113)</f>
        <v>40200</v>
      </c>
      <c r="Q114" s="31" t="str">
        <f aca="false">COUNTIF(Q14:Q113,"Due")+COUNTIF(Q14:Q113,"Partial")&amp;" with dues"</f>
        <v>1 with dues</v>
      </c>
    </row>
  </sheetData>
  <mergeCells count="39">
    <mergeCell ref="A1:Q1"/>
    <mergeCell ref="A4:E4"/>
    <mergeCell ref="G4:K4"/>
    <mergeCell ref="M4:Q4"/>
    <mergeCell ref="A5:B5"/>
    <mergeCell ref="C5:E5"/>
    <mergeCell ref="G5:H5"/>
    <mergeCell ref="I5:K5"/>
    <mergeCell ref="M5:N5"/>
    <mergeCell ref="O5:Q5"/>
    <mergeCell ref="A6:B6"/>
    <mergeCell ref="C6:E6"/>
    <mergeCell ref="G6:H6"/>
    <mergeCell ref="I6:K6"/>
    <mergeCell ref="M6:N6"/>
    <mergeCell ref="O6:Q6"/>
    <mergeCell ref="A7:B7"/>
    <mergeCell ref="C7:E7"/>
    <mergeCell ref="G7:H7"/>
    <mergeCell ref="I7:K7"/>
    <mergeCell ref="M7:N7"/>
    <mergeCell ref="O7:Q7"/>
    <mergeCell ref="M8:N8"/>
    <mergeCell ref="O8:Q8"/>
    <mergeCell ref="A10:Q10"/>
    <mergeCell ref="A11:B11"/>
    <mergeCell ref="C11:D11"/>
    <mergeCell ref="E11:F11"/>
    <mergeCell ref="G11:H11"/>
    <mergeCell ref="I11:J11"/>
    <mergeCell ref="K11:L11"/>
    <mergeCell ref="M11:N11"/>
    <mergeCell ref="O11:Q11"/>
    <mergeCell ref="A12:B12"/>
    <mergeCell ref="C12:F12"/>
    <mergeCell ref="G12:J12"/>
    <mergeCell ref="K12:O12"/>
    <mergeCell ref="P12:Q12"/>
    <mergeCell ref="A114:B114"/>
  </mergeCells>
  <conditionalFormatting sqref="Q14:Q113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4:F113">
    <cfRule type="cellIs" priority="5" operator="greaterThan" aboveAverage="0" equalAverage="0" bottom="0" percent="0" rank="0" text="" dxfId="3">
      <formula>0</formula>
    </cfRule>
  </conditionalFormatting>
  <conditionalFormatting sqref="J14:J113">
    <cfRule type="cellIs" priority="6" operator="greaterThan" aboveAverage="0" equalAverage="0" bottom="0" percent="0" rank="0" text="" dxfId="3">
      <formula>0</formula>
    </cfRule>
  </conditionalFormatting>
  <conditionalFormatting sqref="O14:O113">
    <cfRule type="cellIs" priority="7" operator="greaterThan" aboveAverage="0" equalAverage="0" bottom="0" percent="0" rank="0" text="" dxfId="3">
      <formula>0</formula>
    </cfRule>
  </conditionalFormatting>
  <conditionalFormatting sqref="P14:P113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2026-10-08T06:59:44Z</dcterms:created>
  <dc:creator>openpyxl</dc:creator>
  <dc:description/>
  <dc:language>en-US</dc:language>
  <cp:lastModifiedBy/>
  <dcterms:modified xsi:type="dcterms:W3CDTF">2026-10-08T06:59:45Z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