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Example fee only. Each student's fee is different: type the real amount.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<sst xmlns="http://schemas.openxmlformats.org/spreadsheetml/2006/main" count="236" uniqueCount="55">
  <si>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Math Class — Setup</t>
  </si>
  <si>
    <t xml:space="preserve">Academy Name</t>
  </si>
  <si>
    <t xml:space="preserve">Future Talent Academy Jamshoro</t>
  </si>
  <si>
    <t xml:space="preserve">Subject</t>
  </si>
  <si>
    <t xml:space="preserve">Math</t>
  </si>
  <si>
    <t xml:space="preserve">Teacher Name</t>
  </si>
  <si>
    <t xml:space="preserve">Sir M. Faheem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</si>
  <si>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</si>
  <si>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</si>
  <si>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</si>
  <si>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</si>
  <si>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</si>
  <si>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</si>
  <si>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</si>
  <si>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</si>
  <si>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</si>
  <si>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</si>
  <si>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</si>
  <si>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</si>
  <si>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</si>
  <si>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</si>
  <si>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Ahsan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</si>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</sst>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"Math Class — Student List ("&amp;Setup!B5&amp;")"</f>
        <v>Math Class — Student List (Sir M. Faheem)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1500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Class  •  Year Summary 2026-27  •  "&amp;Setup!B5</f>
        <v>Math Class  •  Year Summary 2026-27  •  Sir M. Faheem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1500</v>
      </c>
      <c r="D5" s="19" t="n">
        <f aca="false">'Oct 2026'!F63</f>
        <v>1000</v>
      </c>
      <c r="E5" s="19" t="n">
        <f aca="false">'Oct 2026'!F63*Setup!$B$7</f>
        <v>500</v>
      </c>
      <c r="F5" s="19" t="n">
        <f aca="false">'Oct 2026'!F63*Setup!$B$8</f>
        <v>500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1500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2000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1500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3500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1500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5000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1500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6500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1500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8000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1500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9500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1500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11000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1500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12500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1500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14000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1500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15500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1500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17000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18000</v>
      </c>
      <c r="D17" s="25" t="n">
        <f aca="false">SUM(D5:D16)</f>
        <v>1000</v>
      </c>
      <c r="E17" s="25" t="n">
        <f aca="false">SUM(E5:E16)</f>
        <v>500</v>
      </c>
      <c r="F17" s="25" t="n">
        <f aca="false">SUM(F5:F16)</f>
        <v>500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October 2026"</f>
        <v>Math Class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500</v>
      </c>
      <c r="B7" s="34"/>
      <c r="C7" s="35" t="n">
        <f aca="false">F63*Setup!B8</f>
        <v>500</v>
      </c>
      <c r="D7" s="35"/>
      <c r="E7" s="36" t="n">
        <f aca="false">F63</f>
        <v>1000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14"/>
      <c r="D13" s="45" t="n">
        <f aca="false">IF(B13="",0,N(Students!E5))</f>
        <v>1500</v>
      </c>
      <c r="E13" s="45" t="n">
        <f aca="false">N(C13)+N(D13)</f>
        <v>1500</v>
      </c>
      <c r="F13" s="14" t="n">
        <v>1000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1500</v>
      </c>
      <c r="E63" s="25" t="n">
        <f aca="false">SUM(E13:E62)</f>
        <v>1500</v>
      </c>
      <c r="F63" s="25" t="n">
        <f aca="false">SUM(F13:F62)</f>
        <v>1000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November 2026"</f>
        <v>Math Class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'Oct 2026'!G13</f>
        <v>500</v>
      </c>
      <c r="D13" s="45" t="n">
        <f aca="false">IF(B13="",0,N(Students!E5))</f>
        <v>1500</v>
      </c>
      <c r="E13" s="45" t="n">
        <f aca="false">N(C13)+N(D13)</f>
        <v>2000</v>
      </c>
      <c r="F13" s="14"/>
      <c r="G13" s="46" t="n">
        <f aca="false">E13-N(F13)</f>
        <v>2000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1500</v>
      </c>
      <c r="E63" s="25" t="n">
        <f aca="false">SUM(E13:E62)</f>
        <v>2000</v>
      </c>
      <c r="F63" s="25" t="n">
        <f aca="false">SUM(F13:F62)</f>
        <v>0</v>
      </c>
      <c r="G63" s="25" t="n">
        <f aca="false">SUM(G13:G62)</f>
        <v>2000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December 2026"</f>
        <v>Math Class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3500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'Nov 2026'!G13</f>
        <v>2000</v>
      </c>
      <c r="D13" s="45" t="n">
        <f aca="false">IF(B13="",0,N(Students!E5))</f>
        <v>1500</v>
      </c>
      <c r="E13" s="45" t="n">
        <f aca="false">N(C13)+N(D13)</f>
        <v>3500</v>
      </c>
      <c r="F13" s="14"/>
      <c r="G13" s="46" t="n">
        <f aca="false">E13-N(F13)</f>
        <v>3500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2000</v>
      </c>
      <c r="D63" s="25" t="n">
        <f aca="false">SUM(D13:D62)</f>
        <v>1500</v>
      </c>
      <c r="E63" s="25" t="n">
        <f aca="false">SUM(E13:E62)</f>
        <v>3500</v>
      </c>
      <c r="F63" s="25" t="n">
        <f aca="false">SUM(F13:F62)</f>
        <v>0</v>
      </c>
      <c r="G63" s="25" t="n">
        <f aca="false">SUM(G13:G62)</f>
        <v>3500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January 2027"</f>
        <v>Math Class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5000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'Dec 2026'!G13</f>
        <v>3500</v>
      </c>
      <c r="D13" s="45" t="n">
        <f aca="false">IF(B13="",0,N(Students!E5))</f>
        <v>1500</v>
      </c>
      <c r="E13" s="45" t="n">
        <f aca="false">N(C13)+N(D13)</f>
        <v>5000</v>
      </c>
      <c r="F13" s="14"/>
      <c r="G13" s="46" t="n">
        <f aca="false">E13-N(F13)</f>
        <v>5000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3500</v>
      </c>
      <c r="D63" s="25" t="n">
        <f aca="false">SUM(D13:D62)</f>
        <v>1500</v>
      </c>
      <c r="E63" s="25" t="n">
        <f aca="false">SUM(E13:E62)</f>
        <v>5000</v>
      </c>
      <c r="F63" s="25" t="n">
        <f aca="false">SUM(F13:F62)</f>
        <v>0</v>
      </c>
      <c r="G63" s="25" t="n">
        <f aca="false">SUM(G13:G62)</f>
        <v>5000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February 2027"</f>
        <v>Math Class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'Jan 2027'!G13</f>
        <v>5000</v>
      </c>
      <c r="D13" s="45" t="n">
        <f aca="false">IF(B13="",0,N(Students!E5))</f>
        <v>1500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5000</v>
      </c>
      <c r="D63" s="25" t="n">
        <f aca="false">SUM(D13:D62)</f>
        <v>1500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March 2027"</f>
        <v>Math Class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'Feb 2027'!G13</f>
        <v>6500</v>
      </c>
      <c r="D13" s="45" t="n">
        <f aca="false">IF(B13="",0,N(Students!E5))</f>
        <v>1500</v>
      </c>
      <c r="E13" s="45" t="n">
        <f aca="false">N(C13)+N(D13)</f>
        <v>8000</v>
      </c>
      <c r="F13" s="14"/>
      <c r="G13" s="46" t="n">
        <f aca="false">E13-N(F13)</f>
        <v>8000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1500</v>
      </c>
      <c r="E63" s="25" t="n">
        <f aca="false">SUM(E13:E62)</f>
        <v>8000</v>
      </c>
      <c r="F63" s="25" t="n">
        <f aca="false">SUM(F13:F62)</f>
        <v>0</v>
      </c>
      <c r="G63" s="25" t="n">
        <f aca="false">SUM(G13:G62)</f>
        <v>8000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April 2027"</f>
        <v>Math Class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9500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'Mar 2027'!G13</f>
        <v>8000</v>
      </c>
      <c r="D13" s="45" t="n">
        <f aca="false">IF(B13="",0,N(Students!E5))</f>
        <v>1500</v>
      </c>
      <c r="E13" s="45" t="n">
        <f aca="false">N(C13)+N(D13)</f>
        <v>9500</v>
      </c>
      <c r="F13" s="14"/>
      <c r="G13" s="46" t="n">
        <f aca="false">E13-N(F13)</f>
        <v>9500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8000</v>
      </c>
      <c r="D63" s="25" t="n">
        <f aca="false">SUM(D13:D62)</f>
        <v>1500</v>
      </c>
      <c r="E63" s="25" t="n">
        <f aca="false">SUM(E13:E62)</f>
        <v>9500</v>
      </c>
      <c r="F63" s="25" t="n">
        <f aca="false">SUM(F13:F62)</f>
        <v>0</v>
      </c>
      <c r="G63" s="25" t="n">
        <f aca="false">SUM(G13:G62)</f>
        <v>9500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May 2027"</f>
        <v>Math Class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11000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'Apr 2027'!G13</f>
        <v>9500</v>
      </c>
      <c r="D13" s="45" t="n">
        <f aca="false">IF(B13="",0,N(Students!E5))</f>
        <v>1500</v>
      </c>
      <c r="E13" s="45" t="n">
        <f aca="false">N(C13)+N(D13)</f>
        <v>11000</v>
      </c>
      <c r="F13" s="14"/>
      <c r="G13" s="46" t="n">
        <f aca="false">E13-N(F13)</f>
        <v>11000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9500</v>
      </c>
      <c r="D63" s="25" t="n">
        <f aca="false">SUM(D13:D62)</f>
        <v>1500</v>
      </c>
      <c r="E63" s="25" t="n">
        <f aca="false">SUM(E13:E62)</f>
        <v>11000</v>
      </c>
      <c r="F63" s="25" t="n">
        <f aca="false">SUM(F13:F62)</f>
        <v>0</v>
      </c>
      <c r="G63" s="25" t="n">
        <f aca="false">SUM(G13:G62)</f>
        <v>11000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June 2027"</f>
        <v>Math Class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12500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'May 2027'!G13</f>
        <v>11000</v>
      </c>
      <c r="D13" s="45" t="n">
        <f aca="false">IF(B13="",0,N(Students!E5))</f>
        <v>1500</v>
      </c>
      <c r="E13" s="45" t="n">
        <f aca="false">N(C13)+N(D13)</f>
        <v>12500</v>
      </c>
      <c r="F13" s="14"/>
      <c r="G13" s="46" t="n">
        <f aca="false">E13-N(F13)</f>
        <v>12500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11000</v>
      </c>
      <c r="D63" s="25" t="n">
        <f aca="false">SUM(D13:D62)</f>
        <v>1500</v>
      </c>
      <c r="E63" s="25" t="n">
        <f aca="false">SUM(E13:E62)</f>
        <v>12500</v>
      </c>
      <c r="F63" s="25" t="n">
        <f aca="false">SUM(F13:F62)</f>
        <v>0</v>
      </c>
      <c r="G63" s="25" t="n">
        <f aca="false">SUM(G13:G62)</f>
        <v>12500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July 2027"</f>
        <v>Math Class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14000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'Jun 2027'!G13</f>
        <v>12500</v>
      </c>
      <c r="D13" s="45" t="n">
        <f aca="false">IF(B13="",0,N(Students!E5))</f>
        <v>1500</v>
      </c>
      <c r="E13" s="45" t="n">
        <f aca="false">N(C13)+N(D13)</f>
        <v>14000</v>
      </c>
      <c r="F13" s="14"/>
      <c r="G13" s="46" t="n">
        <f aca="false">E13-N(F13)</f>
        <v>14000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12500</v>
      </c>
      <c r="D63" s="25" t="n">
        <f aca="false">SUM(D13:D62)</f>
        <v>1500</v>
      </c>
      <c r="E63" s="25" t="n">
        <f aca="false">SUM(E13:E62)</f>
        <v>14000</v>
      </c>
      <c r="F63" s="25" t="n">
        <f aca="false">SUM(F13:F62)</f>
        <v>0</v>
      </c>
      <c r="G63" s="25" t="n">
        <f aca="false">SUM(G13:G62)</f>
        <v>14000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August 2027"</f>
        <v>Math Class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15500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'Jul 2027'!G13</f>
        <v>14000</v>
      </c>
      <c r="D13" s="45" t="n">
        <f aca="false">IF(B13="",0,N(Students!E5))</f>
        <v>1500</v>
      </c>
      <c r="E13" s="45" t="n">
        <f aca="false">N(C13)+N(D13)</f>
        <v>15500</v>
      </c>
      <c r="F13" s="14"/>
      <c r="G13" s="46" t="n">
        <f aca="false">E13-N(F13)</f>
        <v>15500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14000</v>
      </c>
      <c r="D63" s="25" t="n">
        <f aca="false">SUM(D13:D62)</f>
        <v>1500</v>
      </c>
      <c r="E63" s="25" t="n">
        <f aca="false">SUM(E13:E62)</f>
        <v>15500</v>
      </c>
      <c r="F63" s="25" t="n">
        <f aca="false">SUM(F13:F62)</f>
        <v>0</v>
      </c>
      <c r="G63" s="25" t="n">
        <f aca="false">SUM(G13:G62)</f>
        <v>15500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September 2027"</f>
        <v>Math Class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M. Faheem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17000</v>
      </c>
      <c r="H7" s="37"/>
      <c r="I7" s="37"/>
    </row>
    <row r="8" customFormat="false" ht="18" hidden="false" customHeight="true" outlineLevel="0" collapsed="false">
      <c r="A8" s="38" t="str">
        <f aca="false">Setup!B5</f>
        <v>Sir M. Faheem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Ahsan (example)</v>
      </c>
      <c r="C13" s="45" t="n">
        <f aca="false">'Aug 2027'!G13</f>
        <v>15500</v>
      </c>
      <c r="D13" s="45" t="n">
        <f aca="false">IF(B13="",0,N(Students!E5))</f>
        <v>1500</v>
      </c>
      <c r="E13" s="45" t="n">
        <f aca="false">N(C13)+N(D13)</f>
        <v>17000</v>
      </c>
      <c r="F13" s="14"/>
      <c r="G13" s="46" t="n">
        <f aca="false">E13-N(F13)</f>
        <v>17000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15500</v>
      </c>
      <c r="D63" s="25" t="n">
        <f aca="false">SUM(D13:D62)</f>
        <v>1500</v>
      </c>
      <c r="E63" s="25" t="n">
        <f aca="false">SUM(E13:E62)</f>
        <v>17000</v>
      </c>
      <c r="F63" s="25" t="n">
        <f aca="false">SUM(F13:F62)</f>
        <v>0</v>
      </c>
      <c r="G63" s="25" t="n">
        <f aca="false">SUM(G13:G62)</f>
        <v>17000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2026-10-08T11:35:54Z</dcterms:created>
  <dc:creator>openpyxl</dc:creator>
  <dc:description/>
  <dc:language>en-US</dc:language>
  <cp:lastModifiedBy/>
  <dcterms:modified xsi:type="dcterms:W3CDTF">2026-10-08T11:35:55Z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