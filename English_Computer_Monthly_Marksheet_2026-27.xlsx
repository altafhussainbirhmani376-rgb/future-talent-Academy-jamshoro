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7.vml" ContentType="application/vnd.openxmlformats-officedocument.vmlDrawing"/>
  <Override PartName="/xl/drawings/vmlDrawing6.vml" ContentType="application/vnd.openxmlformats-officedocument.vmlDrawing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25.vml" ContentType="application/vnd.openxmlformats-officedocument.vmlDrawing"/>
  <Override PartName="/xl/drawings/vmlDrawing24.vml" ContentType="application/vnd.openxmlformats-officedocument.vmlDrawing"/>
  <Override PartName="/xl/drawings/vmlDrawing23.vml" ContentType="application/vnd.openxmlformats-officedocument.vmlDrawing"/>
  <Override PartName="/xl/drawings/vmlDrawing22.vml" ContentType="application/vnd.openxmlformats-officedocument.vmlDrawing"/>
  <Override PartName="/xl/drawings/vmlDrawing21.vml" ContentType="application/vnd.openxmlformats-officedocument.vmlDrawing"/>
  <Override PartName="/xl/drawings/vmlDrawing19.vml" ContentType="application/vnd.openxmlformats-officedocument.vmlDrawing"/>
  <Override PartName="/xl/drawings/vmlDrawing20.vml" ContentType="application/vnd.openxmlformats-officedocument.vmlDrawing"/>
  <Override PartName="/xl/drawings/vmlDrawing18.vml" ContentType="application/vnd.openxmlformats-officedocument.vmlDrawing"/>
  <Override PartName="/xl/drawings/vmlDrawing17.vml" ContentType="application/vnd.openxmlformats-officedocument.vmlDrawing"/>
  <Override PartName="/xl/drawings/vmlDrawing16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comments1.xml" ContentType="application/vnd.openxmlformats-officedocument.spreadsheetml.comments+xml"/>
  <Override PartName="/xl/comments11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16.xml" ContentType="application/vnd.openxmlformats-officedocument.spreadsheetml.comments+xml"/>
  <Override PartName="/xl/comments6.xml" ContentType="application/vnd.openxmlformats-officedocument.spreadsheetml.comments+xml"/>
  <Override PartName="/xl/comments22.xml" ContentType="application/vnd.openxmlformats-officedocument.spreadsheetml.comments+xml"/>
  <Override PartName="/xl/styles.xml" ContentType="application/vnd.openxmlformats-officedocument.spreadsheetml.styles+xml"/>
  <Override PartName="/xl/comments20.xml" ContentType="application/vnd.openxmlformats-officedocument.spreadsheetml.comments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comments26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6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comments9.xml" ContentType="application/vnd.openxmlformats-officedocument.spreadsheetml.comments+xml"/>
  <Override PartName="/xl/comments19.xml" ContentType="application/vnd.openxmlformats-officedocument.spreadsheetml.comments+xml"/>
  <Override PartName="/xl/comments21.xml" ContentType="application/vnd.openxmlformats-officedocument.spreadsheetml.comments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25.xml" ContentType="application/vnd.openxmlformats-officedocument.spreadsheetml.comment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udents" sheetId="1" state="visible" r:id="rId3"/>
    <sheet name="Award Summary" sheetId="2" state="visible" r:id="rId4"/>
    <sheet name="Eng Oct 2026" sheetId="3" state="visible" r:id="rId5"/>
    <sheet name="Com Oct 2026" sheetId="4" state="visible" r:id="rId6"/>
    <sheet name="Eng Nov 2026" sheetId="5" state="visible" r:id="rId7"/>
    <sheet name="Com Nov 2026" sheetId="6" state="visible" r:id="rId8"/>
    <sheet name="Eng Dec 2026" sheetId="7" state="visible" r:id="rId9"/>
    <sheet name="Com Dec 2026" sheetId="8" state="visible" r:id="rId10"/>
    <sheet name="Eng Jan 2027" sheetId="9" state="visible" r:id="rId11"/>
    <sheet name="Com Jan 2027" sheetId="10" state="visible" r:id="rId12"/>
    <sheet name="Eng Feb 2027" sheetId="11" state="visible" r:id="rId13"/>
    <sheet name="Com Feb 2027" sheetId="12" state="visible" r:id="rId14"/>
    <sheet name="Eng Mar 2027" sheetId="13" state="visible" r:id="rId15"/>
    <sheet name="Com Mar 2027" sheetId="14" state="visible" r:id="rId16"/>
    <sheet name="Eng Apr 2027" sheetId="15" state="visible" r:id="rId17"/>
    <sheet name="Com Apr 2027" sheetId="16" state="visible" r:id="rId18"/>
    <sheet name="Eng May 2027" sheetId="17" state="visible" r:id="rId19"/>
    <sheet name="Com May 2027" sheetId="18" state="visible" r:id="rId20"/>
    <sheet name="Eng Jun 2027" sheetId="19" state="visible" r:id="rId21"/>
    <sheet name="Com Jun 2027" sheetId="20" state="visible" r:id="rId22"/>
    <sheet name="Eng Jul 2027" sheetId="21" state="visible" r:id="rId23"/>
    <sheet name="Com Jul 2027" sheetId="22" state="visible" r:id="rId24"/>
    <sheet name="Eng Aug 2027" sheetId="23" state="visible" r:id="rId25"/>
    <sheet name="Com Aug 2027" sheetId="24" state="visible" r:id="rId26"/>
    <sheet name="Eng Sep 2027" sheetId="25" state="visible" r:id="rId27"/>
    <sheet name="Com Sep 2027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Example names — replace with your students.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Total marks of each test. Placeholder 50 — change to your real totals.</t>
        </r>
      </text>
    </comment>
    <comment ref="D13" authorId="0">
      <text>
        <r>
          <rPr>
            <sz val="10"/>
            <rFont val="Arial"/>
            <family val="2"/>
          </rPr>
          <t xml:space="preserve">Type marks. Write 0 if absent.</t>
        </r>
      </text>
    </comment>
  </commentList>
</comments>
</file>

<file path=xl/sharedStrings.xml><?xml version="1.0" encoding="utf-8"?>
<sst xmlns="http://schemas.openxmlformats.org/spreadsheetml/2006/main" count="717" uniqueCount="72">
  <si>
    <t xml:space="preserve">FUTURE TALENT ACADEMY JAMSHORO — STUDENT LISTS</t>
  </si>
  <si>
    <t xml:space="preserve">Write the names once here. Every month's marksheet picks them up automatically. Keep the order the same; add new students at the bottom.</t>
  </si>
  <si>
    <t xml:space="preserve">ENGLISH CLASS — Sir Sajjad Ali Birhmani</t>
  </si>
  <si>
    <t xml:space="preserve">COMPUTER CLASS — Sir Nazeer Ahmed Jamali</t>
  </si>
  <si>
    <t xml:space="preserve">S.No</t>
  </si>
  <si>
    <t xml:space="preserve">Student Name</t>
  </si>
  <si>
    <t xml:space="preserve">Father Name</t>
  </si>
  <si>
    <t xml:space="preserve">Ali Ahmed (example)</t>
  </si>
  <si>
    <t xml:space="preserve">Ahmed Khan</t>
  </si>
  <si>
    <t xml:space="preserve">Sara Bibi (example)</t>
  </si>
  <si>
    <t xml:space="preserve">Abdul Rehman</t>
  </si>
  <si>
    <t xml:space="preserve">🏆 MONTHLY AWARD WINNERS — TOP 3</t>
  </si>
  <si>
    <t xml:space="preserve">Fills in automatically from each month's marksheet.</t>
  </si>
  <si>
    <t xml:space="preserve">Month</t>
  </si>
  <si>
    <t xml:space="preserve">Class</t>
  </si>
  <si>
    <t xml:space="preserve">🥇 1st</t>
  </si>
  <si>
    <t xml:space="preserve">🥈 2nd</t>
  </si>
  <si>
    <t xml:space="preserve">🥉 3rd</t>
  </si>
  <si>
    <t xml:space="preserve">October 2026</t>
  </si>
  <si>
    <t xml:space="preserve">English</t>
  </si>
  <si>
    <t xml:space="preserve">Computer</t>
  </si>
  <si>
    <t xml:space="preserve">November 2026</t>
  </si>
  <si>
    <t xml:space="preserve">December 2026</t>
  </si>
  <si>
    <t xml:space="preserve">January 2027</t>
  </si>
  <si>
    <t xml:space="preserve">February 2027</t>
  </si>
  <si>
    <t xml:space="preserve">March 2027</t>
  </si>
  <si>
    <t xml:space="preserve">April 2027</t>
  </si>
  <si>
    <t xml:space="preserve">May 2027</t>
  </si>
  <si>
    <t xml:space="preserve">June 2027</t>
  </si>
  <si>
    <t xml:space="preserve">July 2027</t>
  </si>
  <si>
    <t xml:space="preserve">August 2027</t>
  </si>
  <si>
    <t xml:space="preserve">September 2027</t>
  </si>
  <si>
    <t xml:space="preserve">FUTURE TALENT ACADEMY JAMSHORO</t>
  </si>
  <si>
    <t xml:space="preserve">English Class — Monthly Marksheet — October 2026</t>
  </si>
  <si>
    <t xml:space="preserve">Test 1</t>
  </si>
  <si>
    <t xml:space="preserve">Test 2</t>
  </si>
  <si>
    <t xml:space="preserve">Test 3</t>
  </si>
  <si>
    <t xml:space="preserve">Out of</t>
  </si>
  <si>
    <t xml:space="preserve">Teacher: Sir Sajjad Ali Birhmani</t>
  </si>
  <si>
    <t xml:space="preserve">Total marks of each test →</t>
  </si>
  <si>
    <t xml:space="preserve">🏆 TOP 3 — AWARD WINNERS</t>
  </si>
  <si>
    <t xml:space="preserve">Pos.</t>
  </si>
  <si>
    <t xml:space="preserve">Percentage</t>
  </si>
  <si>
    <t xml:space="preserve">Grade</t>
  </si>
  <si>
    <t xml:space="preserve">Award</t>
  </si>
  <si>
    <t xml:space="preserve">Total</t>
  </si>
  <si>
    <t xml:space="preserve">Position</t>
  </si>
  <si>
    <t xml:space="preserve">Order</t>
  </si>
  <si>
    <t xml:space="preserve">Computer Class — Monthly Marksheet — October 2026</t>
  </si>
  <si>
    <t xml:space="preserve">Teacher: Sir Nazeer Ahmed Jamali</t>
  </si>
  <si>
    <t xml:space="preserve">English Class — Monthly Marksheet — November 2026</t>
  </si>
  <si>
    <t xml:space="preserve">Computer Class — Monthly Marksheet — November 2026</t>
  </si>
  <si>
    <t xml:space="preserve">English Class — Monthly Marksheet — December 2026</t>
  </si>
  <si>
    <t xml:space="preserve">Computer Class — Monthly Marksheet — December 2026</t>
  </si>
  <si>
    <t xml:space="preserve">English Class — Monthly Marksheet — January 2027</t>
  </si>
  <si>
    <t xml:space="preserve">Computer Class — Monthly Marksheet — January 2027</t>
  </si>
  <si>
    <t xml:space="preserve">English Class — Monthly Marksheet — February 2027</t>
  </si>
  <si>
    <t xml:space="preserve">Computer Class — Monthly Marksheet — February 2027</t>
  </si>
  <si>
    <t xml:space="preserve">English Class — Monthly Marksheet — March 2027</t>
  </si>
  <si>
    <t xml:space="preserve">Computer Class — Monthly Marksheet — March 2027</t>
  </si>
  <si>
    <t xml:space="preserve">English Class — Monthly Marksheet — April 2027</t>
  </si>
  <si>
    <t xml:space="preserve">Computer Class — Monthly Marksheet — April 2027</t>
  </si>
  <si>
    <t xml:space="preserve">English Class — Monthly Marksheet — May 2027</t>
  </si>
  <si>
    <t xml:space="preserve">Computer Class — Monthly Marksheet — May 2027</t>
  </si>
  <si>
    <t xml:space="preserve">English Class — Monthly Marksheet — June 2027</t>
  </si>
  <si>
    <t xml:space="preserve">Computer Class — Monthly Marksheet — June 2027</t>
  </si>
  <si>
    <t xml:space="preserve">English Class — Monthly Marksheet — July 2027</t>
  </si>
  <si>
    <t xml:space="preserve">Computer Class — Monthly Marksheet — July 2027</t>
  </si>
  <si>
    <t xml:space="preserve">English Class — Monthly Marksheet — August 2027</t>
  </si>
  <si>
    <t xml:space="preserve">Computer Class — Monthly Marksheet — August 2027</t>
  </si>
  <si>
    <t xml:space="preserve">English Class — Monthly Marksheet — September 2027</t>
  </si>
  <si>
    <t xml:space="preserve">Computer Class — Monthly Marksheet — September 2027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</si>
</sst>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77700"/>
      <name val="Arial"/>
      <family val="0"/>
      <charset val="1"/>
    </font>
    <font>
      <b val="true"/>
      <sz val="10"/>
      <color rgb="FF00796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3B66"/>
        <bgColor rgb="FF1F4E78"/>
      </patternFill>
    </fill>
    <fill>
      <patternFill patternType="solid">
        <fgColor rgb="FF1F4E78"/>
        <bgColor rgb="FF0D3B66"/>
      </patternFill>
    </fill>
    <fill>
      <patternFill patternType="solid">
        <fgColor rgb="FF00796B"/>
        <bgColor rgb="FF008080"/>
      </patternFill>
    </fill>
    <fill>
      <patternFill patternType="solid">
        <fgColor rgb="FFF1F6FB"/>
        <bgColor rgb="FFFFFFFF"/>
      </patternFill>
    </fill>
    <fill>
      <patternFill patternType="solid">
        <fgColor rgb="FFFFF8E1"/>
        <bgColor rgb="FFFFF2CC"/>
      </patternFill>
    </fill>
    <fill>
      <patternFill patternType="solid">
        <fgColor rgb="FFC77700"/>
        <bgColor rgb="FF808000"/>
      </patternFill>
    </fill>
    <fill>
      <patternFill patternType="solid">
        <fgColor rgb="FFFFF2CC"/>
        <bgColor rgb="FFFFF8E1"/>
      </patternFill>
    </fill>
    <fill>
      <patternFill patternType="solid">
        <fgColor rgb="FFFFFFFF"/>
        <bgColor rgb="FFF1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E699"/>
        </patternFill>
      </fill>
    </dxf>
    <dxf>
      <font>
        <b val="1"/>
        <color rgb="FFC00000"/>
      </font>
    </dxf>
    <dxf>
      <font>
        <b val="1"/>
        <color rgb="FF0061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796B"/>
      <rgbColor rgb="FFBFBFBF"/>
      <rgbColor rgb="FF808080"/>
      <rgbColor rgb="FF9999FF"/>
      <rgbColor rgb="FF993366"/>
      <rgbColor rgb="FFFFF8E1"/>
      <rgbColor rgb="FFF1F6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F2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C77700"/>
      <rgbColor rgb="FF666666"/>
      <rgbColor rgb="FF969696"/>
      <rgbColor rgb="FF0D3B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6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7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8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9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0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1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2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3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4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700"/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"/>
    <col collapsed="false" customWidth="true" hidden="false" outlineLevel="0" max="5" min="5" style="0" width="7"/>
    <col collapsed="false" customWidth="true" hidden="false" outlineLevel="0" max="6" min="6" style="0" width="26"/>
    <col collapsed="false" customWidth="true" hidden="false" outlineLevel="0" max="7" min="7" style="0" width="22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true" outlineLevel="0" collapsed="false">
      <c r="A4" s="3" t="s">
        <v>2</v>
      </c>
      <c r="B4" s="3"/>
      <c r="C4" s="3"/>
      <c r="E4" s="4" t="s">
        <v>3</v>
      </c>
      <c r="F4" s="4"/>
      <c r="G4" s="4"/>
    </row>
    <row r="5" customFormat="false" ht="15" hidden="false" customHeight="false" outlineLevel="0" collapsed="false">
      <c r="A5" s="3" t="s">
        <v>4</v>
      </c>
      <c r="B5" s="3" t="s">
        <v>5</v>
      </c>
      <c r="C5" s="3" t="s">
        <v>6</v>
      </c>
      <c r="E5" s="4" t="s">
        <v>4</v>
      </c>
      <c r="F5" s="4" t="s">
        <v>5</v>
      </c>
      <c r="G5" s="4" t="s">
        <v>6</v>
      </c>
    </row>
    <row r="6" customFormat="false" ht="15" hidden="false" customHeight="false" outlineLevel="0" collapsed="false">
      <c r="A6" s="5" t="n">
        <v>1</v>
      </c>
      <c r="B6" s="6" t="s">
        <v>7</v>
      </c>
      <c r="C6" s="6" t="s">
        <v>8</v>
      </c>
      <c r="E6" s="5" t="n">
        <v>1</v>
      </c>
      <c r="F6" s="6" t="s">
        <v>9</v>
      </c>
      <c r="G6" s="6" t="s">
        <v>10</v>
      </c>
    </row>
    <row r="7" customFormat="false" ht="15" hidden="false" customHeight="false" outlineLevel="0" collapsed="false">
      <c r="A7" s="5" t="n">
        <v>2</v>
      </c>
      <c r="B7" s="6"/>
      <c r="C7" s="6"/>
      <c r="E7" s="5" t="n">
        <v>2</v>
      </c>
      <c r="F7" s="6"/>
      <c r="G7" s="6"/>
    </row>
    <row r="8" customFormat="false" ht="15" hidden="false" customHeight="false" outlineLevel="0" collapsed="false">
      <c r="A8" s="5" t="n">
        <v>3</v>
      </c>
      <c r="B8" s="6"/>
      <c r="C8" s="6"/>
      <c r="E8" s="5" t="n">
        <v>3</v>
      </c>
      <c r="F8" s="6"/>
      <c r="G8" s="6"/>
    </row>
    <row r="9" customFormat="false" ht="15" hidden="false" customHeight="false" outlineLevel="0" collapsed="false">
      <c r="A9" s="5" t="n">
        <v>4</v>
      </c>
      <c r="B9" s="6"/>
      <c r="C9" s="6"/>
      <c r="E9" s="5" t="n">
        <v>4</v>
      </c>
      <c r="F9" s="6"/>
      <c r="G9" s="6"/>
    </row>
    <row r="10" customFormat="false" ht="15" hidden="false" customHeight="false" outlineLevel="0" collapsed="false">
      <c r="A10" s="5" t="n">
        <v>5</v>
      </c>
      <c r="B10" s="6"/>
      <c r="C10" s="6"/>
      <c r="E10" s="5" t="n">
        <v>5</v>
      </c>
      <c r="F10" s="6"/>
      <c r="G10" s="6"/>
    </row>
    <row r="11" customFormat="false" ht="15" hidden="false" customHeight="false" outlineLevel="0" collapsed="false">
      <c r="A11" s="5" t="n">
        <v>6</v>
      </c>
      <c r="B11" s="6"/>
      <c r="C11" s="6"/>
      <c r="E11" s="5" t="n">
        <v>6</v>
      </c>
      <c r="F11" s="6"/>
      <c r="G11" s="6"/>
    </row>
    <row r="12" customFormat="false" ht="15" hidden="false" customHeight="false" outlineLevel="0" collapsed="false">
      <c r="A12" s="5" t="n">
        <v>7</v>
      </c>
      <c r="B12" s="6"/>
      <c r="C12" s="6"/>
      <c r="E12" s="5" t="n">
        <v>7</v>
      </c>
      <c r="F12" s="6"/>
      <c r="G12" s="6"/>
    </row>
    <row r="13" customFormat="false" ht="15" hidden="false" customHeight="false" outlineLevel="0" collapsed="false">
      <c r="A13" s="5" t="n">
        <v>8</v>
      </c>
      <c r="B13" s="6"/>
      <c r="C13" s="6"/>
      <c r="E13" s="5" t="n">
        <v>8</v>
      </c>
      <c r="F13" s="6"/>
      <c r="G13" s="6"/>
    </row>
    <row r="14" customFormat="false" ht="15" hidden="false" customHeight="false" outlineLevel="0" collapsed="false">
      <c r="A14" s="5" t="n">
        <v>9</v>
      </c>
      <c r="B14" s="6"/>
      <c r="C14" s="6"/>
      <c r="E14" s="5" t="n">
        <v>9</v>
      </c>
      <c r="F14" s="6"/>
      <c r="G14" s="6"/>
    </row>
    <row r="15" customFormat="false" ht="15" hidden="false" customHeight="false" outlineLevel="0" collapsed="false">
      <c r="A15" s="5" t="n">
        <v>10</v>
      </c>
      <c r="B15" s="6"/>
      <c r="C15" s="6"/>
      <c r="E15" s="5" t="n">
        <v>10</v>
      </c>
      <c r="F15" s="6"/>
      <c r="G15" s="6"/>
    </row>
    <row r="16" customFormat="false" ht="15" hidden="false" customHeight="false" outlineLevel="0" collapsed="false">
      <c r="A16" s="5" t="n">
        <v>11</v>
      </c>
      <c r="B16" s="6"/>
      <c r="C16" s="6"/>
      <c r="E16" s="5" t="n">
        <v>11</v>
      </c>
      <c r="F16" s="6"/>
      <c r="G16" s="6"/>
    </row>
    <row r="17" customFormat="false" ht="15" hidden="false" customHeight="false" outlineLevel="0" collapsed="false">
      <c r="A17" s="5" t="n">
        <v>12</v>
      </c>
      <c r="B17" s="6"/>
      <c r="C17" s="6"/>
      <c r="E17" s="5" t="n">
        <v>12</v>
      </c>
      <c r="F17" s="6"/>
      <c r="G17" s="6"/>
    </row>
    <row r="18" customFormat="false" ht="15" hidden="false" customHeight="false" outlineLevel="0" collapsed="false">
      <c r="A18" s="5" t="n">
        <v>13</v>
      </c>
      <c r="B18" s="6"/>
      <c r="C18" s="6"/>
      <c r="E18" s="5" t="n">
        <v>13</v>
      </c>
      <c r="F18" s="6"/>
      <c r="G18" s="6"/>
    </row>
    <row r="19" customFormat="false" ht="15" hidden="false" customHeight="false" outlineLevel="0" collapsed="false">
      <c r="A19" s="5" t="n">
        <v>14</v>
      </c>
      <c r="B19" s="6"/>
      <c r="C19" s="6"/>
      <c r="E19" s="5" t="n">
        <v>14</v>
      </c>
      <c r="F19" s="6"/>
      <c r="G19" s="6"/>
    </row>
    <row r="20" customFormat="false" ht="15" hidden="false" customHeight="false" outlineLevel="0" collapsed="false">
      <c r="A20" s="5" t="n">
        <v>15</v>
      </c>
      <c r="B20" s="6"/>
      <c r="C20" s="6"/>
      <c r="E20" s="5" t="n">
        <v>15</v>
      </c>
      <c r="F20" s="6"/>
      <c r="G20" s="6"/>
    </row>
    <row r="21" customFormat="false" ht="15" hidden="false" customHeight="false" outlineLevel="0" collapsed="false">
      <c r="A21" s="5" t="n">
        <v>16</v>
      </c>
      <c r="B21" s="6"/>
      <c r="C21" s="6"/>
      <c r="E21" s="5" t="n">
        <v>16</v>
      </c>
      <c r="F21" s="6"/>
      <c r="G21" s="6"/>
    </row>
    <row r="22" customFormat="false" ht="15" hidden="false" customHeight="false" outlineLevel="0" collapsed="false">
      <c r="A22" s="5" t="n">
        <v>17</v>
      </c>
      <c r="B22" s="6"/>
      <c r="C22" s="6"/>
      <c r="E22" s="5" t="n">
        <v>17</v>
      </c>
      <c r="F22" s="6"/>
      <c r="G22" s="6"/>
    </row>
    <row r="23" customFormat="false" ht="15" hidden="false" customHeight="false" outlineLevel="0" collapsed="false">
      <c r="A23" s="5" t="n">
        <v>18</v>
      </c>
      <c r="B23" s="6"/>
      <c r="C23" s="6"/>
      <c r="E23" s="5" t="n">
        <v>18</v>
      </c>
      <c r="F23" s="6"/>
      <c r="G23" s="6"/>
    </row>
    <row r="24" customFormat="false" ht="15" hidden="false" customHeight="false" outlineLevel="0" collapsed="false">
      <c r="A24" s="5" t="n">
        <v>19</v>
      </c>
      <c r="B24" s="6"/>
      <c r="C24" s="6"/>
      <c r="E24" s="5" t="n">
        <v>19</v>
      </c>
      <c r="F24" s="6"/>
      <c r="G24" s="6"/>
    </row>
    <row r="25" customFormat="false" ht="15" hidden="false" customHeight="false" outlineLevel="0" collapsed="false">
      <c r="A25" s="5" t="n">
        <v>20</v>
      </c>
      <c r="B25" s="6"/>
      <c r="C25" s="6"/>
      <c r="E25" s="5" t="n">
        <v>20</v>
      </c>
      <c r="F25" s="6"/>
      <c r="G25" s="6"/>
    </row>
    <row r="26" customFormat="false" ht="15" hidden="false" customHeight="false" outlineLevel="0" collapsed="false">
      <c r="A26" s="5" t="n">
        <v>21</v>
      </c>
      <c r="B26" s="6"/>
      <c r="C26" s="6"/>
      <c r="E26" s="5" t="n">
        <v>21</v>
      </c>
      <c r="F26" s="6"/>
      <c r="G26" s="6"/>
    </row>
    <row r="27" customFormat="false" ht="15" hidden="false" customHeight="false" outlineLevel="0" collapsed="false">
      <c r="A27" s="5" t="n">
        <v>22</v>
      </c>
      <c r="B27" s="6"/>
      <c r="C27" s="6"/>
      <c r="E27" s="5" t="n">
        <v>22</v>
      </c>
      <c r="F27" s="6"/>
      <c r="G27" s="6"/>
    </row>
    <row r="28" customFormat="false" ht="15" hidden="false" customHeight="false" outlineLevel="0" collapsed="false">
      <c r="A28" s="5" t="n">
        <v>23</v>
      </c>
      <c r="B28" s="6"/>
      <c r="C28" s="6"/>
      <c r="E28" s="5" t="n">
        <v>23</v>
      </c>
      <c r="F28" s="6"/>
      <c r="G28" s="6"/>
    </row>
    <row r="29" customFormat="false" ht="15" hidden="false" customHeight="false" outlineLevel="0" collapsed="false">
      <c r="A29" s="5" t="n">
        <v>24</v>
      </c>
      <c r="B29" s="6"/>
      <c r="C29" s="6"/>
      <c r="E29" s="5" t="n">
        <v>24</v>
      </c>
      <c r="F29" s="6"/>
      <c r="G29" s="6"/>
    </row>
    <row r="30" customFormat="false" ht="15" hidden="false" customHeight="false" outlineLevel="0" collapsed="false">
      <c r="A30" s="5" t="n">
        <v>25</v>
      </c>
      <c r="B30" s="6"/>
      <c r="C30" s="6"/>
      <c r="E30" s="5" t="n">
        <v>25</v>
      </c>
      <c r="F30" s="6"/>
      <c r="G30" s="6"/>
    </row>
    <row r="31" customFormat="false" ht="15" hidden="false" customHeight="false" outlineLevel="0" collapsed="false">
      <c r="A31" s="5" t="n">
        <v>26</v>
      </c>
      <c r="B31" s="6"/>
      <c r="C31" s="6"/>
      <c r="E31" s="5" t="n">
        <v>26</v>
      </c>
      <c r="F31" s="6"/>
      <c r="G31" s="6"/>
    </row>
    <row r="32" customFormat="false" ht="15" hidden="false" customHeight="false" outlineLevel="0" collapsed="false">
      <c r="A32" s="5" t="n">
        <v>27</v>
      </c>
      <c r="B32" s="6"/>
      <c r="C32" s="6"/>
      <c r="E32" s="5" t="n">
        <v>27</v>
      </c>
      <c r="F32" s="6"/>
      <c r="G32" s="6"/>
    </row>
    <row r="33" customFormat="false" ht="15" hidden="false" customHeight="false" outlineLevel="0" collapsed="false">
      <c r="A33" s="5" t="n">
        <v>28</v>
      </c>
      <c r="B33" s="6"/>
      <c r="C33" s="6"/>
      <c r="E33" s="5" t="n">
        <v>28</v>
      </c>
      <c r="F33" s="6"/>
      <c r="G33" s="6"/>
    </row>
    <row r="34" customFormat="false" ht="15" hidden="false" customHeight="false" outlineLevel="0" collapsed="false">
      <c r="A34" s="5" t="n">
        <v>29</v>
      </c>
      <c r="B34" s="6"/>
      <c r="C34" s="6"/>
      <c r="E34" s="5" t="n">
        <v>29</v>
      </c>
      <c r="F34" s="6"/>
      <c r="G34" s="6"/>
    </row>
    <row r="35" customFormat="false" ht="15" hidden="false" customHeight="false" outlineLevel="0" collapsed="false">
      <c r="A35" s="5" t="n">
        <v>30</v>
      </c>
      <c r="B35" s="6"/>
      <c r="C35" s="6"/>
      <c r="E35" s="5" t="n">
        <v>30</v>
      </c>
      <c r="F35" s="6"/>
      <c r="G35" s="6"/>
    </row>
    <row r="36" customFormat="false" ht="15" hidden="false" customHeight="false" outlineLevel="0" collapsed="false">
      <c r="A36" s="5" t="n">
        <v>31</v>
      </c>
      <c r="B36" s="6"/>
      <c r="C36" s="6"/>
      <c r="E36" s="5" t="n">
        <v>31</v>
      </c>
      <c r="F36" s="6"/>
      <c r="G36" s="6"/>
    </row>
    <row r="37" customFormat="false" ht="15" hidden="false" customHeight="false" outlineLevel="0" collapsed="false">
      <c r="A37" s="5" t="n">
        <v>32</v>
      </c>
      <c r="B37" s="6"/>
      <c r="C37" s="6"/>
      <c r="E37" s="5" t="n">
        <v>32</v>
      </c>
      <c r="F37" s="6"/>
      <c r="G37" s="6"/>
    </row>
    <row r="38" customFormat="false" ht="15" hidden="false" customHeight="false" outlineLevel="0" collapsed="false">
      <c r="A38" s="5" t="n">
        <v>33</v>
      </c>
      <c r="B38" s="6"/>
      <c r="C38" s="6"/>
      <c r="E38" s="5" t="n">
        <v>33</v>
      </c>
      <c r="F38" s="6"/>
      <c r="G38" s="6"/>
    </row>
    <row r="39" customFormat="false" ht="15" hidden="false" customHeight="false" outlineLevel="0" collapsed="false">
      <c r="A39" s="5" t="n">
        <v>34</v>
      </c>
      <c r="B39" s="6"/>
      <c r="C39" s="6"/>
      <c r="E39" s="5" t="n">
        <v>34</v>
      </c>
      <c r="F39" s="6"/>
      <c r="G39" s="6"/>
    </row>
    <row r="40" customFormat="false" ht="15" hidden="false" customHeight="false" outlineLevel="0" collapsed="false">
      <c r="A40" s="5" t="n">
        <v>35</v>
      </c>
      <c r="B40" s="6"/>
      <c r="C40" s="6"/>
      <c r="E40" s="5" t="n">
        <v>35</v>
      </c>
      <c r="F40" s="6"/>
      <c r="G40" s="6"/>
    </row>
    <row r="41" customFormat="false" ht="15" hidden="false" customHeight="false" outlineLevel="0" collapsed="false">
      <c r="A41" s="5" t="n">
        <v>36</v>
      </c>
      <c r="B41" s="6"/>
      <c r="C41" s="6"/>
      <c r="E41" s="5" t="n">
        <v>36</v>
      </c>
      <c r="F41" s="6"/>
      <c r="G41" s="6"/>
    </row>
    <row r="42" customFormat="false" ht="15" hidden="false" customHeight="false" outlineLevel="0" collapsed="false">
      <c r="A42" s="5" t="n">
        <v>37</v>
      </c>
      <c r="B42" s="6"/>
      <c r="C42" s="6"/>
      <c r="E42" s="5" t="n">
        <v>37</v>
      </c>
      <c r="F42" s="6"/>
      <c r="G42" s="6"/>
    </row>
    <row r="43" customFormat="false" ht="15" hidden="false" customHeight="false" outlineLevel="0" collapsed="false">
      <c r="A43" s="5" t="n">
        <v>38</v>
      </c>
      <c r="B43" s="6"/>
      <c r="C43" s="6"/>
      <c r="E43" s="5" t="n">
        <v>38</v>
      </c>
      <c r="F43" s="6"/>
      <c r="G43" s="6"/>
    </row>
    <row r="44" customFormat="false" ht="15" hidden="false" customHeight="false" outlineLevel="0" collapsed="false">
      <c r="A44" s="5" t="n">
        <v>39</v>
      </c>
      <c r="B44" s="6"/>
      <c r="C44" s="6"/>
      <c r="E44" s="5" t="n">
        <v>39</v>
      </c>
      <c r="F44" s="6"/>
      <c r="G44" s="6"/>
    </row>
    <row r="45" customFormat="false" ht="15" hidden="false" customHeight="false" outlineLevel="0" collapsed="false">
      <c r="A45" s="5" t="n">
        <v>40</v>
      </c>
      <c r="B45" s="6"/>
      <c r="C45" s="6"/>
      <c r="E45" s="5" t="n">
        <v>40</v>
      </c>
      <c r="F45" s="6"/>
      <c r="G45" s="6"/>
    </row>
    <row r="46" customFormat="false" ht="15" hidden="false" customHeight="false" outlineLevel="0" collapsed="false">
      <c r="A46" s="5" t="n">
        <v>41</v>
      </c>
      <c r="B46" s="6"/>
      <c r="C46" s="6"/>
      <c r="E46" s="5" t="n">
        <v>41</v>
      </c>
      <c r="F46" s="6"/>
      <c r="G46" s="6"/>
    </row>
    <row r="47" customFormat="false" ht="15" hidden="false" customHeight="false" outlineLevel="0" collapsed="false">
      <c r="A47" s="5" t="n">
        <v>42</v>
      </c>
      <c r="B47" s="6"/>
      <c r="C47" s="6"/>
      <c r="E47" s="5" t="n">
        <v>42</v>
      </c>
      <c r="F47" s="6"/>
      <c r="G47" s="6"/>
    </row>
    <row r="48" customFormat="false" ht="15" hidden="false" customHeight="false" outlineLevel="0" collapsed="false">
      <c r="A48" s="5" t="n">
        <v>43</v>
      </c>
      <c r="B48" s="6"/>
      <c r="C48" s="6"/>
      <c r="E48" s="5" t="n">
        <v>43</v>
      </c>
      <c r="F48" s="6"/>
      <c r="G48" s="6"/>
    </row>
    <row r="49" customFormat="false" ht="15" hidden="false" customHeight="false" outlineLevel="0" collapsed="false">
      <c r="A49" s="5" t="n">
        <v>44</v>
      </c>
      <c r="B49" s="6"/>
      <c r="C49" s="6"/>
      <c r="E49" s="5" t="n">
        <v>44</v>
      </c>
      <c r="F49" s="6"/>
      <c r="G49" s="6"/>
    </row>
    <row r="50" customFormat="false" ht="15" hidden="false" customHeight="false" outlineLevel="0" collapsed="false">
      <c r="A50" s="5" t="n">
        <v>45</v>
      </c>
      <c r="B50" s="6"/>
      <c r="C50" s="6"/>
      <c r="E50" s="5" t="n">
        <v>45</v>
      </c>
      <c r="F50" s="6"/>
      <c r="G50" s="6"/>
    </row>
    <row r="51" customFormat="false" ht="15" hidden="false" customHeight="false" outlineLevel="0" collapsed="false">
      <c r="A51" s="5" t="n">
        <v>46</v>
      </c>
      <c r="B51" s="6"/>
      <c r="C51" s="6"/>
      <c r="E51" s="5" t="n">
        <v>46</v>
      </c>
      <c r="F51" s="6"/>
      <c r="G51" s="6"/>
    </row>
    <row r="52" customFormat="false" ht="15" hidden="false" customHeight="false" outlineLevel="0" collapsed="false">
      <c r="A52" s="5" t="n">
        <v>47</v>
      </c>
      <c r="B52" s="6"/>
      <c r="C52" s="6"/>
      <c r="E52" s="5" t="n">
        <v>47</v>
      </c>
      <c r="F52" s="6"/>
      <c r="G52" s="6"/>
    </row>
    <row r="53" customFormat="false" ht="15" hidden="false" customHeight="false" outlineLevel="0" collapsed="false">
      <c r="A53" s="5" t="n">
        <v>48</v>
      </c>
      <c r="B53" s="6"/>
      <c r="C53" s="6"/>
      <c r="E53" s="5" t="n">
        <v>48</v>
      </c>
      <c r="F53" s="6"/>
      <c r="G53" s="6"/>
    </row>
    <row r="54" customFormat="false" ht="15" hidden="false" customHeight="false" outlineLevel="0" collapsed="false">
      <c r="A54" s="5" t="n">
        <v>49</v>
      </c>
      <c r="B54" s="6"/>
      <c r="C54" s="6"/>
      <c r="E54" s="5" t="n">
        <v>49</v>
      </c>
      <c r="F54" s="6"/>
      <c r="G54" s="6"/>
    </row>
    <row r="55" customFormat="false" ht="15" hidden="false" customHeight="false" outlineLevel="0" collapsed="false">
      <c r="A55" s="5" t="n">
        <v>50</v>
      </c>
      <c r="B55" s="6"/>
      <c r="C55" s="6"/>
      <c r="E55" s="5" t="n">
        <v>50</v>
      </c>
      <c r="F55" s="6"/>
      <c r="G55" s="6"/>
    </row>
  </sheetData>
  <mergeCells count="4">
    <mergeCell ref="A1:G1"/>
    <mergeCell ref="A2:G2"/>
    <mergeCell ref="A4:C4"/>
    <mergeCell ref="E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30"/>
  </cols>
  <sheetData>
    <row r="1" customFormat="false" ht="17.35" hidden="false" customHeight="true" outlineLevel="0" collapsed="false">
      <c r="A1" s="1" t="s">
        <v>11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</row>
    <row r="5" customFormat="false" ht="15" hidden="false" customHeight="false" outlineLevel="0" collapsed="false">
      <c r="A5" s="8" t="s">
        <v>18</v>
      </c>
      <c r="B5" s="3" t="s">
        <v>19</v>
      </c>
      <c r="C5" s="9" t="str">
        <f aca="false">MID(IF('Eng Oct 2026'!A8=1,", "&amp;'Eng Oct 2026'!B8,"")&amp;IF('Eng Oct 2026'!A9=1,", "&amp;'Eng Oct 2026'!B9,"")&amp;IF('Eng Oct 2026'!A10=1,", "&amp;'Eng Oct 2026'!B10,"")&amp;IF('Eng Oct 2026'!A11=1,", "&amp;'Eng Oct 2026'!B11,""),3,999)</f>
        <v/>
      </c>
      <c r="D5" s="9" t="str">
        <f aca="false">MID(IF('Eng Oct 2026'!A8=2,", "&amp;'Eng Oct 2026'!B8,"")&amp;IF('Eng Oct 2026'!A9=2,", "&amp;'Eng Oct 2026'!B9,"")&amp;IF('Eng Oct 2026'!A10=2,", "&amp;'Eng Oct 2026'!B10,"")&amp;IF('Eng Oct 2026'!A11=2,", "&amp;'Eng Oct 2026'!B11,""),3,999)</f>
        <v/>
      </c>
      <c r="E5" s="9" t="str">
        <f aca="false">MID(IF('Eng Oct 2026'!A8=3,", "&amp;'Eng Oct 2026'!B8,"")&amp;IF('Eng Oct 2026'!A9=3,", "&amp;'Eng Oct 2026'!B9,"")&amp;IF('Eng Oct 2026'!A10=3,", "&amp;'Eng Oct 2026'!B10,"")&amp;IF('Eng Oct 2026'!A11=3,", "&amp;'Eng Oct 2026'!B11,""),3,999)</f>
        <v/>
      </c>
    </row>
    <row r="6" customFormat="false" ht="15" hidden="false" customHeight="false" outlineLevel="0" collapsed="false">
      <c r="A6" s="8" t="s">
        <v>18</v>
      </c>
      <c r="B6" s="4" t="s">
        <v>20</v>
      </c>
      <c r="C6" s="9" t="str">
        <f aca="false">MID(IF('Com Oct 2026'!A8=1,", "&amp;'Com Oct 2026'!B8,"")&amp;IF('Com Oct 2026'!A9=1,", "&amp;'Com Oct 2026'!B9,"")&amp;IF('Com Oct 2026'!A10=1,", "&amp;'Com Oct 2026'!B10,"")&amp;IF('Com Oct 2026'!A11=1,", "&amp;'Com Oct 2026'!B11,""),3,999)</f>
        <v/>
      </c>
      <c r="D6" s="9" t="str">
        <f aca="false">MID(IF('Com Oct 2026'!A8=2,", "&amp;'Com Oct 2026'!B8,"")&amp;IF('Com Oct 2026'!A9=2,", "&amp;'Com Oct 2026'!B9,"")&amp;IF('Com Oct 2026'!A10=2,", "&amp;'Com Oct 2026'!B10,"")&amp;IF('Com Oct 2026'!A11=2,", "&amp;'Com Oct 2026'!B11,""),3,999)</f>
        <v/>
      </c>
      <c r="E6" s="9" t="str">
        <f aca="false">MID(IF('Com Oct 2026'!A8=3,", "&amp;'Com Oct 2026'!B8,"")&amp;IF('Com Oct 2026'!A9=3,", "&amp;'Com Oct 2026'!B9,"")&amp;IF('Com Oct 2026'!A10=3,", "&amp;'Com Oct 2026'!B10,"")&amp;IF('Com Oct 2026'!A11=3,", "&amp;'Com Oct 2026'!B11,""),3,999)</f>
        <v/>
      </c>
    </row>
    <row r="7" customFormat="false" ht="15" hidden="false" customHeight="false" outlineLevel="0" collapsed="false">
      <c r="A7" s="8" t="s">
        <v>21</v>
      </c>
      <c r="B7" s="3" t="s">
        <v>19</v>
      </c>
      <c r="C7" s="9" t="str">
        <f aca="false">MID(IF('Eng Nov 2026'!A8=1,", "&amp;'Eng Nov 2026'!B8,"")&amp;IF('Eng Nov 2026'!A9=1,", "&amp;'Eng Nov 2026'!B9,"")&amp;IF('Eng Nov 2026'!A10=1,", "&amp;'Eng Nov 2026'!B10,"")&amp;IF('Eng Nov 2026'!A11=1,", "&amp;'Eng Nov 2026'!B11,""),3,999)</f>
        <v/>
      </c>
      <c r="D7" s="9" t="str">
        <f aca="false">MID(IF('Eng Nov 2026'!A8=2,", "&amp;'Eng Nov 2026'!B8,"")&amp;IF('Eng Nov 2026'!A9=2,", "&amp;'Eng Nov 2026'!B9,"")&amp;IF('Eng Nov 2026'!A10=2,", "&amp;'Eng Nov 2026'!B10,"")&amp;IF('Eng Nov 2026'!A11=2,", "&amp;'Eng Nov 2026'!B11,""),3,999)</f>
        <v/>
      </c>
      <c r="E7" s="9" t="str">
        <f aca="false">MID(IF('Eng Nov 2026'!A8=3,", "&amp;'Eng Nov 2026'!B8,"")&amp;IF('Eng Nov 2026'!A9=3,", "&amp;'Eng Nov 2026'!B9,"")&amp;IF('Eng Nov 2026'!A10=3,", "&amp;'Eng Nov 2026'!B10,"")&amp;IF('Eng Nov 2026'!A11=3,", "&amp;'Eng Nov 2026'!B11,""),3,999)</f>
        <v/>
      </c>
    </row>
    <row r="8" customFormat="false" ht="15" hidden="false" customHeight="false" outlineLevel="0" collapsed="false">
      <c r="A8" s="8" t="s">
        <v>21</v>
      </c>
      <c r="B8" s="4" t="s">
        <v>20</v>
      </c>
      <c r="C8" s="9" t="str">
        <f aca="false">MID(IF('Com Nov 2026'!A8=1,", "&amp;'Com Nov 2026'!B8,"")&amp;IF('Com Nov 2026'!A9=1,", "&amp;'Com Nov 2026'!B9,"")&amp;IF('Com Nov 2026'!A10=1,", "&amp;'Com Nov 2026'!B10,"")&amp;IF('Com Nov 2026'!A11=1,", "&amp;'Com Nov 2026'!B11,""),3,999)</f>
        <v/>
      </c>
      <c r="D8" s="9" t="str">
        <f aca="false">MID(IF('Com Nov 2026'!A8=2,", "&amp;'Com Nov 2026'!B8,"")&amp;IF('Com Nov 2026'!A9=2,", "&amp;'Com Nov 2026'!B9,"")&amp;IF('Com Nov 2026'!A10=2,", "&amp;'Com Nov 2026'!B10,"")&amp;IF('Com Nov 2026'!A11=2,", "&amp;'Com Nov 2026'!B11,""),3,999)</f>
        <v/>
      </c>
      <c r="E8" s="9" t="str">
        <f aca="false">MID(IF('Com Nov 2026'!A8=3,", "&amp;'Com Nov 2026'!B8,"")&amp;IF('Com Nov 2026'!A9=3,", "&amp;'Com Nov 2026'!B9,"")&amp;IF('Com Nov 2026'!A10=3,", "&amp;'Com Nov 2026'!B10,"")&amp;IF('Com Nov 2026'!A11=3,", "&amp;'Com Nov 2026'!B11,""),3,999)</f>
        <v/>
      </c>
    </row>
    <row r="9" customFormat="false" ht="15" hidden="false" customHeight="false" outlineLevel="0" collapsed="false">
      <c r="A9" s="8" t="s">
        <v>22</v>
      </c>
      <c r="B9" s="3" t="s">
        <v>19</v>
      </c>
      <c r="C9" s="9" t="str">
        <f aca="false">MID(IF('Eng Dec 2026'!A8=1,", "&amp;'Eng Dec 2026'!B8,"")&amp;IF('Eng Dec 2026'!A9=1,", "&amp;'Eng Dec 2026'!B9,"")&amp;IF('Eng Dec 2026'!A10=1,", "&amp;'Eng Dec 2026'!B10,"")&amp;IF('Eng Dec 2026'!A11=1,", "&amp;'Eng Dec 2026'!B11,""),3,999)</f>
        <v/>
      </c>
      <c r="D9" s="9" t="str">
        <f aca="false">MID(IF('Eng Dec 2026'!A8=2,", "&amp;'Eng Dec 2026'!B8,"")&amp;IF('Eng Dec 2026'!A9=2,", "&amp;'Eng Dec 2026'!B9,"")&amp;IF('Eng Dec 2026'!A10=2,", "&amp;'Eng Dec 2026'!B10,"")&amp;IF('Eng Dec 2026'!A11=2,", "&amp;'Eng Dec 2026'!B11,""),3,999)</f>
        <v/>
      </c>
      <c r="E9" s="9" t="str">
        <f aca="false">MID(IF('Eng Dec 2026'!A8=3,", "&amp;'Eng Dec 2026'!B8,"")&amp;IF('Eng Dec 2026'!A9=3,", "&amp;'Eng Dec 2026'!B9,"")&amp;IF('Eng Dec 2026'!A10=3,", "&amp;'Eng Dec 2026'!B10,"")&amp;IF('Eng Dec 2026'!A11=3,", "&amp;'Eng Dec 2026'!B11,""),3,999)</f>
        <v/>
      </c>
    </row>
    <row r="10" customFormat="false" ht="15" hidden="false" customHeight="false" outlineLevel="0" collapsed="false">
      <c r="A10" s="8" t="s">
        <v>22</v>
      </c>
      <c r="B10" s="4" t="s">
        <v>20</v>
      </c>
      <c r="C10" s="9" t="str">
        <f aca="false">MID(IF('Com Dec 2026'!A8=1,", "&amp;'Com Dec 2026'!B8,"")&amp;IF('Com Dec 2026'!A9=1,", "&amp;'Com Dec 2026'!B9,"")&amp;IF('Com Dec 2026'!A10=1,", "&amp;'Com Dec 2026'!B10,"")&amp;IF('Com Dec 2026'!A11=1,", "&amp;'Com Dec 2026'!B11,""),3,999)</f>
        <v/>
      </c>
      <c r="D10" s="9" t="str">
        <f aca="false">MID(IF('Com Dec 2026'!A8=2,", "&amp;'Com Dec 2026'!B8,"")&amp;IF('Com Dec 2026'!A9=2,", "&amp;'Com Dec 2026'!B9,"")&amp;IF('Com Dec 2026'!A10=2,", "&amp;'Com Dec 2026'!B10,"")&amp;IF('Com Dec 2026'!A11=2,", "&amp;'Com Dec 2026'!B11,""),3,999)</f>
        <v/>
      </c>
      <c r="E10" s="9" t="str">
        <f aca="false">MID(IF('Com Dec 2026'!A8=3,", "&amp;'Com Dec 2026'!B8,"")&amp;IF('Com Dec 2026'!A9=3,", "&amp;'Com Dec 2026'!B9,"")&amp;IF('Com Dec 2026'!A10=3,", "&amp;'Com Dec 2026'!B10,"")&amp;IF('Com Dec 2026'!A11=3,", "&amp;'Com Dec 2026'!B11,""),3,999)</f>
        <v/>
      </c>
    </row>
    <row r="11" customFormat="false" ht="15" hidden="false" customHeight="false" outlineLevel="0" collapsed="false">
      <c r="A11" s="8" t="s">
        <v>23</v>
      </c>
      <c r="B11" s="3" t="s">
        <v>19</v>
      </c>
      <c r="C11" s="9" t="str">
        <f aca="false">MID(IF('Eng Jan 2027'!A8=1,", "&amp;'Eng Jan 2027'!B8,"")&amp;IF('Eng Jan 2027'!A9=1,", "&amp;'Eng Jan 2027'!B9,"")&amp;IF('Eng Jan 2027'!A10=1,", "&amp;'Eng Jan 2027'!B10,"")&amp;IF('Eng Jan 2027'!A11=1,", "&amp;'Eng Jan 2027'!B11,""),3,999)</f>
        <v/>
      </c>
      <c r="D11" s="9" t="str">
        <f aca="false">MID(IF('Eng Jan 2027'!A8=2,", "&amp;'Eng Jan 2027'!B8,"")&amp;IF('Eng Jan 2027'!A9=2,", "&amp;'Eng Jan 2027'!B9,"")&amp;IF('Eng Jan 2027'!A10=2,", "&amp;'Eng Jan 2027'!B10,"")&amp;IF('Eng Jan 2027'!A11=2,", "&amp;'Eng Jan 2027'!B11,""),3,999)</f>
        <v/>
      </c>
      <c r="E11" s="9" t="str">
        <f aca="false">MID(IF('Eng Jan 2027'!A8=3,", "&amp;'Eng Jan 2027'!B8,"")&amp;IF('Eng Jan 2027'!A9=3,", "&amp;'Eng Jan 2027'!B9,"")&amp;IF('Eng Jan 2027'!A10=3,", "&amp;'Eng Jan 2027'!B10,"")&amp;IF('Eng Jan 2027'!A11=3,", "&amp;'Eng Jan 2027'!B11,""),3,999)</f>
        <v/>
      </c>
    </row>
    <row r="12" customFormat="false" ht="15" hidden="false" customHeight="false" outlineLevel="0" collapsed="false">
      <c r="A12" s="8" t="s">
        <v>23</v>
      </c>
      <c r="B12" s="4" t="s">
        <v>20</v>
      </c>
      <c r="C12" s="9" t="str">
        <f aca="false">MID(IF('Com Jan 2027'!A8=1,", "&amp;'Com Jan 2027'!B8,"")&amp;IF('Com Jan 2027'!A9=1,", "&amp;'Com Jan 2027'!B9,"")&amp;IF('Com Jan 2027'!A10=1,", "&amp;'Com Jan 2027'!B10,"")&amp;IF('Com Jan 2027'!A11=1,", "&amp;'Com Jan 2027'!B11,""),3,999)</f>
        <v/>
      </c>
      <c r="D12" s="9" t="str">
        <f aca="false">MID(IF('Com Jan 2027'!A8=2,", "&amp;'Com Jan 2027'!B8,"")&amp;IF('Com Jan 2027'!A9=2,", "&amp;'Com Jan 2027'!B9,"")&amp;IF('Com Jan 2027'!A10=2,", "&amp;'Com Jan 2027'!B10,"")&amp;IF('Com Jan 2027'!A11=2,", "&amp;'Com Jan 2027'!B11,""),3,999)</f>
        <v/>
      </c>
      <c r="E12" s="9" t="str">
        <f aca="false">MID(IF('Com Jan 2027'!A8=3,", "&amp;'Com Jan 2027'!B8,"")&amp;IF('Com Jan 2027'!A9=3,", "&amp;'Com Jan 2027'!B9,"")&amp;IF('Com Jan 2027'!A10=3,", "&amp;'Com Jan 2027'!B10,"")&amp;IF('Com Jan 2027'!A11=3,", "&amp;'Com Jan 2027'!B11,""),3,999)</f>
        <v/>
      </c>
    </row>
    <row r="13" customFormat="false" ht="15" hidden="false" customHeight="false" outlineLevel="0" collapsed="false">
      <c r="A13" s="8" t="s">
        <v>24</v>
      </c>
      <c r="B13" s="3" t="s">
        <v>19</v>
      </c>
      <c r="C13" s="9" t="str">
        <f aca="false">MID(IF('Eng Feb 2027'!A8=1,", "&amp;'Eng Feb 2027'!B8,"")&amp;IF('Eng Feb 2027'!A9=1,", "&amp;'Eng Feb 2027'!B9,"")&amp;IF('Eng Feb 2027'!A10=1,", "&amp;'Eng Feb 2027'!B10,"")&amp;IF('Eng Feb 2027'!A11=1,", "&amp;'Eng Feb 2027'!B11,""),3,999)</f>
        <v/>
      </c>
      <c r="D13" s="9" t="str">
        <f aca="false">MID(IF('Eng Feb 2027'!A8=2,", "&amp;'Eng Feb 2027'!B8,"")&amp;IF('Eng Feb 2027'!A9=2,", "&amp;'Eng Feb 2027'!B9,"")&amp;IF('Eng Feb 2027'!A10=2,", "&amp;'Eng Feb 2027'!B10,"")&amp;IF('Eng Feb 2027'!A11=2,", "&amp;'Eng Feb 2027'!B11,""),3,999)</f>
        <v/>
      </c>
      <c r="E13" s="9" t="str">
        <f aca="false">MID(IF('Eng Feb 2027'!A8=3,", "&amp;'Eng Feb 2027'!B8,"")&amp;IF('Eng Feb 2027'!A9=3,", "&amp;'Eng Feb 2027'!B9,"")&amp;IF('Eng Feb 2027'!A10=3,", "&amp;'Eng Feb 2027'!B10,"")&amp;IF('Eng Feb 2027'!A11=3,", "&amp;'Eng Feb 2027'!B11,""),3,999)</f>
        <v/>
      </c>
    </row>
    <row r="14" customFormat="false" ht="15" hidden="false" customHeight="false" outlineLevel="0" collapsed="false">
      <c r="A14" s="8" t="s">
        <v>24</v>
      </c>
      <c r="B14" s="4" t="s">
        <v>20</v>
      </c>
      <c r="C14" s="9" t="str">
        <f aca="false">MID(IF('Com Feb 2027'!A8=1,", "&amp;'Com Feb 2027'!B8,"")&amp;IF('Com Feb 2027'!A9=1,", "&amp;'Com Feb 2027'!B9,"")&amp;IF('Com Feb 2027'!A10=1,", "&amp;'Com Feb 2027'!B10,"")&amp;IF('Com Feb 2027'!A11=1,", "&amp;'Com Feb 2027'!B11,""),3,999)</f>
        <v/>
      </c>
      <c r="D14" s="9" t="str">
        <f aca="false">MID(IF('Com Feb 2027'!A8=2,", "&amp;'Com Feb 2027'!B8,"")&amp;IF('Com Feb 2027'!A9=2,", "&amp;'Com Feb 2027'!B9,"")&amp;IF('Com Feb 2027'!A10=2,", "&amp;'Com Feb 2027'!B10,"")&amp;IF('Com Feb 2027'!A11=2,", "&amp;'Com Feb 2027'!B11,""),3,999)</f>
        <v/>
      </c>
      <c r="E14" s="9" t="str">
        <f aca="false">MID(IF('Com Feb 2027'!A8=3,", "&amp;'Com Feb 2027'!B8,"")&amp;IF('Com Feb 2027'!A9=3,", "&amp;'Com Feb 2027'!B9,"")&amp;IF('Com Feb 2027'!A10=3,", "&amp;'Com Feb 2027'!B10,"")&amp;IF('Com Feb 2027'!A11=3,", "&amp;'Com Feb 2027'!B11,""),3,999)</f>
        <v/>
      </c>
    </row>
    <row r="15" customFormat="false" ht="15" hidden="false" customHeight="false" outlineLevel="0" collapsed="false">
      <c r="A15" s="8" t="s">
        <v>25</v>
      </c>
      <c r="B15" s="3" t="s">
        <v>19</v>
      </c>
      <c r="C15" s="9" t="str">
        <f aca="false">MID(IF('Eng Mar 2027'!A8=1,", "&amp;'Eng Mar 2027'!B8,"")&amp;IF('Eng Mar 2027'!A9=1,", "&amp;'Eng Mar 2027'!B9,"")&amp;IF('Eng Mar 2027'!A10=1,", "&amp;'Eng Mar 2027'!B10,"")&amp;IF('Eng Mar 2027'!A11=1,", "&amp;'Eng Mar 2027'!B11,""),3,999)</f>
        <v/>
      </c>
      <c r="D15" s="9" t="str">
        <f aca="false">MID(IF('Eng Mar 2027'!A8=2,", "&amp;'Eng Mar 2027'!B8,"")&amp;IF('Eng Mar 2027'!A9=2,", "&amp;'Eng Mar 2027'!B9,"")&amp;IF('Eng Mar 2027'!A10=2,", "&amp;'Eng Mar 2027'!B10,"")&amp;IF('Eng Mar 2027'!A11=2,", "&amp;'Eng Mar 2027'!B11,""),3,999)</f>
        <v/>
      </c>
      <c r="E15" s="9" t="str">
        <f aca="false">MID(IF('Eng Mar 2027'!A8=3,", "&amp;'Eng Mar 2027'!B8,"")&amp;IF('Eng Mar 2027'!A9=3,", "&amp;'Eng Mar 2027'!B9,"")&amp;IF('Eng Mar 2027'!A10=3,", "&amp;'Eng Mar 2027'!B10,"")&amp;IF('Eng Mar 2027'!A11=3,", "&amp;'Eng Mar 2027'!B11,""),3,999)</f>
        <v/>
      </c>
    </row>
    <row r="16" customFormat="false" ht="15" hidden="false" customHeight="false" outlineLevel="0" collapsed="false">
      <c r="A16" s="8" t="s">
        <v>25</v>
      </c>
      <c r="B16" s="4" t="s">
        <v>20</v>
      </c>
      <c r="C16" s="9" t="str">
        <f aca="false">MID(IF('Com Mar 2027'!A8=1,", "&amp;'Com Mar 2027'!B8,"")&amp;IF('Com Mar 2027'!A9=1,", "&amp;'Com Mar 2027'!B9,"")&amp;IF('Com Mar 2027'!A10=1,", "&amp;'Com Mar 2027'!B10,"")&amp;IF('Com Mar 2027'!A11=1,", "&amp;'Com Mar 2027'!B11,""),3,999)</f>
        <v/>
      </c>
      <c r="D16" s="9" t="str">
        <f aca="false">MID(IF('Com Mar 2027'!A8=2,", "&amp;'Com Mar 2027'!B8,"")&amp;IF('Com Mar 2027'!A9=2,", "&amp;'Com Mar 2027'!B9,"")&amp;IF('Com Mar 2027'!A10=2,", "&amp;'Com Mar 2027'!B10,"")&amp;IF('Com Mar 2027'!A11=2,", "&amp;'Com Mar 2027'!B11,""),3,999)</f>
        <v/>
      </c>
      <c r="E16" s="9" t="str">
        <f aca="false">MID(IF('Com Mar 2027'!A8=3,", "&amp;'Com Mar 2027'!B8,"")&amp;IF('Com Mar 2027'!A9=3,", "&amp;'Com Mar 2027'!B9,"")&amp;IF('Com Mar 2027'!A10=3,", "&amp;'Com Mar 2027'!B10,"")&amp;IF('Com Mar 2027'!A11=3,", "&amp;'Com Mar 2027'!B11,""),3,999)</f>
        <v/>
      </c>
    </row>
    <row r="17" customFormat="false" ht="15" hidden="false" customHeight="false" outlineLevel="0" collapsed="false">
      <c r="A17" s="8" t="s">
        <v>26</v>
      </c>
      <c r="B17" s="3" t="s">
        <v>19</v>
      </c>
      <c r="C17" s="9" t="str">
        <f aca="false">MID(IF('Eng Apr 2027'!A8=1,", "&amp;'Eng Apr 2027'!B8,"")&amp;IF('Eng Apr 2027'!A9=1,", "&amp;'Eng Apr 2027'!B9,"")&amp;IF('Eng Apr 2027'!A10=1,", "&amp;'Eng Apr 2027'!B10,"")&amp;IF('Eng Apr 2027'!A11=1,", "&amp;'Eng Apr 2027'!B11,""),3,999)</f>
        <v/>
      </c>
      <c r="D17" s="9" t="str">
        <f aca="false">MID(IF('Eng Apr 2027'!A8=2,", "&amp;'Eng Apr 2027'!B8,"")&amp;IF('Eng Apr 2027'!A9=2,", "&amp;'Eng Apr 2027'!B9,"")&amp;IF('Eng Apr 2027'!A10=2,", "&amp;'Eng Apr 2027'!B10,"")&amp;IF('Eng Apr 2027'!A11=2,", "&amp;'Eng Apr 2027'!B11,""),3,999)</f>
        <v/>
      </c>
      <c r="E17" s="9" t="str">
        <f aca="false">MID(IF('Eng Apr 2027'!A8=3,", "&amp;'Eng Apr 2027'!B8,"")&amp;IF('Eng Apr 2027'!A9=3,", "&amp;'Eng Apr 2027'!B9,"")&amp;IF('Eng Apr 2027'!A10=3,", "&amp;'Eng Apr 2027'!B10,"")&amp;IF('Eng Apr 2027'!A11=3,", "&amp;'Eng Apr 2027'!B11,""),3,999)</f>
        <v/>
      </c>
    </row>
    <row r="18" customFormat="false" ht="15" hidden="false" customHeight="false" outlineLevel="0" collapsed="false">
      <c r="A18" s="8" t="s">
        <v>26</v>
      </c>
      <c r="B18" s="4" t="s">
        <v>20</v>
      </c>
      <c r="C18" s="9" t="str">
        <f aca="false">MID(IF('Com Apr 2027'!A8=1,", "&amp;'Com Apr 2027'!B8,"")&amp;IF('Com Apr 2027'!A9=1,", "&amp;'Com Apr 2027'!B9,"")&amp;IF('Com Apr 2027'!A10=1,", "&amp;'Com Apr 2027'!B10,"")&amp;IF('Com Apr 2027'!A11=1,", "&amp;'Com Apr 2027'!B11,""),3,999)</f>
        <v/>
      </c>
      <c r="D18" s="9" t="str">
        <f aca="false">MID(IF('Com Apr 2027'!A8=2,", "&amp;'Com Apr 2027'!B8,"")&amp;IF('Com Apr 2027'!A9=2,", "&amp;'Com Apr 2027'!B9,"")&amp;IF('Com Apr 2027'!A10=2,", "&amp;'Com Apr 2027'!B10,"")&amp;IF('Com Apr 2027'!A11=2,", "&amp;'Com Apr 2027'!B11,""),3,999)</f>
        <v/>
      </c>
      <c r="E18" s="9" t="str">
        <f aca="false">MID(IF('Com Apr 2027'!A8=3,", "&amp;'Com Apr 2027'!B8,"")&amp;IF('Com Apr 2027'!A9=3,", "&amp;'Com Apr 2027'!B9,"")&amp;IF('Com Apr 2027'!A10=3,", "&amp;'Com Apr 2027'!B10,"")&amp;IF('Com Apr 2027'!A11=3,", "&amp;'Com Apr 2027'!B11,""),3,999)</f>
        <v/>
      </c>
    </row>
    <row r="19" customFormat="false" ht="15" hidden="false" customHeight="false" outlineLevel="0" collapsed="false">
      <c r="A19" s="8" t="s">
        <v>27</v>
      </c>
      <c r="B19" s="3" t="s">
        <v>19</v>
      </c>
      <c r="C19" s="9" t="str">
        <f aca="false">MID(IF('Eng May 2027'!A8=1,", "&amp;'Eng May 2027'!B8,"")&amp;IF('Eng May 2027'!A9=1,", "&amp;'Eng May 2027'!B9,"")&amp;IF('Eng May 2027'!A10=1,", "&amp;'Eng May 2027'!B10,"")&amp;IF('Eng May 2027'!A11=1,", "&amp;'Eng May 2027'!B11,""),3,999)</f>
        <v/>
      </c>
      <c r="D19" s="9" t="str">
        <f aca="false">MID(IF('Eng May 2027'!A8=2,", "&amp;'Eng May 2027'!B8,"")&amp;IF('Eng May 2027'!A9=2,", "&amp;'Eng May 2027'!B9,"")&amp;IF('Eng May 2027'!A10=2,", "&amp;'Eng May 2027'!B10,"")&amp;IF('Eng May 2027'!A11=2,", "&amp;'Eng May 2027'!B11,""),3,999)</f>
        <v/>
      </c>
      <c r="E19" s="9" t="str">
        <f aca="false">MID(IF('Eng May 2027'!A8=3,", "&amp;'Eng May 2027'!B8,"")&amp;IF('Eng May 2027'!A9=3,", "&amp;'Eng May 2027'!B9,"")&amp;IF('Eng May 2027'!A10=3,", "&amp;'Eng May 2027'!B10,"")&amp;IF('Eng May 2027'!A11=3,", "&amp;'Eng May 2027'!B11,""),3,999)</f>
        <v/>
      </c>
    </row>
    <row r="20" customFormat="false" ht="15" hidden="false" customHeight="false" outlineLevel="0" collapsed="false">
      <c r="A20" s="8" t="s">
        <v>27</v>
      </c>
      <c r="B20" s="4" t="s">
        <v>20</v>
      </c>
      <c r="C20" s="9" t="str">
        <f aca="false">MID(IF('Com May 2027'!A8=1,", "&amp;'Com May 2027'!B8,"")&amp;IF('Com May 2027'!A9=1,", "&amp;'Com May 2027'!B9,"")&amp;IF('Com May 2027'!A10=1,", "&amp;'Com May 2027'!B10,"")&amp;IF('Com May 2027'!A11=1,", "&amp;'Com May 2027'!B11,""),3,999)</f>
        <v/>
      </c>
      <c r="D20" s="9" t="str">
        <f aca="false">MID(IF('Com May 2027'!A8=2,", "&amp;'Com May 2027'!B8,"")&amp;IF('Com May 2027'!A9=2,", "&amp;'Com May 2027'!B9,"")&amp;IF('Com May 2027'!A10=2,", "&amp;'Com May 2027'!B10,"")&amp;IF('Com May 2027'!A11=2,", "&amp;'Com May 2027'!B11,""),3,999)</f>
        <v/>
      </c>
      <c r="E20" s="9" t="str">
        <f aca="false">MID(IF('Com May 2027'!A8=3,", "&amp;'Com May 2027'!B8,"")&amp;IF('Com May 2027'!A9=3,", "&amp;'Com May 2027'!B9,"")&amp;IF('Com May 2027'!A10=3,", "&amp;'Com May 2027'!B10,"")&amp;IF('Com May 2027'!A11=3,", "&amp;'Com May 2027'!B11,""),3,999)</f>
        <v/>
      </c>
    </row>
    <row r="21" customFormat="false" ht="15" hidden="false" customHeight="false" outlineLevel="0" collapsed="false">
      <c r="A21" s="8" t="s">
        <v>28</v>
      </c>
      <c r="B21" s="3" t="s">
        <v>19</v>
      </c>
      <c r="C21" s="9" t="str">
        <f aca="false">MID(IF('Eng Jun 2027'!A8=1,", "&amp;'Eng Jun 2027'!B8,"")&amp;IF('Eng Jun 2027'!A9=1,", "&amp;'Eng Jun 2027'!B9,"")&amp;IF('Eng Jun 2027'!A10=1,", "&amp;'Eng Jun 2027'!B10,"")&amp;IF('Eng Jun 2027'!A11=1,", "&amp;'Eng Jun 2027'!B11,""),3,999)</f>
        <v/>
      </c>
      <c r="D21" s="9" t="str">
        <f aca="false">MID(IF('Eng Jun 2027'!A8=2,", "&amp;'Eng Jun 2027'!B8,"")&amp;IF('Eng Jun 2027'!A9=2,", "&amp;'Eng Jun 2027'!B9,"")&amp;IF('Eng Jun 2027'!A10=2,", "&amp;'Eng Jun 2027'!B10,"")&amp;IF('Eng Jun 2027'!A11=2,", "&amp;'Eng Jun 2027'!B11,""),3,999)</f>
        <v/>
      </c>
      <c r="E21" s="9" t="str">
        <f aca="false">MID(IF('Eng Jun 2027'!A8=3,", "&amp;'Eng Jun 2027'!B8,"")&amp;IF('Eng Jun 2027'!A9=3,", "&amp;'Eng Jun 2027'!B9,"")&amp;IF('Eng Jun 2027'!A10=3,", "&amp;'Eng Jun 2027'!B10,"")&amp;IF('Eng Jun 2027'!A11=3,", "&amp;'Eng Jun 2027'!B11,""),3,999)</f>
        <v/>
      </c>
    </row>
    <row r="22" customFormat="false" ht="15" hidden="false" customHeight="false" outlineLevel="0" collapsed="false">
      <c r="A22" s="8" t="s">
        <v>28</v>
      </c>
      <c r="B22" s="4" t="s">
        <v>20</v>
      </c>
      <c r="C22" s="9" t="str">
        <f aca="false">MID(IF('Com Jun 2027'!A8=1,", "&amp;'Com Jun 2027'!B8,"")&amp;IF('Com Jun 2027'!A9=1,", "&amp;'Com Jun 2027'!B9,"")&amp;IF('Com Jun 2027'!A10=1,", "&amp;'Com Jun 2027'!B10,"")&amp;IF('Com Jun 2027'!A11=1,", "&amp;'Com Jun 2027'!B11,""),3,999)</f>
        <v/>
      </c>
      <c r="D22" s="9" t="str">
        <f aca="false">MID(IF('Com Jun 2027'!A8=2,", "&amp;'Com Jun 2027'!B8,"")&amp;IF('Com Jun 2027'!A9=2,", "&amp;'Com Jun 2027'!B9,"")&amp;IF('Com Jun 2027'!A10=2,", "&amp;'Com Jun 2027'!B10,"")&amp;IF('Com Jun 2027'!A11=2,", "&amp;'Com Jun 2027'!B11,""),3,999)</f>
        <v/>
      </c>
      <c r="E22" s="9" t="str">
        <f aca="false">MID(IF('Com Jun 2027'!A8=3,", "&amp;'Com Jun 2027'!B8,"")&amp;IF('Com Jun 2027'!A9=3,", "&amp;'Com Jun 2027'!B9,"")&amp;IF('Com Jun 2027'!A10=3,", "&amp;'Com Jun 2027'!B10,"")&amp;IF('Com Jun 2027'!A11=3,", "&amp;'Com Jun 2027'!B11,""),3,999)</f>
        <v/>
      </c>
    </row>
    <row r="23" customFormat="false" ht="15" hidden="false" customHeight="false" outlineLevel="0" collapsed="false">
      <c r="A23" s="8" t="s">
        <v>29</v>
      </c>
      <c r="B23" s="3" t="s">
        <v>19</v>
      </c>
      <c r="C23" s="9" t="str">
        <f aca="false">MID(IF('Eng Jul 2027'!A8=1,", "&amp;'Eng Jul 2027'!B8,"")&amp;IF('Eng Jul 2027'!A9=1,", "&amp;'Eng Jul 2027'!B9,"")&amp;IF('Eng Jul 2027'!A10=1,", "&amp;'Eng Jul 2027'!B10,"")&amp;IF('Eng Jul 2027'!A11=1,", "&amp;'Eng Jul 2027'!B11,""),3,999)</f>
        <v/>
      </c>
      <c r="D23" s="9" t="str">
        <f aca="false">MID(IF('Eng Jul 2027'!A8=2,", "&amp;'Eng Jul 2027'!B8,"")&amp;IF('Eng Jul 2027'!A9=2,", "&amp;'Eng Jul 2027'!B9,"")&amp;IF('Eng Jul 2027'!A10=2,", "&amp;'Eng Jul 2027'!B10,"")&amp;IF('Eng Jul 2027'!A11=2,", "&amp;'Eng Jul 2027'!B11,""),3,999)</f>
        <v/>
      </c>
      <c r="E23" s="9" t="str">
        <f aca="false">MID(IF('Eng Jul 2027'!A8=3,", "&amp;'Eng Jul 2027'!B8,"")&amp;IF('Eng Jul 2027'!A9=3,", "&amp;'Eng Jul 2027'!B9,"")&amp;IF('Eng Jul 2027'!A10=3,", "&amp;'Eng Jul 2027'!B10,"")&amp;IF('Eng Jul 2027'!A11=3,", "&amp;'Eng Jul 2027'!B11,""),3,999)</f>
        <v/>
      </c>
    </row>
    <row r="24" customFormat="false" ht="15" hidden="false" customHeight="false" outlineLevel="0" collapsed="false">
      <c r="A24" s="8" t="s">
        <v>29</v>
      </c>
      <c r="B24" s="4" t="s">
        <v>20</v>
      </c>
      <c r="C24" s="9" t="str">
        <f aca="false">MID(IF('Com Jul 2027'!A8=1,", "&amp;'Com Jul 2027'!B8,"")&amp;IF('Com Jul 2027'!A9=1,", "&amp;'Com Jul 2027'!B9,"")&amp;IF('Com Jul 2027'!A10=1,", "&amp;'Com Jul 2027'!B10,"")&amp;IF('Com Jul 2027'!A11=1,", "&amp;'Com Jul 2027'!B11,""),3,999)</f>
        <v/>
      </c>
      <c r="D24" s="9" t="str">
        <f aca="false">MID(IF('Com Jul 2027'!A8=2,", "&amp;'Com Jul 2027'!B8,"")&amp;IF('Com Jul 2027'!A9=2,", "&amp;'Com Jul 2027'!B9,"")&amp;IF('Com Jul 2027'!A10=2,", "&amp;'Com Jul 2027'!B10,"")&amp;IF('Com Jul 2027'!A11=2,", "&amp;'Com Jul 2027'!B11,""),3,999)</f>
        <v/>
      </c>
      <c r="E24" s="9" t="str">
        <f aca="false">MID(IF('Com Jul 2027'!A8=3,", "&amp;'Com Jul 2027'!B8,"")&amp;IF('Com Jul 2027'!A9=3,", "&amp;'Com Jul 2027'!B9,"")&amp;IF('Com Jul 2027'!A10=3,", "&amp;'Com Jul 2027'!B10,"")&amp;IF('Com Jul 2027'!A11=3,", "&amp;'Com Jul 2027'!B11,""),3,999)</f>
        <v/>
      </c>
    </row>
    <row r="25" customFormat="false" ht="15" hidden="false" customHeight="false" outlineLevel="0" collapsed="false">
      <c r="A25" s="8" t="s">
        <v>30</v>
      </c>
      <c r="B25" s="3" t="s">
        <v>19</v>
      </c>
      <c r="C25" s="9" t="str">
        <f aca="false">MID(IF('Eng Aug 2027'!A8=1,", "&amp;'Eng Aug 2027'!B8,"")&amp;IF('Eng Aug 2027'!A9=1,", "&amp;'Eng Aug 2027'!B9,"")&amp;IF('Eng Aug 2027'!A10=1,", "&amp;'Eng Aug 2027'!B10,"")&amp;IF('Eng Aug 2027'!A11=1,", "&amp;'Eng Aug 2027'!B11,""),3,999)</f>
        <v/>
      </c>
      <c r="D25" s="9" t="str">
        <f aca="false">MID(IF('Eng Aug 2027'!A8=2,", "&amp;'Eng Aug 2027'!B8,"")&amp;IF('Eng Aug 2027'!A9=2,", "&amp;'Eng Aug 2027'!B9,"")&amp;IF('Eng Aug 2027'!A10=2,", "&amp;'Eng Aug 2027'!B10,"")&amp;IF('Eng Aug 2027'!A11=2,", "&amp;'Eng Aug 2027'!B11,""),3,999)</f>
        <v/>
      </c>
      <c r="E25" s="9" t="str">
        <f aca="false">MID(IF('Eng Aug 2027'!A8=3,", "&amp;'Eng Aug 2027'!B8,"")&amp;IF('Eng Aug 2027'!A9=3,", "&amp;'Eng Aug 2027'!B9,"")&amp;IF('Eng Aug 2027'!A10=3,", "&amp;'Eng Aug 2027'!B10,"")&amp;IF('Eng Aug 2027'!A11=3,", "&amp;'Eng Aug 2027'!B11,""),3,999)</f>
        <v/>
      </c>
    </row>
    <row r="26" customFormat="false" ht="15" hidden="false" customHeight="false" outlineLevel="0" collapsed="false">
      <c r="A26" s="8" t="s">
        <v>30</v>
      </c>
      <c r="B26" s="4" t="s">
        <v>20</v>
      </c>
      <c r="C26" s="9" t="str">
        <f aca="false">MID(IF('Com Aug 2027'!A8=1,", "&amp;'Com Aug 2027'!B8,"")&amp;IF('Com Aug 2027'!A9=1,", "&amp;'Com Aug 2027'!B9,"")&amp;IF('Com Aug 2027'!A10=1,", "&amp;'Com Aug 2027'!B10,"")&amp;IF('Com Aug 2027'!A11=1,", "&amp;'Com Aug 2027'!B11,""),3,999)</f>
        <v/>
      </c>
      <c r="D26" s="9" t="str">
        <f aca="false">MID(IF('Com Aug 2027'!A8=2,", "&amp;'Com Aug 2027'!B8,"")&amp;IF('Com Aug 2027'!A9=2,", "&amp;'Com Aug 2027'!B9,"")&amp;IF('Com Aug 2027'!A10=2,", "&amp;'Com Aug 2027'!B10,"")&amp;IF('Com Aug 2027'!A11=2,", "&amp;'Com Aug 2027'!B11,""),3,999)</f>
        <v/>
      </c>
      <c r="E26" s="9" t="str">
        <f aca="false">MID(IF('Com Aug 2027'!A8=3,", "&amp;'Com Aug 2027'!B8,"")&amp;IF('Com Aug 2027'!A9=3,", "&amp;'Com Aug 2027'!B9,"")&amp;IF('Com Aug 2027'!A10=3,", "&amp;'Com Aug 2027'!B10,"")&amp;IF('Com Aug 2027'!A11=3,", "&amp;'Com Aug 2027'!B11,""),3,999)</f>
        <v/>
      </c>
    </row>
    <row r="27" customFormat="false" ht="15" hidden="false" customHeight="false" outlineLevel="0" collapsed="false">
      <c r="A27" s="8" t="s">
        <v>31</v>
      </c>
      <c r="B27" s="3" t="s">
        <v>19</v>
      </c>
      <c r="C27" s="9" t="str">
        <f aca="false">MID(IF('Eng Sep 2027'!A8=1,", "&amp;'Eng Sep 2027'!B8,"")&amp;IF('Eng Sep 2027'!A9=1,", "&amp;'Eng Sep 2027'!B9,"")&amp;IF('Eng Sep 2027'!A10=1,", "&amp;'Eng Sep 2027'!B10,"")&amp;IF('Eng Sep 2027'!A11=1,", "&amp;'Eng Sep 2027'!B11,""),3,999)</f>
        <v/>
      </c>
      <c r="D27" s="9" t="str">
        <f aca="false">MID(IF('Eng Sep 2027'!A8=2,", "&amp;'Eng Sep 2027'!B8,"")&amp;IF('Eng Sep 2027'!A9=2,", "&amp;'Eng Sep 2027'!B9,"")&amp;IF('Eng Sep 2027'!A10=2,", "&amp;'Eng Sep 2027'!B10,"")&amp;IF('Eng Sep 2027'!A11=2,", "&amp;'Eng Sep 2027'!B11,""),3,999)</f>
        <v/>
      </c>
      <c r="E27" s="9" t="str">
        <f aca="false">MID(IF('Eng Sep 2027'!A8=3,", "&amp;'Eng Sep 2027'!B8,"")&amp;IF('Eng Sep 2027'!A9=3,", "&amp;'Eng Sep 2027'!B9,"")&amp;IF('Eng Sep 2027'!A10=3,", "&amp;'Eng Sep 2027'!B10,"")&amp;IF('Eng Sep 2027'!A11=3,", "&amp;'Eng Sep 2027'!B11,""),3,999)</f>
        <v/>
      </c>
    </row>
    <row r="28" customFormat="false" ht="15" hidden="false" customHeight="false" outlineLevel="0" collapsed="false">
      <c r="A28" s="8" t="s">
        <v>31</v>
      </c>
      <c r="B28" s="4" t="s">
        <v>20</v>
      </c>
      <c r="C28" s="9" t="str">
        <f aca="false">MID(IF('Com Sep 2027'!A8=1,", "&amp;'Com Sep 2027'!B8,"")&amp;IF('Com Sep 2027'!A9=1,", "&amp;'Com Sep 2027'!B9,"")&amp;IF('Com Sep 2027'!A10=1,", "&amp;'Com Sep 2027'!B10,"")&amp;IF('Com Sep 2027'!A11=1,", "&amp;'Com Sep 2027'!B11,""),3,999)</f>
        <v/>
      </c>
      <c r="D28" s="9" t="str">
        <f aca="false">MID(IF('Com Sep 2027'!A8=2,", "&amp;'Com Sep 2027'!B8,"")&amp;IF('Com Sep 2027'!A9=2,", "&amp;'Com Sep 2027'!B9,"")&amp;IF('Com Sep 2027'!A10=2,", "&amp;'Com Sep 2027'!B10,"")&amp;IF('Com Sep 2027'!A11=2,", "&amp;'Com Sep 2027'!B11,""),3,999)</f>
        <v/>
      </c>
      <c r="E28" s="9" t="str">
        <f aca="false">MID(IF('Com Sep 2027'!A8=3,", "&amp;'Com Sep 2027'!B8,"")&amp;IF('Com Sep 2027'!A9=3,", "&amp;'Com Sep 2027'!B9,"")&amp;IF('Com Sep 2027'!A10=3,", "&amp;'Com Sep 2027'!B10,"")&amp;IF('Com Sep 2027'!A11=3,", "&amp;'Com Sep 2027'!B11,""),3,999)</f>
        <v/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50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51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52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53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54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55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56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57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58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59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61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62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63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65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66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67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68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69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13" t="s">
        <v>38</v>
      </c>
      <c r="B4" s="13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3" t="s">
        <v>4</v>
      </c>
      <c r="B12" s="3" t="s">
        <v>5</v>
      </c>
      <c r="C12" s="3" t="s">
        <v>6</v>
      </c>
      <c r="D12" s="3" t="s">
        <v>34</v>
      </c>
      <c r="E12" s="3" t="s">
        <v>35</v>
      </c>
      <c r="F12" s="3" t="s">
        <v>36</v>
      </c>
      <c r="G12" s="3" t="s">
        <v>45</v>
      </c>
      <c r="H12" s="3" t="s">
        <v>37</v>
      </c>
      <c r="I12" s="3" t="s">
        <v>42</v>
      </c>
      <c r="J12" s="3" t="s">
        <v>43</v>
      </c>
      <c r="K12" s="3" t="s">
        <v>46</v>
      </c>
      <c r="L12" s="3" t="s">
        <v>44</v>
      </c>
      <c r="M12" s="3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IF(Students!B6="","",Students!B6)</f>
        <v>Ali Ahmed (example)</v>
      </c>
      <c r="C13" s="22" t="str">
        <f aca="false">IF(Students!C6="","",Students!C6)</f>
        <v>Ahmed Khan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IF(Students!B7="","",Students!B7)</f>
        <v/>
      </c>
      <c r="C14" s="27" t="str">
        <f aca="false">IF(Students!C7="","",Students!C7)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IF(Students!B8="","",Students!B8)</f>
        <v/>
      </c>
      <c r="C15" s="22" t="str">
        <f aca="false">IF(Students!C8="","",Students!C8)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IF(Students!B9="","",Students!B9)</f>
        <v/>
      </c>
      <c r="C16" s="27" t="str">
        <f aca="false">IF(Students!C9="","",Students!C9)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IF(Students!B10="","",Students!B10)</f>
        <v/>
      </c>
      <c r="C17" s="22" t="str">
        <f aca="false">IF(Students!C10="","",Students!C10)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IF(Students!B11="","",Students!B11)</f>
        <v/>
      </c>
      <c r="C18" s="27" t="str">
        <f aca="false">IF(Students!C11="","",Students!C11)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IF(Students!B12="","",Students!B12)</f>
        <v/>
      </c>
      <c r="C19" s="22" t="str">
        <f aca="false">IF(Students!C12="","",Students!C12)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IF(Students!B13="","",Students!B13)</f>
        <v/>
      </c>
      <c r="C20" s="27" t="str">
        <f aca="false">IF(Students!C13="","",Students!C13)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IF(Students!B14="","",Students!B14)</f>
        <v/>
      </c>
      <c r="C21" s="22" t="str">
        <f aca="false">IF(Students!C14="","",Students!C14)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IF(Students!B15="","",Students!B15)</f>
        <v/>
      </c>
      <c r="C22" s="27" t="str">
        <f aca="false">IF(Students!C15="","",Students!C15)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IF(Students!B16="","",Students!B16)</f>
        <v/>
      </c>
      <c r="C23" s="22" t="str">
        <f aca="false">IF(Students!C16="","",Students!C16)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IF(Students!B17="","",Students!B17)</f>
        <v/>
      </c>
      <c r="C24" s="27" t="str">
        <f aca="false">IF(Students!C17="","",Students!C17)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IF(Students!B18="","",Students!B18)</f>
        <v/>
      </c>
      <c r="C25" s="22" t="str">
        <f aca="false">IF(Students!C18="","",Students!C18)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IF(Students!B19="","",Students!B19)</f>
        <v/>
      </c>
      <c r="C26" s="27" t="str">
        <f aca="false">IF(Students!C19="","",Students!C19)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IF(Students!B20="","",Students!B20)</f>
        <v/>
      </c>
      <c r="C27" s="22" t="str">
        <f aca="false">IF(Students!C20="","",Students!C20)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IF(Students!B21="","",Students!B21)</f>
        <v/>
      </c>
      <c r="C28" s="27" t="str">
        <f aca="false">IF(Students!C21="","",Students!C21)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IF(Students!B22="","",Students!B22)</f>
        <v/>
      </c>
      <c r="C29" s="22" t="str">
        <f aca="false">IF(Students!C22="","",Students!C22)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IF(Students!B23="","",Students!B23)</f>
        <v/>
      </c>
      <c r="C30" s="27" t="str">
        <f aca="false">IF(Students!C23="","",Students!C23)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IF(Students!B24="","",Students!B24)</f>
        <v/>
      </c>
      <c r="C31" s="22" t="str">
        <f aca="false">IF(Students!C24="","",Students!C24)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IF(Students!B25="","",Students!B25)</f>
        <v/>
      </c>
      <c r="C32" s="27" t="str">
        <f aca="false">IF(Students!C25="","",Students!C25)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IF(Students!B26="","",Students!B26)</f>
        <v/>
      </c>
      <c r="C33" s="22" t="str">
        <f aca="false">IF(Students!C26="","",Students!C26)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IF(Students!B27="","",Students!B27)</f>
        <v/>
      </c>
      <c r="C34" s="27" t="str">
        <f aca="false">IF(Students!C27="","",Students!C27)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IF(Students!B28="","",Students!B28)</f>
        <v/>
      </c>
      <c r="C35" s="22" t="str">
        <f aca="false">IF(Students!C28="","",Students!C28)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IF(Students!B29="","",Students!B29)</f>
        <v/>
      </c>
      <c r="C36" s="27" t="str">
        <f aca="false">IF(Students!C29="","",Students!C29)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IF(Students!B30="","",Students!B30)</f>
        <v/>
      </c>
      <c r="C37" s="22" t="str">
        <f aca="false">IF(Students!C30="","",Students!C30)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IF(Students!B31="","",Students!B31)</f>
        <v/>
      </c>
      <c r="C38" s="27" t="str">
        <f aca="false">IF(Students!C31="","",Students!C31)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IF(Students!B32="","",Students!B32)</f>
        <v/>
      </c>
      <c r="C39" s="22" t="str">
        <f aca="false">IF(Students!C32="","",Students!C32)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IF(Students!B33="","",Students!B33)</f>
        <v/>
      </c>
      <c r="C40" s="27" t="str">
        <f aca="false">IF(Students!C33="","",Students!C33)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IF(Students!B34="","",Students!B34)</f>
        <v/>
      </c>
      <c r="C41" s="22" t="str">
        <f aca="false">IF(Students!C34="","",Students!C34)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IF(Students!B35="","",Students!B35)</f>
        <v/>
      </c>
      <c r="C42" s="27" t="str">
        <f aca="false">IF(Students!C35="","",Students!C35)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IF(Students!B36="","",Students!B36)</f>
        <v/>
      </c>
      <c r="C43" s="22" t="str">
        <f aca="false">IF(Students!C36="","",Students!C36)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IF(Students!B37="","",Students!B37)</f>
        <v/>
      </c>
      <c r="C44" s="27" t="str">
        <f aca="false">IF(Students!C37="","",Students!C37)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IF(Students!B38="","",Students!B38)</f>
        <v/>
      </c>
      <c r="C45" s="22" t="str">
        <f aca="false">IF(Students!C38="","",Students!C38)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IF(Students!B39="","",Students!B39)</f>
        <v/>
      </c>
      <c r="C46" s="27" t="str">
        <f aca="false">IF(Students!C39="","",Students!C39)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IF(Students!B40="","",Students!B40)</f>
        <v/>
      </c>
      <c r="C47" s="22" t="str">
        <f aca="false">IF(Students!C40="","",Students!C40)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IF(Students!B41="","",Students!B41)</f>
        <v/>
      </c>
      <c r="C48" s="27" t="str">
        <f aca="false">IF(Students!C41="","",Students!C41)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IF(Students!B42="","",Students!B42)</f>
        <v/>
      </c>
      <c r="C49" s="22" t="str">
        <f aca="false">IF(Students!C42="","",Students!C42)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IF(Students!B43="","",Students!B43)</f>
        <v/>
      </c>
      <c r="C50" s="27" t="str">
        <f aca="false">IF(Students!C43="","",Students!C43)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IF(Students!B44="","",Students!B44)</f>
        <v/>
      </c>
      <c r="C51" s="22" t="str">
        <f aca="false">IF(Students!C44="","",Students!C44)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IF(Students!B45="","",Students!B45)</f>
        <v/>
      </c>
      <c r="C52" s="27" t="str">
        <f aca="false">IF(Students!C45="","",Students!C45)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IF(Students!B46="","",Students!B46)</f>
        <v/>
      </c>
      <c r="C53" s="22" t="str">
        <f aca="false">IF(Students!C46="","",Students!C46)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IF(Students!B47="","",Students!B47)</f>
        <v/>
      </c>
      <c r="C54" s="27" t="str">
        <f aca="false">IF(Students!C47="","",Students!C47)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IF(Students!B48="","",Students!B48)</f>
        <v/>
      </c>
      <c r="C55" s="22" t="str">
        <f aca="false">IF(Students!C48="","",Students!C48)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IF(Students!B49="","",Students!B49)</f>
        <v/>
      </c>
      <c r="C56" s="27" t="str">
        <f aca="false">IF(Students!C49="","",Students!C49)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IF(Students!B50="","",Students!B50)</f>
        <v/>
      </c>
      <c r="C57" s="22" t="str">
        <f aca="false">IF(Students!C50="","",Students!C50)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IF(Students!B51="","",Students!B51)</f>
        <v/>
      </c>
      <c r="C58" s="27" t="str">
        <f aca="false">IF(Students!C51="","",Students!C51)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IF(Students!B52="","",Students!B52)</f>
        <v/>
      </c>
      <c r="C59" s="22" t="str">
        <f aca="false">IF(Students!C52="","",Students!C52)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IF(Students!B53="","",Students!B53)</f>
        <v/>
      </c>
      <c r="C60" s="27" t="str">
        <f aca="false">IF(Students!C53="","",Students!C53)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IF(Students!B54="","",Students!B54)</f>
        <v/>
      </c>
      <c r="C61" s="22" t="str">
        <f aca="false">IF(Students!C54="","",Students!C54)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IF(Students!B55="","",Students!B55)</f>
        <v/>
      </c>
      <c r="C62" s="27" t="str">
        <f aca="false">IF(Students!C55="","",Students!C55)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true" outlineLevel="0" max="13" min="13" style="0" width="6"/>
  </cols>
  <sheetData>
    <row r="1" customFormat="false" ht="27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31" t="s">
        <v>71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D3" s="12" t="s">
        <v>34</v>
      </c>
      <c r="E3" s="12" t="s">
        <v>35</v>
      </c>
      <c r="F3" s="12" t="s">
        <v>36</v>
      </c>
      <c r="G3" s="12" t="s">
        <v>37</v>
      </c>
    </row>
    <row r="4" customFormat="false" ht="23.85" hidden="false" customHeight="true" outlineLevel="0" collapsed="false">
      <c r="A4" s="32" t="s">
        <v>49</v>
      </c>
      <c r="B4" s="32"/>
      <c r="C4" s="14" t="s">
        <v>39</v>
      </c>
      <c r="D4" s="15" t="n">
        <v>50</v>
      </c>
      <c r="E4" s="15" t="n">
        <v>50</v>
      </c>
      <c r="F4" s="15" t="n">
        <v>50</v>
      </c>
      <c r="G4" s="5" t="n">
        <f aca="false">SUM(D4:F4)</f>
        <v>150</v>
      </c>
    </row>
    <row r="6" customFormat="false" ht="15" hidden="false" customHeight="tru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true" outlineLevel="0" collapsed="false">
      <c r="A7" s="7" t="s">
        <v>41</v>
      </c>
      <c r="B7" s="7" t="s">
        <v>5</v>
      </c>
      <c r="C7" s="7"/>
      <c r="D7" s="7"/>
      <c r="E7" s="7"/>
      <c r="F7" s="7" t="s">
        <v>42</v>
      </c>
      <c r="G7" s="7"/>
      <c r="H7" s="7" t="s">
        <v>43</v>
      </c>
      <c r="I7" s="7"/>
      <c r="J7" s="7" t="s">
        <v>44</v>
      </c>
      <c r="K7" s="7"/>
      <c r="L7" s="7"/>
    </row>
    <row r="8" customFormat="false" ht="15" hidden="false" customHeight="false" outlineLevel="0" collapsed="false">
      <c r="A8" s="17" t="str">
        <f aca="false">IF(IFERROR(INDEX($K$13:$K$62,MATCH(1,$M$13:$M$62,0))&lt;=3,FALSE()),INDEX($K$13:$K$62,MATCH(1,$M$13:$M$62,0)),"")</f>
        <v/>
      </c>
      <c r="B8" s="8" t="str">
        <f aca="false">IF(IFERROR(INDEX($K$13:$K$62,MATCH(1,$M$13:$M$62,0))&lt;=3,FALSE()),INDEX($B$13:$B$62,MATCH(1,$M$13:$M$62,0)),"")</f>
        <v/>
      </c>
      <c r="C8" s="8"/>
      <c r="D8" s="8"/>
      <c r="E8" s="8"/>
      <c r="F8" s="18" t="str">
        <f aca="false">IF(IFERROR(INDEX($K$13:$K$62,MATCH(1,$M$13:$M$62,0))&lt;=3,FALSE()),INDEX($I$13:$I$62,MATCH(1,$M$13:$M$62,0)),"")</f>
        <v/>
      </c>
      <c r="G8" s="18"/>
      <c r="H8" s="19" t="str">
        <f aca="false">IF(IFERROR(INDEX($K$13:$K$62,MATCH(1,$M$13:$M$62,0))&lt;=3,FALSE()),INDEX($J$13:$J$62,MATCH(1,$M$13:$M$62,0)),"")</f>
        <v/>
      </c>
      <c r="I8" s="19"/>
      <c r="J8" s="20" t="str">
        <f aca="false">IF(IFERROR(INDEX($K$13:$K$62,MATCH(1,$M$13:$M$62,0))&lt;=3,FALSE()),INDEX($L$13:$L$62,MATCH(1,$M$13:$M$62,0)),"")</f>
        <v/>
      </c>
      <c r="K8" s="20"/>
      <c r="L8" s="20"/>
    </row>
    <row r="9" customFormat="false" ht="15" hidden="false" customHeight="false" outlineLevel="0" collapsed="false">
      <c r="A9" s="17" t="str">
        <f aca="false">IF(IFERROR(INDEX($K$13:$K$62,MATCH(2,$M$13:$M$62,0))&lt;=3,FALSE()),INDEX($K$13:$K$62,MATCH(2,$M$13:$M$62,0)),"")</f>
        <v/>
      </c>
      <c r="B9" s="8" t="str">
        <f aca="false">IF(IFERROR(INDEX($K$13:$K$62,MATCH(2,$M$13:$M$62,0))&lt;=3,FALSE()),INDEX($B$13:$B$62,MATCH(2,$M$13:$M$62,0)),"")</f>
        <v/>
      </c>
      <c r="C9" s="8"/>
      <c r="D9" s="8"/>
      <c r="E9" s="8"/>
      <c r="F9" s="18" t="str">
        <f aca="false">IF(IFERROR(INDEX($K$13:$K$62,MATCH(2,$M$13:$M$62,0))&lt;=3,FALSE()),INDEX($I$13:$I$62,MATCH(2,$M$13:$M$62,0)),"")</f>
        <v/>
      </c>
      <c r="G9" s="18"/>
      <c r="H9" s="19" t="str">
        <f aca="false">IF(IFERROR(INDEX($K$13:$K$62,MATCH(2,$M$13:$M$62,0))&lt;=3,FALSE()),INDEX($J$13:$J$62,MATCH(2,$M$13:$M$62,0)),"")</f>
        <v/>
      </c>
      <c r="I9" s="19"/>
      <c r="J9" s="20" t="str">
        <f aca="false">IF(IFERROR(INDEX($K$13:$K$62,MATCH(2,$M$13:$M$62,0))&lt;=3,FALSE()),INDEX($L$13:$L$62,MATCH(2,$M$13:$M$62,0)),"")</f>
        <v/>
      </c>
      <c r="K9" s="20"/>
      <c r="L9" s="20"/>
    </row>
    <row r="10" customFormat="false" ht="15" hidden="false" customHeight="false" outlineLevel="0" collapsed="false">
      <c r="A10" s="17" t="str">
        <f aca="false">IF(IFERROR(INDEX($K$13:$K$62,MATCH(3,$M$13:$M$62,0))&lt;=3,FALSE()),INDEX($K$13:$K$62,MATCH(3,$M$13:$M$62,0)),"")</f>
        <v/>
      </c>
      <c r="B10" s="8" t="str">
        <f aca="false">IF(IFERROR(INDEX($K$13:$K$62,MATCH(3,$M$13:$M$62,0))&lt;=3,FALSE()),INDEX($B$13:$B$62,MATCH(3,$M$13:$M$62,0)),"")</f>
        <v/>
      </c>
      <c r="C10" s="8"/>
      <c r="D10" s="8"/>
      <c r="E10" s="8"/>
      <c r="F10" s="18" t="str">
        <f aca="false">IF(IFERROR(INDEX($K$13:$K$62,MATCH(3,$M$13:$M$62,0))&lt;=3,FALSE()),INDEX($I$13:$I$62,MATCH(3,$M$13:$M$62,0)),"")</f>
        <v/>
      </c>
      <c r="G10" s="18"/>
      <c r="H10" s="19" t="str">
        <f aca="false">IF(IFERROR(INDEX($K$13:$K$62,MATCH(3,$M$13:$M$62,0))&lt;=3,FALSE()),INDEX($J$13:$J$62,MATCH(3,$M$13:$M$62,0)),"")</f>
        <v/>
      </c>
      <c r="I10" s="19"/>
      <c r="J10" s="20" t="str">
        <f aca="false">IF(IFERROR(INDEX($K$13:$K$62,MATCH(3,$M$13:$M$62,0))&lt;=3,FALSE()),INDEX($L$13:$L$62,MATCH(3,$M$13:$M$62,0)),"")</f>
        <v/>
      </c>
      <c r="K10" s="20"/>
      <c r="L10" s="20"/>
    </row>
    <row r="11" customFormat="false" ht="15" hidden="false" customHeight="false" outlineLevel="0" collapsed="false">
      <c r="A11" s="17" t="str">
        <f aca="false">IF(IFERROR(INDEX($K$13:$K$62,MATCH(4,$M$13:$M$62,0))&lt;=3,FALSE()),INDEX($K$13:$K$62,MATCH(4,$M$13:$M$62,0)),"")</f>
        <v/>
      </c>
      <c r="B11" s="8" t="str">
        <f aca="false">IF(IFERROR(INDEX($K$13:$K$62,MATCH(4,$M$13:$M$62,0))&lt;=3,FALSE()),INDEX($B$13:$B$62,MATCH(4,$M$13:$M$62,0)),"")</f>
        <v/>
      </c>
      <c r="C11" s="8"/>
      <c r="D11" s="8"/>
      <c r="E11" s="8"/>
      <c r="F11" s="18" t="str">
        <f aca="false">IF(IFERROR(INDEX($K$13:$K$62,MATCH(4,$M$13:$M$62,0))&lt;=3,FALSE()),INDEX($I$13:$I$62,MATCH(4,$M$13:$M$62,0)),"")</f>
        <v/>
      </c>
      <c r="G11" s="18"/>
      <c r="H11" s="19" t="str">
        <f aca="false">IF(IFERROR(INDEX($K$13:$K$62,MATCH(4,$M$13:$M$62,0))&lt;=3,FALSE()),INDEX($J$13:$J$62,MATCH(4,$M$13:$M$62,0)),"")</f>
        <v/>
      </c>
      <c r="I11" s="19"/>
      <c r="J11" s="20" t="str">
        <f aca="false">IF(IFERROR(INDEX($K$13:$K$62,MATCH(4,$M$13:$M$62,0))&lt;=3,FALSE()),INDEX($L$13:$L$62,MATCH(4,$M$13:$M$62,0)),"")</f>
        <v/>
      </c>
      <c r="K11" s="20"/>
      <c r="L11" s="20"/>
    </row>
    <row r="12" customFormat="false" ht="24" hidden="false" customHeight="true" outlineLevel="0" collapsed="false">
      <c r="A12" s="4" t="s">
        <v>4</v>
      </c>
      <c r="B12" s="4" t="s">
        <v>5</v>
      </c>
      <c r="C12" s="4" t="s">
        <v>6</v>
      </c>
      <c r="D12" s="4" t="s">
        <v>34</v>
      </c>
      <c r="E12" s="4" t="s">
        <v>35</v>
      </c>
      <c r="F12" s="4" t="s">
        <v>36</v>
      </c>
      <c r="G12" s="4" t="s">
        <v>45</v>
      </c>
      <c r="H12" s="4" t="s">
        <v>37</v>
      </c>
      <c r="I12" s="4" t="s">
        <v>42</v>
      </c>
      <c r="J12" s="4" t="s">
        <v>43</v>
      </c>
      <c r="K12" s="4" t="s">
        <v>46</v>
      </c>
      <c r="L12" s="4" t="s">
        <v>44</v>
      </c>
      <c r="M12" s="4" t="s">
        <v>47</v>
      </c>
    </row>
    <row r="13" customFormat="false" ht="15" hidden="false" customHeight="false" outlineLevel="0" collapsed="false">
      <c r="A13" s="21" t="n">
        <v>1</v>
      </c>
      <c r="B13" s="22" t="str">
        <f aca="false">IF(Students!F6="","",Students!F6)</f>
        <v>Sara Bibi (example)</v>
      </c>
      <c r="C13" s="22" t="str">
        <f aca="false">IF(Students!G6="","",Students!G6)</f>
        <v>Abdul Rehman</v>
      </c>
      <c r="D13" s="23"/>
      <c r="E13" s="23"/>
      <c r="F13" s="23"/>
      <c r="G13" s="21" t="str">
        <f aca="false">IF(OR(B13="",COUNTA(D13:F13)=0),"",SUM(D13:F13))</f>
        <v/>
      </c>
      <c r="H13" s="24" t="str">
        <f aca="false">IF(G13="","",$G$4)</f>
        <v/>
      </c>
      <c r="I13" s="25" t="str">
        <f aca="false">IF(G13="","",G13/H13)</f>
        <v/>
      </c>
      <c r="J13" s="21" t="str">
        <f aca="false">IF(I13="","",IF(I13&gt;=0.9,"A+",IF(I13&gt;=0.8,"A",IF(I13&gt;=0.7,"B",IF(I13&gt;=0.6,"C",IF(I13&gt;=0.5,"D","F"))))))</f>
        <v/>
      </c>
      <c r="K13" s="21" t="str">
        <f aca="false">IF(I13="","",RANK(I13,$I$13:$I$62,0))</f>
        <v/>
      </c>
      <c r="L13" s="26" t="str">
        <f aca="false">IF(K13="","",IF(K13=1,"🥇 1st Award",IF(K13=2,"🥈 2nd Award",IF(K13=3,"🥉 3rd Award",""))))</f>
        <v/>
      </c>
      <c r="M13" s="24" t="str">
        <f aca="false">IF(K13="","",K13+COUNTIF($I$13:I13,I13)-1)</f>
        <v/>
      </c>
    </row>
    <row r="14" customFormat="false" ht="15" hidden="false" customHeight="false" outlineLevel="0" collapsed="false">
      <c r="A14" s="5" t="n">
        <v>2</v>
      </c>
      <c r="B14" s="27" t="str">
        <f aca="false">IF(Students!F7="","",Students!F7)</f>
        <v/>
      </c>
      <c r="C14" s="27" t="str">
        <f aca="false">IF(Students!G7="","",Students!G7)</f>
        <v/>
      </c>
      <c r="D14" s="23"/>
      <c r="E14" s="23"/>
      <c r="F14" s="23"/>
      <c r="G14" s="5" t="str">
        <f aca="false">IF(OR(B14="",COUNTA(D14:F14)=0),"",SUM(D14:F14))</f>
        <v/>
      </c>
      <c r="H14" s="28" t="str">
        <f aca="false">IF(G14="","",$G$4)</f>
        <v/>
      </c>
      <c r="I14" s="29" t="str">
        <f aca="false">IF(G14="","",G14/H14)</f>
        <v/>
      </c>
      <c r="J14" s="5" t="str">
        <f aca="false">IF(I14="","",IF(I14&gt;=0.9,"A+",IF(I14&gt;=0.8,"A",IF(I14&gt;=0.7,"B",IF(I14&gt;=0.6,"C",IF(I14&gt;=0.5,"D","F"))))))</f>
        <v/>
      </c>
      <c r="K14" s="5" t="str">
        <f aca="false">IF(I14="","",RANK(I14,$I$13:$I$62,0))</f>
        <v/>
      </c>
      <c r="L14" s="30" t="str">
        <f aca="false">IF(K14="","",IF(K14=1,"🥇 1st Award",IF(K14=2,"🥈 2nd Award",IF(K14=3,"🥉 3rd Award",""))))</f>
        <v/>
      </c>
      <c r="M14" s="28" t="str">
        <f aca="false">IF(K14="","",K14+COUNTIF($I$13:I14,I14)-1)</f>
        <v/>
      </c>
    </row>
    <row r="15" customFormat="false" ht="15" hidden="false" customHeight="false" outlineLevel="0" collapsed="false">
      <c r="A15" s="21" t="n">
        <v>3</v>
      </c>
      <c r="B15" s="22" t="str">
        <f aca="false">IF(Students!F8="","",Students!F8)</f>
        <v/>
      </c>
      <c r="C15" s="22" t="str">
        <f aca="false">IF(Students!G8="","",Students!G8)</f>
        <v/>
      </c>
      <c r="D15" s="23"/>
      <c r="E15" s="23"/>
      <c r="F15" s="23"/>
      <c r="G15" s="21" t="str">
        <f aca="false">IF(OR(B15="",COUNTA(D15:F15)=0),"",SUM(D15:F15))</f>
        <v/>
      </c>
      <c r="H15" s="24" t="str">
        <f aca="false">IF(G15="","",$G$4)</f>
        <v/>
      </c>
      <c r="I15" s="25" t="str">
        <f aca="false">IF(G15="","",G15/H15)</f>
        <v/>
      </c>
      <c r="J15" s="21" t="str">
        <f aca="false">IF(I15="","",IF(I15&gt;=0.9,"A+",IF(I15&gt;=0.8,"A",IF(I15&gt;=0.7,"B",IF(I15&gt;=0.6,"C",IF(I15&gt;=0.5,"D","F"))))))</f>
        <v/>
      </c>
      <c r="K15" s="21" t="str">
        <f aca="false">IF(I15="","",RANK(I15,$I$13:$I$62,0))</f>
        <v/>
      </c>
      <c r="L15" s="26" t="str">
        <f aca="false">IF(K15="","",IF(K15=1,"🥇 1st Award",IF(K15=2,"🥈 2nd Award",IF(K15=3,"🥉 3rd Award",""))))</f>
        <v/>
      </c>
      <c r="M15" s="24" t="str">
        <f aca="false">IF(K15="","",K15+COUNTIF($I$13:I15,I15)-1)</f>
        <v/>
      </c>
    </row>
    <row r="16" customFormat="false" ht="15" hidden="false" customHeight="false" outlineLevel="0" collapsed="false">
      <c r="A16" s="5" t="n">
        <v>4</v>
      </c>
      <c r="B16" s="27" t="str">
        <f aca="false">IF(Students!F9="","",Students!F9)</f>
        <v/>
      </c>
      <c r="C16" s="27" t="str">
        <f aca="false">IF(Students!G9="","",Students!G9)</f>
        <v/>
      </c>
      <c r="D16" s="23"/>
      <c r="E16" s="23"/>
      <c r="F16" s="23"/>
      <c r="G16" s="5" t="str">
        <f aca="false">IF(OR(B16="",COUNTA(D16:F16)=0),"",SUM(D16:F16))</f>
        <v/>
      </c>
      <c r="H16" s="28" t="str">
        <f aca="false">IF(G16="","",$G$4)</f>
        <v/>
      </c>
      <c r="I16" s="29" t="str">
        <f aca="false">IF(G16="","",G16/H16)</f>
        <v/>
      </c>
      <c r="J16" s="5" t="str">
        <f aca="false">IF(I16="","",IF(I16&gt;=0.9,"A+",IF(I16&gt;=0.8,"A",IF(I16&gt;=0.7,"B",IF(I16&gt;=0.6,"C",IF(I16&gt;=0.5,"D","F"))))))</f>
        <v/>
      </c>
      <c r="K16" s="5" t="str">
        <f aca="false">IF(I16="","",RANK(I16,$I$13:$I$62,0))</f>
        <v/>
      </c>
      <c r="L16" s="30" t="str">
        <f aca="false">IF(K16="","",IF(K16=1,"🥇 1st Award",IF(K16=2,"🥈 2nd Award",IF(K16=3,"🥉 3rd Award",""))))</f>
        <v/>
      </c>
      <c r="M16" s="28" t="str">
        <f aca="false">IF(K16="","",K16+COUNTIF($I$13:I16,I16)-1)</f>
        <v/>
      </c>
    </row>
    <row r="17" customFormat="false" ht="15" hidden="false" customHeight="false" outlineLevel="0" collapsed="false">
      <c r="A17" s="21" t="n">
        <v>5</v>
      </c>
      <c r="B17" s="22" t="str">
        <f aca="false">IF(Students!F10="","",Students!F10)</f>
        <v/>
      </c>
      <c r="C17" s="22" t="str">
        <f aca="false">IF(Students!G10="","",Students!G10)</f>
        <v/>
      </c>
      <c r="D17" s="23"/>
      <c r="E17" s="23"/>
      <c r="F17" s="23"/>
      <c r="G17" s="21" t="str">
        <f aca="false">IF(OR(B17="",COUNTA(D17:F17)=0),"",SUM(D17:F17))</f>
        <v/>
      </c>
      <c r="H17" s="24" t="str">
        <f aca="false">IF(G17="","",$G$4)</f>
        <v/>
      </c>
      <c r="I17" s="25" t="str">
        <f aca="false">IF(G17="","",G17/H17)</f>
        <v/>
      </c>
      <c r="J17" s="21" t="str">
        <f aca="false">IF(I17="","",IF(I17&gt;=0.9,"A+",IF(I17&gt;=0.8,"A",IF(I17&gt;=0.7,"B",IF(I17&gt;=0.6,"C",IF(I17&gt;=0.5,"D","F"))))))</f>
        <v/>
      </c>
      <c r="K17" s="21" t="str">
        <f aca="false">IF(I17="","",RANK(I17,$I$13:$I$62,0))</f>
        <v/>
      </c>
      <c r="L17" s="26" t="str">
        <f aca="false">IF(K17="","",IF(K17=1,"🥇 1st Award",IF(K17=2,"🥈 2nd Award",IF(K17=3,"🥉 3rd Award",""))))</f>
        <v/>
      </c>
      <c r="M17" s="24" t="str">
        <f aca="false">IF(K17="","",K17+COUNTIF($I$13:I17,I17)-1)</f>
        <v/>
      </c>
    </row>
    <row r="18" customFormat="false" ht="15" hidden="false" customHeight="false" outlineLevel="0" collapsed="false">
      <c r="A18" s="5" t="n">
        <v>6</v>
      </c>
      <c r="B18" s="27" t="str">
        <f aca="false">IF(Students!F11="","",Students!F11)</f>
        <v/>
      </c>
      <c r="C18" s="27" t="str">
        <f aca="false">IF(Students!G11="","",Students!G11)</f>
        <v/>
      </c>
      <c r="D18" s="23"/>
      <c r="E18" s="23"/>
      <c r="F18" s="23"/>
      <c r="G18" s="5" t="str">
        <f aca="false">IF(OR(B18="",COUNTA(D18:F18)=0),"",SUM(D18:F18))</f>
        <v/>
      </c>
      <c r="H18" s="28" t="str">
        <f aca="false">IF(G18="","",$G$4)</f>
        <v/>
      </c>
      <c r="I18" s="29" t="str">
        <f aca="false">IF(G18="","",G18/H18)</f>
        <v/>
      </c>
      <c r="J18" s="5" t="str">
        <f aca="false">IF(I18="","",IF(I18&gt;=0.9,"A+",IF(I18&gt;=0.8,"A",IF(I18&gt;=0.7,"B",IF(I18&gt;=0.6,"C",IF(I18&gt;=0.5,"D","F"))))))</f>
        <v/>
      </c>
      <c r="K18" s="5" t="str">
        <f aca="false">IF(I18="","",RANK(I18,$I$13:$I$62,0))</f>
        <v/>
      </c>
      <c r="L18" s="30" t="str">
        <f aca="false">IF(K18="","",IF(K18=1,"🥇 1st Award",IF(K18=2,"🥈 2nd Award",IF(K18=3,"🥉 3rd Award",""))))</f>
        <v/>
      </c>
      <c r="M18" s="28" t="str">
        <f aca="false">IF(K18="","",K18+COUNTIF($I$13:I18,I18)-1)</f>
        <v/>
      </c>
    </row>
    <row r="19" customFormat="false" ht="15" hidden="false" customHeight="false" outlineLevel="0" collapsed="false">
      <c r="A19" s="21" t="n">
        <v>7</v>
      </c>
      <c r="B19" s="22" t="str">
        <f aca="false">IF(Students!F12="","",Students!F12)</f>
        <v/>
      </c>
      <c r="C19" s="22" t="str">
        <f aca="false">IF(Students!G12="","",Students!G12)</f>
        <v/>
      </c>
      <c r="D19" s="23"/>
      <c r="E19" s="23"/>
      <c r="F19" s="23"/>
      <c r="G19" s="21" t="str">
        <f aca="false">IF(OR(B19="",COUNTA(D19:F19)=0),"",SUM(D19:F19))</f>
        <v/>
      </c>
      <c r="H19" s="24" t="str">
        <f aca="false">IF(G19="","",$G$4)</f>
        <v/>
      </c>
      <c r="I19" s="25" t="str">
        <f aca="false">IF(G19="","",G19/H19)</f>
        <v/>
      </c>
      <c r="J19" s="21" t="str">
        <f aca="false">IF(I19="","",IF(I19&gt;=0.9,"A+",IF(I19&gt;=0.8,"A",IF(I19&gt;=0.7,"B",IF(I19&gt;=0.6,"C",IF(I19&gt;=0.5,"D","F"))))))</f>
        <v/>
      </c>
      <c r="K19" s="21" t="str">
        <f aca="false">IF(I19="","",RANK(I19,$I$13:$I$62,0))</f>
        <v/>
      </c>
      <c r="L19" s="26" t="str">
        <f aca="false">IF(K19="","",IF(K19=1,"🥇 1st Award",IF(K19=2,"🥈 2nd Award",IF(K19=3,"🥉 3rd Award",""))))</f>
        <v/>
      </c>
      <c r="M19" s="24" t="str">
        <f aca="false">IF(K19="","",K19+COUNTIF($I$13:I19,I19)-1)</f>
        <v/>
      </c>
    </row>
    <row r="20" customFormat="false" ht="15" hidden="false" customHeight="false" outlineLevel="0" collapsed="false">
      <c r="A20" s="5" t="n">
        <v>8</v>
      </c>
      <c r="B20" s="27" t="str">
        <f aca="false">IF(Students!F13="","",Students!F13)</f>
        <v/>
      </c>
      <c r="C20" s="27" t="str">
        <f aca="false">IF(Students!G13="","",Students!G13)</f>
        <v/>
      </c>
      <c r="D20" s="23"/>
      <c r="E20" s="23"/>
      <c r="F20" s="23"/>
      <c r="G20" s="5" t="str">
        <f aca="false">IF(OR(B20="",COUNTA(D20:F20)=0),"",SUM(D20:F20))</f>
        <v/>
      </c>
      <c r="H20" s="28" t="str">
        <f aca="false">IF(G20="","",$G$4)</f>
        <v/>
      </c>
      <c r="I20" s="29" t="str">
        <f aca="false">IF(G20="","",G20/H20)</f>
        <v/>
      </c>
      <c r="J20" s="5" t="str">
        <f aca="false">IF(I20="","",IF(I20&gt;=0.9,"A+",IF(I20&gt;=0.8,"A",IF(I20&gt;=0.7,"B",IF(I20&gt;=0.6,"C",IF(I20&gt;=0.5,"D","F"))))))</f>
        <v/>
      </c>
      <c r="K20" s="5" t="str">
        <f aca="false">IF(I20="","",RANK(I20,$I$13:$I$62,0))</f>
        <v/>
      </c>
      <c r="L20" s="30" t="str">
        <f aca="false">IF(K20="","",IF(K20=1,"🥇 1st Award",IF(K20=2,"🥈 2nd Award",IF(K20=3,"🥉 3rd Award",""))))</f>
        <v/>
      </c>
      <c r="M20" s="28" t="str">
        <f aca="false">IF(K20="","",K20+COUNTIF($I$13:I20,I20)-1)</f>
        <v/>
      </c>
    </row>
    <row r="21" customFormat="false" ht="15" hidden="false" customHeight="false" outlineLevel="0" collapsed="false">
      <c r="A21" s="21" t="n">
        <v>9</v>
      </c>
      <c r="B21" s="22" t="str">
        <f aca="false">IF(Students!F14="","",Students!F14)</f>
        <v/>
      </c>
      <c r="C21" s="22" t="str">
        <f aca="false">IF(Students!G14="","",Students!G14)</f>
        <v/>
      </c>
      <c r="D21" s="23"/>
      <c r="E21" s="23"/>
      <c r="F21" s="23"/>
      <c r="G21" s="21" t="str">
        <f aca="false">IF(OR(B21="",COUNTA(D21:F21)=0),"",SUM(D21:F21))</f>
        <v/>
      </c>
      <c r="H21" s="24" t="str">
        <f aca="false">IF(G21="","",$G$4)</f>
        <v/>
      </c>
      <c r="I21" s="25" t="str">
        <f aca="false">IF(G21="","",G21/H21)</f>
        <v/>
      </c>
      <c r="J21" s="21" t="str">
        <f aca="false">IF(I21="","",IF(I21&gt;=0.9,"A+",IF(I21&gt;=0.8,"A",IF(I21&gt;=0.7,"B",IF(I21&gt;=0.6,"C",IF(I21&gt;=0.5,"D","F"))))))</f>
        <v/>
      </c>
      <c r="K21" s="21" t="str">
        <f aca="false">IF(I21="","",RANK(I21,$I$13:$I$62,0))</f>
        <v/>
      </c>
      <c r="L21" s="26" t="str">
        <f aca="false">IF(K21="","",IF(K21=1,"🥇 1st Award",IF(K21=2,"🥈 2nd Award",IF(K21=3,"🥉 3rd Award",""))))</f>
        <v/>
      </c>
      <c r="M21" s="24" t="str">
        <f aca="false">IF(K21="","",K21+COUNTIF($I$13:I21,I21)-1)</f>
        <v/>
      </c>
    </row>
    <row r="22" customFormat="false" ht="15" hidden="false" customHeight="false" outlineLevel="0" collapsed="false">
      <c r="A22" s="5" t="n">
        <v>10</v>
      </c>
      <c r="B22" s="27" t="str">
        <f aca="false">IF(Students!F15="","",Students!F15)</f>
        <v/>
      </c>
      <c r="C22" s="27" t="str">
        <f aca="false">IF(Students!G15="","",Students!G15)</f>
        <v/>
      </c>
      <c r="D22" s="23"/>
      <c r="E22" s="23"/>
      <c r="F22" s="23"/>
      <c r="G22" s="5" t="str">
        <f aca="false">IF(OR(B22="",COUNTA(D22:F22)=0),"",SUM(D22:F22))</f>
        <v/>
      </c>
      <c r="H22" s="28" t="str">
        <f aca="false">IF(G22="","",$G$4)</f>
        <v/>
      </c>
      <c r="I22" s="29" t="str">
        <f aca="false">IF(G22="","",G22/H22)</f>
        <v/>
      </c>
      <c r="J22" s="5" t="str">
        <f aca="false">IF(I22="","",IF(I22&gt;=0.9,"A+",IF(I22&gt;=0.8,"A",IF(I22&gt;=0.7,"B",IF(I22&gt;=0.6,"C",IF(I22&gt;=0.5,"D","F"))))))</f>
        <v/>
      </c>
      <c r="K22" s="5" t="str">
        <f aca="false">IF(I22="","",RANK(I22,$I$13:$I$62,0))</f>
        <v/>
      </c>
      <c r="L22" s="30" t="str">
        <f aca="false">IF(K22="","",IF(K22=1,"🥇 1st Award",IF(K22=2,"🥈 2nd Award",IF(K22=3,"🥉 3rd Award",""))))</f>
        <v/>
      </c>
      <c r="M22" s="28" t="str">
        <f aca="false">IF(K22="","",K22+COUNTIF($I$13:I22,I22)-1)</f>
        <v/>
      </c>
    </row>
    <row r="23" customFormat="false" ht="15" hidden="false" customHeight="false" outlineLevel="0" collapsed="false">
      <c r="A23" s="21" t="n">
        <v>11</v>
      </c>
      <c r="B23" s="22" t="str">
        <f aca="false">IF(Students!F16="","",Students!F16)</f>
        <v/>
      </c>
      <c r="C23" s="22" t="str">
        <f aca="false">IF(Students!G16="","",Students!G16)</f>
        <v/>
      </c>
      <c r="D23" s="23"/>
      <c r="E23" s="23"/>
      <c r="F23" s="23"/>
      <c r="G23" s="21" t="str">
        <f aca="false">IF(OR(B23="",COUNTA(D23:F23)=0),"",SUM(D23:F23))</f>
        <v/>
      </c>
      <c r="H23" s="24" t="str">
        <f aca="false">IF(G23="","",$G$4)</f>
        <v/>
      </c>
      <c r="I23" s="25" t="str">
        <f aca="false">IF(G23="","",G23/H23)</f>
        <v/>
      </c>
      <c r="J23" s="21" t="str">
        <f aca="false">IF(I23="","",IF(I23&gt;=0.9,"A+",IF(I23&gt;=0.8,"A",IF(I23&gt;=0.7,"B",IF(I23&gt;=0.6,"C",IF(I23&gt;=0.5,"D","F"))))))</f>
        <v/>
      </c>
      <c r="K23" s="21" t="str">
        <f aca="false">IF(I23="","",RANK(I23,$I$13:$I$62,0))</f>
        <v/>
      </c>
      <c r="L23" s="26" t="str">
        <f aca="false">IF(K23="","",IF(K23=1,"🥇 1st Award",IF(K23=2,"🥈 2nd Award",IF(K23=3,"🥉 3rd Award",""))))</f>
        <v/>
      </c>
      <c r="M23" s="24" t="str">
        <f aca="false">IF(K23="","",K23+COUNTIF($I$13:I23,I23)-1)</f>
        <v/>
      </c>
    </row>
    <row r="24" customFormat="false" ht="15" hidden="false" customHeight="false" outlineLevel="0" collapsed="false">
      <c r="A24" s="5" t="n">
        <v>12</v>
      </c>
      <c r="B24" s="27" t="str">
        <f aca="false">IF(Students!F17="","",Students!F17)</f>
        <v/>
      </c>
      <c r="C24" s="27" t="str">
        <f aca="false">IF(Students!G17="","",Students!G17)</f>
        <v/>
      </c>
      <c r="D24" s="23"/>
      <c r="E24" s="23"/>
      <c r="F24" s="23"/>
      <c r="G24" s="5" t="str">
        <f aca="false">IF(OR(B24="",COUNTA(D24:F24)=0),"",SUM(D24:F24))</f>
        <v/>
      </c>
      <c r="H24" s="28" t="str">
        <f aca="false">IF(G24="","",$G$4)</f>
        <v/>
      </c>
      <c r="I24" s="29" t="str">
        <f aca="false">IF(G24="","",G24/H24)</f>
        <v/>
      </c>
      <c r="J24" s="5" t="str">
        <f aca="false">IF(I24="","",IF(I24&gt;=0.9,"A+",IF(I24&gt;=0.8,"A",IF(I24&gt;=0.7,"B",IF(I24&gt;=0.6,"C",IF(I24&gt;=0.5,"D","F"))))))</f>
        <v/>
      </c>
      <c r="K24" s="5" t="str">
        <f aca="false">IF(I24="","",RANK(I24,$I$13:$I$62,0))</f>
        <v/>
      </c>
      <c r="L24" s="30" t="str">
        <f aca="false">IF(K24="","",IF(K24=1,"🥇 1st Award",IF(K24=2,"🥈 2nd Award",IF(K24=3,"🥉 3rd Award",""))))</f>
        <v/>
      </c>
      <c r="M24" s="28" t="str">
        <f aca="false">IF(K24="","",K24+COUNTIF($I$13:I24,I24)-1)</f>
        <v/>
      </c>
    </row>
    <row r="25" customFormat="false" ht="15" hidden="false" customHeight="false" outlineLevel="0" collapsed="false">
      <c r="A25" s="21" t="n">
        <v>13</v>
      </c>
      <c r="B25" s="22" t="str">
        <f aca="false">IF(Students!F18="","",Students!F18)</f>
        <v/>
      </c>
      <c r="C25" s="22" t="str">
        <f aca="false">IF(Students!G18="","",Students!G18)</f>
        <v/>
      </c>
      <c r="D25" s="23"/>
      <c r="E25" s="23"/>
      <c r="F25" s="23"/>
      <c r="G25" s="21" t="str">
        <f aca="false">IF(OR(B25="",COUNTA(D25:F25)=0),"",SUM(D25:F25))</f>
        <v/>
      </c>
      <c r="H25" s="24" t="str">
        <f aca="false">IF(G25="","",$G$4)</f>
        <v/>
      </c>
      <c r="I25" s="25" t="str">
        <f aca="false">IF(G25="","",G25/H25)</f>
        <v/>
      </c>
      <c r="J25" s="21" t="str">
        <f aca="false">IF(I25="","",IF(I25&gt;=0.9,"A+",IF(I25&gt;=0.8,"A",IF(I25&gt;=0.7,"B",IF(I25&gt;=0.6,"C",IF(I25&gt;=0.5,"D","F"))))))</f>
        <v/>
      </c>
      <c r="K25" s="21" t="str">
        <f aca="false">IF(I25="","",RANK(I25,$I$13:$I$62,0))</f>
        <v/>
      </c>
      <c r="L25" s="26" t="str">
        <f aca="false">IF(K25="","",IF(K25=1,"🥇 1st Award",IF(K25=2,"🥈 2nd Award",IF(K25=3,"🥉 3rd Award",""))))</f>
        <v/>
      </c>
      <c r="M25" s="24" t="str">
        <f aca="false">IF(K25="","",K25+COUNTIF($I$13:I25,I25)-1)</f>
        <v/>
      </c>
    </row>
    <row r="26" customFormat="false" ht="15" hidden="false" customHeight="false" outlineLevel="0" collapsed="false">
      <c r="A26" s="5" t="n">
        <v>14</v>
      </c>
      <c r="B26" s="27" t="str">
        <f aca="false">IF(Students!F19="","",Students!F19)</f>
        <v/>
      </c>
      <c r="C26" s="27" t="str">
        <f aca="false">IF(Students!G19="","",Students!G19)</f>
        <v/>
      </c>
      <c r="D26" s="23"/>
      <c r="E26" s="23"/>
      <c r="F26" s="23"/>
      <c r="G26" s="5" t="str">
        <f aca="false">IF(OR(B26="",COUNTA(D26:F26)=0),"",SUM(D26:F26))</f>
        <v/>
      </c>
      <c r="H26" s="28" t="str">
        <f aca="false">IF(G26="","",$G$4)</f>
        <v/>
      </c>
      <c r="I26" s="29" t="str">
        <f aca="false">IF(G26="","",G26/H26)</f>
        <v/>
      </c>
      <c r="J26" s="5" t="str">
        <f aca="false">IF(I26="","",IF(I26&gt;=0.9,"A+",IF(I26&gt;=0.8,"A",IF(I26&gt;=0.7,"B",IF(I26&gt;=0.6,"C",IF(I26&gt;=0.5,"D","F"))))))</f>
        <v/>
      </c>
      <c r="K26" s="5" t="str">
        <f aca="false">IF(I26="","",RANK(I26,$I$13:$I$62,0))</f>
        <v/>
      </c>
      <c r="L26" s="30" t="str">
        <f aca="false">IF(K26="","",IF(K26=1,"🥇 1st Award",IF(K26=2,"🥈 2nd Award",IF(K26=3,"🥉 3rd Award",""))))</f>
        <v/>
      </c>
      <c r="M26" s="28" t="str">
        <f aca="false">IF(K26="","",K26+COUNTIF($I$13:I26,I26)-1)</f>
        <v/>
      </c>
    </row>
    <row r="27" customFormat="false" ht="15" hidden="false" customHeight="false" outlineLevel="0" collapsed="false">
      <c r="A27" s="21" t="n">
        <v>15</v>
      </c>
      <c r="B27" s="22" t="str">
        <f aca="false">IF(Students!F20="","",Students!F20)</f>
        <v/>
      </c>
      <c r="C27" s="22" t="str">
        <f aca="false">IF(Students!G20="","",Students!G20)</f>
        <v/>
      </c>
      <c r="D27" s="23"/>
      <c r="E27" s="23"/>
      <c r="F27" s="23"/>
      <c r="G27" s="21" t="str">
        <f aca="false">IF(OR(B27="",COUNTA(D27:F27)=0),"",SUM(D27:F27))</f>
        <v/>
      </c>
      <c r="H27" s="24" t="str">
        <f aca="false">IF(G27="","",$G$4)</f>
        <v/>
      </c>
      <c r="I27" s="25" t="str">
        <f aca="false">IF(G27="","",G27/H27)</f>
        <v/>
      </c>
      <c r="J27" s="21" t="str">
        <f aca="false">IF(I27="","",IF(I27&gt;=0.9,"A+",IF(I27&gt;=0.8,"A",IF(I27&gt;=0.7,"B",IF(I27&gt;=0.6,"C",IF(I27&gt;=0.5,"D","F"))))))</f>
        <v/>
      </c>
      <c r="K27" s="21" t="str">
        <f aca="false">IF(I27="","",RANK(I27,$I$13:$I$62,0))</f>
        <v/>
      </c>
      <c r="L27" s="26" t="str">
        <f aca="false">IF(K27="","",IF(K27=1,"🥇 1st Award",IF(K27=2,"🥈 2nd Award",IF(K27=3,"🥉 3rd Award",""))))</f>
        <v/>
      </c>
      <c r="M27" s="24" t="str">
        <f aca="false">IF(K27="","",K27+COUNTIF($I$13:I27,I27)-1)</f>
        <v/>
      </c>
    </row>
    <row r="28" customFormat="false" ht="15" hidden="false" customHeight="false" outlineLevel="0" collapsed="false">
      <c r="A28" s="5" t="n">
        <v>16</v>
      </c>
      <c r="B28" s="27" t="str">
        <f aca="false">IF(Students!F21="","",Students!F21)</f>
        <v/>
      </c>
      <c r="C28" s="27" t="str">
        <f aca="false">IF(Students!G21="","",Students!G21)</f>
        <v/>
      </c>
      <c r="D28" s="23"/>
      <c r="E28" s="23"/>
      <c r="F28" s="23"/>
      <c r="G28" s="5" t="str">
        <f aca="false">IF(OR(B28="",COUNTA(D28:F28)=0),"",SUM(D28:F28))</f>
        <v/>
      </c>
      <c r="H28" s="28" t="str">
        <f aca="false">IF(G28="","",$G$4)</f>
        <v/>
      </c>
      <c r="I28" s="29" t="str">
        <f aca="false">IF(G28="","",G28/H28)</f>
        <v/>
      </c>
      <c r="J28" s="5" t="str">
        <f aca="false">IF(I28="","",IF(I28&gt;=0.9,"A+",IF(I28&gt;=0.8,"A",IF(I28&gt;=0.7,"B",IF(I28&gt;=0.6,"C",IF(I28&gt;=0.5,"D","F"))))))</f>
        <v/>
      </c>
      <c r="K28" s="5" t="str">
        <f aca="false">IF(I28="","",RANK(I28,$I$13:$I$62,0))</f>
        <v/>
      </c>
      <c r="L28" s="30" t="str">
        <f aca="false">IF(K28="","",IF(K28=1,"🥇 1st Award",IF(K28=2,"🥈 2nd Award",IF(K28=3,"🥉 3rd Award",""))))</f>
        <v/>
      </c>
      <c r="M28" s="28" t="str">
        <f aca="false">IF(K28="","",K28+COUNTIF($I$13:I28,I28)-1)</f>
        <v/>
      </c>
    </row>
    <row r="29" customFormat="false" ht="15" hidden="false" customHeight="false" outlineLevel="0" collapsed="false">
      <c r="A29" s="21" t="n">
        <v>17</v>
      </c>
      <c r="B29" s="22" t="str">
        <f aca="false">IF(Students!F22="","",Students!F22)</f>
        <v/>
      </c>
      <c r="C29" s="22" t="str">
        <f aca="false">IF(Students!G22="","",Students!G22)</f>
        <v/>
      </c>
      <c r="D29" s="23"/>
      <c r="E29" s="23"/>
      <c r="F29" s="23"/>
      <c r="G29" s="21" t="str">
        <f aca="false">IF(OR(B29="",COUNTA(D29:F29)=0),"",SUM(D29:F29))</f>
        <v/>
      </c>
      <c r="H29" s="24" t="str">
        <f aca="false">IF(G29="","",$G$4)</f>
        <v/>
      </c>
      <c r="I29" s="25" t="str">
        <f aca="false">IF(G29="","",G29/H29)</f>
        <v/>
      </c>
      <c r="J29" s="21" t="str">
        <f aca="false">IF(I29="","",IF(I29&gt;=0.9,"A+",IF(I29&gt;=0.8,"A",IF(I29&gt;=0.7,"B",IF(I29&gt;=0.6,"C",IF(I29&gt;=0.5,"D","F"))))))</f>
        <v/>
      </c>
      <c r="K29" s="21" t="str">
        <f aca="false">IF(I29="","",RANK(I29,$I$13:$I$62,0))</f>
        <v/>
      </c>
      <c r="L29" s="26" t="str">
        <f aca="false">IF(K29="","",IF(K29=1,"🥇 1st Award",IF(K29=2,"🥈 2nd Award",IF(K29=3,"🥉 3rd Award",""))))</f>
        <v/>
      </c>
      <c r="M29" s="24" t="str">
        <f aca="false">IF(K29="","",K29+COUNTIF($I$13:I29,I29)-1)</f>
        <v/>
      </c>
    </row>
    <row r="30" customFormat="false" ht="15" hidden="false" customHeight="false" outlineLevel="0" collapsed="false">
      <c r="A30" s="5" t="n">
        <v>18</v>
      </c>
      <c r="B30" s="27" t="str">
        <f aca="false">IF(Students!F23="","",Students!F23)</f>
        <v/>
      </c>
      <c r="C30" s="27" t="str">
        <f aca="false">IF(Students!G23="","",Students!G23)</f>
        <v/>
      </c>
      <c r="D30" s="23"/>
      <c r="E30" s="23"/>
      <c r="F30" s="23"/>
      <c r="G30" s="5" t="str">
        <f aca="false">IF(OR(B30="",COUNTA(D30:F30)=0),"",SUM(D30:F30))</f>
        <v/>
      </c>
      <c r="H30" s="28" t="str">
        <f aca="false">IF(G30="","",$G$4)</f>
        <v/>
      </c>
      <c r="I30" s="29" t="str">
        <f aca="false">IF(G30="","",G30/H30)</f>
        <v/>
      </c>
      <c r="J30" s="5" t="str">
        <f aca="false">IF(I30="","",IF(I30&gt;=0.9,"A+",IF(I30&gt;=0.8,"A",IF(I30&gt;=0.7,"B",IF(I30&gt;=0.6,"C",IF(I30&gt;=0.5,"D","F"))))))</f>
        <v/>
      </c>
      <c r="K30" s="5" t="str">
        <f aca="false">IF(I30="","",RANK(I30,$I$13:$I$62,0))</f>
        <v/>
      </c>
      <c r="L30" s="30" t="str">
        <f aca="false">IF(K30="","",IF(K30=1,"🥇 1st Award",IF(K30=2,"🥈 2nd Award",IF(K30=3,"🥉 3rd Award",""))))</f>
        <v/>
      </c>
      <c r="M30" s="28" t="str">
        <f aca="false">IF(K30="","",K30+COUNTIF($I$13:I30,I30)-1)</f>
        <v/>
      </c>
    </row>
    <row r="31" customFormat="false" ht="15" hidden="false" customHeight="false" outlineLevel="0" collapsed="false">
      <c r="A31" s="21" t="n">
        <v>19</v>
      </c>
      <c r="B31" s="22" t="str">
        <f aca="false">IF(Students!F24="","",Students!F24)</f>
        <v/>
      </c>
      <c r="C31" s="22" t="str">
        <f aca="false">IF(Students!G24="","",Students!G24)</f>
        <v/>
      </c>
      <c r="D31" s="23"/>
      <c r="E31" s="23"/>
      <c r="F31" s="23"/>
      <c r="G31" s="21" t="str">
        <f aca="false">IF(OR(B31="",COUNTA(D31:F31)=0),"",SUM(D31:F31))</f>
        <v/>
      </c>
      <c r="H31" s="24" t="str">
        <f aca="false">IF(G31="","",$G$4)</f>
        <v/>
      </c>
      <c r="I31" s="25" t="str">
        <f aca="false">IF(G31="","",G31/H31)</f>
        <v/>
      </c>
      <c r="J31" s="21" t="str">
        <f aca="false">IF(I31="","",IF(I31&gt;=0.9,"A+",IF(I31&gt;=0.8,"A",IF(I31&gt;=0.7,"B",IF(I31&gt;=0.6,"C",IF(I31&gt;=0.5,"D","F"))))))</f>
        <v/>
      </c>
      <c r="K31" s="21" t="str">
        <f aca="false">IF(I31="","",RANK(I31,$I$13:$I$62,0))</f>
        <v/>
      </c>
      <c r="L31" s="26" t="str">
        <f aca="false">IF(K31="","",IF(K31=1,"🥇 1st Award",IF(K31=2,"🥈 2nd Award",IF(K31=3,"🥉 3rd Award",""))))</f>
        <v/>
      </c>
      <c r="M31" s="24" t="str">
        <f aca="false">IF(K31="","",K31+COUNTIF($I$13:I31,I31)-1)</f>
        <v/>
      </c>
    </row>
    <row r="32" customFormat="false" ht="15" hidden="false" customHeight="false" outlineLevel="0" collapsed="false">
      <c r="A32" s="5" t="n">
        <v>20</v>
      </c>
      <c r="B32" s="27" t="str">
        <f aca="false">IF(Students!F25="","",Students!F25)</f>
        <v/>
      </c>
      <c r="C32" s="27" t="str">
        <f aca="false">IF(Students!G25="","",Students!G25)</f>
        <v/>
      </c>
      <c r="D32" s="23"/>
      <c r="E32" s="23"/>
      <c r="F32" s="23"/>
      <c r="G32" s="5" t="str">
        <f aca="false">IF(OR(B32="",COUNTA(D32:F32)=0),"",SUM(D32:F32))</f>
        <v/>
      </c>
      <c r="H32" s="28" t="str">
        <f aca="false">IF(G32="","",$G$4)</f>
        <v/>
      </c>
      <c r="I32" s="29" t="str">
        <f aca="false">IF(G32="","",G32/H32)</f>
        <v/>
      </c>
      <c r="J32" s="5" t="str">
        <f aca="false">IF(I32="","",IF(I32&gt;=0.9,"A+",IF(I32&gt;=0.8,"A",IF(I32&gt;=0.7,"B",IF(I32&gt;=0.6,"C",IF(I32&gt;=0.5,"D","F"))))))</f>
        <v/>
      </c>
      <c r="K32" s="5" t="str">
        <f aca="false">IF(I32="","",RANK(I32,$I$13:$I$62,0))</f>
        <v/>
      </c>
      <c r="L32" s="30" t="str">
        <f aca="false">IF(K32="","",IF(K32=1,"🥇 1st Award",IF(K32=2,"🥈 2nd Award",IF(K32=3,"🥉 3rd Award",""))))</f>
        <v/>
      </c>
      <c r="M32" s="28" t="str">
        <f aca="false">IF(K32="","",K32+COUNTIF($I$13:I32,I32)-1)</f>
        <v/>
      </c>
    </row>
    <row r="33" customFormat="false" ht="15" hidden="false" customHeight="false" outlineLevel="0" collapsed="false">
      <c r="A33" s="21" t="n">
        <v>21</v>
      </c>
      <c r="B33" s="22" t="str">
        <f aca="false">IF(Students!F26="","",Students!F26)</f>
        <v/>
      </c>
      <c r="C33" s="22" t="str">
        <f aca="false">IF(Students!G26="","",Students!G26)</f>
        <v/>
      </c>
      <c r="D33" s="23"/>
      <c r="E33" s="23"/>
      <c r="F33" s="23"/>
      <c r="G33" s="21" t="str">
        <f aca="false">IF(OR(B33="",COUNTA(D33:F33)=0),"",SUM(D33:F33))</f>
        <v/>
      </c>
      <c r="H33" s="24" t="str">
        <f aca="false">IF(G33="","",$G$4)</f>
        <v/>
      </c>
      <c r="I33" s="25" t="str">
        <f aca="false">IF(G33="","",G33/H33)</f>
        <v/>
      </c>
      <c r="J33" s="21" t="str">
        <f aca="false">IF(I33="","",IF(I33&gt;=0.9,"A+",IF(I33&gt;=0.8,"A",IF(I33&gt;=0.7,"B",IF(I33&gt;=0.6,"C",IF(I33&gt;=0.5,"D","F"))))))</f>
        <v/>
      </c>
      <c r="K33" s="21" t="str">
        <f aca="false">IF(I33="","",RANK(I33,$I$13:$I$62,0))</f>
        <v/>
      </c>
      <c r="L33" s="26" t="str">
        <f aca="false">IF(K33="","",IF(K33=1,"🥇 1st Award",IF(K33=2,"🥈 2nd Award",IF(K33=3,"🥉 3rd Award",""))))</f>
        <v/>
      </c>
      <c r="M33" s="24" t="str">
        <f aca="false">IF(K33="","",K33+COUNTIF($I$13:I33,I33)-1)</f>
        <v/>
      </c>
    </row>
    <row r="34" customFormat="false" ht="15" hidden="false" customHeight="false" outlineLevel="0" collapsed="false">
      <c r="A34" s="5" t="n">
        <v>22</v>
      </c>
      <c r="B34" s="27" t="str">
        <f aca="false">IF(Students!F27="","",Students!F27)</f>
        <v/>
      </c>
      <c r="C34" s="27" t="str">
        <f aca="false">IF(Students!G27="","",Students!G27)</f>
        <v/>
      </c>
      <c r="D34" s="23"/>
      <c r="E34" s="23"/>
      <c r="F34" s="23"/>
      <c r="G34" s="5" t="str">
        <f aca="false">IF(OR(B34="",COUNTA(D34:F34)=0),"",SUM(D34:F34))</f>
        <v/>
      </c>
      <c r="H34" s="28" t="str">
        <f aca="false">IF(G34="","",$G$4)</f>
        <v/>
      </c>
      <c r="I34" s="29" t="str">
        <f aca="false">IF(G34="","",G34/H34)</f>
        <v/>
      </c>
      <c r="J34" s="5" t="str">
        <f aca="false">IF(I34="","",IF(I34&gt;=0.9,"A+",IF(I34&gt;=0.8,"A",IF(I34&gt;=0.7,"B",IF(I34&gt;=0.6,"C",IF(I34&gt;=0.5,"D","F"))))))</f>
        <v/>
      </c>
      <c r="K34" s="5" t="str">
        <f aca="false">IF(I34="","",RANK(I34,$I$13:$I$62,0))</f>
        <v/>
      </c>
      <c r="L34" s="30" t="str">
        <f aca="false">IF(K34="","",IF(K34=1,"🥇 1st Award",IF(K34=2,"🥈 2nd Award",IF(K34=3,"🥉 3rd Award",""))))</f>
        <v/>
      </c>
      <c r="M34" s="28" t="str">
        <f aca="false">IF(K34="","",K34+COUNTIF($I$13:I34,I34)-1)</f>
        <v/>
      </c>
    </row>
    <row r="35" customFormat="false" ht="15" hidden="false" customHeight="false" outlineLevel="0" collapsed="false">
      <c r="A35" s="21" t="n">
        <v>23</v>
      </c>
      <c r="B35" s="22" t="str">
        <f aca="false">IF(Students!F28="","",Students!F28)</f>
        <v/>
      </c>
      <c r="C35" s="22" t="str">
        <f aca="false">IF(Students!G28="","",Students!G28)</f>
        <v/>
      </c>
      <c r="D35" s="23"/>
      <c r="E35" s="23"/>
      <c r="F35" s="23"/>
      <c r="G35" s="21" t="str">
        <f aca="false">IF(OR(B35="",COUNTA(D35:F35)=0),"",SUM(D35:F35))</f>
        <v/>
      </c>
      <c r="H35" s="24" t="str">
        <f aca="false">IF(G35="","",$G$4)</f>
        <v/>
      </c>
      <c r="I35" s="25" t="str">
        <f aca="false">IF(G35="","",G35/H35)</f>
        <v/>
      </c>
      <c r="J35" s="21" t="str">
        <f aca="false">IF(I35="","",IF(I35&gt;=0.9,"A+",IF(I35&gt;=0.8,"A",IF(I35&gt;=0.7,"B",IF(I35&gt;=0.6,"C",IF(I35&gt;=0.5,"D","F"))))))</f>
        <v/>
      </c>
      <c r="K35" s="21" t="str">
        <f aca="false">IF(I35="","",RANK(I35,$I$13:$I$62,0))</f>
        <v/>
      </c>
      <c r="L35" s="26" t="str">
        <f aca="false">IF(K35="","",IF(K35=1,"🥇 1st Award",IF(K35=2,"🥈 2nd Award",IF(K35=3,"🥉 3rd Award",""))))</f>
        <v/>
      </c>
      <c r="M35" s="24" t="str">
        <f aca="false">IF(K35="","",K35+COUNTIF($I$13:I35,I35)-1)</f>
        <v/>
      </c>
    </row>
    <row r="36" customFormat="false" ht="15" hidden="false" customHeight="false" outlineLevel="0" collapsed="false">
      <c r="A36" s="5" t="n">
        <v>24</v>
      </c>
      <c r="B36" s="27" t="str">
        <f aca="false">IF(Students!F29="","",Students!F29)</f>
        <v/>
      </c>
      <c r="C36" s="27" t="str">
        <f aca="false">IF(Students!G29="","",Students!G29)</f>
        <v/>
      </c>
      <c r="D36" s="23"/>
      <c r="E36" s="23"/>
      <c r="F36" s="23"/>
      <c r="G36" s="5" t="str">
        <f aca="false">IF(OR(B36="",COUNTA(D36:F36)=0),"",SUM(D36:F36))</f>
        <v/>
      </c>
      <c r="H36" s="28" t="str">
        <f aca="false">IF(G36="","",$G$4)</f>
        <v/>
      </c>
      <c r="I36" s="29" t="str">
        <f aca="false">IF(G36="","",G36/H36)</f>
        <v/>
      </c>
      <c r="J36" s="5" t="str">
        <f aca="false">IF(I36="","",IF(I36&gt;=0.9,"A+",IF(I36&gt;=0.8,"A",IF(I36&gt;=0.7,"B",IF(I36&gt;=0.6,"C",IF(I36&gt;=0.5,"D","F"))))))</f>
        <v/>
      </c>
      <c r="K36" s="5" t="str">
        <f aca="false">IF(I36="","",RANK(I36,$I$13:$I$62,0))</f>
        <v/>
      </c>
      <c r="L36" s="30" t="str">
        <f aca="false">IF(K36="","",IF(K36=1,"🥇 1st Award",IF(K36=2,"🥈 2nd Award",IF(K36=3,"🥉 3rd Award",""))))</f>
        <v/>
      </c>
      <c r="M36" s="28" t="str">
        <f aca="false">IF(K36="","",K36+COUNTIF($I$13:I36,I36)-1)</f>
        <v/>
      </c>
    </row>
    <row r="37" customFormat="false" ht="15" hidden="false" customHeight="false" outlineLevel="0" collapsed="false">
      <c r="A37" s="21" t="n">
        <v>25</v>
      </c>
      <c r="B37" s="22" t="str">
        <f aca="false">IF(Students!F30="","",Students!F30)</f>
        <v/>
      </c>
      <c r="C37" s="22" t="str">
        <f aca="false">IF(Students!G30="","",Students!G30)</f>
        <v/>
      </c>
      <c r="D37" s="23"/>
      <c r="E37" s="23"/>
      <c r="F37" s="23"/>
      <c r="G37" s="21" t="str">
        <f aca="false">IF(OR(B37="",COUNTA(D37:F37)=0),"",SUM(D37:F37))</f>
        <v/>
      </c>
      <c r="H37" s="24" t="str">
        <f aca="false">IF(G37="","",$G$4)</f>
        <v/>
      </c>
      <c r="I37" s="25" t="str">
        <f aca="false">IF(G37="","",G37/H37)</f>
        <v/>
      </c>
      <c r="J37" s="21" t="str">
        <f aca="false">IF(I37="","",IF(I37&gt;=0.9,"A+",IF(I37&gt;=0.8,"A",IF(I37&gt;=0.7,"B",IF(I37&gt;=0.6,"C",IF(I37&gt;=0.5,"D","F"))))))</f>
        <v/>
      </c>
      <c r="K37" s="21" t="str">
        <f aca="false">IF(I37="","",RANK(I37,$I$13:$I$62,0))</f>
        <v/>
      </c>
      <c r="L37" s="26" t="str">
        <f aca="false">IF(K37="","",IF(K37=1,"🥇 1st Award",IF(K37=2,"🥈 2nd Award",IF(K37=3,"🥉 3rd Award",""))))</f>
        <v/>
      </c>
      <c r="M37" s="24" t="str">
        <f aca="false">IF(K37="","",K37+COUNTIF($I$13:I37,I37)-1)</f>
        <v/>
      </c>
    </row>
    <row r="38" customFormat="false" ht="15" hidden="false" customHeight="false" outlineLevel="0" collapsed="false">
      <c r="A38" s="5" t="n">
        <v>26</v>
      </c>
      <c r="B38" s="27" t="str">
        <f aca="false">IF(Students!F31="","",Students!F31)</f>
        <v/>
      </c>
      <c r="C38" s="27" t="str">
        <f aca="false">IF(Students!G31="","",Students!G31)</f>
        <v/>
      </c>
      <c r="D38" s="23"/>
      <c r="E38" s="23"/>
      <c r="F38" s="23"/>
      <c r="G38" s="5" t="str">
        <f aca="false">IF(OR(B38="",COUNTA(D38:F38)=0),"",SUM(D38:F38))</f>
        <v/>
      </c>
      <c r="H38" s="28" t="str">
        <f aca="false">IF(G38="","",$G$4)</f>
        <v/>
      </c>
      <c r="I38" s="29" t="str">
        <f aca="false">IF(G38="","",G38/H38)</f>
        <v/>
      </c>
      <c r="J38" s="5" t="str">
        <f aca="false">IF(I38="","",IF(I38&gt;=0.9,"A+",IF(I38&gt;=0.8,"A",IF(I38&gt;=0.7,"B",IF(I38&gt;=0.6,"C",IF(I38&gt;=0.5,"D","F"))))))</f>
        <v/>
      </c>
      <c r="K38" s="5" t="str">
        <f aca="false">IF(I38="","",RANK(I38,$I$13:$I$62,0))</f>
        <v/>
      </c>
      <c r="L38" s="30" t="str">
        <f aca="false">IF(K38="","",IF(K38=1,"🥇 1st Award",IF(K38=2,"🥈 2nd Award",IF(K38=3,"🥉 3rd Award",""))))</f>
        <v/>
      </c>
      <c r="M38" s="28" t="str">
        <f aca="false">IF(K38="","",K38+COUNTIF($I$13:I38,I38)-1)</f>
        <v/>
      </c>
    </row>
    <row r="39" customFormat="false" ht="15" hidden="false" customHeight="false" outlineLevel="0" collapsed="false">
      <c r="A39" s="21" t="n">
        <v>27</v>
      </c>
      <c r="B39" s="22" t="str">
        <f aca="false">IF(Students!F32="","",Students!F32)</f>
        <v/>
      </c>
      <c r="C39" s="22" t="str">
        <f aca="false">IF(Students!G32="","",Students!G32)</f>
        <v/>
      </c>
      <c r="D39" s="23"/>
      <c r="E39" s="23"/>
      <c r="F39" s="23"/>
      <c r="G39" s="21" t="str">
        <f aca="false">IF(OR(B39="",COUNTA(D39:F39)=0),"",SUM(D39:F39))</f>
        <v/>
      </c>
      <c r="H39" s="24" t="str">
        <f aca="false">IF(G39="","",$G$4)</f>
        <v/>
      </c>
      <c r="I39" s="25" t="str">
        <f aca="false">IF(G39="","",G39/H39)</f>
        <v/>
      </c>
      <c r="J39" s="21" t="str">
        <f aca="false">IF(I39="","",IF(I39&gt;=0.9,"A+",IF(I39&gt;=0.8,"A",IF(I39&gt;=0.7,"B",IF(I39&gt;=0.6,"C",IF(I39&gt;=0.5,"D","F"))))))</f>
        <v/>
      </c>
      <c r="K39" s="21" t="str">
        <f aca="false">IF(I39="","",RANK(I39,$I$13:$I$62,0))</f>
        <v/>
      </c>
      <c r="L39" s="26" t="str">
        <f aca="false">IF(K39="","",IF(K39=1,"🥇 1st Award",IF(K39=2,"🥈 2nd Award",IF(K39=3,"🥉 3rd Award",""))))</f>
        <v/>
      </c>
      <c r="M39" s="24" t="str">
        <f aca="false">IF(K39="","",K39+COUNTIF($I$13:I39,I39)-1)</f>
        <v/>
      </c>
    </row>
    <row r="40" customFormat="false" ht="15" hidden="false" customHeight="false" outlineLevel="0" collapsed="false">
      <c r="A40" s="5" t="n">
        <v>28</v>
      </c>
      <c r="B40" s="27" t="str">
        <f aca="false">IF(Students!F33="","",Students!F33)</f>
        <v/>
      </c>
      <c r="C40" s="27" t="str">
        <f aca="false">IF(Students!G33="","",Students!G33)</f>
        <v/>
      </c>
      <c r="D40" s="23"/>
      <c r="E40" s="23"/>
      <c r="F40" s="23"/>
      <c r="G40" s="5" t="str">
        <f aca="false">IF(OR(B40="",COUNTA(D40:F40)=0),"",SUM(D40:F40))</f>
        <v/>
      </c>
      <c r="H40" s="28" t="str">
        <f aca="false">IF(G40="","",$G$4)</f>
        <v/>
      </c>
      <c r="I40" s="29" t="str">
        <f aca="false">IF(G40="","",G40/H40)</f>
        <v/>
      </c>
      <c r="J40" s="5" t="str">
        <f aca="false">IF(I40="","",IF(I40&gt;=0.9,"A+",IF(I40&gt;=0.8,"A",IF(I40&gt;=0.7,"B",IF(I40&gt;=0.6,"C",IF(I40&gt;=0.5,"D","F"))))))</f>
        <v/>
      </c>
      <c r="K40" s="5" t="str">
        <f aca="false">IF(I40="","",RANK(I40,$I$13:$I$62,0))</f>
        <v/>
      </c>
      <c r="L40" s="30" t="str">
        <f aca="false">IF(K40="","",IF(K40=1,"🥇 1st Award",IF(K40=2,"🥈 2nd Award",IF(K40=3,"🥉 3rd Award",""))))</f>
        <v/>
      </c>
      <c r="M40" s="28" t="str">
        <f aca="false">IF(K40="","",K40+COUNTIF($I$13:I40,I40)-1)</f>
        <v/>
      </c>
    </row>
    <row r="41" customFormat="false" ht="15" hidden="false" customHeight="false" outlineLevel="0" collapsed="false">
      <c r="A41" s="21" t="n">
        <v>29</v>
      </c>
      <c r="B41" s="22" t="str">
        <f aca="false">IF(Students!F34="","",Students!F34)</f>
        <v/>
      </c>
      <c r="C41" s="22" t="str">
        <f aca="false">IF(Students!G34="","",Students!G34)</f>
        <v/>
      </c>
      <c r="D41" s="23"/>
      <c r="E41" s="23"/>
      <c r="F41" s="23"/>
      <c r="G41" s="21" t="str">
        <f aca="false">IF(OR(B41="",COUNTA(D41:F41)=0),"",SUM(D41:F41))</f>
        <v/>
      </c>
      <c r="H41" s="24" t="str">
        <f aca="false">IF(G41="","",$G$4)</f>
        <v/>
      </c>
      <c r="I41" s="25" t="str">
        <f aca="false">IF(G41="","",G41/H41)</f>
        <v/>
      </c>
      <c r="J41" s="21" t="str">
        <f aca="false">IF(I41="","",IF(I41&gt;=0.9,"A+",IF(I41&gt;=0.8,"A",IF(I41&gt;=0.7,"B",IF(I41&gt;=0.6,"C",IF(I41&gt;=0.5,"D","F"))))))</f>
        <v/>
      </c>
      <c r="K41" s="21" t="str">
        <f aca="false">IF(I41="","",RANK(I41,$I$13:$I$62,0))</f>
        <v/>
      </c>
      <c r="L41" s="26" t="str">
        <f aca="false">IF(K41="","",IF(K41=1,"🥇 1st Award",IF(K41=2,"🥈 2nd Award",IF(K41=3,"🥉 3rd Award",""))))</f>
        <v/>
      </c>
      <c r="M41" s="24" t="str">
        <f aca="false">IF(K41="","",K41+COUNTIF($I$13:I41,I41)-1)</f>
        <v/>
      </c>
    </row>
    <row r="42" customFormat="false" ht="15" hidden="false" customHeight="false" outlineLevel="0" collapsed="false">
      <c r="A42" s="5" t="n">
        <v>30</v>
      </c>
      <c r="B42" s="27" t="str">
        <f aca="false">IF(Students!F35="","",Students!F35)</f>
        <v/>
      </c>
      <c r="C42" s="27" t="str">
        <f aca="false">IF(Students!G35="","",Students!G35)</f>
        <v/>
      </c>
      <c r="D42" s="23"/>
      <c r="E42" s="23"/>
      <c r="F42" s="23"/>
      <c r="G42" s="5" t="str">
        <f aca="false">IF(OR(B42="",COUNTA(D42:F42)=0),"",SUM(D42:F42))</f>
        <v/>
      </c>
      <c r="H42" s="28" t="str">
        <f aca="false">IF(G42="","",$G$4)</f>
        <v/>
      </c>
      <c r="I42" s="29" t="str">
        <f aca="false">IF(G42="","",G42/H42)</f>
        <v/>
      </c>
      <c r="J42" s="5" t="str">
        <f aca="false">IF(I42="","",IF(I42&gt;=0.9,"A+",IF(I42&gt;=0.8,"A",IF(I42&gt;=0.7,"B",IF(I42&gt;=0.6,"C",IF(I42&gt;=0.5,"D","F"))))))</f>
        <v/>
      </c>
      <c r="K42" s="5" t="str">
        <f aca="false">IF(I42="","",RANK(I42,$I$13:$I$62,0))</f>
        <v/>
      </c>
      <c r="L42" s="30" t="str">
        <f aca="false">IF(K42="","",IF(K42=1,"🥇 1st Award",IF(K42=2,"🥈 2nd Award",IF(K42=3,"🥉 3rd Award",""))))</f>
        <v/>
      </c>
      <c r="M42" s="28" t="str">
        <f aca="false">IF(K42="","",K42+COUNTIF($I$13:I42,I42)-1)</f>
        <v/>
      </c>
    </row>
    <row r="43" customFormat="false" ht="15" hidden="false" customHeight="false" outlineLevel="0" collapsed="false">
      <c r="A43" s="21" t="n">
        <v>31</v>
      </c>
      <c r="B43" s="22" t="str">
        <f aca="false">IF(Students!F36="","",Students!F36)</f>
        <v/>
      </c>
      <c r="C43" s="22" t="str">
        <f aca="false">IF(Students!G36="","",Students!G36)</f>
        <v/>
      </c>
      <c r="D43" s="23"/>
      <c r="E43" s="23"/>
      <c r="F43" s="23"/>
      <c r="G43" s="21" t="str">
        <f aca="false">IF(OR(B43="",COUNTA(D43:F43)=0),"",SUM(D43:F43))</f>
        <v/>
      </c>
      <c r="H43" s="24" t="str">
        <f aca="false">IF(G43="","",$G$4)</f>
        <v/>
      </c>
      <c r="I43" s="25" t="str">
        <f aca="false">IF(G43="","",G43/H43)</f>
        <v/>
      </c>
      <c r="J43" s="21" t="str">
        <f aca="false">IF(I43="","",IF(I43&gt;=0.9,"A+",IF(I43&gt;=0.8,"A",IF(I43&gt;=0.7,"B",IF(I43&gt;=0.6,"C",IF(I43&gt;=0.5,"D","F"))))))</f>
        <v/>
      </c>
      <c r="K43" s="21" t="str">
        <f aca="false">IF(I43="","",RANK(I43,$I$13:$I$62,0))</f>
        <v/>
      </c>
      <c r="L43" s="26" t="str">
        <f aca="false">IF(K43="","",IF(K43=1,"🥇 1st Award",IF(K43=2,"🥈 2nd Award",IF(K43=3,"🥉 3rd Award",""))))</f>
        <v/>
      </c>
      <c r="M43" s="24" t="str">
        <f aca="false">IF(K43="","",K43+COUNTIF($I$13:I43,I43)-1)</f>
        <v/>
      </c>
    </row>
    <row r="44" customFormat="false" ht="15" hidden="false" customHeight="false" outlineLevel="0" collapsed="false">
      <c r="A44" s="5" t="n">
        <v>32</v>
      </c>
      <c r="B44" s="27" t="str">
        <f aca="false">IF(Students!F37="","",Students!F37)</f>
        <v/>
      </c>
      <c r="C44" s="27" t="str">
        <f aca="false">IF(Students!G37="","",Students!G37)</f>
        <v/>
      </c>
      <c r="D44" s="23"/>
      <c r="E44" s="23"/>
      <c r="F44" s="23"/>
      <c r="G44" s="5" t="str">
        <f aca="false">IF(OR(B44="",COUNTA(D44:F44)=0),"",SUM(D44:F44))</f>
        <v/>
      </c>
      <c r="H44" s="28" t="str">
        <f aca="false">IF(G44="","",$G$4)</f>
        <v/>
      </c>
      <c r="I44" s="29" t="str">
        <f aca="false">IF(G44="","",G44/H44)</f>
        <v/>
      </c>
      <c r="J44" s="5" t="str">
        <f aca="false">IF(I44="","",IF(I44&gt;=0.9,"A+",IF(I44&gt;=0.8,"A",IF(I44&gt;=0.7,"B",IF(I44&gt;=0.6,"C",IF(I44&gt;=0.5,"D","F"))))))</f>
        <v/>
      </c>
      <c r="K44" s="5" t="str">
        <f aca="false">IF(I44="","",RANK(I44,$I$13:$I$62,0))</f>
        <v/>
      </c>
      <c r="L44" s="30" t="str">
        <f aca="false">IF(K44="","",IF(K44=1,"🥇 1st Award",IF(K44=2,"🥈 2nd Award",IF(K44=3,"🥉 3rd Award",""))))</f>
        <v/>
      </c>
      <c r="M44" s="28" t="str">
        <f aca="false">IF(K44="","",K44+COUNTIF($I$13:I44,I44)-1)</f>
        <v/>
      </c>
    </row>
    <row r="45" customFormat="false" ht="15" hidden="false" customHeight="false" outlineLevel="0" collapsed="false">
      <c r="A45" s="21" t="n">
        <v>33</v>
      </c>
      <c r="B45" s="22" t="str">
        <f aca="false">IF(Students!F38="","",Students!F38)</f>
        <v/>
      </c>
      <c r="C45" s="22" t="str">
        <f aca="false">IF(Students!G38="","",Students!G38)</f>
        <v/>
      </c>
      <c r="D45" s="23"/>
      <c r="E45" s="23"/>
      <c r="F45" s="23"/>
      <c r="G45" s="21" t="str">
        <f aca="false">IF(OR(B45="",COUNTA(D45:F45)=0),"",SUM(D45:F45))</f>
        <v/>
      </c>
      <c r="H45" s="24" t="str">
        <f aca="false">IF(G45="","",$G$4)</f>
        <v/>
      </c>
      <c r="I45" s="25" t="str">
        <f aca="false">IF(G45="","",G45/H45)</f>
        <v/>
      </c>
      <c r="J45" s="21" t="str">
        <f aca="false">IF(I45="","",IF(I45&gt;=0.9,"A+",IF(I45&gt;=0.8,"A",IF(I45&gt;=0.7,"B",IF(I45&gt;=0.6,"C",IF(I45&gt;=0.5,"D","F"))))))</f>
        <v/>
      </c>
      <c r="K45" s="21" t="str">
        <f aca="false">IF(I45="","",RANK(I45,$I$13:$I$62,0))</f>
        <v/>
      </c>
      <c r="L45" s="26" t="str">
        <f aca="false">IF(K45="","",IF(K45=1,"🥇 1st Award",IF(K45=2,"🥈 2nd Award",IF(K45=3,"🥉 3rd Award",""))))</f>
        <v/>
      </c>
      <c r="M45" s="24" t="str">
        <f aca="false">IF(K45="","",K45+COUNTIF($I$13:I45,I45)-1)</f>
        <v/>
      </c>
    </row>
    <row r="46" customFormat="false" ht="15" hidden="false" customHeight="false" outlineLevel="0" collapsed="false">
      <c r="A46" s="5" t="n">
        <v>34</v>
      </c>
      <c r="B46" s="27" t="str">
        <f aca="false">IF(Students!F39="","",Students!F39)</f>
        <v/>
      </c>
      <c r="C46" s="27" t="str">
        <f aca="false">IF(Students!G39="","",Students!G39)</f>
        <v/>
      </c>
      <c r="D46" s="23"/>
      <c r="E46" s="23"/>
      <c r="F46" s="23"/>
      <c r="G46" s="5" t="str">
        <f aca="false">IF(OR(B46="",COUNTA(D46:F46)=0),"",SUM(D46:F46))</f>
        <v/>
      </c>
      <c r="H46" s="28" t="str">
        <f aca="false">IF(G46="","",$G$4)</f>
        <v/>
      </c>
      <c r="I46" s="29" t="str">
        <f aca="false">IF(G46="","",G46/H46)</f>
        <v/>
      </c>
      <c r="J46" s="5" t="str">
        <f aca="false">IF(I46="","",IF(I46&gt;=0.9,"A+",IF(I46&gt;=0.8,"A",IF(I46&gt;=0.7,"B",IF(I46&gt;=0.6,"C",IF(I46&gt;=0.5,"D","F"))))))</f>
        <v/>
      </c>
      <c r="K46" s="5" t="str">
        <f aca="false">IF(I46="","",RANK(I46,$I$13:$I$62,0))</f>
        <v/>
      </c>
      <c r="L46" s="30" t="str">
        <f aca="false">IF(K46="","",IF(K46=1,"🥇 1st Award",IF(K46=2,"🥈 2nd Award",IF(K46=3,"🥉 3rd Award",""))))</f>
        <v/>
      </c>
      <c r="M46" s="28" t="str">
        <f aca="false">IF(K46="","",K46+COUNTIF($I$13:I46,I46)-1)</f>
        <v/>
      </c>
    </row>
    <row r="47" customFormat="false" ht="15" hidden="false" customHeight="false" outlineLevel="0" collapsed="false">
      <c r="A47" s="21" t="n">
        <v>35</v>
      </c>
      <c r="B47" s="22" t="str">
        <f aca="false">IF(Students!F40="","",Students!F40)</f>
        <v/>
      </c>
      <c r="C47" s="22" t="str">
        <f aca="false">IF(Students!G40="","",Students!G40)</f>
        <v/>
      </c>
      <c r="D47" s="23"/>
      <c r="E47" s="23"/>
      <c r="F47" s="23"/>
      <c r="G47" s="21" t="str">
        <f aca="false">IF(OR(B47="",COUNTA(D47:F47)=0),"",SUM(D47:F47))</f>
        <v/>
      </c>
      <c r="H47" s="24" t="str">
        <f aca="false">IF(G47="","",$G$4)</f>
        <v/>
      </c>
      <c r="I47" s="25" t="str">
        <f aca="false">IF(G47="","",G47/H47)</f>
        <v/>
      </c>
      <c r="J47" s="21" t="str">
        <f aca="false">IF(I47="","",IF(I47&gt;=0.9,"A+",IF(I47&gt;=0.8,"A",IF(I47&gt;=0.7,"B",IF(I47&gt;=0.6,"C",IF(I47&gt;=0.5,"D","F"))))))</f>
        <v/>
      </c>
      <c r="K47" s="21" t="str">
        <f aca="false">IF(I47="","",RANK(I47,$I$13:$I$62,0))</f>
        <v/>
      </c>
      <c r="L47" s="26" t="str">
        <f aca="false">IF(K47="","",IF(K47=1,"🥇 1st Award",IF(K47=2,"🥈 2nd Award",IF(K47=3,"🥉 3rd Award",""))))</f>
        <v/>
      </c>
      <c r="M47" s="24" t="str">
        <f aca="false">IF(K47="","",K47+COUNTIF($I$13:I47,I47)-1)</f>
        <v/>
      </c>
    </row>
    <row r="48" customFormat="false" ht="15" hidden="false" customHeight="false" outlineLevel="0" collapsed="false">
      <c r="A48" s="5" t="n">
        <v>36</v>
      </c>
      <c r="B48" s="27" t="str">
        <f aca="false">IF(Students!F41="","",Students!F41)</f>
        <v/>
      </c>
      <c r="C48" s="27" t="str">
        <f aca="false">IF(Students!G41="","",Students!G41)</f>
        <v/>
      </c>
      <c r="D48" s="23"/>
      <c r="E48" s="23"/>
      <c r="F48" s="23"/>
      <c r="G48" s="5" t="str">
        <f aca="false">IF(OR(B48="",COUNTA(D48:F48)=0),"",SUM(D48:F48))</f>
        <v/>
      </c>
      <c r="H48" s="28" t="str">
        <f aca="false">IF(G48="","",$G$4)</f>
        <v/>
      </c>
      <c r="I48" s="29" t="str">
        <f aca="false">IF(G48="","",G48/H48)</f>
        <v/>
      </c>
      <c r="J48" s="5" t="str">
        <f aca="false">IF(I48="","",IF(I48&gt;=0.9,"A+",IF(I48&gt;=0.8,"A",IF(I48&gt;=0.7,"B",IF(I48&gt;=0.6,"C",IF(I48&gt;=0.5,"D","F"))))))</f>
        <v/>
      </c>
      <c r="K48" s="5" t="str">
        <f aca="false">IF(I48="","",RANK(I48,$I$13:$I$62,0))</f>
        <v/>
      </c>
      <c r="L48" s="30" t="str">
        <f aca="false">IF(K48="","",IF(K48=1,"🥇 1st Award",IF(K48=2,"🥈 2nd Award",IF(K48=3,"🥉 3rd Award",""))))</f>
        <v/>
      </c>
      <c r="M48" s="28" t="str">
        <f aca="false">IF(K48="","",K48+COUNTIF($I$13:I48,I48)-1)</f>
        <v/>
      </c>
    </row>
    <row r="49" customFormat="false" ht="15" hidden="false" customHeight="false" outlineLevel="0" collapsed="false">
      <c r="A49" s="21" t="n">
        <v>37</v>
      </c>
      <c r="B49" s="22" t="str">
        <f aca="false">IF(Students!F42="","",Students!F42)</f>
        <v/>
      </c>
      <c r="C49" s="22" t="str">
        <f aca="false">IF(Students!G42="","",Students!G42)</f>
        <v/>
      </c>
      <c r="D49" s="23"/>
      <c r="E49" s="23"/>
      <c r="F49" s="23"/>
      <c r="G49" s="21" t="str">
        <f aca="false">IF(OR(B49="",COUNTA(D49:F49)=0),"",SUM(D49:F49))</f>
        <v/>
      </c>
      <c r="H49" s="24" t="str">
        <f aca="false">IF(G49="","",$G$4)</f>
        <v/>
      </c>
      <c r="I49" s="25" t="str">
        <f aca="false">IF(G49="","",G49/H49)</f>
        <v/>
      </c>
      <c r="J49" s="21" t="str">
        <f aca="false">IF(I49="","",IF(I49&gt;=0.9,"A+",IF(I49&gt;=0.8,"A",IF(I49&gt;=0.7,"B",IF(I49&gt;=0.6,"C",IF(I49&gt;=0.5,"D","F"))))))</f>
        <v/>
      </c>
      <c r="K49" s="21" t="str">
        <f aca="false">IF(I49="","",RANK(I49,$I$13:$I$62,0))</f>
        <v/>
      </c>
      <c r="L49" s="26" t="str">
        <f aca="false">IF(K49="","",IF(K49=1,"🥇 1st Award",IF(K49=2,"🥈 2nd Award",IF(K49=3,"🥉 3rd Award",""))))</f>
        <v/>
      </c>
      <c r="M49" s="24" t="str">
        <f aca="false">IF(K49="","",K49+COUNTIF($I$13:I49,I49)-1)</f>
        <v/>
      </c>
    </row>
    <row r="50" customFormat="false" ht="15" hidden="false" customHeight="false" outlineLevel="0" collapsed="false">
      <c r="A50" s="5" t="n">
        <v>38</v>
      </c>
      <c r="B50" s="27" t="str">
        <f aca="false">IF(Students!F43="","",Students!F43)</f>
        <v/>
      </c>
      <c r="C50" s="27" t="str">
        <f aca="false">IF(Students!G43="","",Students!G43)</f>
        <v/>
      </c>
      <c r="D50" s="23"/>
      <c r="E50" s="23"/>
      <c r="F50" s="23"/>
      <c r="G50" s="5" t="str">
        <f aca="false">IF(OR(B50="",COUNTA(D50:F50)=0),"",SUM(D50:F50))</f>
        <v/>
      </c>
      <c r="H50" s="28" t="str">
        <f aca="false">IF(G50="","",$G$4)</f>
        <v/>
      </c>
      <c r="I50" s="29" t="str">
        <f aca="false">IF(G50="","",G50/H50)</f>
        <v/>
      </c>
      <c r="J50" s="5" t="str">
        <f aca="false">IF(I50="","",IF(I50&gt;=0.9,"A+",IF(I50&gt;=0.8,"A",IF(I50&gt;=0.7,"B",IF(I50&gt;=0.6,"C",IF(I50&gt;=0.5,"D","F"))))))</f>
        <v/>
      </c>
      <c r="K50" s="5" t="str">
        <f aca="false">IF(I50="","",RANK(I50,$I$13:$I$62,0))</f>
        <v/>
      </c>
      <c r="L50" s="30" t="str">
        <f aca="false">IF(K50="","",IF(K50=1,"🥇 1st Award",IF(K50=2,"🥈 2nd Award",IF(K50=3,"🥉 3rd Award",""))))</f>
        <v/>
      </c>
      <c r="M50" s="28" t="str">
        <f aca="false">IF(K50="","",K50+COUNTIF($I$13:I50,I50)-1)</f>
        <v/>
      </c>
    </row>
    <row r="51" customFormat="false" ht="15" hidden="false" customHeight="false" outlineLevel="0" collapsed="false">
      <c r="A51" s="21" t="n">
        <v>39</v>
      </c>
      <c r="B51" s="22" t="str">
        <f aca="false">IF(Students!F44="","",Students!F44)</f>
        <v/>
      </c>
      <c r="C51" s="22" t="str">
        <f aca="false">IF(Students!G44="","",Students!G44)</f>
        <v/>
      </c>
      <c r="D51" s="23"/>
      <c r="E51" s="23"/>
      <c r="F51" s="23"/>
      <c r="G51" s="21" t="str">
        <f aca="false">IF(OR(B51="",COUNTA(D51:F51)=0),"",SUM(D51:F51))</f>
        <v/>
      </c>
      <c r="H51" s="24" t="str">
        <f aca="false">IF(G51="","",$G$4)</f>
        <v/>
      </c>
      <c r="I51" s="25" t="str">
        <f aca="false">IF(G51="","",G51/H51)</f>
        <v/>
      </c>
      <c r="J51" s="21" t="str">
        <f aca="false">IF(I51="","",IF(I51&gt;=0.9,"A+",IF(I51&gt;=0.8,"A",IF(I51&gt;=0.7,"B",IF(I51&gt;=0.6,"C",IF(I51&gt;=0.5,"D","F"))))))</f>
        <v/>
      </c>
      <c r="K51" s="21" t="str">
        <f aca="false">IF(I51="","",RANK(I51,$I$13:$I$62,0))</f>
        <v/>
      </c>
      <c r="L51" s="26" t="str">
        <f aca="false">IF(K51="","",IF(K51=1,"🥇 1st Award",IF(K51=2,"🥈 2nd Award",IF(K51=3,"🥉 3rd Award",""))))</f>
        <v/>
      </c>
      <c r="M51" s="24" t="str">
        <f aca="false">IF(K51="","",K51+COUNTIF($I$13:I51,I51)-1)</f>
        <v/>
      </c>
    </row>
    <row r="52" customFormat="false" ht="15" hidden="false" customHeight="false" outlineLevel="0" collapsed="false">
      <c r="A52" s="5" t="n">
        <v>40</v>
      </c>
      <c r="B52" s="27" t="str">
        <f aca="false">IF(Students!F45="","",Students!F45)</f>
        <v/>
      </c>
      <c r="C52" s="27" t="str">
        <f aca="false">IF(Students!G45="","",Students!G45)</f>
        <v/>
      </c>
      <c r="D52" s="23"/>
      <c r="E52" s="23"/>
      <c r="F52" s="23"/>
      <c r="G52" s="5" t="str">
        <f aca="false">IF(OR(B52="",COUNTA(D52:F52)=0),"",SUM(D52:F52))</f>
        <v/>
      </c>
      <c r="H52" s="28" t="str">
        <f aca="false">IF(G52="","",$G$4)</f>
        <v/>
      </c>
      <c r="I52" s="29" t="str">
        <f aca="false">IF(G52="","",G52/H52)</f>
        <v/>
      </c>
      <c r="J52" s="5" t="str">
        <f aca="false">IF(I52="","",IF(I52&gt;=0.9,"A+",IF(I52&gt;=0.8,"A",IF(I52&gt;=0.7,"B",IF(I52&gt;=0.6,"C",IF(I52&gt;=0.5,"D","F"))))))</f>
        <v/>
      </c>
      <c r="K52" s="5" t="str">
        <f aca="false">IF(I52="","",RANK(I52,$I$13:$I$62,0))</f>
        <v/>
      </c>
      <c r="L52" s="30" t="str">
        <f aca="false">IF(K52="","",IF(K52=1,"🥇 1st Award",IF(K52=2,"🥈 2nd Award",IF(K52=3,"🥉 3rd Award",""))))</f>
        <v/>
      </c>
      <c r="M52" s="28" t="str">
        <f aca="false">IF(K52="","",K52+COUNTIF($I$13:I52,I52)-1)</f>
        <v/>
      </c>
    </row>
    <row r="53" customFormat="false" ht="15" hidden="false" customHeight="false" outlineLevel="0" collapsed="false">
      <c r="A53" s="21" t="n">
        <v>41</v>
      </c>
      <c r="B53" s="22" t="str">
        <f aca="false">IF(Students!F46="","",Students!F46)</f>
        <v/>
      </c>
      <c r="C53" s="22" t="str">
        <f aca="false">IF(Students!G46="","",Students!G46)</f>
        <v/>
      </c>
      <c r="D53" s="23"/>
      <c r="E53" s="23"/>
      <c r="F53" s="23"/>
      <c r="G53" s="21" t="str">
        <f aca="false">IF(OR(B53="",COUNTA(D53:F53)=0),"",SUM(D53:F53))</f>
        <v/>
      </c>
      <c r="H53" s="24" t="str">
        <f aca="false">IF(G53="","",$G$4)</f>
        <v/>
      </c>
      <c r="I53" s="25" t="str">
        <f aca="false">IF(G53="","",G53/H53)</f>
        <v/>
      </c>
      <c r="J53" s="21" t="str">
        <f aca="false">IF(I53="","",IF(I53&gt;=0.9,"A+",IF(I53&gt;=0.8,"A",IF(I53&gt;=0.7,"B",IF(I53&gt;=0.6,"C",IF(I53&gt;=0.5,"D","F"))))))</f>
        <v/>
      </c>
      <c r="K53" s="21" t="str">
        <f aca="false">IF(I53="","",RANK(I53,$I$13:$I$62,0))</f>
        <v/>
      </c>
      <c r="L53" s="26" t="str">
        <f aca="false">IF(K53="","",IF(K53=1,"🥇 1st Award",IF(K53=2,"🥈 2nd Award",IF(K53=3,"🥉 3rd Award",""))))</f>
        <v/>
      </c>
      <c r="M53" s="24" t="str">
        <f aca="false">IF(K53="","",K53+COUNTIF($I$13:I53,I53)-1)</f>
        <v/>
      </c>
    </row>
    <row r="54" customFormat="false" ht="15" hidden="false" customHeight="false" outlineLevel="0" collapsed="false">
      <c r="A54" s="5" t="n">
        <v>42</v>
      </c>
      <c r="B54" s="27" t="str">
        <f aca="false">IF(Students!F47="","",Students!F47)</f>
        <v/>
      </c>
      <c r="C54" s="27" t="str">
        <f aca="false">IF(Students!G47="","",Students!G47)</f>
        <v/>
      </c>
      <c r="D54" s="23"/>
      <c r="E54" s="23"/>
      <c r="F54" s="23"/>
      <c r="G54" s="5" t="str">
        <f aca="false">IF(OR(B54="",COUNTA(D54:F54)=0),"",SUM(D54:F54))</f>
        <v/>
      </c>
      <c r="H54" s="28" t="str">
        <f aca="false">IF(G54="","",$G$4)</f>
        <v/>
      </c>
      <c r="I54" s="29" t="str">
        <f aca="false">IF(G54="","",G54/H54)</f>
        <v/>
      </c>
      <c r="J54" s="5" t="str">
        <f aca="false">IF(I54="","",IF(I54&gt;=0.9,"A+",IF(I54&gt;=0.8,"A",IF(I54&gt;=0.7,"B",IF(I54&gt;=0.6,"C",IF(I54&gt;=0.5,"D","F"))))))</f>
        <v/>
      </c>
      <c r="K54" s="5" t="str">
        <f aca="false">IF(I54="","",RANK(I54,$I$13:$I$62,0))</f>
        <v/>
      </c>
      <c r="L54" s="30" t="str">
        <f aca="false">IF(K54="","",IF(K54=1,"🥇 1st Award",IF(K54=2,"🥈 2nd Award",IF(K54=3,"🥉 3rd Award",""))))</f>
        <v/>
      </c>
      <c r="M54" s="28" t="str">
        <f aca="false">IF(K54="","",K54+COUNTIF($I$13:I54,I54)-1)</f>
        <v/>
      </c>
    </row>
    <row r="55" customFormat="false" ht="15" hidden="false" customHeight="false" outlineLevel="0" collapsed="false">
      <c r="A55" s="21" t="n">
        <v>43</v>
      </c>
      <c r="B55" s="22" t="str">
        <f aca="false">IF(Students!F48="","",Students!F48)</f>
        <v/>
      </c>
      <c r="C55" s="22" t="str">
        <f aca="false">IF(Students!G48="","",Students!G48)</f>
        <v/>
      </c>
      <c r="D55" s="23"/>
      <c r="E55" s="23"/>
      <c r="F55" s="23"/>
      <c r="G55" s="21" t="str">
        <f aca="false">IF(OR(B55="",COUNTA(D55:F55)=0),"",SUM(D55:F55))</f>
        <v/>
      </c>
      <c r="H55" s="24" t="str">
        <f aca="false">IF(G55="","",$G$4)</f>
        <v/>
      </c>
      <c r="I55" s="25" t="str">
        <f aca="false">IF(G55="","",G55/H55)</f>
        <v/>
      </c>
      <c r="J55" s="21" t="str">
        <f aca="false">IF(I55="","",IF(I55&gt;=0.9,"A+",IF(I55&gt;=0.8,"A",IF(I55&gt;=0.7,"B",IF(I55&gt;=0.6,"C",IF(I55&gt;=0.5,"D","F"))))))</f>
        <v/>
      </c>
      <c r="K55" s="21" t="str">
        <f aca="false">IF(I55="","",RANK(I55,$I$13:$I$62,0))</f>
        <v/>
      </c>
      <c r="L55" s="26" t="str">
        <f aca="false">IF(K55="","",IF(K55=1,"🥇 1st Award",IF(K55=2,"🥈 2nd Award",IF(K55=3,"🥉 3rd Award",""))))</f>
        <v/>
      </c>
      <c r="M55" s="24" t="str">
        <f aca="false">IF(K55="","",K55+COUNTIF($I$13:I55,I55)-1)</f>
        <v/>
      </c>
    </row>
    <row r="56" customFormat="false" ht="15" hidden="false" customHeight="false" outlineLevel="0" collapsed="false">
      <c r="A56" s="5" t="n">
        <v>44</v>
      </c>
      <c r="B56" s="27" t="str">
        <f aca="false">IF(Students!F49="","",Students!F49)</f>
        <v/>
      </c>
      <c r="C56" s="27" t="str">
        <f aca="false">IF(Students!G49="","",Students!G49)</f>
        <v/>
      </c>
      <c r="D56" s="23"/>
      <c r="E56" s="23"/>
      <c r="F56" s="23"/>
      <c r="G56" s="5" t="str">
        <f aca="false">IF(OR(B56="",COUNTA(D56:F56)=0),"",SUM(D56:F56))</f>
        <v/>
      </c>
      <c r="H56" s="28" t="str">
        <f aca="false">IF(G56="","",$G$4)</f>
        <v/>
      </c>
      <c r="I56" s="29" t="str">
        <f aca="false">IF(G56="","",G56/H56)</f>
        <v/>
      </c>
      <c r="J56" s="5" t="str">
        <f aca="false">IF(I56="","",IF(I56&gt;=0.9,"A+",IF(I56&gt;=0.8,"A",IF(I56&gt;=0.7,"B",IF(I56&gt;=0.6,"C",IF(I56&gt;=0.5,"D","F"))))))</f>
        <v/>
      </c>
      <c r="K56" s="5" t="str">
        <f aca="false">IF(I56="","",RANK(I56,$I$13:$I$62,0))</f>
        <v/>
      </c>
      <c r="L56" s="30" t="str">
        <f aca="false">IF(K56="","",IF(K56=1,"🥇 1st Award",IF(K56=2,"🥈 2nd Award",IF(K56=3,"🥉 3rd Award",""))))</f>
        <v/>
      </c>
      <c r="M56" s="28" t="str">
        <f aca="false">IF(K56="","",K56+COUNTIF($I$13:I56,I56)-1)</f>
        <v/>
      </c>
    </row>
    <row r="57" customFormat="false" ht="15" hidden="false" customHeight="false" outlineLevel="0" collapsed="false">
      <c r="A57" s="21" t="n">
        <v>45</v>
      </c>
      <c r="B57" s="22" t="str">
        <f aca="false">IF(Students!F50="","",Students!F50)</f>
        <v/>
      </c>
      <c r="C57" s="22" t="str">
        <f aca="false">IF(Students!G50="","",Students!G50)</f>
        <v/>
      </c>
      <c r="D57" s="23"/>
      <c r="E57" s="23"/>
      <c r="F57" s="23"/>
      <c r="G57" s="21" t="str">
        <f aca="false">IF(OR(B57="",COUNTA(D57:F57)=0),"",SUM(D57:F57))</f>
        <v/>
      </c>
      <c r="H57" s="24" t="str">
        <f aca="false">IF(G57="","",$G$4)</f>
        <v/>
      </c>
      <c r="I57" s="25" t="str">
        <f aca="false">IF(G57="","",G57/H57)</f>
        <v/>
      </c>
      <c r="J57" s="21" t="str">
        <f aca="false">IF(I57="","",IF(I57&gt;=0.9,"A+",IF(I57&gt;=0.8,"A",IF(I57&gt;=0.7,"B",IF(I57&gt;=0.6,"C",IF(I57&gt;=0.5,"D","F"))))))</f>
        <v/>
      </c>
      <c r="K57" s="21" t="str">
        <f aca="false">IF(I57="","",RANK(I57,$I$13:$I$62,0))</f>
        <v/>
      </c>
      <c r="L57" s="26" t="str">
        <f aca="false">IF(K57="","",IF(K57=1,"🥇 1st Award",IF(K57=2,"🥈 2nd Award",IF(K57=3,"🥉 3rd Award",""))))</f>
        <v/>
      </c>
      <c r="M57" s="24" t="str">
        <f aca="false">IF(K57="","",K57+COUNTIF($I$13:I57,I57)-1)</f>
        <v/>
      </c>
    </row>
    <row r="58" customFormat="false" ht="15" hidden="false" customHeight="false" outlineLevel="0" collapsed="false">
      <c r="A58" s="5" t="n">
        <v>46</v>
      </c>
      <c r="B58" s="27" t="str">
        <f aca="false">IF(Students!F51="","",Students!F51)</f>
        <v/>
      </c>
      <c r="C58" s="27" t="str">
        <f aca="false">IF(Students!G51="","",Students!G51)</f>
        <v/>
      </c>
      <c r="D58" s="23"/>
      <c r="E58" s="23"/>
      <c r="F58" s="23"/>
      <c r="G58" s="5" t="str">
        <f aca="false">IF(OR(B58="",COUNTA(D58:F58)=0),"",SUM(D58:F58))</f>
        <v/>
      </c>
      <c r="H58" s="28" t="str">
        <f aca="false">IF(G58="","",$G$4)</f>
        <v/>
      </c>
      <c r="I58" s="29" t="str">
        <f aca="false">IF(G58="","",G58/H58)</f>
        <v/>
      </c>
      <c r="J58" s="5" t="str">
        <f aca="false">IF(I58="","",IF(I58&gt;=0.9,"A+",IF(I58&gt;=0.8,"A",IF(I58&gt;=0.7,"B",IF(I58&gt;=0.6,"C",IF(I58&gt;=0.5,"D","F"))))))</f>
        <v/>
      </c>
      <c r="K58" s="5" t="str">
        <f aca="false">IF(I58="","",RANK(I58,$I$13:$I$62,0))</f>
        <v/>
      </c>
      <c r="L58" s="30" t="str">
        <f aca="false">IF(K58="","",IF(K58=1,"🥇 1st Award",IF(K58=2,"🥈 2nd Award",IF(K58=3,"🥉 3rd Award",""))))</f>
        <v/>
      </c>
      <c r="M58" s="28" t="str">
        <f aca="false">IF(K58="","",K58+COUNTIF($I$13:I58,I58)-1)</f>
        <v/>
      </c>
    </row>
    <row r="59" customFormat="false" ht="15" hidden="false" customHeight="false" outlineLevel="0" collapsed="false">
      <c r="A59" s="21" t="n">
        <v>47</v>
      </c>
      <c r="B59" s="22" t="str">
        <f aca="false">IF(Students!F52="","",Students!F52)</f>
        <v/>
      </c>
      <c r="C59" s="22" t="str">
        <f aca="false">IF(Students!G52="","",Students!G52)</f>
        <v/>
      </c>
      <c r="D59" s="23"/>
      <c r="E59" s="23"/>
      <c r="F59" s="23"/>
      <c r="G59" s="21" t="str">
        <f aca="false">IF(OR(B59="",COUNTA(D59:F59)=0),"",SUM(D59:F59))</f>
        <v/>
      </c>
      <c r="H59" s="24" t="str">
        <f aca="false">IF(G59="","",$G$4)</f>
        <v/>
      </c>
      <c r="I59" s="25" t="str">
        <f aca="false">IF(G59="","",G59/H59)</f>
        <v/>
      </c>
      <c r="J59" s="21" t="str">
        <f aca="false">IF(I59="","",IF(I59&gt;=0.9,"A+",IF(I59&gt;=0.8,"A",IF(I59&gt;=0.7,"B",IF(I59&gt;=0.6,"C",IF(I59&gt;=0.5,"D","F"))))))</f>
        <v/>
      </c>
      <c r="K59" s="21" t="str">
        <f aca="false">IF(I59="","",RANK(I59,$I$13:$I$62,0))</f>
        <v/>
      </c>
      <c r="L59" s="26" t="str">
        <f aca="false">IF(K59="","",IF(K59=1,"🥇 1st Award",IF(K59=2,"🥈 2nd Award",IF(K59=3,"🥉 3rd Award",""))))</f>
        <v/>
      </c>
      <c r="M59" s="24" t="str">
        <f aca="false">IF(K59="","",K59+COUNTIF($I$13:I59,I59)-1)</f>
        <v/>
      </c>
    </row>
    <row r="60" customFormat="false" ht="15" hidden="false" customHeight="false" outlineLevel="0" collapsed="false">
      <c r="A60" s="5" t="n">
        <v>48</v>
      </c>
      <c r="B60" s="27" t="str">
        <f aca="false">IF(Students!F53="","",Students!F53)</f>
        <v/>
      </c>
      <c r="C60" s="27" t="str">
        <f aca="false">IF(Students!G53="","",Students!G53)</f>
        <v/>
      </c>
      <c r="D60" s="23"/>
      <c r="E60" s="23"/>
      <c r="F60" s="23"/>
      <c r="G60" s="5" t="str">
        <f aca="false">IF(OR(B60="",COUNTA(D60:F60)=0),"",SUM(D60:F60))</f>
        <v/>
      </c>
      <c r="H60" s="28" t="str">
        <f aca="false">IF(G60="","",$G$4)</f>
        <v/>
      </c>
      <c r="I60" s="29" t="str">
        <f aca="false">IF(G60="","",G60/H60)</f>
        <v/>
      </c>
      <c r="J60" s="5" t="str">
        <f aca="false">IF(I60="","",IF(I60&gt;=0.9,"A+",IF(I60&gt;=0.8,"A",IF(I60&gt;=0.7,"B",IF(I60&gt;=0.6,"C",IF(I60&gt;=0.5,"D","F"))))))</f>
        <v/>
      </c>
      <c r="K60" s="5" t="str">
        <f aca="false">IF(I60="","",RANK(I60,$I$13:$I$62,0))</f>
        <v/>
      </c>
      <c r="L60" s="30" t="str">
        <f aca="false">IF(K60="","",IF(K60=1,"🥇 1st Award",IF(K60=2,"🥈 2nd Award",IF(K60=3,"🥉 3rd Award",""))))</f>
        <v/>
      </c>
      <c r="M60" s="28" t="str">
        <f aca="false">IF(K60="","",K60+COUNTIF($I$13:I60,I60)-1)</f>
        <v/>
      </c>
    </row>
    <row r="61" customFormat="false" ht="15" hidden="false" customHeight="false" outlineLevel="0" collapsed="false">
      <c r="A61" s="21" t="n">
        <v>49</v>
      </c>
      <c r="B61" s="22" t="str">
        <f aca="false">IF(Students!F54="","",Students!F54)</f>
        <v/>
      </c>
      <c r="C61" s="22" t="str">
        <f aca="false">IF(Students!G54="","",Students!G54)</f>
        <v/>
      </c>
      <c r="D61" s="23"/>
      <c r="E61" s="23"/>
      <c r="F61" s="23"/>
      <c r="G61" s="21" t="str">
        <f aca="false">IF(OR(B61="",COUNTA(D61:F61)=0),"",SUM(D61:F61))</f>
        <v/>
      </c>
      <c r="H61" s="24" t="str">
        <f aca="false">IF(G61="","",$G$4)</f>
        <v/>
      </c>
      <c r="I61" s="25" t="str">
        <f aca="false">IF(G61="","",G61/H61)</f>
        <v/>
      </c>
      <c r="J61" s="21" t="str">
        <f aca="false">IF(I61="","",IF(I61&gt;=0.9,"A+",IF(I61&gt;=0.8,"A",IF(I61&gt;=0.7,"B",IF(I61&gt;=0.6,"C",IF(I61&gt;=0.5,"D","F"))))))</f>
        <v/>
      </c>
      <c r="K61" s="21" t="str">
        <f aca="false">IF(I61="","",RANK(I61,$I$13:$I$62,0))</f>
        <v/>
      </c>
      <c r="L61" s="26" t="str">
        <f aca="false">IF(K61="","",IF(K61=1,"🥇 1st Award",IF(K61=2,"🥈 2nd Award",IF(K61=3,"🥉 3rd Award",""))))</f>
        <v/>
      </c>
      <c r="M61" s="24" t="str">
        <f aca="false">IF(K61="","",K61+COUNTIF($I$13:I61,I61)-1)</f>
        <v/>
      </c>
    </row>
    <row r="62" customFormat="false" ht="15" hidden="false" customHeight="false" outlineLevel="0" collapsed="false">
      <c r="A62" s="5" t="n">
        <v>50</v>
      </c>
      <c r="B62" s="27" t="str">
        <f aca="false">IF(Students!F55="","",Students!F55)</f>
        <v/>
      </c>
      <c r="C62" s="27" t="str">
        <f aca="false">IF(Students!G55="","",Students!G55)</f>
        <v/>
      </c>
      <c r="D62" s="23"/>
      <c r="E62" s="23"/>
      <c r="F62" s="23"/>
      <c r="G62" s="5" t="str">
        <f aca="false">IF(OR(B62="",COUNTA(D62:F62)=0),"",SUM(D62:F62))</f>
        <v/>
      </c>
      <c r="H62" s="28" t="str">
        <f aca="false">IF(G62="","",$G$4)</f>
        <v/>
      </c>
      <c r="I62" s="29" t="str">
        <f aca="false">IF(G62="","",G62/H62)</f>
        <v/>
      </c>
      <c r="J62" s="5" t="str">
        <f aca="false">IF(I62="","",IF(I62&gt;=0.9,"A+",IF(I62&gt;=0.8,"A",IF(I62&gt;=0.7,"B",IF(I62&gt;=0.6,"C",IF(I62&gt;=0.5,"D","F"))))))</f>
        <v/>
      </c>
      <c r="K62" s="5" t="str">
        <f aca="false">IF(I62="","",RANK(I62,$I$13:$I$62,0))</f>
        <v/>
      </c>
      <c r="L62" s="30" t="str">
        <f aca="false">IF(K62="","",IF(K62=1,"🥇 1st Award",IF(K62=2,"🥈 2nd Award",IF(K62=3,"🥉 3rd Award",""))))</f>
        <v/>
      </c>
      <c r="M62" s="28" t="str">
        <f aca="false">IF(K62="","",K62+COUNTIF($I$13:I62,I62)-1)</f>
        <v/>
      </c>
    </row>
  </sheetData>
  <mergeCells count="24">
    <mergeCell ref="A1:L1"/>
    <mergeCell ref="A2:L2"/>
    <mergeCell ref="A4:B4"/>
    <mergeCell ref="A6:L6"/>
    <mergeCell ref="B7:E7"/>
    <mergeCell ref="F7:G7"/>
    <mergeCell ref="H7:I7"/>
    <mergeCell ref="J7:L7"/>
    <mergeCell ref="B8:E8"/>
    <mergeCell ref="F8:G8"/>
    <mergeCell ref="H8:I8"/>
    <mergeCell ref="J8:L8"/>
    <mergeCell ref="B9:E9"/>
    <mergeCell ref="F9:G9"/>
    <mergeCell ref="H9:I9"/>
    <mergeCell ref="J9:L9"/>
    <mergeCell ref="B10:E10"/>
    <mergeCell ref="F10:G10"/>
    <mergeCell ref="H10:I10"/>
    <mergeCell ref="J10:L10"/>
    <mergeCell ref="B11:E11"/>
    <mergeCell ref="F11:G11"/>
    <mergeCell ref="H11:I11"/>
    <mergeCell ref="J11:L11"/>
  </mergeCells>
  <conditionalFormatting sqref="A13:L62">
    <cfRule type="expression" priority="2" aboveAverage="0" equalAverage="0" bottom="0" percent="0" rank="0" text="" dxfId="0">
      <formula>AND($K13&lt;&gt;"",$K13&lt;=3)</formula>
    </cfRule>
  </conditionalFormatting>
  <conditionalFormatting sqref="J13:J62"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"A+"</formula>
    </cfRule>
  </conditionalFormatting>
  <dataValidations count="3">
    <dataValidation allowBlank="true" error="Marks are more than the test total." errorStyle="stop" operator="between" showDropDown="false" showErrorMessage="false" showInputMessage="false" sqref="D13:D62" type="decimal">
      <formula1>0</formula1>
      <formula2>$D$4</formula2>
    </dataValidation>
    <dataValidation allowBlank="true" error="Marks are more than the test total." errorStyle="stop" operator="between" showDropDown="false" showErrorMessage="false" showInputMessage="false" sqref="E13:E62" type="decimal">
      <formula1>0</formula1>
      <formula2>$E$4</formula2>
    </dataValidation>
    <dataValidation allowBlank="true" error="Marks are more than the test total." errorStyle="stop" operator="between" showDropDown="false" showErrorMessage="false" showInputMessage="false" sqref="F13:F62" type="decimal">
      <formula1>0</formula1>
      <formula2>$F$4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2026-10-09T10:55:49Z</dcterms:created>
  <dc:creator>openpyxl</dc:creator>
  <dc:description/>
  <dc:language>en-US</dc:language>
  <cp:lastModifiedBy/>
  <dcterms:modified xsi:type="dcterms:W3CDTF">2026-10-09T10:55:51Z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