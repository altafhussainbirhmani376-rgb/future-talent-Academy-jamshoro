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comments2.xml" ContentType="application/vnd.openxmlformats-officedocument.spreadsheetml.comments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etup" sheetId="1" state="visible" r:id="rId3"/>
    <sheet name="Students" sheetId="2" state="visible" r:id="rId4"/>
    <sheet name="Year Summary" sheetId="3" state="visible" r:id="rId5"/>
    <sheet name="Oct 2026" sheetId="4" state="visible" r:id="rId6"/>
    <sheet name="Nov 2026" sheetId="5" state="visible" r:id="rId7"/>
    <sheet name="Dec 2026" sheetId="6" state="visible" r:id="rId8"/>
    <sheet name="Jan 2027" sheetId="7" state="visible" r:id="rId9"/>
    <sheet name="Feb 2027" sheetId="8" state="visible" r:id="rId10"/>
    <sheet name="Mar 2027" sheetId="9" state="visible" r:id="rId11"/>
    <sheet name="Apr 2027" sheetId="10" state="visible" r:id="rId12"/>
    <sheet name="May 2027" sheetId="11" state="visible" r:id="rId13"/>
    <sheet name="Jun 2027" sheetId="12" state="visible" r:id="rId14"/>
    <sheet name="Jul 2027" sheetId="13" state="visible" r:id="rId15"/>
    <sheet name="Aug 2027" sheetId="14" state="visible" r:id="rId16"/>
    <sheet name="Sep 2027" sheetId="15" state="visible" r:id="rId17"/>
  </sheets>
  <definedNames>
    <definedName function="false" hidden="false" localSheetId="9" name="_xlnm.Print_Titles" vbProcedure="false">'Apr 2027'!$12:$12</definedName>
    <definedName function="false" hidden="false" localSheetId="13" name="_xlnm.Print_Titles" vbProcedure="false">'Aug 2027'!$12:$12</definedName>
    <definedName function="false" hidden="false" localSheetId="5" name="_xlnm.Print_Titles" vbProcedure="false">'Dec 2026'!$12:$12</definedName>
    <definedName function="false" hidden="false" localSheetId="7" name="_xlnm.Print_Titles" vbProcedure="false">'Feb 2027'!$12:$12</definedName>
    <definedName function="false" hidden="false" localSheetId="6" name="_xlnm.Print_Titles" vbProcedure="false">'Jan 2027'!$12:$12</definedName>
    <definedName function="false" hidden="false" localSheetId="12" name="_xlnm.Print_Titles" vbProcedure="false">'Jul 2027'!$12:$12</definedName>
    <definedName function="false" hidden="false" localSheetId="11" name="_xlnm.Print_Titles" vbProcedure="false">'Jun 2027'!$12:$12</definedName>
    <definedName function="false" hidden="false" localSheetId="8" name="_xlnm.Print_Titles" vbProcedure="false">'Mar 2027'!$12:$12</definedName>
    <definedName function="false" hidden="false" localSheetId="10" name="_xlnm.Print_Titles" vbProcedure="false">'May 2027'!$12:$12</definedName>
    <definedName function="false" hidden="false" localSheetId="4" name="_xlnm.Print_Titles" vbProcedure="false">'Nov 2026'!$12:$12</definedName>
    <definedName function="false" hidden="false" localSheetId="3" name="_xlnm.Print_Titles" vbProcedure="false">'Oct 2026'!$12:$12</definedName>
    <definedName function="false" hidden="false" localSheetId="14" name="_xlnm.Print_Titles" vbProcedure="false">'Sep 2027'!$12:$12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50% to the teacher, 50% to the academy (from you).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5" authorId="0">
      <text>
        <r>
          <rPr>
            <sz val="10"/>
            <rFont val="Arial"/>
            <family val="2"/>
          </rPr>
          <t xml:space="preserve">Example fee only. Each student's fee is different: type the real amount.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2" authorId="0">
      <text>
        <r>
          <rPr>
            <sz val="10"/>
            <rFont val="Arial"/>
            <family val="2"/>
          </rPr>
          <t xml:space="preserve">October is the first month: type any old dues from before October here (otherwise leave blank).</t>
        </r>
      </text>
    </comment>
  </commentList>
</comments>
</file>

<file path=xl/sharedStrings.xml><?xml version="1.0" encoding="utf-8"?>
<sst xmlns="http://schemas.openxmlformats.org/spreadsheetml/2006/main" count="236" uniqueCount="55">
  <si>
    <t xml:space="preserve">Kids Coaching — Setup</t>
  </si>
  <si>
    <t xml:space="preserve">Academy Name</t>
  </si>
  <si>
    <t xml:space="preserve">Future Talent Academy Jamshoro</t>
  </si>
  <si>
    <t xml:space="preserve">Subject</t>
  </si>
  <si>
    <t xml:space="preserve">Kids Coaching</t>
  </si>
  <si>
    <t xml:space="preserve">Teacher Name</t>
  </si>
  <si>
    <t xml:space="preserve">Miss Farzana</t>
  </si>
  <si>
    <t xml:space="preserve">Teacher Share</t>
  </si>
  <si>
    <t xml:space="preserve">Academy Share</t>
  </si>
  <si>
    <t xml:space="preserve">How it works</t>
  </si>
  <si>
    <t xml:space="preserve">1. Students sheet: write each student's name and their own monthly fee (fees are different).</t>
  </si>
  <si>
    <t xml:space="preserve">2. Each month sheet fills in names and fees automatically.</t>
  </si>
  <si>
    <t xml:space="preserve">3. Each month, type only the AMOUNT paid (and the date, if you like).</t>
  </si>
  <si>
    <t xml:space="preserve">4. Unpaid fees carry forward to next month's 'Previous Due' automatically.</t>
  </si>
  <si>
    <t xml:space="preserve">5. Year Summary sheet shows every month's totals on one page.</t>
  </si>
  <si>
    <t xml:space="preserve">Write each student's name and their monthly fee. Keep the order the same; add new students at the bottom.</t>
  </si>
  <si>
    <t xml:space="preserve">Serial No</t>
  </si>
  <si>
    <t xml:space="preserve">Student Name</t>
  </si>
  <si>
    <t xml:space="preserve">Father Name</t>
  </si>
  <si>
    <t xml:space="preserve">Phone No</t>
  </si>
  <si>
    <t xml:space="preserve">Monthly Fee</t>
  </si>
  <si>
    <t xml:space="preserve">Sara (example)</t>
  </si>
  <si>
    <t xml:space="preserve">Ghulam Hussain</t>
  </si>
  <si>
    <t xml:space="preserve">0300-0000000</t>
  </si>
  <si>
    <t xml:space="preserve">Month</t>
  </si>
  <si>
    <t xml:space="preserve">Students</t>
  </si>
  <si>
    <t xml:space="preserve">Monthly Fees Charged</t>
  </si>
  <si>
    <t xml:space="preserve">Fee Collected</t>
  </si>
  <si>
    <t xml:space="preserve">Pending at Month End</t>
  </si>
  <si>
    <t xml:space="preserve">October 2026</t>
  </si>
  <si>
    <t xml:space="preserve">November 2026</t>
  </si>
  <si>
    <t xml:space="preserve">December 2026</t>
  </si>
  <si>
    <t xml:space="preserve">January 2027</t>
  </si>
  <si>
    <t xml:space="preserve">February 2027</t>
  </si>
  <si>
    <t xml:space="preserve">March 2027</t>
  </si>
  <si>
    <t xml:space="preserve">April 2027</t>
  </si>
  <si>
    <t xml:space="preserve">May 2027</t>
  </si>
  <si>
    <t xml:space="preserve">June 2027</t>
  </si>
  <si>
    <t xml:space="preserve">July 2027</t>
  </si>
  <si>
    <t xml:space="preserve">August 2027</t>
  </si>
  <si>
    <t xml:space="preserve">September 2027</t>
  </si>
  <si>
    <t xml:space="preserve">YEAR TOTAL</t>
  </si>
  <si>
    <t xml:space="preserve">Teacher</t>
  </si>
  <si>
    <t xml:space="preserve">TEACHER SHARE</t>
  </si>
  <si>
    <t xml:space="preserve">ACADEMY SHARE</t>
  </si>
  <si>
    <t xml:space="preserve">FEE COLLECTED</t>
  </si>
  <si>
    <t xml:space="preserve">PENDING FEES</t>
  </si>
  <si>
    <t xml:space="preserve">Yellow cells: type the amount paid (and date). Previous dues come from last month automatically.</t>
  </si>
  <si>
    <t xml:space="preserve">Previous Due</t>
  </si>
  <si>
    <t xml:space="preserve">Total Payable</t>
  </si>
  <si>
    <t xml:space="preserve">Paid</t>
  </si>
  <si>
    <t xml:space="preserve">Balance</t>
  </si>
  <si>
    <t xml:space="preserve">Status</t>
  </si>
  <si>
    <t xml:space="preserve">Payment Date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</si>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</sst>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&quot;Rs &quot;#,##0;&quot;-Rs &quot;#,##0;\-"/>
    <numFmt numFmtId="167" formatCode="General"/>
    <numFmt numFmtId="168" formatCode="dd\-mmm\-yy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D3B66"/>
      <name val="Arial"/>
      <family val="0"/>
      <charset val="1"/>
    </font>
    <font>
      <sz val="10"/>
      <name val="Arial"/>
      <family val="2"/>
    </font>
    <font>
      <b val="true"/>
      <sz val="14"/>
      <color rgb="FFFFFFF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2"/>
      <color rgb="FF0D3B66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3"/>
      <color rgb="FF0D3B66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i val="true"/>
      <sz val="9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1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3B66"/>
        <bgColor rgb="FF333399"/>
      </patternFill>
    </fill>
    <fill>
      <patternFill patternType="solid">
        <fgColor rgb="FFF1F6FB"/>
        <bgColor rgb="FFFFFFFF"/>
      </patternFill>
    </fill>
    <fill>
      <patternFill patternType="solid">
        <fgColor rgb="FFFFF8E1"/>
        <bgColor rgb="FFFFFFFF"/>
      </patternFill>
    </fill>
    <fill>
      <patternFill patternType="solid">
        <fgColor rgb="FFDCE8F5"/>
        <bgColor rgb="FFF1F6FB"/>
      </patternFill>
    </fill>
    <fill>
      <patternFill patternType="solid">
        <fgColor rgb="FFFFFFFF"/>
        <bgColor rgb="FFF1F6FB"/>
      </patternFill>
    </fill>
    <fill>
      <patternFill patternType="solid">
        <fgColor rgb="FF2A9D8F"/>
        <bgColor rgb="FF008080"/>
      </patternFill>
    </fill>
    <fill>
      <patternFill patternType="solid">
        <fgColor rgb="FF5E548E"/>
        <bgColor rgb="FF666666"/>
      </patternFill>
    </fill>
    <fill>
      <patternFill patternType="solid">
        <fgColor rgb="FFC77700"/>
        <bgColor rgb="FF9C5700"/>
      </patternFill>
    </fill>
    <fill>
      <patternFill patternType="solid">
        <fgColor rgb="FFC0392B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C00000"/>
      </font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5700"/>
      <rgbColor rgb="FF800080"/>
      <rgbColor rgb="FF008080"/>
      <rgbColor rgb="FFBFBFBF"/>
      <rgbColor rgb="FF666666"/>
      <rgbColor rgb="FF9999FF"/>
      <rgbColor rgb="FF993366"/>
      <rgbColor rgb="FFFFF8E1"/>
      <rgbColor rgb="FFDCE8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6FB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C77700"/>
      <rgbColor rgb="FF5E548E"/>
      <rgbColor rgb="FF969696"/>
      <rgbColor rgb="FF0D3B66"/>
      <rgbColor rgb="FF2A9D8F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77700"/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</cols>
  <sheetData>
    <row r="1" customFormat="false" ht="30" hidden="false" customHeight="true" outlineLevel="0" collapsed="false">
      <c r="A1" s="1" t="s">
        <v>0</v>
      </c>
      <c r="B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7" customFormat="false" ht="15" hidden="false" customHeight="false" outlineLevel="0" collapsed="false">
      <c r="A7" s="2" t="s">
        <v>7</v>
      </c>
      <c r="B7" s="4" t="n">
        <v>0.5</v>
      </c>
    </row>
    <row r="8" customFormat="false" ht="15" hidden="false" customHeight="false" outlineLevel="0" collapsed="false">
      <c r="A8" s="2" t="s">
        <v>8</v>
      </c>
      <c r="B8" s="5" t="n">
        <f aca="false">1-B7</f>
        <v>0.5</v>
      </c>
    </row>
    <row r="10" customFormat="false" ht="15" hidden="false" customHeight="false" outlineLevel="0" collapsed="false">
      <c r="A10" s="6" t="s">
        <v>9</v>
      </c>
    </row>
    <row r="11" customFormat="false" ht="46.25" hidden="false" customHeight="false" outlineLevel="0" collapsed="false">
      <c r="A11" s="7" t="s">
        <v>10</v>
      </c>
    </row>
    <row r="12" customFormat="false" ht="35.05" hidden="false" customHeight="false" outlineLevel="0" collapsed="false">
      <c r="A12" s="7" t="s">
        <v>11</v>
      </c>
    </row>
    <row r="13" customFormat="false" ht="35.05" hidden="false" customHeight="false" outlineLevel="0" collapsed="false">
      <c r="A13" s="7" t="s">
        <v>12</v>
      </c>
    </row>
    <row r="14" customFormat="false" ht="46.25" hidden="false" customHeight="false" outlineLevel="0" collapsed="false">
      <c r="A14" s="7" t="s">
        <v>13</v>
      </c>
    </row>
    <row r="15" customFormat="false" ht="35.05" hidden="false" customHeight="false" outlineLevel="0" collapsed="false">
      <c r="A15" s="7" t="s">
        <v>14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9D8F"/>
    <pageSetUpPr fitToPage="true"/>
  </sheetPr>
  <dimension ref="A1:E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27.75" hidden="false" customHeight="true" outlineLevel="0" collapsed="false">
      <c r="A1" s="8" t="str">
        <f aca="false">"Kids Coaching — Student List ("&amp;Setup!B5&amp;")"</f>
        <v>Kids Coaching — Student List (Miss Farzana)</v>
      </c>
      <c r="B1" s="8"/>
      <c r="C1" s="8"/>
      <c r="D1" s="8"/>
      <c r="E1" s="8"/>
    </row>
    <row r="2" customFormat="false" ht="15" hidden="false" customHeight="true" outlineLevel="0" collapsed="false">
      <c r="A2" s="9" t="s">
        <v>15</v>
      </c>
      <c r="B2" s="9"/>
      <c r="C2" s="9"/>
      <c r="D2" s="9"/>
      <c r="E2" s="9"/>
    </row>
    <row r="4" customFormat="false" ht="15" hidden="false" customHeight="false" outlineLevel="0" collapsed="false">
      <c r="A4" s="10" t="s">
        <v>16</v>
      </c>
      <c r="B4" s="10" t="s">
        <v>17</v>
      </c>
      <c r="C4" s="10" t="s">
        <v>18</v>
      </c>
      <c r="D4" s="10" t="s">
        <v>19</v>
      </c>
      <c r="E4" s="10" t="s">
        <v>20</v>
      </c>
    </row>
    <row r="5" customFormat="false" ht="15" hidden="false" customHeight="false" outlineLevel="0" collapsed="false">
      <c r="A5" s="11" t="n">
        <v>1</v>
      </c>
      <c r="B5" s="12" t="s">
        <v>21</v>
      </c>
      <c r="C5" s="12" t="s">
        <v>22</v>
      </c>
      <c r="D5" s="13" t="s">
        <v>23</v>
      </c>
      <c r="E5" s="14" t="n">
        <v>1000</v>
      </c>
    </row>
    <row r="6" customFormat="false" ht="15" hidden="false" customHeight="false" outlineLevel="0" collapsed="false">
      <c r="A6" s="11" t="n">
        <v>2</v>
      </c>
      <c r="B6" s="12"/>
      <c r="C6" s="12"/>
      <c r="D6" s="13"/>
      <c r="E6" s="14"/>
    </row>
    <row r="7" customFormat="false" ht="15" hidden="false" customHeight="false" outlineLevel="0" collapsed="false">
      <c r="A7" s="11" t="n">
        <v>3</v>
      </c>
      <c r="B7" s="12"/>
      <c r="C7" s="12"/>
      <c r="D7" s="13"/>
      <c r="E7" s="14"/>
    </row>
    <row r="8" customFormat="false" ht="15" hidden="false" customHeight="false" outlineLevel="0" collapsed="false">
      <c r="A8" s="11" t="n">
        <v>4</v>
      </c>
      <c r="B8" s="12"/>
      <c r="C8" s="12"/>
      <c r="D8" s="13"/>
      <c r="E8" s="14"/>
    </row>
    <row r="9" customFormat="false" ht="15" hidden="false" customHeight="false" outlineLevel="0" collapsed="false">
      <c r="A9" s="11" t="n">
        <v>5</v>
      </c>
      <c r="B9" s="12"/>
      <c r="C9" s="12"/>
      <c r="D9" s="13"/>
      <c r="E9" s="14"/>
    </row>
    <row r="10" customFormat="false" ht="15" hidden="false" customHeight="false" outlineLevel="0" collapsed="false">
      <c r="A10" s="11" t="n">
        <v>6</v>
      </c>
      <c r="B10" s="12"/>
      <c r="C10" s="12"/>
      <c r="D10" s="13"/>
      <c r="E10" s="14"/>
    </row>
    <row r="11" customFormat="false" ht="15" hidden="false" customHeight="false" outlineLevel="0" collapsed="false">
      <c r="A11" s="11" t="n">
        <v>7</v>
      </c>
      <c r="B11" s="12"/>
      <c r="C11" s="12"/>
      <c r="D11" s="13"/>
      <c r="E11" s="14"/>
    </row>
    <row r="12" customFormat="false" ht="15" hidden="false" customHeight="false" outlineLevel="0" collapsed="false">
      <c r="A12" s="11" t="n">
        <v>8</v>
      </c>
      <c r="B12" s="12"/>
      <c r="C12" s="12"/>
      <c r="D12" s="13"/>
      <c r="E12" s="14"/>
    </row>
    <row r="13" customFormat="false" ht="15" hidden="false" customHeight="false" outlineLevel="0" collapsed="false">
      <c r="A13" s="11" t="n">
        <v>9</v>
      </c>
      <c r="B13" s="12"/>
      <c r="C13" s="12"/>
      <c r="D13" s="13"/>
      <c r="E13" s="14"/>
    </row>
    <row r="14" customFormat="false" ht="15" hidden="false" customHeight="false" outlineLevel="0" collapsed="false">
      <c r="A14" s="11" t="n">
        <v>10</v>
      </c>
      <c r="B14" s="12"/>
      <c r="C14" s="12"/>
      <c r="D14" s="13"/>
      <c r="E14" s="14"/>
    </row>
    <row r="15" customFormat="false" ht="15" hidden="false" customHeight="false" outlineLevel="0" collapsed="false">
      <c r="A15" s="11" t="n">
        <v>11</v>
      </c>
      <c r="B15" s="12"/>
      <c r="C15" s="12"/>
      <c r="D15" s="13"/>
      <c r="E15" s="14"/>
    </row>
    <row r="16" customFormat="false" ht="15" hidden="false" customHeight="false" outlineLevel="0" collapsed="false">
      <c r="A16" s="11" t="n">
        <v>12</v>
      </c>
      <c r="B16" s="12"/>
      <c r="C16" s="12"/>
      <c r="D16" s="13"/>
      <c r="E16" s="14"/>
    </row>
    <row r="17" customFormat="false" ht="15" hidden="false" customHeight="false" outlineLevel="0" collapsed="false">
      <c r="A17" s="11" t="n">
        <v>13</v>
      </c>
      <c r="B17" s="12"/>
      <c r="C17" s="12"/>
      <c r="D17" s="13"/>
      <c r="E17" s="14"/>
    </row>
    <row r="18" customFormat="false" ht="15" hidden="false" customHeight="false" outlineLevel="0" collapsed="false">
      <c r="A18" s="11" t="n">
        <v>14</v>
      </c>
      <c r="B18" s="12"/>
      <c r="C18" s="12"/>
      <c r="D18" s="13"/>
      <c r="E18" s="14"/>
    </row>
    <row r="19" customFormat="false" ht="15" hidden="false" customHeight="false" outlineLevel="0" collapsed="false">
      <c r="A19" s="11" t="n">
        <v>15</v>
      </c>
      <c r="B19" s="12"/>
      <c r="C19" s="12"/>
      <c r="D19" s="13"/>
      <c r="E19" s="14"/>
    </row>
    <row r="20" customFormat="false" ht="15" hidden="false" customHeight="false" outlineLevel="0" collapsed="false">
      <c r="A20" s="11" t="n">
        <v>16</v>
      </c>
      <c r="B20" s="12"/>
      <c r="C20" s="12"/>
      <c r="D20" s="13"/>
      <c r="E20" s="14"/>
    </row>
    <row r="21" customFormat="false" ht="15" hidden="false" customHeight="false" outlineLevel="0" collapsed="false">
      <c r="A21" s="11" t="n">
        <v>17</v>
      </c>
      <c r="B21" s="12"/>
      <c r="C21" s="12"/>
      <c r="D21" s="13"/>
      <c r="E21" s="14"/>
    </row>
    <row r="22" customFormat="false" ht="15" hidden="false" customHeight="false" outlineLevel="0" collapsed="false">
      <c r="A22" s="11" t="n">
        <v>18</v>
      </c>
      <c r="B22" s="12"/>
      <c r="C22" s="12"/>
      <c r="D22" s="13"/>
      <c r="E22" s="14"/>
    </row>
    <row r="23" customFormat="false" ht="15" hidden="false" customHeight="false" outlineLevel="0" collapsed="false">
      <c r="A23" s="11" t="n">
        <v>19</v>
      </c>
      <c r="B23" s="12"/>
      <c r="C23" s="12"/>
      <c r="D23" s="13"/>
      <c r="E23" s="14"/>
    </row>
    <row r="24" customFormat="false" ht="15" hidden="false" customHeight="false" outlineLevel="0" collapsed="false">
      <c r="A24" s="11" t="n">
        <v>20</v>
      </c>
      <c r="B24" s="12"/>
      <c r="C24" s="12"/>
      <c r="D24" s="13"/>
      <c r="E24" s="14"/>
    </row>
    <row r="25" customFormat="false" ht="15" hidden="false" customHeight="false" outlineLevel="0" collapsed="false">
      <c r="A25" s="11" t="n">
        <v>21</v>
      </c>
      <c r="B25" s="12"/>
      <c r="C25" s="12"/>
      <c r="D25" s="13"/>
      <c r="E25" s="14"/>
    </row>
    <row r="26" customFormat="false" ht="15" hidden="false" customHeight="false" outlineLevel="0" collapsed="false">
      <c r="A26" s="11" t="n">
        <v>22</v>
      </c>
      <c r="B26" s="12"/>
      <c r="C26" s="12"/>
      <c r="D26" s="13"/>
      <c r="E26" s="14"/>
    </row>
    <row r="27" customFormat="false" ht="15" hidden="false" customHeight="false" outlineLevel="0" collapsed="false">
      <c r="A27" s="11" t="n">
        <v>23</v>
      </c>
      <c r="B27" s="12"/>
      <c r="C27" s="12"/>
      <c r="D27" s="13"/>
      <c r="E27" s="14"/>
    </row>
    <row r="28" customFormat="false" ht="15" hidden="false" customHeight="false" outlineLevel="0" collapsed="false">
      <c r="A28" s="11" t="n">
        <v>24</v>
      </c>
      <c r="B28" s="12"/>
      <c r="C28" s="12"/>
      <c r="D28" s="13"/>
      <c r="E28" s="14"/>
    </row>
    <row r="29" customFormat="false" ht="15" hidden="false" customHeight="false" outlineLevel="0" collapsed="false">
      <c r="A29" s="11" t="n">
        <v>25</v>
      </c>
      <c r="B29" s="12"/>
      <c r="C29" s="12"/>
      <c r="D29" s="13"/>
      <c r="E29" s="14"/>
    </row>
    <row r="30" customFormat="false" ht="15" hidden="false" customHeight="false" outlineLevel="0" collapsed="false">
      <c r="A30" s="11" t="n">
        <v>26</v>
      </c>
      <c r="B30" s="12"/>
      <c r="C30" s="12"/>
      <c r="D30" s="13"/>
      <c r="E30" s="14"/>
    </row>
    <row r="31" customFormat="false" ht="15" hidden="false" customHeight="false" outlineLevel="0" collapsed="false">
      <c r="A31" s="11" t="n">
        <v>27</v>
      </c>
      <c r="B31" s="12"/>
      <c r="C31" s="12"/>
      <c r="D31" s="13"/>
      <c r="E31" s="14"/>
    </row>
    <row r="32" customFormat="false" ht="15" hidden="false" customHeight="false" outlineLevel="0" collapsed="false">
      <c r="A32" s="11" t="n">
        <v>28</v>
      </c>
      <c r="B32" s="12"/>
      <c r="C32" s="12"/>
      <c r="D32" s="13"/>
      <c r="E32" s="14"/>
    </row>
    <row r="33" customFormat="false" ht="15" hidden="false" customHeight="false" outlineLevel="0" collapsed="false">
      <c r="A33" s="11" t="n">
        <v>29</v>
      </c>
      <c r="B33" s="12"/>
      <c r="C33" s="12"/>
      <c r="D33" s="13"/>
      <c r="E33" s="14"/>
    </row>
    <row r="34" customFormat="false" ht="15" hidden="false" customHeight="false" outlineLevel="0" collapsed="false">
      <c r="A34" s="11" t="n">
        <v>30</v>
      </c>
      <c r="B34" s="12"/>
      <c r="C34" s="12"/>
      <c r="D34" s="13"/>
      <c r="E34" s="14"/>
    </row>
    <row r="35" customFormat="false" ht="15" hidden="false" customHeight="false" outlineLevel="0" collapsed="false">
      <c r="A35" s="11" t="n">
        <v>31</v>
      </c>
      <c r="B35" s="12"/>
      <c r="C35" s="12"/>
      <c r="D35" s="13"/>
      <c r="E35" s="14"/>
    </row>
    <row r="36" customFormat="false" ht="15" hidden="false" customHeight="false" outlineLevel="0" collapsed="false">
      <c r="A36" s="11" t="n">
        <v>32</v>
      </c>
      <c r="B36" s="12"/>
      <c r="C36" s="12"/>
      <c r="D36" s="13"/>
      <c r="E36" s="14"/>
    </row>
    <row r="37" customFormat="false" ht="15" hidden="false" customHeight="false" outlineLevel="0" collapsed="false">
      <c r="A37" s="11" t="n">
        <v>33</v>
      </c>
      <c r="B37" s="12"/>
      <c r="C37" s="12"/>
      <c r="D37" s="13"/>
      <c r="E37" s="14"/>
    </row>
    <row r="38" customFormat="false" ht="15" hidden="false" customHeight="false" outlineLevel="0" collapsed="false">
      <c r="A38" s="11" t="n">
        <v>34</v>
      </c>
      <c r="B38" s="12"/>
      <c r="C38" s="12"/>
      <c r="D38" s="13"/>
      <c r="E38" s="14"/>
    </row>
    <row r="39" customFormat="false" ht="15" hidden="false" customHeight="false" outlineLevel="0" collapsed="false">
      <c r="A39" s="11" t="n">
        <v>35</v>
      </c>
      <c r="B39" s="12"/>
      <c r="C39" s="12"/>
      <c r="D39" s="13"/>
      <c r="E39" s="14"/>
    </row>
    <row r="40" customFormat="false" ht="15" hidden="false" customHeight="false" outlineLevel="0" collapsed="false">
      <c r="A40" s="11" t="n">
        <v>36</v>
      </c>
      <c r="B40" s="12"/>
      <c r="C40" s="12"/>
      <c r="D40" s="13"/>
      <c r="E40" s="14"/>
    </row>
    <row r="41" customFormat="false" ht="15" hidden="false" customHeight="false" outlineLevel="0" collapsed="false">
      <c r="A41" s="11" t="n">
        <v>37</v>
      </c>
      <c r="B41" s="12"/>
      <c r="C41" s="12"/>
      <c r="D41" s="13"/>
      <c r="E41" s="14"/>
    </row>
    <row r="42" customFormat="false" ht="15" hidden="false" customHeight="false" outlineLevel="0" collapsed="false">
      <c r="A42" s="11" t="n">
        <v>38</v>
      </c>
      <c r="B42" s="12"/>
      <c r="C42" s="12"/>
      <c r="D42" s="13"/>
      <c r="E42" s="14"/>
    </row>
    <row r="43" customFormat="false" ht="15" hidden="false" customHeight="false" outlineLevel="0" collapsed="false">
      <c r="A43" s="11" t="n">
        <v>39</v>
      </c>
      <c r="B43" s="12"/>
      <c r="C43" s="12"/>
      <c r="D43" s="13"/>
      <c r="E43" s="14"/>
    </row>
    <row r="44" customFormat="false" ht="15" hidden="false" customHeight="false" outlineLevel="0" collapsed="false">
      <c r="A44" s="11" t="n">
        <v>40</v>
      </c>
      <c r="B44" s="12"/>
      <c r="C44" s="12"/>
      <c r="D44" s="13"/>
      <c r="E44" s="14"/>
    </row>
    <row r="45" customFormat="false" ht="15" hidden="false" customHeight="false" outlineLevel="0" collapsed="false">
      <c r="A45" s="11" t="n">
        <v>41</v>
      </c>
      <c r="B45" s="12"/>
      <c r="C45" s="12"/>
      <c r="D45" s="13"/>
      <c r="E45" s="14"/>
    </row>
    <row r="46" customFormat="false" ht="15" hidden="false" customHeight="false" outlineLevel="0" collapsed="false">
      <c r="A46" s="11" t="n">
        <v>42</v>
      </c>
      <c r="B46" s="12"/>
      <c r="C46" s="12"/>
      <c r="D46" s="13"/>
      <c r="E46" s="14"/>
    </row>
    <row r="47" customFormat="false" ht="15" hidden="false" customHeight="false" outlineLevel="0" collapsed="false">
      <c r="A47" s="11" t="n">
        <v>43</v>
      </c>
      <c r="B47" s="12"/>
      <c r="C47" s="12"/>
      <c r="D47" s="13"/>
      <c r="E47" s="14"/>
    </row>
    <row r="48" customFormat="false" ht="15" hidden="false" customHeight="false" outlineLevel="0" collapsed="false">
      <c r="A48" s="11" t="n">
        <v>44</v>
      </c>
      <c r="B48" s="12"/>
      <c r="C48" s="12"/>
      <c r="D48" s="13"/>
      <c r="E48" s="14"/>
    </row>
    <row r="49" customFormat="false" ht="15" hidden="false" customHeight="false" outlineLevel="0" collapsed="false">
      <c r="A49" s="11" t="n">
        <v>45</v>
      </c>
      <c r="B49" s="12"/>
      <c r="C49" s="12"/>
      <c r="D49" s="13"/>
      <c r="E49" s="14"/>
    </row>
    <row r="50" customFormat="false" ht="15" hidden="false" customHeight="false" outlineLevel="0" collapsed="false">
      <c r="A50" s="11" t="n">
        <v>46</v>
      </c>
      <c r="B50" s="12"/>
      <c r="C50" s="12"/>
      <c r="D50" s="13"/>
      <c r="E50" s="14"/>
    </row>
    <row r="51" customFormat="false" ht="15" hidden="false" customHeight="false" outlineLevel="0" collapsed="false">
      <c r="A51" s="11" t="n">
        <v>47</v>
      </c>
      <c r="B51" s="12"/>
      <c r="C51" s="12"/>
      <c r="D51" s="13"/>
      <c r="E51" s="14"/>
    </row>
    <row r="52" customFormat="false" ht="15" hidden="false" customHeight="false" outlineLevel="0" collapsed="false">
      <c r="A52" s="11" t="n">
        <v>48</v>
      </c>
      <c r="B52" s="12"/>
      <c r="C52" s="12"/>
      <c r="D52" s="13"/>
      <c r="E52" s="14"/>
    </row>
    <row r="53" customFormat="false" ht="15" hidden="false" customHeight="false" outlineLevel="0" collapsed="false">
      <c r="A53" s="11" t="n">
        <v>49</v>
      </c>
      <c r="B53" s="12"/>
      <c r="C53" s="12"/>
      <c r="D53" s="13"/>
      <c r="E53" s="14"/>
    </row>
    <row r="54" customFormat="false" ht="15" hidden="false" customHeight="false" outlineLevel="0" collapsed="false">
      <c r="A54" s="11" t="n">
        <v>50</v>
      </c>
      <c r="B54" s="12"/>
      <c r="C54" s="12"/>
      <c r="D54" s="13"/>
      <c r="E54" s="14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392B"/>
    <pageSetUpPr fitToPage="false"/>
  </sheetPr>
  <dimension ref="A1:G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6" min="4" style="0" width="16"/>
    <col collapsed="false" customWidth="true" hidden="false" outlineLevel="0" max="7" min="7" style="0" width="18"/>
  </cols>
  <sheetData>
    <row r="1" customFormat="false" ht="30" hidden="false" customHeight="true" outlineLevel="0" collapsed="false">
      <c r="A1" s="15" t="str">
        <f aca="false">UPPER(Setup!B3)</f>
        <v>FUTURE TALENT ACADEMY JAMSHORO</v>
      </c>
      <c r="B1" s="15"/>
      <c r="C1" s="15"/>
      <c r="D1" s="15"/>
      <c r="E1" s="15"/>
      <c r="F1" s="15"/>
      <c r="G1" s="15"/>
    </row>
    <row r="2" customFormat="false" ht="15" hidden="false" customHeight="false" outlineLevel="0" collapsed="false">
      <c r="A2" s="16" t="str">
        <f aca="false">Setup!B4&amp;"  •  Year Summary 2026-27  •  "&amp;Setup!B5</f>
        <v>Kids Coaching  •  Year Summary 2026-27  •  Miss Farzana</v>
      </c>
      <c r="B2" s="16"/>
      <c r="C2" s="16"/>
      <c r="D2" s="16"/>
      <c r="E2" s="16"/>
      <c r="F2" s="16"/>
      <c r="G2" s="16"/>
    </row>
    <row r="4" customFormat="false" ht="23.85" hidden="false" customHeight="false" outlineLevel="0" collapsed="false">
      <c r="A4" s="10" t="s">
        <v>24</v>
      </c>
      <c r="B4" s="10" t="s">
        <v>25</v>
      </c>
      <c r="C4" s="10" t="s">
        <v>26</v>
      </c>
      <c r="D4" s="10" t="s">
        <v>27</v>
      </c>
      <c r="E4" s="10" t="s">
        <v>7</v>
      </c>
      <c r="F4" s="10" t="s">
        <v>8</v>
      </c>
      <c r="G4" s="10" t="s">
        <v>28</v>
      </c>
    </row>
    <row r="5" customFormat="false" ht="15" hidden="false" customHeight="false" outlineLevel="0" collapsed="false">
      <c r="A5" s="17" t="s">
        <v>29</v>
      </c>
      <c r="B5" s="18" t="n">
        <f aca="false">COUNTIF('Oct 2026'!B13:B62,"?*")</f>
        <v>1</v>
      </c>
      <c r="C5" s="19" t="n">
        <f aca="false">'Oct 2026'!D63</f>
        <v>1000</v>
      </c>
      <c r="D5" s="19" t="n">
        <f aca="false">'Oct 2026'!F63</f>
        <v>500</v>
      </c>
      <c r="E5" s="19" t="n">
        <f aca="false">'Oct 2026'!F63*Setup!$B$7</f>
        <v>250</v>
      </c>
      <c r="F5" s="19" t="n">
        <f aca="false">'Oct 2026'!F63*Setup!$B$8</f>
        <v>250</v>
      </c>
      <c r="G5" s="19" t="n">
        <f aca="false">'Oct 2026'!G63</f>
        <v>500</v>
      </c>
    </row>
    <row r="6" customFormat="false" ht="15" hidden="false" customHeight="false" outlineLevel="0" collapsed="false">
      <c r="A6" s="20" t="s">
        <v>30</v>
      </c>
      <c r="B6" s="21" t="n">
        <f aca="false">COUNTIF('Nov 2026'!B13:B62,"?*")</f>
        <v>1</v>
      </c>
      <c r="C6" s="22" t="n">
        <f aca="false">'Nov 2026'!D63</f>
        <v>1000</v>
      </c>
      <c r="D6" s="22" t="n">
        <f aca="false">'Nov 2026'!F63</f>
        <v>0</v>
      </c>
      <c r="E6" s="22" t="n">
        <f aca="false">'Nov 2026'!F63*Setup!$B$7</f>
        <v>0</v>
      </c>
      <c r="F6" s="22" t="n">
        <f aca="false">'Nov 2026'!F63*Setup!$B$8</f>
        <v>0</v>
      </c>
      <c r="G6" s="22" t="n">
        <f aca="false">'Nov 2026'!G63</f>
        <v>1500</v>
      </c>
    </row>
    <row r="7" customFormat="false" ht="15" hidden="false" customHeight="false" outlineLevel="0" collapsed="false">
      <c r="A7" s="17" t="s">
        <v>31</v>
      </c>
      <c r="B7" s="18" t="n">
        <f aca="false">COUNTIF('Dec 2026'!B13:B62,"?*")</f>
        <v>1</v>
      </c>
      <c r="C7" s="19" t="n">
        <f aca="false">'Dec 2026'!D63</f>
        <v>1000</v>
      </c>
      <c r="D7" s="19" t="n">
        <f aca="false">'Dec 2026'!F63</f>
        <v>0</v>
      </c>
      <c r="E7" s="19" t="n">
        <f aca="false">'Dec 2026'!F63*Setup!$B$7</f>
        <v>0</v>
      </c>
      <c r="F7" s="19" t="n">
        <f aca="false">'Dec 2026'!F63*Setup!$B$8</f>
        <v>0</v>
      </c>
      <c r="G7" s="19" t="n">
        <f aca="false">'Dec 2026'!G63</f>
        <v>2500</v>
      </c>
    </row>
    <row r="8" customFormat="false" ht="15" hidden="false" customHeight="false" outlineLevel="0" collapsed="false">
      <c r="A8" s="20" t="s">
        <v>32</v>
      </c>
      <c r="B8" s="21" t="n">
        <f aca="false">COUNTIF('Jan 2027'!B13:B62,"?*")</f>
        <v>1</v>
      </c>
      <c r="C8" s="22" t="n">
        <f aca="false">'Jan 2027'!D63</f>
        <v>1000</v>
      </c>
      <c r="D8" s="22" t="n">
        <f aca="false">'Jan 2027'!F63</f>
        <v>0</v>
      </c>
      <c r="E8" s="22" t="n">
        <f aca="false">'Jan 2027'!F63*Setup!$B$7</f>
        <v>0</v>
      </c>
      <c r="F8" s="22" t="n">
        <f aca="false">'Jan 2027'!F63*Setup!$B$8</f>
        <v>0</v>
      </c>
      <c r="G8" s="22" t="n">
        <f aca="false">'Jan 2027'!G63</f>
        <v>3500</v>
      </c>
    </row>
    <row r="9" customFormat="false" ht="15" hidden="false" customHeight="false" outlineLevel="0" collapsed="false">
      <c r="A9" s="17" t="s">
        <v>33</v>
      </c>
      <c r="B9" s="18" t="n">
        <f aca="false">COUNTIF('Feb 2027'!B13:B62,"?*")</f>
        <v>1</v>
      </c>
      <c r="C9" s="19" t="n">
        <f aca="false">'Feb 2027'!D63</f>
        <v>1000</v>
      </c>
      <c r="D9" s="19" t="n">
        <f aca="false">'Feb 2027'!F63</f>
        <v>0</v>
      </c>
      <c r="E9" s="19" t="n">
        <f aca="false">'Feb 2027'!F63*Setup!$B$7</f>
        <v>0</v>
      </c>
      <c r="F9" s="19" t="n">
        <f aca="false">'Feb 2027'!F63*Setup!$B$8</f>
        <v>0</v>
      </c>
      <c r="G9" s="19" t="n">
        <f aca="false">'Feb 2027'!G63</f>
        <v>4500</v>
      </c>
    </row>
    <row r="10" customFormat="false" ht="15" hidden="false" customHeight="false" outlineLevel="0" collapsed="false">
      <c r="A10" s="20" t="s">
        <v>34</v>
      </c>
      <c r="B10" s="21" t="n">
        <f aca="false">COUNTIF('Mar 2027'!B13:B62,"?*")</f>
        <v>1</v>
      </c>
      <c r="C10" s="22" t="n">
        <f aca="false">'Mar 2027'!D63</f>
        <v>1000</v>
      </c>
      <c r="D10" s="22" t="n">
        <f aca="false">'Mar 2027'!F63</f>
        <v>0</v>
      </c>
      <c r="E10" s="22" t="n">
        <f aca="false">'Mar 2027'!F63*Setup!$B$7</f>
        <v>0</v>
      </c>
      <c r="F10" s="22" t="n">
        <f aca="false">'Mar 2027'!F63*Setup!$B$8</f>
        <v>0</v>
      </c>
      <c r="G10" s="22" t="n">
        <f aca="false">'Mar 2027'!G63</f>
        <v>5500</v>
      </c>
    </row>
    <row r="11" customFormat="false" ht="15" hidden="false" customHeight="false" outlineLevel="0" collapsed="false">
      <c r="A11" s="17" t="s">
        <v>35</v>
      </c>
      <c r="B11" s="18" t="n">
        <f aca="false">COUNTIF('Apr 2027'!B13:B62,"?*")</f>
        <v>1</v>
      </c>
      <c r="C11" s="19" t="n">
        <f aca="false">'Apr 2027'!D63</f>
        <v>1000</v>
      </c>
      <c r="D11" s="19" t="n">
        <f aca="false">'Apr 2027'!F63</f>
        <v>0</v>
      </c>
      <c r="E11" s="19" t="n">
        <f aca="false">'Apr 2027'!F63*Setup!$B$7</f>
        <v>0</v>
      </c>
      <c r="F11" s="19" t="n">
        <f aca="false">'Apr 2027'!F63*Setup!$B$8</f>
        <v>0</v>
      </c>
      <c r="G11" s="19" t="n">
        <f aca="false">'Apr 2027'!G63</f>
        <v>6500</v>
      </c>
    </row>
    <row r="12" customFormat="false" ht="15" hidden="false" customHeight="false" outlineLevel="0" collapsed="false">
      <c r="A12" s="20" t="s">
        <v>36</v>
      </c>
      <c r="B12" s="21" t="n">
        <f aca="false">COUNTIF('May 2027'!B13:B62,"?*")</f>
        <v>1</v>
      </c>
      <c r="C12" s="22" t="n">
        <f aca="false">'May 2027'!D63</f>
        <v>1000</v>
      </c>
      <c r="D12" s="22" t="n">
        <f aca="false">'May 2027'!F63</f>
        <v>0</v>
      </c>
      <c r="E12" s="22" t="n">
        <f aca="false">'May 2027'!F63*Setup!$B$7</f>
        <v>0</v>
      </c>
      <c r="F12" s="22" t="n">
        <f aca="false">'May 2027'!F63*Setup!$B$8</f>
        <v>0</v>
      </c>
      <c r="G12" s="22" t="n">
        <f aca="false">'May 2027'!G63</f>
        <v>7500</v>
      </c>
    </row>
    <row r="13" customFormat="false" ht="15" hidden="false" customHeight="false" outlineLevel="0" collapsed="false">
      <c r="A13" s="17" t="s">
        <v>37</v>
      </c>
      <c r="B13" s="18" t="n">
        <f aca="false">COUNTIF('Jun 2027'!B13:B62,"?*")</f>
        <v>1</v>
      </c>
      <c r="C13" s="19" t="n">
        <f aca="false">'Jun 2027'!D63</f>
        <v>1000</v>
      </c>
      <c r="D13" s="19" t="n">
        <f aca="false">'Jun 2027'!F63</f>
        <v>0</v>
      </c>
      <c r="E13" s="19" t="n">
        <f aca="false">'Jun 2027'!F63*Setup!$B$7</f>
        <v>0</v>
      </c>
      <c r="F13" s="19" t="n">
        <f aca="false">'Jun 2027'!F63*Setup!$B$8</f>
        <v>0</v>
      </c>
      <c r="G13" s="19" t="n">
        <f aca="false">'Jun 2027'!G63</f>
        <v>8500</v>
      </c>
    </row>
    <row r="14" customFormat="false" ht="15" hidden="false" customHeight="false" outlineLevel="0" collapsed="false">
      <c r="A14" s="20" t="s">
        <v>38</v>
      </c>
      <c r="B14" s="21" t="n">
        <f aca="false">COUNTIF('Jul 2027'!B13:B62,"?*")</f>
        <v>1</v>
      </c>
      <c r="C14" s="22" t="n">
        <f aca="false">'Jul 2027'!D63</f>
        <v>1000</v>
      </c>
      <c r="D14" s="22" t="n">
        <f aca="false">'Jul 2027'!F63</f>
        <v>0</v>
      </c>
      <c r="E14" s="22" t="n">
        <f aca="false">'Jul 2027'!F63*Setup!$B$7</f>
        <v>0</v>
      </c>
      <c r="F14" s="22" t="n">
        <f aca="false">'Jul 2027'!F63*Setup!$B$8</f>
        <v>0</v>
      </c>
      <c r="G14" s="22" t="n">
        <f aca="false">'Jul 2027'!G63</f>
        <v>9500</v>
      </c>
    </row>
    <row r="15" customFormat="false" ht="15" hidden="false" customHeight="false" outlineLevel="0" collapsed="false">
      <c r="A15" s="17" t="s">
        <v>39</v>
      </c>
      <c r="B15" s="18" t="n">
        <f aca="false">COUNTIF('Aug 2027'!B13:B62,"?*")</f>
        <v>1</v>
      </c>
      <c r="C15" s="19" t="n">
        <f aca="false">'Aug 2027'!D63</f>
        <v>1000</v>
      </c>
      <c r="D15" s="19" t="n">
        <f aca="false">'Aug 2027'!F63</f>
        <v>0</v>
      </c>
      <c r="E15" s="19" t="n">
        <f aca="false">'Aug 2027'!F63*Setup!$B$7</f>
        <v>0</v>
      </c>
      <c r="F15" s="19" t="n">
        <f aca="false">'Aug 2027'!F63*Setup!$B$8</f>
        <v>0</v>
      </c>
      <c r="G15" s="19" t="n">
        <f aca="false">'Aug 2027'!G63</f>
        <v>10500</v>
      </c>
    </row>
    <row r="16" customFormat="false" ht="15" hidden="false" customHeight="false" outlineLevel="0" collapsed="false">
      <c r="A16" s="20" t="s">
        <v>40</v>
      </c>
      <c r="B16" s="21" t="n">
        <f aca="false">COUNTIF('Sep 2027'!B13:B62,"?*")</f>
        <v>1</v>
      </c>
      <c r="C16" s="22" t="n">
        <f aca="false">'Sep 2027'!D63</f>
        <v>1000</v>
      </c>
      <c r="D16" s="22" t="n">
        <f aca="false">'Sep 2027'!F63</f>
        <v>0</v>
      </c>
      <c r="E16" s="22" t="n">
        <f aca="false">'Sep 2027'!F63*Setup!$B$7</f>
        <v>0</v>
      </c>
      <c r="F16" s="22" t="n">
        <f aca="false">'Sep 2027'!F63*Setup!$B$8</f>
        <v>0</v>
      </c>
      <c r="G16" s="22" t="n">
        <f aca="false">'Sep 2027'!G63</f>
        <v>11500</v>
      </c>
    </row>
    <row r="17" customFormat="false" ht="15" hidden="false" customHeight="false" outlineLevel="0" collapsed="false">
      <c r="A17" s="23" t="s">
        <v>41</v>
      </c>
      <c r="B17" s="24"/>
      <c r="C17" s="25" t="n">
        <f aca="false">SUM(C5:C16)</f>
        <v>12000</v>
      </c>
      <c r="D17" s="25" t="n">
        <f aca="false">SUM(D5:D16)</f>
        <v>500</v>
      </c>
      <c r="E17" s="25" t="n">
        <f aca="false">SUM(E5:E16)</f>
        <v>250</v>
      </c>
      <c r="F17" s="25" t="n">
        <f aca="false">SUM(F5:F16)</f>
        <v>250</v>
      </c>
      <c r="G17" s="24"/>
    </row>
  </sheetData>
  <mergeCells count="2">
    <mergeCell ref="A1:G1"/>
    <mergeCell ref="A2:G2"/>
  </mergeCells>
  <conditionalFormatting sqref="G5:G16">
    <cfRule type="cellIs" priority="2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Fee Register  •  October 2026"</f>
        <v>Kids Coaching Fee Register  •  October 2026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Miss Farzana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250</v>
      </c>
      <c r="B7" s="34"/>
      <c r="C7" s="35" t="n">
        <f aca="false">F63*Setup!B8</f>
        <v>250</v>
      </c>
      <c r="D7" s="35"/>
      <c r="E7" s="36" t="n">
        <f aca="false">F63</f>
        <v>500</v>
      </c>
      <c r="F7" s="36"/>
      <c r="G7" s="37" t="n">
        <f aca="false">G63</f>
        <v>500</v>
      </c>
      <c r="H7" s="37"/>
      <c r="I7" s="37"/>
    </row>
    <row r="8" customFormat="false" ht="18" hidden="false" customHeight="true" outlineLevel="0" collapsed="false">
      <c r="A8" s="38" t="str">
        <f aca="false">Setup!B5</f>
        <v>Miss Farzana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Sara (example)</v>
      </c>
      <c r="C13" s="14"/>
      <c r="D13" s="45" t="n">
        <f aca="false">IF(B13="",0,N(Students!E5))</f>
        <v>1000</v>
      </c>
      <c r="E13" s="45" t="n">
        <f aca="false">N(C13)+N(D13)</f>
        <v>1000</v>
      </c>
      <c r="F13" s="14" t="n">
        <v>500</v>
      </c>
      <c r="G13" s="46" t="n">
        <f aca="false">E13-N(F13)</f>
        <v>500</v>
      </c>
      <c r="H13" s="47" t="str">
        <f aca="false">IF(B13="","",IF(G13&lt;=0,"Clear",IF(N(F13)&gt;0,"Partial","Due")))</f>
        <v>Partial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14"/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14"/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14"/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14"/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14"/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14"/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14"/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14"/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14"/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14"/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14"/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14"/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14"/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14"/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14"/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14"/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14"/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14"/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14"/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14"/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14"/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14"/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14"/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14"/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14"/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14"/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14"/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14"/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14"/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14"/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14"/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14"/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14"/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14"/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14"/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14"/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14"/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14"/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14"/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14"/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14"/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14"/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14"/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14"/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14"/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14"/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14"/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14"/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14"/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0</v>
      </c>
      <c r="D63" s="25" t="n">
        <f aca="false">SUM(D13:D62)</f>
        <v>1000</v>
      </c>
      <c r="E63" s="25" t="n">
        <f aca="false">SUM(E13:E62)</f>
        <v>1000</v>
      </c>
      <c r="F63" s="25" t="n">
        <f aca="false">SUM(F13:F62)</f>
        <v>500</v>
      </c>
      <c r="G63" s="25" t="n">
        <f aca="false">SUM(G13:G62)</f>
        <v>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Fee Register  •  November 2026"</f>
        <v>Kids Coaching Fee Register  •  November 2026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Miss Farzana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1500</v>
      </c>
      <c r="H7" s="37"/>
      <c r="I7" s="37"/>
    </row>
    <row r="8" customFormat="false" ht="18" hidden="false" customHeight="true" outlineLevel="0" collapsed="false">
      <c r="A8" s="38" t="str">
        <f aca="false">Setup!B5</f>
        <v>Miss Farzana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Sara (example)</v>
      </c>
      <c r="C13" s="45" t="n">
        <f aca="false">'Oct 2026'!G13</f>
        <v>500</v>
      </c>
      <c r="D13" s="45" t="n">
        <f aca="false">IF(B13="",0,N(Students!E5))</f>
        <v>1000</v>
      </c>
      <c r="E13" s="45" t="n">
        <f aca="false">N(C13)+N(D13)</f>
        <v>1500</v>
      </c>
      <c r="F13" s="14"/>
      <c r="G13" s="46" t="n">
        <f aca="false">E13-N(F13)</f>
        <v>1500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'Oct 2026'!G14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'Oct 2026'!G15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'Oct 2026'!G16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'Oct 2026'!G17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'Oct 2026'!G18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'Oct 2026'!G19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'Oct 2026'!G20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'Oct 2026'!G21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'Oct 2026'!G22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'Oct 2026'!G23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'Oct 2026'!G24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'Oct 2026'!G25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'Oct 2026'!G26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'Oct 2026'!G27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'Oct 2026'!G28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'Oct 2026'!G29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'Oct 2026'!G30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'Oct 2026'!G31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'Oct 2026'!G32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'Oct 2026'!G33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'Oct 2026'!G34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'Oct 2026'!G35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'Oct 2026'!G36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'Oct 2026'!G37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'Oct 2026'!G38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'Oct 2026'!G39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'Oct 2026'!G40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'Oct 2026'!G41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'Oct 2026'!G42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'Oct 2026'!G43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'Oct 2026'!G44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'Oct 2026'!G45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'Oct 2026'!G46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'Oct 2026'!G47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'Oct 2026'!G48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'Oct 2026'!G49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'Oct 2026'!G50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'Oct 2026'!G51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'Oct 2026'!G52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'Oct 2026'!G53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'Oct 2026'!G54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'Oct 2026'!G55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'Oct 2026'!G56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'Oct 2026'!G57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'Oct 2026'!G58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'Oct 2026'!G59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'Oct 2026'!G60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'Oct 2026'!G61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'Oct 2026'!G62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500</v>
      </c>
      <c r="D63" s="25" t="n">
        <f aca="false">SUM(D13:D62)</f>
        <v>1000</v>
      </c>
      <c r="E63" s="25" t="n">
        <f aca="false">SUM(E13:E62)</f>
        <v>1500</v>
      </c>
      <c r="F63" s="25" t="n">
        <f aca="false">SUM(F13:F62)</f>
        <v>0</v>
      </c>
      <c r="G63" s="25" t="n">
        <f aca="false">SUM(G13:G62)</f>
        <v>1500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Fee Register  •  December 2026"</f>
        <v>Kids Coaching Fee Register  •  December 2026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Miss Farzana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2500</v>
      </c>
      <c r="H7" s="37"/>
      <c r="I7" s="37"/>
    </row>
    <row r="8" customFormat="false" ht="18" hidden="false" customHeight="true" outlineLevel="0" collapsed="false">
      <c r="A8" s="38" t="str">
        <f aca="false">Setup!B5</f>
        <v>Miss Farzana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Sara (example)</v>
      </c>
      <c r="C13" s="45" t="n">
        <f aca="false">'Nov 2026'!G13</f>
        <v>1500</v>
      </c>
      <c r="D13" s="45" t="n">
        <f aca="false">IF(B13="",0,N(Students!E5))</f>
        <v>1000</v>
      </c>
      <c r="E13" s="45" t="n">
        <f aca="false">N(C13)+N(D13)</f>
        <v>2500</v>
      </c>
      <c r="F13" s="14"/>
      <c r="G13" s="46" t="n">
        <f aca="false">E13-N(F13)</f>
        <v>2500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'Nov 2026'!G14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'Nov 2026'!G15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'Nov 2026'!G16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'Nov 2026'!G17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'Nov 2026'!G18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'Nov 2026'!G19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'Nov 2026'!G20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'Nov 2026'!G21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'Nov 2026'!G22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'Nov 2026'!G23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'Nov 2026'!G24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'Nov 2026'!G25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'Nov 2026'!G26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'Nov 2026'!G27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'Nov 2026'!G28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'Nov 2026'!G29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'Nov 2026'!G30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'Nov 2026'!G31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'Nov 2026'!G32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'Nov 2026'!G33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'Nov 2026'!G34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'Nov 2026'!G35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'Nov 2026'!G36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'Nov 2026'!G37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'Nov 2026'!G38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'Nov 2026'!G39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'Nov 2026'!G40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'Nov 2026'!G41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'Nov 2026'!G42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'Nov 2026'!G43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'Nov 2026'!G44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'Nov 2026'!G45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'Nov 2026'!G46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'Nov 2026'!G47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'Nov 2026'!G48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'Nov 2026'!G49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'Nov 2026'!G50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'Nov 2026'!G51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'Nov 2026'!G52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'Nov 2026'!G53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'Nov 2026'!G54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'Nov 2026'!G55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'Nov 2026'!G56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'Nov 2026'!G57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'Nov 2026'!G58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'Nov 2026'!G59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'Nov 2026'!G60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'Nov 2026'!G61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'Nov 2026'!G62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1500</v>
      </c>
      <c r="D63" s="25" t="n">
        <f aca="false">SUM(D13:D62)</f>
        <v>1000</v>
      </c>
      <c r="E63" s="25" t="n">
        <f aca="false">SUM(E13:E62)</f>
        <v>2500</v>
      </c>
      <c r="F63" s="25" t="n">
        <f aca="false">SUM(F13:F62)</f>
        <v>0</v>
      </c>
      <c r="G63" s="25" t="n">
        <f aca="false">SUM(G13:G62)</f>
        <v>2500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Fee Register  •  January 2027"</f>
        <v>Kids Coaching Fee Register  •  January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Miss Farzana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3500</v>
      </c>
      <c r="H7" s="37"/>
      <c r="I7" s="37"/>
    </row>
    <row r="8" customFormat="false" ht="18" hidden="false" customHeight="true" outlineLevel="0" collapsed="false">
      <c r="A8" s="38" t="str">
        <f aca="false">Setup!B5</f>
        <v>Miss Farzana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Sara (example)</v>
      </c>
      <c r="C13" s="45" t="n">
        <f aca="false">'Dec 2026'!G13</f>
        <v>2500</v>
      </c>
      <c r="D13" s="45" t="n">
        <f aca="false">IF(B13="",0,N(Students!E5))</f>
        <v>1000</v>
      </c>
      <c r="E13" s="45" t="n">
        <f aca="false">N(C13)+N(D13)</f>
        <v>3500</v>
      </c>
      <c r="F13" s="14"/>
      <c r="G13" s="46" t="n">
        <f aca="false">E13-N(F13)</f>
        <v>3500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'Dec 2026'!G14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'Dec 2026'!G15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'Dec 2026'!G16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'Dec 2026'!G17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'Dec 2026'!G18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'Dec 2026'!G19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'Dec 2026'!G20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'Dec 2026'!G21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'Dec 2026'!G22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'Dec 2026'!G23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'Dec 2026'!G24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'Dec 2026'!G25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'Dec 2026'!G26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'Dec 2026'!G27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'Dec 2026'!G28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'Dec 2026'!G29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'Dec 2026'!G30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'Dec 2026'!G31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'Dec 2026'!G32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'Dec 2026'!G33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'Dec 2026'!G34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'Dec 2026'!G35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'Dec 2026'!G36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'Dec 2026'!G37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'Dec 2026'!G38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'Dec 2026'!G39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'Dec 2026'!G40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'Dec 2026'!G41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'Dec 2026'!G42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'Dec 2026'!G43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'Dec 2026'!G44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'Dec 2026'!G45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'Dec 2026'!G46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'Dec 2026'!G47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'Dec 2026'!G48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'Dec 2026'!G49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'Dec 2026'!G50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'Dec 2026'!G51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'Dec 2026'!G52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'Dec 2026'!G53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'Dec 2026'!G54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'Dec 2026'!G55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'Dec 2026'!G56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'Dec 2026'!G57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'Dec 2026'!G58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'Dec 2026'!G59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'Dec 2026'!G60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'Dec 2026'!G61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'Dec 2026'!G62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2500</v>
      </c>
      <c r="D63" s="25" t="n">
        <f aca="false">SUM(D13:D62)</f>
        <v>1000</v>
      </c>
      <c r="E63" s="25" t="n">
        <f aca="false">SUM(E13:E62)</f>
        <v>3500</v>
      </c>
      <c r="F63" s="25" t="n">
        <f aca="false">SUM(F13:F62)</f>
        <v>0</v>
      </c>
      <c r="G63" s="25" t="n">
        <f aca="false">SUM(G13:G62)</f>
        <v>3500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Fee Register  •  February 2027"</f>
        <v>Kids Coaching Fee Register  •  February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Miss Farzana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4500</v>
      </c>
      <c r="H7" s="37"/>
      <c r="I7" s="37"/>
    </row>
    <row r="8" customFormat="false" ht="18" hidden="false" customHeight="true" outlineLevel="0" collapsed="false">
      <c r="A8" s="38" t="str">
        <f aca="false">Setup!B5</f>
        <v>Miss Farzana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Sara (example)</v>
      </c>
      <c r="C13" s="45" t="n">
        <f aca="false">'Jan 2027'!G13</f>
        <v>3500</v>
      </c>
      <c r="D13" s="45" t="n">
        <f aca="false">IF(B13="",0,N(Students!E5))</f>
        <v>1000</v>
      </c>
      <c r="E13" s="45" t="n">
        <f aca="false">N(C13)+N(D13)</f>
        <v>4500</v>
      </c>
      <c r="F13" s="14"/>
      <c r="G13" s="46" t="n">
        <f aca="false">E13-N(F13)</f>
        <v>4500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'Jan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'Jan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'Jan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'Jan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'Jan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'Jan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'Jan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'Jan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'Jan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'Jan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'Jan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'Jan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'Jan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'Jan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'Jan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'Jan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'Jan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'Jan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'Jan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'Jan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'Jan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'Jan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'Jan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'Jan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'Jan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'Jan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'Jan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'Jan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'Jan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'Jan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'Jan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'Jan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'Jan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'Jan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'Jan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'Jan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'Jan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'Jan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'Jan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'Jan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'Jan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'Jan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'Jan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'Jan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'Jan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'Jan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'Jan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'Jan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'Jan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3500</v>
      </c>
      <c r="D63" s="25" t="n">
        <f aca="false">SUM(D13:D62)</f>
        <v>1000</v>
      </c>
      <c r="E63" s="25" t="n">
        <f aca="false">SUM(E13:E62)</f>
        <v>4500</v>
      </c>
      <c r="F63" s="25" t="n">
        <f aca="false">SUM(F13:F62)</f>
        <v>0</v>
      </c>
      <c r="G63" s="25" t="n">
        <f aca="false">SUM(G13:G62)</f>
        <v>4500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Fee Register  •  March 2027"</f>
        <v>Kids Coaching Fee Register  •  March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Miss Farzana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5500</v>
      </c>
      <c r="H7" s="37"/>
      <c r="I7" s="37"/>
    </row>
    <row r="8" customFormat="false" ht="18" hidden="false" customHeight="true" outlineLevel="0" collapsed="false">
      <c r="A8" s="38" t="str">
        <f aca="false">Setup!B5</f>
        <v>Miss Farzana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Sara (example)</v>
      </c>
      <c r="C13" s="45" t="n">
        <f aca="false">'Feb 2027'!G13</f>
        <v>4500</v>
      </c>
      <c r="D13" s="45" t="n">
        <f aca="false">IF(B13="",0,N(Students!E5))</f>
        <v>1000</v>
      </c>
      <c r="E13" s="45" t="n">
        <f aca="false">N(C13)+N(D13)</f>
        <v>5500</v>
      </c>
      <c r="F13" s="14"/>
      <c r="G13" s="46" t="n">
        <f aca="false">E13-N(F13)</f>
        <v>5500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'Feb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'Feb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'Feb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'Feb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'Feb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'Feb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'Feb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'Feb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'Feb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'Feb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'Feb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'Feb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'Feb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'Feb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'Feb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'Feb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'Feb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'Feb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'Feb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'Feb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'Feb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'Feb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'Feb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'Feb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'Feb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'Feb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'Feb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'Feb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'Feb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'Feb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'Feb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'Feb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'Feb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'Feb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'Feb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'Feb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'Feb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'Feb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'Feb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'Feb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'Feb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'Feb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'Feb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'Feb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'Feb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'Feb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'Feb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'Feb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'Feb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4500</v>
      </c>
      <c r="D63" s="25" t="n">
        <f aca="false">SUM(D13:D62)</f>
        <v>1000</v>
      </c>
      <c r="E63" s="25" t="n">
        <f aca="false">SUM(E13:E62)</f>
        <v>5500</v>
      </c>
      <c r="F63" s="25" t="n">
        <f aca="false">SUM(F13:F62)</f>
        <v>0</v>
      </c>
      <c r="G63" s="25" t="n">
        <f aca="false">SUM(G13:G62)</f>
        <v>5500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Fee Register  •  April 2027"</f>
        <v>Kids Coaching Fee Register  •  April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Miss Farzana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6500</v>
      </c>
      <c r="H7" s="37"/>
      <c r="I7" s="37"/>
    </row>
    <row r="8" customFormat="false" ht="18" hidden="false" customHeight="true" outlineLevel="0" collapsed="false">
      <c r="A8" s="38" t="str">
        <f aca="false">Setup!B5</f>
        <v>Miss Farzana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Sara (example)</v>
      </c>
      <c r="C13" s="45" t="n">
        <f aca="false">'Mar 2027'!G13</f>
        <v>5500</v>
      </c>
      <c r="D13" s="45" t="n">
        <f aca="false">IF(B13="",0,N(Students!E5))</f>
        <v>1000</v>
      </c>
      <c r="E13" s="45" t="n">
        <f aca="false">N(C13)+N(D13)</f>
        <v>6500</v>
      </c>
      <c r="F13" s="14"/>
      <c r="G13" s="46" t="n">
        <f aca="false">E13-N(F13)</f>
        <v>6500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'Mar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'Mar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'Mar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'Mar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'Mar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'Mar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'Mar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'Mar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'Mar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'Mar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'Mar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'Mar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'Mar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'Mar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'Mar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'Mar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'Mar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'Mar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'Mar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'Mar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'Mar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'Mar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'Mar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'Mar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'Mar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'Mar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'Mar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'Mar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'Mar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'Mar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'Mar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'Mar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'Mar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'Mar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'Mar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'Mar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'Mar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'Mar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'Mar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'Mar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'Mar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'Mar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'Mar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'Mar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'Mar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'Mar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'Mar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'Mar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'Mar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5500</v>
      </c>
      <c r="D63" s="25" t="n">
        <f aca="false">SUM(D13:D62)</f>
        <v>1000</v>
      </c>
      <c r="E63" s="25" t="n">
        <f aca="false">SUM(E13:E62)</f>
        <v>6500</v>
      </c>
      <c r="F63" s="25" t="n">
        <f aca="false">SUM(F13:F62)</f>
        <v>0</v>
      </c>
      <c r="G63" s="25" t="n">
        <f aca="false">SUM(G13:G62)</f>
        <v>6500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Fee Register  •  May 2027"</f>
        <v>Kids Coaching Fee Register  •  May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Miss Farzana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7500</v>
      </c>
      <c r="H7" s="37"/>
      <c r="I7" s="37"/>
    </row>
    <row r="8" customFormat="false" ht="18" hidden="false" customHeight="true" outlineLevel="0" collapsed="false">
      <c r="A8" s="38" t="str">
        <f aca="false">Setup!B5</f>
        <v>Miss Farzana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Sara (example)</v>
      </c>
      <c r="C13" s="45" t="n">
        <f aca="false">'Apr 2027'!G13</f>
        <v>6500</v>
      </c>
      <c r="D13" s="45" t="n">
        <f aca="false">IF(B13="",0,N(Students!E5))</f>
        <v>1000</v>
      </c>
      <c r="E13" s="45" t="n">
        <f aca="false">N(C13)+N(D13)</f>
        <v>7500</v>
      </c>
      <c r="F13" s="14"/>
      <c r="G13" s="46" t="n">
        <f aca="false">E13-N(F13)</f>
        <v>7500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'Apr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'Apr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'Apr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'Apr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'Apr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'Apr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'Apr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'Apr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'Apr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'Apr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'Apr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'Apr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'Apr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'Apr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'Apr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'Apr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'Apr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'Apr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'Apr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'Apr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'Apr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'Apr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'Apr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'Apr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'Apr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'Apr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'Apr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'Apr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'Apr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'Apr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'Apr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'Apr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'Apr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'Apr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'Apr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'Apr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'Apr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'Apr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'Apr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'Apr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'Apr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'Apr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'Apr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'Apr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'Apr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'Apr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'Apr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'Apr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'Apr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6500</v>
      </c>
      <c r="D63" s="25" t="n">
        <f aca="false">SUM(D13:D62)</f>
        <v>1000</v>
      </c>
      <c r="E63" s="25" t="n">
        <f aca="false">SUM(E13:E62)</f>
        <v>7500</v>
      </c>
      <c r="F63" s="25" t="n">
        <f aca="false">SUM(F13:F62)</f>
        <v>0</v>
      </c>
      <c r="G63" s="25" t="n">
        <f aca="false">SUM(G13:G62)</f>
        <v>7500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Fee Register  •  June 2027"</f>
        <v>Kids Coaching Fee Register  •  June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Miss Farzana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8500</v>
      </c>
      <c r="H7" s="37"/>
      <c r="I7" s="37"/>
    </row>
    <row r="8" customFormat="false" ht="18" hidden="false" customHeight="true" outlineLevel="0" collapsed="false">
      <c r="A8" s="38" t="str">
        <f aca="false">Setup!B5</f>
        <v>Miss Farzana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Sara (example)</v>
      </c>
      <c r="C13" s="45" t="n">
        <f aca="false">'May 2027'!G13</f>
        <v>7500</v>
      </c>
      <c r="D13" s="45" t="n">
        <f aca="false">IF(B13="",0,N(Students!E5))</f>
        <v>1000</v>
      </c>
      <c r="E13" s="45" t="n">
        <f aca="false">N(C13)+N(D13)</f>
        <v>8500</v>
      </c>
      <c r="F13" s="14"/>
      <c r="G13" s="46" t="n">
        <f aca="false">E13-N(F13)</f>
        <v>8500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'May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'May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'May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'May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'May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'May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'May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'May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'May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'May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'May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'May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'May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'May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'May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'May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'May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'May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'May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'May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'May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'May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'May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'May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'May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'May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'May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'May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'May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'May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'May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'May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'May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'May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'May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'May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'May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'May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'May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'May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'May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'May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'May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'May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'May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'May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'May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'May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'May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7500</v>
      </c>
      <c r="D63" s="25" t="n">
        <f aca="false">SUM(D13:D62)</f>
        <v>1000</v>
      </c>
      <c r="E63" s="25" t="n">
        <f aca="false">SUM(E13:E62)</f>
        <v>8500</v>
      </c>
      <c r="F63" s="25" t="n">
        <f aca="false">SUM(F13:F62)</f>
        <v>0</v>
      </c>
      <c r="G63" s="25" t="n">
        <f aca="false">SUM(G13:G62)</f>
        <v>8500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Fee Register  •  July 2027"</f>
        <v>Kids Coaching Fee Register  •  July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Miss Farzana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9500</v>
      </c>
      <c r="H7" s="37"/>
      <c r="I7" s="37"/>
    </row>
    <row r="8" customFormat="false" ht="18" hidden="false" customHeight="true" outlineLevel="0" collapsed="false">
      <c r="A8" s="38" t="str">
        <f aca="false">Setup!B5</f>
        <v>Miss Farzana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Sara (example)</v>
      </c>
      <c r="C13" s="45" t="n">
        <f aca="false">'Jun 2027'!G13</f>
        <v>8500</v>
      </c>
      <c r="D13" s="45" t="n">
        <f aca="false">IF(B13="",0,N(Students!E5))</f>
        <v>1000</v>
      </c>
      <c r="E13" s="45" t="n">
        <f aca="false">N(C13)+N(D13)</f>
        <v>9500</v>
      </c>
      <c r="F13" s="14"/>
      <c r="G13" s="46" t="n">
        <f aca="false">E13-N(F13)</f>
        <v>9500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'Jun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'Jun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'Jun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'Jun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'Jun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'Jun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'Jun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'Jun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'Jun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'Jun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'Jun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'Jun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'Jun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'Jun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'Jun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'Jun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'Jun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'Jun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'Jun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'Jun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'Jun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'Jun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'Jun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'Jun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'Jun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'Jun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'Jun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'Jun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'Jun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'Jun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'Jun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'Jun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'Jun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'Jun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'Jun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'Jun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'Jun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'Jun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'Jun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'Jun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'Jun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'Jun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'Jun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'Jun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'Jun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'Jun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'Jun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'Jun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'Jun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8500</v>
      </c>
      <c r="D63" s="25" t="n">
        <f aca="false">SUM(D13:D62)</f>
        <v>1000</v>
      </c>
      <c r="E63" s="25" t="n">
        <f aca="false">SUM(E13:E62)</f>
        <v>9500</v>
      </c>
      <c r="F63" s="25" t="n">
        <f aca="false">SUM(F13:F62)</f>
        <v>0</v>
      </c>
      <c r="G63" s="25" t="n">
        <f aca="false">SUM(G13:G62)</f>
        <v>9500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Fee Register  •  August 2027"</f>
        <v>Kids Coaching Fee Register  •  August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Miss Farzana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10500</v>
      </c>
      <c r="H7" s="37"/>
      <c r="I7" s="37"/>
    </row>
    <row r="8" customFormat="false" ht="18" hidden="false" customHeight="true" outlineLevel="0" collapsed="false">
      <c r="A8" s="38" t="str">
        <f aca="false">Setup!B5</f>
        <v>Miss Farzana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Sara (example)</v>
      </c>
      <c r="C13" s="45" t="n">
        <f aca="false">'Jul 2027'!G13</f>
        <v>9500</v>
      </c>
      <c r="D13" s="45" t="n">
        <f aca="false">IF(B13="",0,N(Students!E5))</f>
        <v>1000</v>
      </c>
      <c r="E13" s="45" t="n">
        <f aca="false">N(C13)+N(D13)</f>
        <v>10500</v>
      </c>
      <c r="F13" s="14"/>
      <c r="G13" s="46" t="n">
        <f aca="false">E13-N(F13)</f>
        <v>10500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'Jul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'Jul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'Jul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'Jul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'Jul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'Jul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'Jul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'Jul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'Jul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'Jul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'Jul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'Jul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'Jul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'Jul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'Jul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'Jul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'Jul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'Jul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'Jul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'Jul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'Jul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'Jul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'Jul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'Jul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'Jul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'Jul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'Jul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'Jul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'Jul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'Jul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'Jul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'Jul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'Jul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'Jul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'Jul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'Jul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'Jul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'Jul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'Jul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'Jul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'Jul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'Jul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'Jul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'Jul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'Jul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'Jul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'Jul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'Jul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'Jul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9500</v>
      </c>
      <c r="D63" s="25" t="n">
        <f aca="false">SUM(D13:D62)</f>
        <v>1000</v>
      </c>
      <c r="E63" s="25" t="n">
        <f aca="false">SUM(E13:E62)</f>
        <v>10500</v>
      </c>
      <c r="F63" s="25" t="n">
        <f aca="false">SUM(F13:F62)</f>
        <v>0</v>
      </c>
      <c r="G63" s="25" t="n">
        <f aca="false">SUM(G13:G62)</f>
        <v>10500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3B66"/>
    <pageSetUpPr fitToPage="true"/>
  </sheetPr>
  <dimension ref="A1:I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0"/>
    <col collapsed="false" customWidth="true" hidden="false" outlineLevel="0" max="5" min="3" style="0" width="14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26" t="str">
        <f aca="false">UPPER(Setup!B3)</f>
        <v>FUTURE TALENT ACADEMY JAMSHORO</v>
      </c>
      <c r="B1" s="26"/>
      <c r="C1" s="26"/>
      <c r="D1" s="26"/>
      <c r="E1" s="26"/>
      <c r="F1" s="26"/>
      <c r="G1" s="26"/>
      <c r="H1" s="26"/>
      <c r="I1" s="26"/>
    </row>
    <row r="2" customFormat="false" ht="24" hidden="false" customHeight="true" outlineLevel="0" collapsed="false">
      <c r="A2" s="27" t="str">
        <f aca="false">Setup!B4&amp;" Fee Register  •  September 2027"</f>
        <v>Kids Coaching Fee Register  •  September 2027</v>
      </c>
      <c r="B2" s="27"/>
      <c r="C2" s="27"/>
      <c r="D2" s="27"/>
      <c r="E2" s="27"/>
      <c r="F2" s="27"/>
      <c r="G2" s="27"/>
      <c r="H2" s="27"/>
      <c r="I2" s="27"/>
    </row>
    <row r="4" customFormat="false" ht="15" hidden="false" customHeight="true" outlineLevel="0" collapsed="false">
      <c r="A4" s="28" t="s">
        <v>42</v>
      </c>
      <c r="B4" s="28"/>
      <c r="C4" s="28"/>
      <c r="D4" s="29" t="str">
        <f aca="false">Setup!B5</f>
        <v>Miss Farzana</v>
      </c>
      <c r="E4" s="29"/>
      <c r="F4" s="29"/>
      <c r="G4" s="29"/>
      <c r="H4" s="29"/>
      <c r="I4" s="29"/>
    </row>
    <row r="6" customFormat="false" ht="18" hidden="false" customHeight="true" outlineLevel="0" collapsed="false">
      <c r="A6" s="30" t="s">
        <v>43</v>
      </c>
      <c r="B6" s="30"/>
      <c r="C6" s="31" t="s">
        <v>44</v>
      </c>
      <c r="D6" s="31"/>
      <c r="E6" s="32" t="s">
        <v>45</v>
      </c>
      <c r="F6" s="32"/>
      <c r="G6" s="33" t="s">
        <v>46</v>
      </c>
      <c r="H6" s="33"/>
      <c r="I6" s="33"/>
    </row>
    <row r="7" customFormat="false" ht="30" hidden="false" customHeight="true" outlineLevel="0" collapsed="false">
      <c r="A7" s="34" t="n">
        <f aca="false">F63*Setup!B7</f>
        <v>0</v>
      </c>
      <c r="B7" s="34"/>
      <c r="C7" s="35" t="n">
        <f aca="false">F63*Setup!B8</f>
        <v>0</v>
      </c>
      <c r="D7" s="35"/>
      <c r="E7" s="36" t="n">
        <f aca="false">F63</f>
        <v>0</v>
      </c>
      <c r="F7" s="36"/>
      <c r="G7" s="37" t="n">
        <f aca="false">G63</f>
        <v>11500</v>
      </c>
      <c r="H7" s="37"/>
      <c r="I7" s="37"/>
    </row>
    <row r="8" customFormat="false" ht="18" hidden="false" customHeight="true" outlineLevel="0" collapsed="false">
      <c r="A8" s="38" t="str">
        <f aca="false">Setup!B5</f>
        <v>Miss Farzana</v>
      </c>
      <c r="B8" s="38"/>
      <c r="C8" s="39" t="str">
        <f aca="false">TEXT(Setup!B8,"0%")&amp;" of fees collected"</f>
        <v>50% of fees collected</v>
      </c>
      <c r="D8" s="39"/>
      <c r="E8" s="40" t="str">
        <f aca="false">COUNTIF(H13:H62,"Clear")&amp;" students fully paid"</f>
        <v>0 students fully paid</v>
      </c>
      <c r="F8" s="40"/>
      <c r="G8" s="41" t="str">
        <f aca="false">(COUNTIF(H13:H62,"Due")+COUNTIF(H13:H62,"Partial"))&amp;" students with dues"</f>
        <v>1 students with dues</v>
      </c>
      <c r="H8" s="41"/>
      <c r="I8" s="41"/>
    </row>
    <row r="10" customFormat="false" ht="15" hidden="false" customHeight="true" outlineLevel="0" collapsed="false">
      <c r="A10" s="42" t="s">
        <v>47</v>
      </c>
      <c r="B10" s="42"/>
      <c r="C10" s="42"/>
      <c r="D10" s="42"/>
      <c r="E10" s="42"/>
      <c r="F10" s="42"/>
      <c r="G10" s="42"/>
      <c r="H10" s="42"/>
      <c r="I10" s="42"/>
    </row>
    <row r="12" customFormat="false" ht="30" hidden="false" customHeight="true" outlineLevel="0" collapsed="false">
      <c r="A12" s="10" t="s">
        <v>16</v>
      </c>
      <c r="B12" s="10" t="s">
        <v>17</v>
      </c>
      <c r="C12" s="10" t="s">
        <v>48</v>
      </c>
      <c r="D12" s="10" t="s">
        <v>20</v>
      </c>
      <c r="E12" s="10" t="s">
        <v>49</v>
      </c>
      <c r="F12" s="10" t="s">
        <v>50</v>
      </c>
      <c r="G12" s="10" t="s">
        <v>51</v>
      </c>
      <c r="H12" s="10" t="s">
        <v>52</v>
      </c>
      <c r="I12" s="10" t="s">
        <v>53</v>
      </c>
    </row>
    <row r="13" customFormat="false" ht="15" hidden="false" customHeight="false" outlineLevel="0" collapsed="false">
      <c r="A13" s="43" t="n">
        <v>1</v>
      </c>
      <c r="B13" s="44" t="str">
        <f aca="false">IF(Students!B5="","",Students!B5)</f>
        <v>Sara (example)</v>
      </c>
      <c r="C13" s="45" t="n">
        <f aca="false">'Aug 2027'!G13</f>
        <v>10500</v>
      </c>
      <c r="D13" s="45" t="n">
        <f aca="false">IF(B13="",0,N(Students!E5))</f>
        <v>1000</v>
      </c>
      <c r="E13" s="45" t="n">
        <f aca="false">N(C13)+N(D13)</f>
        <v>11500</v>
      </c>
      <c r="F13" s="14"/>
      <c r="G13" s="46" t="n">
        <f aca="false">E13-N(F13)</f>
        <v>11500</v>
      </c>
      <c r="H13" s="47" t="str">
        <f aca="false">IF(B13="","",IF(G13&lt;=0,"Clear",IF(N(F13)&gt;0,"Partial","Due")))</f>
        <v>Due</v>
      </c>
      <c r="I13" s="48"/>
    </row>
    <row r="14" customFormat="false" ht="15" hidden="false" customHeight="false" outlineLevel="0" collapsed="false">
      <c r="A14" s="11" t="n">
        <v>2</v>
      </c>
      <c r="B14" s="49" t="str">
        <f aca="false">IF(Students!B6="","",Students!B6)</f>
        <v/>
      </c>
      <c r="C14" s="50" t="n">
        <f aca="false">'Aug 2027'!G14</f>
        <v>0</v>
      </c>
      <c r="D14" s="50" t="n">
        <f aca="false">IF(B14="",0,N(Students!E6))</f>
        <v>0</v>
      </c>
      <c r="E14" s="50" t="n">
        <f aca="false">N(C14)+N(D14)</f>
        <v>0</v>
      </c>
      <c r="F14" s="14"/>
      <c r="G14" s="51" t="n">
        <f aca="false">E14-N(F14)</f>
        <v>0</v>
      </c>
      <c r="H14" s="52" t="str">
        <f aca="false">IF(B14="","",IF(G14&lt;=0,"Clear",IF(N(F14)&gt;0,"Partial","Due")))</f>
        <v/>
      </c>
      <c r="I14" s="48"/>
    </row>
    <row r="15" customFormat="false" ht="15" hidden="false" customHeight="false" outlineLevel="0" collapsed="false">
      <c r="A15" s="43" t="n">
        <v>3</v>
      </c>
      <c r="B15" s="44" t="str">
        <f aca="false">IF(Students!B7="","",Students!B7)</f>
        <v/>
      </c>
      <c r="C15" s="45" t="n">
        <f aca="false">'Aug 2027'!G15</f>
        <v>0</v>
      </c>
      <c r="D15" s="45" t="n">
        <f aca="false">IF(B15="",0,N(Students!E7))</f>
        <v>0</v>
      </c>
      <c r="E15" s="45" t="n">
        <f aca="false">N(C15)+N(D15)</f>
        <v>0</v>
      </c>
      <c r="F15" s="14"/>
      <c r="G15" s="46" t="n">
        <f aca="false">E15-N(F15)</f>
        <v>0</v>
      </c>
      <c r="H15" s="47" t="str">
        <f aca="false">IF(B15="","",IF(G15&lt;=0,"Clear",IF(N(F15)&gt;0,"Partial","Due")))</f>
        <v/>
      </c>
      <c r="I15" s="48"/>
    </row>
    <row r="16" customFormat="false" ht="15" hidden="false" customHeight="false" outlineLevel="0" collapsed="false">
      <c r="A16" s="11" t="n">
        <v>4</v>
      </c>
      <c r="B16" s="49" t="str">
        <f aca="false">IF(Students!B8="","",Students!B8)</f>
        <v/>
      </c>
      <c r="C16" s="50" t="n">
        <f aca="false">'Aug 2027'!G16</f>
        <v>0</v>
      </c>
      <c r="D16" s="50" t="n">
        <f aca="false">IF(B16="",0,N(Students!E8))</f>
        <v>0</v>
      </c>
      <c r="E16" s="50" t="n">
        <f aca="false">N(C16)+N(D16)</f>
        <v>0</v>
      </c>
      <c r="F16" s="14"/>
      <c r="G16" s="51" t="n">
        <f aca="false">E16-N(F16)</f>
        <v>0</v>
      </c>
      <c r="H16" s="52" t="str">
        <f aca="false">IF(B16="","",IF(G16&lt;=0,"Clear",IF(N(F16)&gt;0,"Partial","Due")))</f>
        <v/>
      </c>
      <c r="I16" s="48"/>
    </row>
    <row r="17" customFormat="false" ht="15" hidden="false" customHeight="false" outlineLevel="0" collapsed="false">
      <c r="A17" s="43" t="n">
        <v>5</v>
      </c>
      <c r="B17" s="44" t="str">
        <f aca="false">IF(Students!B9="","",Students!B9)</f>
        <v/>
      </c>
      <c r="C17" s="45" t="n">
        <f aca="false">'Aug 2027'!G17</f>
        <v>0</v>
      </c>
      <c r="D17" s="45" t="n">
        <f aca="false">IF(B17="",0,N(Students!E9))</f>
        <v>0</v>
      </c>
      <c r="E17" s="45" t="n">
        <f aca="false">N(C17)+N(D17)</f>
        <v>0</v>
      </c>
      <c r="F17" s="14"/>
      <c r="G17" s="46" t="n">
        <f aca="false">E17-N(F17)</f>
        <v>0</v>
      </c>
      <c r="H17" s="47" t="str">
        <f aca="false">IF(B17="","",IF(G17&lt;=0,"Clear",IF(N(F17)&gt;0,"Partial","Due")))</f>
        <v/>
      </c>
      <c r="I17" s="48"/>
    </row>
    <row r="18" customFormat="false" ht="15" hidden="false" customHeight="false" outlineLevel="0" collapsed="false">
      <c r="A18" s="11" t="n">
        <v>6</v>
      </c>
      <c r="B18" s="49" t="str">
        <f aca="false">IF(Students!B10="","",Students!B10)</f>
        <v/>
      </c>
      <c r="C18" s="50" t="n">
        <f aca="false">'Aug 2027'!G18</f>
        <v>0</v>
      </c>
      <c r="D18" s="50" t="n">
        <f aca="false">IF(B18="",0,N(Students!E10))</f>
        <v>0</v>
      </c>
      <c r="E18" s="50" t="n">
        <f aca="false">N(C18)+N(D18)</f>
        <v>0</v>
      </c>
      <c r="F18" s="14"/>
      <c r="G18" s="51" t="n">
        <f aca="false">E18-N(F18)</f>
        <v>0</v>
      </c>
      <c r="H18" s="52" t="str">
        <f aca="false">IF(B18="","",IF(G18&lt;=0,"Clear",IF(N(F18)&gt;0,"Partial","Due")))</f>
        <v/>
      </c>
      <c r="I18" s="48"/>
    </row>
    <row r="19" customFormat="false" ht="15" hidden="false" customHeight="false" outlineLevel="0" collapsed="false">
      <c r="A19" s="43" t="n">
        <v>7</v>
      </c>
      <c r="B19" s="44" t="str">
        <f aca="false">IF(Students!B11="","",Students!B11)</f>
        <v/>
      </c>
      <c r="C19" s="45" t="n">
        <f aca="false">'Aug 2027'!G19</f>
        <v>0</v>
      </c>
      <c r="D19" s="45" t="n">
        <f aca="false">IF(B19="",0,N(Students!E11))</f>
        <v>0</v>
      </c>
      <c r="E19" s="45" t="n">
        <f aca="false">N(C19)+N(D19)</f>
        <v>0</v>
      </c>
      <c r="F19" s="14"/>
      <c r="G19" s="46" t="n">
        <f aca="false">E19-N(F19)</f>
        <v>0</v>
      </c>
      <c r="H19" s="47" t="str">
        <f aca="false">IF(B19="","",IF(G19&lt;=0,"Clear",IF(N(F19)&gt;0,"Partial","Due")))</f>
        <v/>
      </c>
      <c r="I19" s="48"/>
    </row>
    <row r="20" customFormat="false" ht="15" hidden="false" customHeight="false" outlineLevel="0" collapsed="false">
      <c r="A20" s="11" t="n">
        <v>8</v>
      </c>
      <c r="B20" s="49" t="str">
        <f aca="false">IF(Students!B12="","",Students!B12)</f>
        <v/>
      </c>
      <c r="C20" s="50" t="n">
        <f aca="false">'Aug 2027'!G20</f>
        <v>0</v>
      </c>
      <c r="D20" s="50" t="n">
        <f aca="false">IF(B20="",0,N(Students!E12))</f>
        <v>0</v>
      </c>
      <c r="E20" s="50" t="n">
        <f aca="false">N(C20)+N(D20)</f>
        <v>0</v>
      </c>
      <c r="F20" s="14"/>
      <c r="G20" s="51" t="n">
        <f aca="false">E20-N(F20)</f>
        <v>0</v>
      </c>
      <c r="H20" s="52" t="str">
        <f aca="false">IF(B20="","",IF(G20&lt;=0,"Clear",IF(N(F20)&gt;0,"Partial","Due")))</f>
        <v/>
      </c>
      <c r="I20" s="48"/>
    </row>
    <row r="21" customFormat="false" ht="15" hidden="false" customHeight="false" outlineLevel="0" collapsed="false">
      <c r="A21" s="43" t="n">
        <v>9</v>
      </c>
      <c r="B21" s="44" t="str">
        <f aca="false">IF(Students!B13="","",Students!B13)</f>
        <v/>
      </c>
      <c r="C21" s="45" t="n">
        <f aca="false">'Aug 2027'!G21</f>
        <v>0</v>
      </c>
      <c r="D21" s="45" t="n">
        <f aca="false">IF(B21="",0,N(Students!E13))</f>
        <v>0</v>
      </c>
      <c r="E21" s="45" t="n">
        <f aca="false">N(C21)+N(D21)</f>
        <v>0</v>
      </c>
      <c r="F21" s="14"/>
      <c r="G21" s="46" t="n">
        <f aca="false">E21-N(F21)</f>
        <v>0</v>
      </c>
      <c r="H21" s="47" t="str">
        <f aca="false">IF(B21="","",IF(G21&lt;=0,"Clear",IF(N(F21)&gt;0,"Partial","Due")))</f>
        <v/>
      </c>
      <c r="I21" s="48"/>
    </row>
    <row r="22" customFormat="false" ht="15" hidden="false" customHeight="false" outlineLevel="0" collapsed="false">
      <c r="A22" s="11" t="n">
        <v>10</v>
      </c>
      <c r="B22" s="49" t="str">
        <f aca="false">IF(Students!B14="","",Students!B14)</f>
        <v/>
      </c>
      <c r="C22" s="50" t="n">
        <f aca="false">'Aug 2027'!G22</f>
        <v>0</v>
      </c>
      <c r="D22" s="50" t="n">
        <f aca="false">IF(B22="",0,N(Students!E14))</f>
        <v>0</v>
      </c>
      <c r="E22" s="50" t="n">
        <f aca="false">N(C22)+N(D22)</f>
        <v>0</v>
      </c>
      <c r="F22" s="14"/>
      <c r="G22" s="51" t="n">
        <f aca="false">E22-N(F22)</f>
        <v>0</v>
      </c>
      <c r="H22" s="52" t="str">
        <f aca="false">IF(B22="","",IF(G22&lt;=0,"Clear",IF(N(F22)&gt;0,"Partial","Due")))</f>
        <v/>
      </c>
      <c r="I22" s="48"/>
    </row>
    <row r="23" customFormat="false" ht="15" hidden="false" customHeight="false" outlineLevel="0" collapsed="false">
      <c r="A23" s="43" t="n">
        <v>11</v>
      </c>
      <c r="B23" s="44" t="str">
        <f aca="false">IF(Students!B15="","",Students!B15)</f>
        <v/>
      </c>
      <c r="C23" s="45" t="n">
        <f aca="false">'Aug 2027'!G23</f>
        <v>0</v>
      </c>
      <c r="D23" s="45" t="n">
        <f aca="false">IF(B23="",0,N(Students!E15))</f>
        <v>0</v>
      </c>
      <c r="E23" s="45" t="n">
        <f aca="false">N(C23)+N(D23)</f>
        <v>0</v>
      </c>
      <c r="F23" s="14"/>
      <c r="G23" s="46" t="n">
        <f aca="false">E23-N(F23)</f>
        <v>0</v>
      </c>
      <c r="H23" s="47" t="str">
        <f aca="false">IF(B23="","",IF(G23&lt;=0,"Clear",IF(N(F23)&gt;0,"Partial","Due")))</f>
        <v/>
      </c>
      <c r="I23" s="48"/>
    </row>
    <row r="24" customFormat="false" ht="15" hidden="false" customHeight="false" outlineLevel="0" collapsed="false">
      <c r="A24" s="11" t="n">
        <v>12</v>
      </c>
      <c r="B24" s="49" t="str">
        <f aca="false">IF(Students!B16="","",Students!B16)</f>
        <v/>
      </c>
      <c r="C24" s="50" t="n">
        <f aca="false">'Aug 2027'!G24</f>
        <v>0</v>
      </c>
      <c r="D24" s="50" t="n">
        <f aca="false">IF(B24="",0,N(Students!E16))</f>
        <v>0</v>
      </c>
      <c r="E24" s="50" t="n">
        <f aca="false">N(C24)+N(D24)</f>
        <v>0</v>
      </c>
      <c r="F24" s="14"/>
      <c r="G24" s="51" t="n">
        <f aca="false">E24-N(F24)</f>
        <v>0</v>
      </c>
      <c r="H24" s="52" t="str">
        <f aca="false">IF(B24="","",IF(G24&lt;=0,"Clear",IF(N(F24)&gt;0,"Partial","Due")))</f>
        <v/>
      </c>
      <c r="I24" s="48"/>
    </row>
    <row r="25" customFormat="false" ht="15" hidden="false" customHeight="false" outlineLevel="0" collapsed="false">
      <c r="A25" s="43" t="n">
        <v>13</v>
      </c>
      <c r="B25" s="44" t="str">
        <f aca="false">IF(Students!B17="","",Students!B17)</f>
        <v/>
      </c>
      <c r="C25" s="45" t="n">
        <f aca="false">'Aug 2027'!G25</f>
        <v>0</v>
      </c>
      <c r="D25" s="45" t="n">
        <f aca="false">IF(B25="",0,N(Students!E17))</f>
        <v>0</v>
      </c>
      <c r="E25" s="45" t="n">
        <f aca="false">N(C25)+N(D25)</f>
        <v>0</v>
      </c>
      <c r="F25" s="14"/>
      <c r="G25" s="46" t="n">
        <f aca="false">E25-N(F25)</f>
        <v>0</v>
      </c>
      <c r="H25" s="47" t="str">
        <f aca="false">IF(B25="","",IF(G25&lt;=0,"Clear",IF(N(F25)&gt;0,"Partial","Due")))</f>
        <v/>
      </c>
      <c r="I25" s="48"/>
    </row>
    <row r="26" customFormat="false" ht="15" hidden="false" customHeight="false" outlineLevel="0" collapsed="false">
      <c r="A26" s="11" t="n">
        <v>14</v>
      </c>
      <c r="B26" s="49" t="str">
        <f aca="false">IF(Students!B18="","",Students!B18)</f>
        <v/>
      </c>
      <c r="C26" s="50" t="n">
        <f aca="false">'Aug 2027'!G26</f>
        <v>0</v>
      </c>
      <c r="D26" s="50" t="n">
        <f aca="false">IF(B26="",0,N(Students!E18))</f>
        <v>0</v>
      </c>
      <c r="E26" s="50" t="n">
        <f aca="false">N(C26)+N(D26)</f>
        <v>0</v>
      </c>
      <c r="F26" s="14"/>
      <c r="G26" s="51" t="n">
        <f aca="false">E26-N(F26)</f>
        <v>0</v>
      </c>
      <c r="H26" s="52" t="str">
        <f aca="false">IF(B26="","",IF(G26&lt;=0,"Clear",IF(N(F26)&gt;0,"Partial","Due")))</f>
        <v/>
      </c>
      <c r="I26" s="48"/>
    </row>
    <row r="27" customFormat="false" ht="15" hidden="false" customHeight="false" outlineLevel="0" collapsed="false">
      <c r="A27" s="43" t="n">
        <v>15</v>
      </c>
      <c r="B27" s="44" t="str">
        <f aca="false">IF(Students!B19="","",Students!B19)</f>
        <v/>
      </c>
      <c r="C27" s="45" t="n">
        <f aca="false">'Aug 2027'!G27</f>
        <v>0</v>
      </c>
      <c r="D27" s="45" t="n">
        <f aca="false">IF(B27="",0,N(Students!E19))</f>
        <v>0</v>
      </c>
      <c r="E27" s="45" t="n">
        <f aca="false">N(C27)+N(D27)</f>
        <v>0</v>
      </c>
      <c r="F27" s="14"/>
      <c r="G27" s="46" t="n">
        <f aca="false">E27-N(F27)</f>
        <v>0</v>
      </c>
      <c r="H27" s="47" t="str">
        <f aca="false">IF(B27="","",IF(G27&lt;=0,"Clear",IF(N(F27)&gt;0,"Partial","Due")))</f>
        <v/>
      </c>
      <c r="I27" s="48"/>
    </row>
    <row r="28" customFormat="false" ht="15" hidden="false" customHeight="false" outlineLevel="0" collapsed="false">
      <c r="A28" s="11" t="n">
        <v>16</v>
      </c>
      <c r="B28" s="49" t="str">
        <f aca="false">IF(Students!B20="","",Students!B20)</f>
        <v/>
      </c>
      <c r="C28" s="50" t="n">
        <f aca="false">'Aug 2027'!G28</f>
        <v>0</v>
      </c>
      <c r="D28" s="50" t="n">
        <f aca="false">IF(B28="",0,N(Students!E20))</f>
        <v>0</v>
      </c>
      <c r="E28" s="50" t="n">
        <f aca="false">N(C28)+N(D28)</f>
        <v>0</v>
      </c>
      <c r="F28" s="14"/>
      <c r="G28" s="51" t="n">
        <f aca="false">E28-N(F28)</f>
        <v>0</v>
      </c>
      <c r="H28" s="52" t="str">
        <f aca="false">IF(B28="","",IF(G28&lt;=0,"Clear",IF(N(F28)&gt;0,"Partial","Due")))</f>
        <v/>
      </c>
      <c r="I28" s="48"/>
    </row>
    <row r="29" customFormat="false" ht="15" hidden="false" customHeight="false" outlineLevel="0" collapsed="false">
      <c r="A29" s="43" t="n">
        <v>17</v>
      </c>
      <c r="B29" s="44" t="str">
        <f aca="false">IF(Students!B21="","",Students!B21)</f>
        <v/>
      </c>
      <c r="C29" s="45" t="n">
        <f aca="false">'Aug 2027'!G29</f>
        <v>0</v>
      </c>
      <c r="D29" s="45" t="n">
        <f aca="false">IF(B29="",0,N(Students!E21))</f>
        <v>0</v>
      </c>
      <c r="E29" s="45" t="n">
        <f aca="false">N(C29)+N(D29)</f>
        <v>0</v>
      </c>
      <c r="F29" s="14"/>
      <c r="G29" s="46" t="n">
        <f aca="false">E29-N(F29)</f>
        <v>0</v>
      </c>
      <c r="H29" s="47" t="str">
        <f aca="false">IF(B29="","",IF(G29&lt;=0,"Clear",IF(N(F29)&gt;0,"Partial","Due")))</f>
        <v/>
      </c>
      <c r="I29" s="48"/>
    </row>
    <row r="30" customFormat="false" ht="15" hidden="false" customHeight="false" outlineLevel="0" collapsed="false">
      <c r="A30" s="11" t="n">
        <v>18</v>
      </c>
      <c r="B30" s="49" t="str">
        <f aca="false">IF(Students!B22="","",Students!B22)</f>
        <v/>
      </c>
      <c r="C30" s="50" t="n">
        <f aca="false">'Aug 2027'!G30</f>
        <v>0</v>
      </c>
      <c r="D30" s="50" t="n">
        <f aca="false">IF(B30="",0,N(Students!E22))</f>
        <v>0</v>
      </c>
      <c r="E30" s="50" t="n">
        <f aca="false">N(C30)+N(D30)</f>
        <v>0</v>
      </c>
      <c r="F30" s="14"/>
      <c r="G30" s="51" t="n">
        <f aca="false">E30-N(F30)</f>
        <v>0</v>
      </c>
      <c r="H30" s="52" t="str">
        <f aca="false">IF(B30="","",IF(G30&lt;=0,"Clear",IF(N(F30)&gt;0,"Partial","Due")))</f>
        <v/>
      </c>
      <c r="I30" s="48"/>
    </row>
    <row r="31" customFormat="false" ht="15" hidden="false" customHeight="false" outlineLevel="0" collapsed="false">
      <c r="A31" s="43" t="n">
        <v>19</v>
      </c>
      <c r="B31" s="44" t="str">
        <f aca="false">IF(Students!B23="","",Students!B23)</f>
        <v/>
      </c>
      <c r="C31" s="45" t="n">
        <f aca="false">'Aug 2027'!G31</f>
        <v>0</v>
      </c>
      <c r="D31" s="45" t="n">
        <f aca="false">IF(B31="",0,N(Students!E23))</f>
        <v>0</v>
      </c>
      <c r="E31" s="45" t="n">
        <f aca="false">N(C31)+N(D31)</f>
        <v>0</v>
      </c>
      <c r="F31" s="14"/>
      <c r="G31" s="46" t="n">
        <f aca="false">E31-N(F31)</f>
        <v>0</v>
      </c>
      <c r="H31" s="47" t="str">
        <f aca="false">IF(B31="","",IF(G31&lt;=0,"Clear",IF(N(F31)&gt;0,"Partial","Due")))</f>
        <v/>
      </c>
      <c r="I31" s="48"/>
    </row>
    <row r="32" customFormat="false" ht="15" hidden="false" customHeight="false" outlineLevel="0" collapsed="false">
      <c r="A32" s="11" t="n">
        <v>20</v>
      </c>
      <c r="B32" s="49" t="str">
        <f aca="false">IF(Students!B24="","",Students!B24)</f>
        <v/>
      </c>
      <c r="C32" s="50" t="n">
        <f aca="false">'Aug 2027'!G32</f>
        <v>0</v>
      </c>
      <c r="D32" s="50" t="n">
        <f aca="false">IF(B32="",0,N(Students!E24))</f>
        <v>0</v>
      </c>
      <c r="E32" s="50" t="n">
        <f aca="false">N(C32)+N(D32)</f>
        <v>0</v>
      </c>
      <c r="F32" s="14"/>
      <c r="G32" s="51" t="n">
        <f aca="false">E32-N(F32)</f>
        <v>0</v>
      </c>
      <c r="H32" s="52" t="str">
        <f aca="false">IF(B32="","",IF(G32&lt;=0,"Clear",IF(N(F32)&gt;0,"Partial","Due")))</f>
        <v/>
      </c>
      <c r="I32" s="48"/>
    </row>
    <row r="33" customFormat="false" ht="15" hidden="false" customHeight="false" outlineLevel="0" collapsed="false">
      <c r="A33" s="43" t="n">
        <v>21</v>
      </c>
      <c r="B33" s="44" t="str">
        <f aca="false">IF(Students!B25="","",Students!B25)</f>
        <v/>
      </c>
      <c r="C33" s="45" t="n">
        <f aca="false">'Aug 2027'!G33</f>
        <v>0</v>
      </c>
      <c r="D33" s="45" t="n">
        <f aca="false">IF(B33="",0,N(Students!E25))</f>
        <v>0</v>
      </c>
      <c r="E33" s="45" t="n">
        <f aca="false">N(C33)+N(D33)</f>
        <v>0</v>
      </c>
      <c r="F33" s="14"/>
      <c r="G33" s="46" t="n">
        <f aca="false">E33-N(F33)</f>
        <v>0</v>
      </c>
      <c r="H33" s="47" t="str">
        <f aca="false">IF(B33="","",IF(G33&lt;=0,"Clear",IF(N(F33)&gt;0,"Partial","Due")))</f>
        <v/>
      </c>
      <c r="I33" s="48"/>
    </row>
    <row r="34" customFormat="false" ht="15" hidden="false" customHeight="false" outlineLevel="0" collapsed="false">
      <c r="A34" s="11" t="n">
        <v>22</v>
      </c>
      <c r="B34" s="49" t="str">
        <f aca="false">IF(Students!B26="","",Students!B26)</f>
        <v/>
      </c>
      <c r="C34" s="50" t="n">
        <f aca="false">'Aug 2027'!G34</f>
        <v>0</v>
      </c>
      <c r="D34" s="50" t="n">
        <f aca="false">IF(B34="",0,N(Students!E26))</f>
        <v>0</v>
      </c>
      <c r="E34" s="50" t="n">
        <f aca="false">N(C34)+N(D34)</f>
        <v>0</v>
      </c>
      <c r="F34" s="14"/>
      <c r="G34" s="51" t="n">
        <f aca="false">E34-N(F34)</f>
        <v>0</v>
      </c>
      <c r="H34" s="52" t="str">
        <f aca="false">IF(B34="","",IF(G34&lt;=0,"Clear",IF(N(F34)&gt;0,"Partial","Due")))</f>
        <v/>
      </c>
      <c r="I34" s="48"/>
    </row>
    <row r="35" customFormat="false" ht="15" hidden="false" customHeight="false" outlineLevel="0" collapsed="false">
      <c r="A35" s="43" t="n">
        <v>23</v>
      </c>
      <c r="B35" s="44" t="str">
        <f aca="false">IF(Students!B27="","",Students!B27)</f>
        <v/>
      </c>
      <c r="C35" s="45" t="n">
        <f aca="false">'Aug 2027'!G35</f>
        <v>0</v>
      </c>
      <c r="D35" s="45" t="n">
        <f aca="false">IF(B35="",0,N(Students!E27))</f>
        <v>0</v>
      </c>
      <c r="E35" s="45" t="n">
        <f aca="false">N(C35)+N(D35)</f>
        <v>0</v>
      </c>
      <c r="F35" s="14"/>
      <c r="G35" s="46" t="n">
        <f aca="false">E35-N(F35)</f>
        <v>0</v>
      </c>
      <c r="H35" s="47" t="str">
        <f aca="false">IF(B35="","",IF(G35&lt;=0,"Clear",IF(N(F35)&gt;0,"Partial","Due")))</f>
        <v/>
      </c>
      <c r="I35" s="48"/>
    </row>
    <row r="36" customFormat="false" ht="15" hidden="false" customHeight="false" outlineLevel="0" collapsed="false">
      <c r="A36" s="11" t="n">
        <v>24</v>
      </c>
      <c r="B36" s="49" t="str">
        <f aca="false">IF(Students!B28="","",Students!B28)</f>
        <v/>
      </c>
      <c r="C36" s="50" t="n">
        <f aca="false">'Aug 2027'!G36</f>
        <v>0</v>
      </c>
      <c r="D36" s="50" t="n">
        <f aca="false">IF(B36="",0,N(Students!E28))</f>
        <v>0</v>
      </c>
      <c r="E36" s="50" t="n">
        <f aca="false">N(C36)+N(D36)</f>
        <v>0</v>
      </c>
      <c r="F36" s="14"/>
      <c r="G36" s="51" t="n">
        <f aca="false">E36-N(F36)</f>
        <v>0</v>
      </c>
      <c r="H36" s="52" t="str">
        <f aca="false">IF(B36="","",IF(G36&lt;=0,"Clear",IF(N(F36)&gt;0,"Partial","Due")))</f>
        <v/>
      </c>
      <c r="I36" s="48"/>
    </row>
    <row r="37" customFormat="false" ht="15" hidden="false" customHeight="false" outlineLevel="0" collapsed="false">
      <c r="A37" s="43" t="n">
        <v>25</v>
      </c>
      <c r="B37" s="44" t="str">
        <f aca="false">IF(Students!B29="","",Students!B29)</f>
        <v/>
      </c>
      <c r="C37" s="45" t="n">
        <f aca="false">'Aug 2027'!G37</f>
        <v>0</v>
      </c>
      <c r="D37" s="45" t="n">
        <f aca="false">IF(B37="",0,N(Students!E29))</f>
        <v>0</v>
      </c>
      <c r="E37" s="45" t="n">
        <f aca="false">N(C37)+N(D37)</f>
        <v>0</v>
      </c>
      <c r="F37" s="14"/>
      <c r="G37" s="46" t="n">
        <f aca="false">E37-N(F37)</f>
        <v>0</v>
      </c>
      <c r="H37" s="47" t="str">
        <f aca="false">IF(B37="","",IF(G37&lt;=0,"Clear",IF(N(F37)&gt;0,"Partial","Due")))</f>
        <v/>
      </c>
      <c r="I37" s="48"/>
    </row>
    <row r="38" customFormat="false" ht="15" hidden="false" customHeight="false" outlineLevel="0" collapsed="false">
      <c r="A38" s="11" t="n">
        <v>26</v>
      </c>
      <c r="B38" s="49" t="str">
        <f aca="false">IF(Students!B30="","",Students!B30)</f>
        <v/>
      </c>
      <c r="C38" s="50" t="n">
        <f aca="false">'Aug 2027'!G38</f>
        <v>0</v>
      </c>
      <c r="D38" s="50" t="n">
        <f aca="false">IF(B38="",0,N(Students!E30))</f>
        <v>0</v>
      </c>
      <c r="E38" s="50" t="n">
        <f aca="false">N(C38)+N(D38)</f>
        <v>0</v>
      </c>
      <c r="F38" s="14"/>
      <c r="G38" s="51" t="n">
        <f aca="false">E38-N(F38)</f>
        <v>0</v>
      </c>
      <c r="H38" s="52" t="str">
        <f aca="false">IF(B38="","",IF(G38&lt;=0,"Clear",IF(N(F38)&gt;0,"Partial","Due")))</f>
        <v/>
      </c>
      <c r="I38" s="48"/>
    </row>
    <row r="39" customFormat="false" ht="15" hidden="false" customHeight="false" outlineLevel="0" collapsed="false">
      <c r="A39" s="43" t="n">
        <v>27</v>
      </c>
      <c r="B39" s="44" t="str">
        <f aca="false">IF(Students!B31="","",Students!B31)</f>
        <v/>
      </c>
      <c r="C39" s="45" t="n">
        <f aca="false">'Aug 2027'!G39</f>
        <v>0</v>
      </c>
      <c r="D39" s="45" t="n">
        <f aca="false">IF(B39="",0,N(Students!E31))</f>
        <v>0</v>
      </c>
      <c r="E39" s="45" t="n">
        <f aca="false">N(C39)+N(D39)</f>
        <v>0</v>
      </c>
      <c r="F39" s="14"/>
      <c r="G39" s="46" t="n">
        <f aca="false">E39-N(F39)</f>
        <v>0</v>
      </c>
      <c r="H39" s="47" t="str">
        <f aca="false">IF(B39="","",IF(G39&lt;=0,"Clear",IF(N(F39)&gt;0,"Partial","Due")))</f>
        <v/>
      </c>
      <c r="I39" s="48"/>
    </row>
    <row r="40" customFormat="false" ht="15" hidden="false" customHeight="false" outlineLevel="0" collapsed="false">
      <c r="A40" s="11" t="n">
        <v>28</v>
      </c>
      <c r="B40" s="49" t="str">
        <f aca="false">IF(Students!B32="","",Students!B32)</f>
        <v/>
      </c>
      <c r="C40" s="50" t="n">
        <f aca="false">'Aug 2027'!G40</f>
        <v>0</v>
      </c>
      <c r="D40" s="50" t="n">
        <f aca="false">IF(B40="",0,N(Students!E32))</f>
        <v>0</v>
      </c>
      <c r="E40" s="50" t="n">
        <f aca="false">N(C40)+N(D40)</f>
        <v>0</v>
      </c>
      <c r="F40" s="14"/>
      <c r="G40" s="51" t="n">
        <f aca="false">E40-N(F40)</f>
        <v>0</v>
      </c>
      <c r="H40" s="52" t="str">
        <f aca="false">IF(B40="","",IF(G40&lt;=0,"Clear",IF(N(F40)&gt;0,"Partial","Due")))</f>
        <v/>
      </c>
      <c r="I40" s="48"/>
    </row>
    <row r="41" customFormat="false" ht="15" hidden="false" customHeight="false" outlineLevel="0" collapsed="false">
      <c r="A41" s="43" t="n">
        <v>29</v>
      </c>
      <c r="B41" s="44" t="str">
        <f aca="false">IF(Students!B33="","",Students!B33)</f>
        <v/>
      </c>
      <c r="C41" s="45" t="n">
        <f aca="false">'Aug 2027'!G41</f>
        <v>0</v>
      </c>
      <c r="D41" s="45" t="n">
        <f aca="false">IF(B41="",0,N(Students!E33))</f>
        <v>0</v>
      </c>
      <c r="E41" s="45" t="n">
        <f aca="false">N(C41)+N(D41)</f>
        <v>0</v>
      </c>
      <c r="F41" s="14"/>
      <c r="G41" s="46" t="n">
        <f aca="false">E41-N(F41)</f>
        <v>0</v>
      </c>
      <c r="H41" s="47" t="str">
        <f aca="false">IF(B41="","",IF(G41&lt;=0,"Clear",IF(N(F41)&gt;0,"Partial","Due")))</f>
        <v/>
      </c>
      <c r="I41" s="48"/>
    </row>
    <row r="42" customFormat="false" ht="15" hidden="false" customHeight="false" outlineLevel="0" collapsed="false">
      <c r="A42" s="11" t="n">
        <v>30</v>
      </c>
      <c r="B42" s="49" t="str">
        <f aca="false">IF(Students!B34="","",Students!B34)</f>
        <v/>
      </c>
      <c r="C42" s="50" t="n">
        <f aca="false">'Aug 2027'!G42</f>
        <v>0</v>
      </c>
      <c r="D42" s="50" t="n">
        <f aca="false">IF(B42="",0,N(Students!E34))</f>
        <v>0</v>
      </c>
      <c r="E42" s="50" t="n">
        <f aca="false">N(C42)+N(D42)</f>
        <v>0</v>
      </c>
      <c r="F42" s="14"/>
      <c r="G42" s="51" t="n">
        <f aca="false">E42-N(F42)</f>
        <v>0</v>
      </c>
      <c r="H42" s="52" t="str">
        <f aca="false">IF(B42="","",IF(G42&lt;=0,"Clear",IF(N(F42)&gt;0,"Partial","Due")))</f>
        <v/>
      </c>
      <c r="I42" s="48"/>
    </row>
    <row r="43" customFormat="false" ht="15" hidden="false" customHeight="false" outlineLevel="0" collapsed="false">
      <c r="A43" s="43" t="n">
        <v>31</v>
      </c>
      <c r="B43" s="44" t="str">
        <f aca="false">IF(Students!B35="","",Students!B35)</f>
        <v/>
      </c>
      <c r="C43" s="45" t="n">
        <f aca="false">'Aug 2027'!G43</f>
        <v>0</v>
      </c>
      <c r="D43" s="45" t="n">
        <f aca="false">IF(B43="",0,N(Students!E35))</f>
        <v>0</v>
      </c>
      <c r="E43" s="45" t="n">
        <f aca="false">N(C43)+N(D43)</f>
        <v>0</v>
      </c>
      <c r="F43" s="14"/>
      <c r="G43" s="46" t="n">
        <f aca="false">E43-N(F43)</f>
        <v>0</v>
      </c>
      <c r="H43" s="47" t="str">
        <f aca="false">IF(B43="","",IF(G43&lt;=0,"Clear",IF(N(F43)&gt;0,"Partial","Due")))</f>
        <v/>
      </c>
      <c r="I43" s="48"/>
    </row>
    <row r="44" customFormat="false" ht="15" hidden="false" customHeight="false" outlineLevel="0" collapsed="false">
      <c r="A44" s="11" t="n">
        <v>32</v>
      </c>
      <c r="B44" s="49" t="str">
        <f aca="false">IF(Students!B36="","",Students!B36)</f>
        <v/>
      </c>
      <c r="C44" s="50" t="n">
        <f aca="false">'Aug 2027'!G44</f>
        <v>0</v>
      </c>
      <c r="D44" s="50" t="n">
        <f aca="false">IF(B44="",0,N(Students!E36))</f>
        <v>0</v>
      </c>
      <c r="E44" s="50" t="n">
        <f aca="false">N(C44)+N(D44)</f>
        <v>0</v>
      </c>
      <c r="F44" s="14"/>
      <c r="G44" s="51" t="n">
        <f aca="false">E44-N(F44)</f>
        <v>0</v>
      </c>
      <c r="H44" s="52" t="str">
        <f aca="false">IF(B44="","",IF(G44&lt;=0,"Clear",IF(N(F44)&gt;0,"Partial","Due")))</f>
        <v/>
      </c>
      <c r="I44" s="48"/>
    </row>
    <row r="45" customFormat="false" ht="15" hidden="false" customHeight="false" outlineLevel="0" collapsed="false">
      <c r="A45" s="43" t="n">
        <v>33</v>
      </c>
      <c r="B45" s="44" t="str">
        <f aca="false">IF(Students!B37="","",Students!B37)</f>
        <v/>
      </c>
      <c r="C45" s="45" t="n">
        <f aca="false">'Aug 2027'!G45</f>
        <v>0</v>
      </c>
      <c r="D45" s="45" t="n">
        <f aca="false">IF(B45="",0,N(Students!E37))</f>
        <v>0</v>
      </c>
      <c r="E45" s="45" t="n">
        <f aca="false">N(C45)+N(D45)</f>
        <v>0</v>
      </c>
      <c r="F45" s="14"/>
      <c r="G45" s="46" t="n">
        <f aca="false">E45-N(F45)</f>
        <v>0</v>
      </c>
      <c r="H45" s="47" t="str">
        <f aca="false">IF(B45="","",IF(G45&lt;=0,"Clear",IF(N(F45)&gt;0,"Partial","Due")))</f>
        <v/>
      </c>
      <c r="I45" s="48"/>
    </row>
    <row r="46" customFormat="false" ht="15" hidden="false" customHeight="false" outlineLevel="0" collapsed="false">
      <c r="A46" s="11" t="n">
        <v>34</v>
      </c>
      <c r="B46" s="49" t="str">
        <f aca="false">IF(Students!B38="","",Students!B38)</f>
        <v/>
      </c>
      <c r="C46" s="50" t="n">
        <f aca="false">'Aug 2027'!G46</f>
        <v>0</v>
      </c>
      <c r="D46" s="50" t="n">
        <f aca="false">IF(B46="",0,N(Students!E38))</f>
        <v>0</v>
      </c>
      <c r="E46" s="50" t="n">
        <f aca="false">N(C46)+N(D46)</f>
        <v>0</v>
      </c>
      <c r="F46" s="14"/>
      <c r="G46" s="51" t="n">
        <f aca="false">E46-N(F46)</f>
        <v>0</v>
      </c>
      <c r="H46" s="52" t="str">
        <f aca="false">IF(B46="","",IF(G46&lt;=0,"Clear",IF(N(F46)&gt;0,"Partial","Due")))</f>
        <v/>
      </c>
      <c r="I46" s="48"/>
    </row>
    <row r="47" customFormat="false" ht="15" hidden="false" customHeight="false" outlineLevel="0" collapsed="false">
      <c r="A47" s="43" t="n">
        <v>35</v>
      </c>
      <c r="B47" s="44" t="str">
        <f aca="false">IF(Students!B39="","",Students!B39)</f>
        <v/>
      </c>
      <c r="C47" s="45" t="n">
        <f aca="false">'Aug 2027'!G47</f>
        <v>0</v>
      </c>
      <c r="D47" s="45" t="n">
        <f aca="false">IF(B47="",0,N(Students!E39))</f>
        <v>0</v>
      </c>
      <c r="E47" s="45" t="n">
        <f aca="false">N(C47)+N(D47)</f>
        <v>0</v>
      </c>
      <c r="F47" s="14"/>
      <c r="G47" s="46" t="n">
        <f aca="false">E47-N(F47)</f>
        <v>0</v>
      </c>
      <c r="H47" s="47" t="str">
        <f aca="false">IF(B47="","",IF(G47&lt;=0,"Clear",IF(N(F47)&gt;0,"Partial","Due")))</f>
        <v/>
      </c>
      <c r="I47" s="48"/>
    </row>
    <row r="48" customFormat="false" ht="15" hidden="false" customHeight="false" outlineLevel="0" collapsed="false">
      <c r="A48" s="11" t="n">
        <v>36</v>
      </c>
      <c r="B48" s="49" t="str">
        <f aca="false">IF(Students!B40="","",Students!B40)</f>
        <v/>
      </c>
      <c r="C48" s="50" t="n">
        <f aca="false">'Aug 2027'!G48</f>
        <v>0</v>
      </c>
      <c r="D48" s="50" t="n">
        <f aca="false">IF(B48="",0,N(Students!E40))</f>
        <v>0</v>
      </c>
      <c r="E48" s="50" t="n">
        <f aca="false">N(C48)+N(D48)</f>
        <v>0</v>
      </c>
      <c r="F48" s="14"/>
      <c r="G48" s="51" t="n">
        <f aca="false">E48-N(F48)</f>
        <v>0</v>
      </c>
      <c r="H48" s="52" t="str">
        <f aca="false">IF(B48="","",IF(G48&lt;=0,"Clear",IF(N(F48)&gt;0,"Partial","Due")))</f>
        <v/>
      </c>
      <c r="I48" s="48"/>
    </row>
    <row r="49" customFormat="false" ht="15" hidden="false" customHeight="false" outlineLevel="0" collapsed="false">
      <c r="A49" s="43" t="n">
        <v>37</v>
      </c>
      <c r="B49" s="44" t="str">
        <f aca="false">IF(Students!B41="","",Students!B41)</f>
        <v/>
      </c>
      <c r="C49" s="45" t="n">
        <f aca="false">'Aug 2027'!G49</f>
        <v>0</v>
      </c>
      <c r="D49" s="45" t="n">
        <f aca="false">IF(B49="",0,N(Students!E41))</f>
        <v>0</v>
      </c>
      <c r="E49" s="45" t="n">
        <f aca="false">N(C49)+N(D49)</f>
        <v>0</v>
      </c>
      <c r="F49" s="14"/>
      <c r="G49" s="46" t="n">
        <f aca="false">E49-N(F49)</f>
        <v>0</v>
      </c>
      <c r="H49" s="47" t="str">
        <f aca="false">IF(B49="","",IF(G49&lt;=0,"Clear",IF(N(F49)&gt;0,"Partial","Due")))</f>
        <v/>
      </c>
      <c r="I49" s="48"/>
    </row>
    <row r="50" customFormat="false" ht="15" hidden="false" customHeight="false" outlineLevel="0" collapsed="false">
      <c r="A50" s="11" t="n">
        <v>38</v>
      </c>
      <c r="B50" s="49" t="str">
        <f aca="false">IF(Students!B42="","",Students!B42)</f>
        <v/>
      </c>
      <c r="C50" s="50" t="n">
        <f aca="false">'Aug 2027'!G50</f>
        <v>0</v>
      </c>
      <c r="D50" s="50" t="n">
        <f aca="false">IF(B50="",0,N(Students!E42))</f>
        <v>0</v>
      </c>
      <c r="E50" s="50" t="n">
        <f aca="false">N(C50)+N(D50)</f>
        <v>0</v>
      </c>
      <c r="F50" s="14"/>
      <c r="G50" s="51" t="n">
        <f aca="false">E50-N(F50)</f>
        <v>0</v>
      </c>
      <c r="H50" s="52" t="str">
        <f aca="false">IF(B50="","",IF(G50&lt;=0,"Clear",IF(N(F50)&gt;0,"Partial","Due")))</f>
        <v/>
      </c>
      <c r="I50" s="48"/>
    </row>
    <row r="51" customFormat="false" ht="15" hidden="false" customHeight="false" outlineLevel="0" collapsed="false">
      <c r="A51" s="43" t="n">
        <v>39</v>
      </c>
      <c r="B51" s="44" t="str">
        <f aca="false">IF(Students!B43="","",Students!B43)</f>
        <v/>
      </c>
      <c r="C51" s="45" t="n">
        <f aca="false">'Aug 2027'!G51</f>
        <v>0</v>
      </c>
      <c r="D51" s="45" t="n">
        <f aca="false">IF(B51="",0,N(Students!E43))</f>
        <v>0</v>
      </c>
      <c r="E51" s="45" t="n">
        <f aca="false">N(C51)+N(D51)</f>
        <v>0</v>
      </c>
      <c r="F51" s="14"/>
      <c r="G51" s="46" t="n">
        <f aca="false">E51-N(F51)</f>
        <v>0</v>
      </c>
      <c r="H51" s="47" t="str">
        <f aca="false">IF(B51="","",IF(G51&lt;=0,"Clear",IF(N(F51)&gt;0,"Partial","Due")))</f>
        <v/>
      </c>
      <c r="I51" s="48"/>
    </row>
    <row r="52" customFormat="false" ht="15" hidden="false" customHeight="false" outlineLevel="0" collapsed="false">
      <c r="A52" s="11" t="n">
        <v>40</v>
      </c>
      <c r="B52" s="49" t="str">
        <f aca="false">IF(Students!B44="","",Students!B44)</f>
        <v/>
      </c>
      <c r="C52" s="50" t="n">
        <f aca="false">'Aug 2027'!G52</f>
        <v>0</v>
      </c>
      <c r="D52" s="50" t="n">
        <f aca="false">IF(B52="",0,N(Students!E44))</f>
        <v>0</v>
      </c>
      <c r="E52" s="50" t="n">
        <f aca="false">N(C52)+N(D52)</f>
        <v>0</v>
      </c>
      <c r="F52" s="14"/>
      <c r="G52" s="51" t="n">
        <f aca="false">E52-N(F52)</f>
        <v>0</v>
      </c>
      <c r="H52" s="52" t="str">
        <f aca="false">IF(B52="","",IF(G52&lt;=0,"Clear",IF(N(F52)&gt;0,"Partial","Due")))</f>
        <v/>
      </c>
      <c r="I52" s="48"/>
    </row>
    <row r="53" customFormat="false" ht="15" hidden="false" customHeight="false" outlineLevel="0" collapsed="false">
      <c r="A53" s="43" t="n">
        <v>41</v>
      </c>
      <c r="B53" s="44" t="str">
        <f aca="false">IF(Students!B45="","",Students!B45)</f>
        <v/>
      </c>
      <c r="C53" s="45" t="n">
        <f aca="false">'Aug 2027'!G53</f>
        <v>0</v>
      </c>
      <c r="D53" s="45" t="n">
        <f aca="false">IF(B53="",0,N(Students!E45))</f>
        <v>0</v>
      </c>
      <c r="E53" s="45" t="n">
        <f aca="false">N(C53)+N(D53)</f>
        <v>0</v>
      </c>
      <c r="F53" s="14"/>
      <c r="G53" s="46" t="n">
        <f aca="false">E53-N(F53)</f>
        <v>0</v>
      </c>
      <c r="H53" s="47" t="str">
        <f aca="false">IF(B53="","",IF(G53&lt;=0,"Clear",IF(N(F53)&gt;0,"Partial","Due")))</f>
        <v/>
      </c>
      <c r="I53" s="48"/>
    </row>
    <row r="54" customFormat="false" ht="15" hidden="false" customHeight="false" outlineLevel="0" collapsed="false">
      <c r="A54" s="11" t="n">
        <v>42</v>
      </c>
      <c r="B54" s="49" t="str">
        <f aca="false">IF(Students!B46="","",Students!B46)</f>
        <v/>
      </c>
      <c r="C54" s="50" t="n">
        <f aca="false">'Aug 2027'!G54</f>
        <v>0</v>
      </c>
      <c r="D54" s="50" t="n">
        <f aca="false">IF(B54="",0,N(Students!E46))</f>
        <v>0</v>
      </c>
      <c r="E54" s="50" t="n">
        <f aca="false">N(C54)+N(D54)</f>
        <v>0</v>
      </c>
      <c r="F54" s="14"/>
      <c r="G54" s="51" t="n">
        <f aca="false">E54-N(F54)</f>
        <v>0</v>
      </c>
      <c r="H54" s="52" t="str">
        <f aca="false">IF(B54="","",IF(G54&lt;=0,"Clear",IF(N(F54)&gt;0,"Partial","Due")))</f>
        <v/>
      </c>
      <c r="I54" s="48"/>
    </row>
    <row r="55" customFormat="false" ht="15" hidden="false" customHeight="false" outlineLevel="0" collapsed="false">
      <c r="A55" s="43" t="n">
        <v>43</v>
      </c>
      <c r="B55" s="44" t="str">
        <f aca="false">IF(Students!B47="","",Students!B47)</f>
        <v/>
      </c>
      <c r="C55" s="45" t="n">
        <f aca="false">'Aug 2027'!G55</f>
        <v>0</v>
      </c>
      <c r="D55" s="45" t="n">
        <f aca="false">IF(B55="",0,N(Students!E47))</f>
        <v>0</v>
      </c>
      <c r="E55" s="45" t="n">
        <f aca="false">N(C55)+N(D55)</f>
        <v>0</v>
      </c>
      <c r="F55" s="14"/>
      <c r="G55" s="46" t="n">
        <f aca="false">E55-N(F55)</f>
        <v>0</v>
      </c>
      <c r="H55" s="47" t="str">
        <f aca="false">IF(B55="","",IF(G55&lt;=0,"Clear",IF(N(F55)&gt;0,"Partial","Due")))</f>
        <v/>
      </c>
      <c r="I55" s="48"/>
    </row>
    <row r="56" customFormat="false" ht="15" hidden="false" customHeight="false" outlineLevel="0" collapsed="false">
      <c r="A56" s="11" t="n">
        <v>44</v>
      </c>
      <c r="B56" s="49" t="str">
        <f aca="false">IF(Students!B48="","",Students!B48)</f>
        <v/>
      </c>
      <c r="C56" s="50" t="n">
        <f aca="false">'Aug 2027'!G56</f>
        <v>0</v>
      </c>
      <c r="D56" s="50" t="n">
        <f aca="false">IF(B56="",0,N(Students!E48))</f>
        <v>0</v>
      </c>
      <c r="E56" s="50" t="n">
        <f aca="false">N(C56)+N(D56)</f>
        <v>0</v>
      </c>
      <c r="F56" s="14"/>
      <c r="G56" s="51" t="n">
        <f aca="false">E56-N(F56)</f>
        <v>0</v>
      </c>
      <c r="H56" s="52" t="str">
        <f aca="false">IF(B56="","",IF(G56&lt;=0,"Clear",IF(N(F56)&gt;0,"Partial","Due")))</f>
        <v/>
      </c>
      <c r="I56" s="48"/>
    </row>
    <row r="57" customFormat="false" ht="15" hidden="false" customHeight="false" outlineLevel="0" collapsed="false">
      <c r="A57" s="43" t="n">
        <v>45</v>
      </c>
      <c r="B57" s="44" t="str">
        <f aca="false">IF(Students!B49="","",Students!B49)</f>
        <v/>
      </c>
      <c r="C57" s="45" t="n">
        <f aca="false">'Aug 2027'!G57</f>
        <v>0</v>
      </c>
      <c r="D57" s="45" t="n">
        <f aca="false">IF(B57="",0,N(Students!E49))</f>
        <v>0</v>
      </c>
      <c r="E57" s="45" t="n">
        <f aca="false">N(C57)+N(D57)</f>
        <v>0</v>
      </c>
      <c r="F57" s="14"/>
      <c r="G57" s="46" t="n">
        <f aca="false">E57-N(F57)</f>
        <v>0</v>
      </c>
      <c r="H57" s="47" t="str">
        <f aca="false">IF(B57="","",IF(G57&lt;=0,"Clear",IF(N(F57)&gt;0,"Partial","Due")))</f>
        <v/>
      </c>
      <c r="I57" s="48"/>
    </row>
    <row r="58" customFormat="false" ht="15" hidden="false" customHeight="false" outlineLevel="0" collapsed="false">
      <c r="A58" s="11" t="n">
        <v>46</v>
      </c>
      <c r="B58" s="49" t="str">
        <f aca="false">IF(Students!B50="","",Students!B50)</f>
        <v/>
      </c>
      <c r="C58" s="50" t="n">
        <f aca="false">'Aug 2027'!G58</f>
        <v>0</v>
      </c>
      <c r="D58" s="50" t="n">
        <f aca="false">IF(B58="",0,N(Students!E50))</f>
        <v>0</v>
      </c>
      <c r="E58" s="50" t="n">
        <f aca="false">N(C58)+N(D58)</f>
        <v>0</v>
      </c>
      <c r="F58" s="14"/>
      <c r="G58" s="51" t="n">
        <f aca="false">E58-N(F58)</f>
        <v>0</v>
      </c>
      <c r="H58" s="52" t="str">
        <f aca="false">IF(B58="","",IF(G58&lt;=0,"Clear",IF(N(F58)&gt;0,"Partial","Due")))</f>
        <v/>
      </c>
      <c r="I58" s="48"/>
    </row>
    <row r="59" customFormat="false" ht="15" hidden="false" customHeight="false" outlineLevel="0" collapsed="false">
      <c r="A59" s="43" t="n">
        <v>47</v>
      </c>
      <c r="B59" s="44" t="str">
        <f aca="false">IF(Students!B51="","",Students!B51)</f>
        <v/>
      </c>
      <c r="C59" s="45" t="n">
        <f aca="false">'Aug 2027'!G59</f>
        <v>0</v>
      </c>
      <c r="D59" s="45" t="n">
        <f aca="false">IF(B59="",0,N(Students!E51))</f>
        <v>0</v>
      </c>
      <c r="E59" s="45" t="n">
        <f aca="false">N(C59)+N(D59)</f>
        <v>0</v>
      </c>
      <c r="F59" s="14"/>
      <c r="G59" s="46" t="n">
        <f aca="false">E59-N(F59)</f>
        <v>0</v>
      </c>
      <c r="H59" s="47" t="str">
        <f aca="false">IF(B59="","",IF(G59&lt;=0,"Clear",IF(N(F59)&gt;0,"Partial","Due")))</f>
        <v/>
      </c>
      <c r="I59" s="48"/>
    </row>
    <row r="60" customFormat="false" ht="15" hidden="false" customHeight="false" outlineLevel="0" collapsed="false">
      <c r="A60" s="11" t="n">
        <v>48</v>
      </c>
      <c r="B60" s="49" t="str">
        <f aca="false">IF(Students!B52="","",Students!B52)</f>
        <v/>
      </c>
      <c r="C60" s="50" t="n">
        <f aca="false">'Aug 2027'!G60</f>
        <v>0</v>
      </c>
      <c r="D60" s="50" t="n">
        <f aca="false">IF(B60="",0,N(Students!E52))</f>
        <v>0</v>
      </c>
      <c r="E60" s="50" t="n">
        <f aca="false">N(C60)+N(D60)</f>
        <v>0</v>
      </c>
      <c r="F60" s="14"/>
      <c r="G60" s="51" t="n">
        <f aca="false">E60-N(F60)</f>
        <v>0</v>
      </c>
      <c r="H60" s="52" t="str">
        <f aca="false">IF(B60="","",IF(G60&lt;=0,"Clear",IF(N(F60)&gt;0,"Partial","Due")))</f>
        <v/>
      </c>
      <c r="I60" s="48"/>
    </row>
    <row r="61" customFormat="false" ht="15" hidden="false" customHeight="false" outlineLevel="0" collapsed="false">
      <c r="A61" s="43" t="n">
        <v>49</v>
      </c>
      <c r="B61" s="44" t="str">
        <f aca="false">IF(Students!B53="","",Students!B53)</f>
        <v/>
      </c>
      <c r="C61" s="45" t="n">
        <f aca="false">'Aug 2027'!G61</f>
        <v>0</v>
      </c>
      <c r="D61" s="45" t="n">
        <f aca="false">IF(B61="",0,N(Students!E53))</f>
        <v>0</v>
      </c>
      <c r="E61" s="45" t="n">
        <f aca="false">N(C61)+N(D61)</f>
        <v>0</v>
      </c>
      <c r="F61" s="14"/>
      <c r="G61" s="46" t="n">
        <f aca="false">E61-N(F61)</f>
        <v>0</v>
      </c>
      <c r="H61" s="47" t="str">
        <f aca="false">IF(B61="","",IF(G61&lt;=0,"Clear",IF(N(F61)&gt;0,"Partial","Due")))</f>
        <v/>
      </c>
      <c r="I61" s="48"/>
    </row>
    <row r="62" customFormat="false" ht="15" hidden="false" customHeight="false" outlineLevel="0" collapsed="false">
      <c r="A62" s="11" t="n">
        <v>50</v>
      </c>
      <c r="B62" s="49" t="str">
        <f aca="false">IF(Students!B54="","",Students!B54)</f>
        <v/>
      </c>
      <c r="C62" s="50" t="n">
        <f aca="false">'Aug 2027'!G62</f>
        <v>0</v>
      </c>
      <c r="D62" s="50" t="n">
        <f aca="false">IF(B62="",0,N(Students!E54))</f>
        <v>0</v>
      </c>
      <c r="E62" s="50" t="n">
        <f aca="false">N(C62)+N(D62)</f>
        <v>0</v>
      </c>
      <c r="F62" s="14"/>
      <c r="G62" s="51" t="n">
        <f aca="false">E62-N(F62)</f>
        <v>0</v>
      </c>
      <c r="H62" s="52" t="str">
        <f aca="false">IF(B62="","",IF(G62&lt;=0,"Clear",IF(N(F62)&gt;0,"Partial","Due")))</f>
        <v/>
      </c>
      <c r="I62" s="48"/>
    </row>
    <row r="63" customFormat="false" ht="15" hidden="false" customHeight="true" outlineLevel="0" collapsed="false">
      <c r="A63" s="10" t="s">
        <v>54</v>
      </c>
      <c r="B63" s="10"/>
      <c r="C63" s="25" t="n">
        <f aca="false">SUM(C13:C62)</f>
        <v>10500</v>
      </c>
      <c r="D63" s="25" t="n">
        <f aca="false">SUM(D13:D62)</f>
        <v>1000</v>
      </c>
      <c r="E63" s="25" t="n">
        <f aca="false">SUM(E13:E62)</f>
        <v>11500</v>
      </c>
      <c r="F63" s="25" t="n">
        <f aca="false">SUM(F13:F62)</f>
        <v>0</v>
      </c>
      <c r="G63" s="25" t="n">
        <f aca="false">SUM(G13:G62)</f>
        <v>11500</v>
      </c>
      <c r="H63" s="10" t="str">
        <f aca="false">COUNTIF(B13:B62,"?*")&amp;" students"</f>
        <v>1 students</v>
      </c>
      <c r="I63" s="24"/>
    </row>
  </sheetData>
  <mergeCells count="18">
    <mergeCell ref="A1:I1"/>
    <mergeCell ref="A2:I2"/>
    <mergeCell ref="A4:C4"/>
    <mergeCell ref="D4:I4"/>
    <mergeCell ref="A6:B6"/>
    <mergeCell ref="C6:D6"/>
    <mergeCell ref="E6:F6"/>
    <mergeCell ref="G6:I6"/>
    <mergeCell ref="A7:B7"/>
    <mergeCell ref="C7:D7"/>
    <mergeCell ref="E7:F7"/>
    <mergeCell ref="G7:I7"/>
    <mergeCell ref="A8:B8"/>
    <mergeCell ref="C8:D8"/>
    <mergeCell ref="E8:F8"/>
    <mergeCell ref="G8:I8"/>
    <mergeCell ref="A10:I10"/>
    <mergeCell ref="A63:B63"/>
  </mergeCells>
  <conditionalFormatting sqref="H13:H62">
    <cfRule type="cellIs" priority="2" operator="equal" aboveAverage="0" equalAverage="0" bottom="0" percent="0" rank="0" text="" dxfId="1">
      <formula>"Clear"</formula>
    </cfRule>
    <cfRule type="cellIs" priority="3" operator="equal" aboveAverage="0" equalAverage="0" bottom="0" percent="0" rank="0" text="" dxfId="2">
      <formula>"Partial"</formula>
    </cfRule>
    <cfRule type="cellIs" priority="4" operator="equal" aboveAverage="0" equalAverage="0" bottom="0" percent="0" rank="0" text="" dxfId="3">
      <formula>"Due"</formula>
    </cfRule>
  </conditionalFormatting>
  <conditionalFormatting sqref="G13:G62"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2026-10-08T11:32:22Z</dcterms:created>
  <dc:creator>openpyxl</dc:creator>
  <dc:description/>
  <dc:language>en-US</dc:language>
  <cp:lastModifiedBy/>
  <dcterms:modified xsi:type="dcterms:W3CDTF">2026-10-08T11:32:23Z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